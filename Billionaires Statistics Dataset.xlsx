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feyikemi\Documents\Feyi\Lessons\Ntech\EXCEL\Assignment\"/>
    </mc:Choice>
  </mc:AlternateContent>
  <xr:revisionPtr revIDLastSave="0" documentId="13_ncr:1_{CB62A24C-A905-4668-A9B2-CCC8B43EFCCA}" xr6:coauthVersionLast="47" xr6:coauthVersionMax="47" xr10:uidLastSave="{00000000-0000-0000-0000-000000000000}"/>
  <bookViews>
    <workbookView xWindow="-98" yWindow="-98" windowWidth="21795" windowHeight="12975" activeTab="3" xr2:uid="{4E1E5EE0-9506-450D-AE0E-73214C72638E}"/>
  </bookViews>
  <sheets>
    <sheet name="Billionaires Statistics Dataset" sheetId="1" r:id="rId1"/>
    <sheet name="Pivot Table" sheetId="4" r:id="rId2"/>
    <sheet name="Graph" sheetId="6" r:id="rId3"/>
    <sheet name="Dashboard" sheetId="8" r:id="rId4"/>
  </sheets>
  <definedNames>
    <definedName name="a">'Pivot Table'!$E$14:$E$1048576</definedName>
    <definedName name="Slicer_gender">#N/A</definedName>
    <definedName name="Slicer_industries">#N/A</definedName>
    <definedName name="Slicer_sour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647" i="1" l="1"/>
  <c r="B2646" i="1"/>
  <c r="B2645" i="1"/>
  <c r="B2644" i="1"/>
  <c r="B2643" i="1"/>
  <c r="J29" i="4"/>
  <c r="J44" i="4"/>
  <c r="J56" i="4"/>
  <c r="J51" i="4"/>
</calcChain>
</file>

<file path=xl/sharedStrings.xml><?xml version="1.0" encoding="utf-8"?>
<sst xmlns="http://schemas.openxmlformats.org/spreadsheetml/2006/main" count="33848" uniqueCount="8277">
  <si>
    <t>category</t>
  </si>
  <si>
    <t>age</t>
  </si>
  <si>
    <t>country</t>
  </si>
  <si>
    <t>city</t>
  </si>
  <si>
    <t>source</t>
  </si>
  <si>
    <t>industries</t>
  </si>
  <si>
    <t>countryOfCitizenship</t>
  </si>
  <si>
    <t>organization</t>
  </si>
  <si>
    <t>selfMade</t>
  </si>
  <si>
    <t>status</t>
  </si>
  <si>
    <t>gender</t>
  </si>
  <si>
    <t>birthDate</t>
  </si>
  <si>
    <t>title</t>
  </si>
  <si>
    <t>date</t>
  </si>
  <si>
    <t>state</t>
  </si>
  <si>
    <t>cpi_country</t>
  </si>
  <si>
    <t>cpi_change_country</t>
  </si>
  <si>
    <t>gdp_country</t>
  </si>
  <si>
    <t>gross_tertiary_education_enrollment</t>
  </si>
  <si>
    <t>gross_primary_education_enrollment_country</t>
  </si>
  <si>
    <t>tax_revenue_country_country</t>
  </si>
  <si>
    <t>total_tax_rate_country</t>
  </si>
  <si>
    <t>population_country</t>
  </si>
  <si>
    <t>Fashion &amp; Retail</t>
  </si>
  <si>
    <t>Bernard Arnault &amp; family</t>
  </si>
  <si>
    <t>France</t>
  </si>
  <si>
    <t>Paris</t>
  </si>
  <si>
    <t>LVMH</t>
  </si>
  <si>
    <t>LVMH Moët Hennessy Louis Vuitton</t>
  </si>
  <si>
    <t>U</t>
  </si>
  <si>
    <t>Arnault</t>
  </si>
  <si>
    <t>Bernard</t>
  </si>
  <si>
    <t>Chairman and CEO</t>
  </si>
  <si>
    <t>Automotive</t>
  </si>
  <si>
    <t>Elon Musk</t>
  </si>
  <si>
    <t>United States</t>
  </si>
  <si>
    <t>Austin</t>
  </si>
  <si>
    <t>Tesla, SpaceX</t>
  </si>
  <si>
    <t>Tesla</t>
  </si>
  <si>
    <t>D</t>
  </si>
  <si>
    <t>Musk</t>
  </si>
  <si>
    <t>Elon</t>
  </si>
  <si>
    <t>CEO</t>
  </si>
  <si>
    <t>Texas</t>
  </si>
  <si>
    <t>South</t>
  </si>
  <si>
    <t>Technology</t>
  </si>
  <si>
    <t>Jeff Bezos</t>
  </si>
  <si>
    <t>Medina</t>
  </si>
  <si>
    <t>Amazon</t>
  </si>
  <si>
    <t>Bezos</t>
  </si>
  <si>
    <t>Jeff</t>
  </si>
  <si>
    <t>Chairman and Founder</t>
  </si>
  <si>
    <t>Washington</t>
  </si>
  <si>
    <t>West</t>
  </si>
  <si>
    <t>Larry Ellison</t>
  </si>
  <si>
    <t>Lanai</t>
  </si>
  <si>
    <t>Oracle</t>
  </si>
  <si>
    <t>Ellison</t>
  </si>
  <si>
    <t>Larry</t>
  </si>
  <si>
    <t>CTO and Founder</t>
  </si>
  <si>
    <t>Hawaii</t>
  </si>
  <si>
    <t>Finance &amp; Investments</t>
  </si>
  <si>
    <t>Warren Buffett</t>
  </si>
  <si>
    <t>Omaha</t>
  </si>
  <si>
    <t>Berkshire Hathaway</t>
  </si>
  <si>
    <t>Berkshire Hathaway Inc. (Cl A)</t>
  </si>
  <si>
    <t>Buffett</t>
  </si>
  <si>
    <t>Warren</t>
  </si>
  <si>
    <t>Nebraska</t>
  </si>
  <si>
    <t>Midwest</t>
  </si>
  <si>
    <t>Bill Gates</t>
  </si>
  <si>
    <t>Microsoft</t>
  </si>
  <si>
    <t>Bill &amp; Melinda Gates Foundation</t>
  </si>
  <si>
    <t>Gates</t>
  </si>
  <si>
    <t>Bill</t>
  </si>
  <si>
    <t>Cochair</t>
  </si>
  <si>
    <t>Media &amp; Entertainment</t>
  </si>
  <si>
    <t>Michael Bloomberg</t>
  </si>
  <si>
    <t>New York</t>
  </si>
  <si>
    <t>Bloomberg LP</t>
  </si>
  <si>
    <t>Bloomberg</t>
  </si>
  <si>
    <t>Michael</t>
  </si>
  <si>
    <t>Northeast</t>
  </si>
  <si>
    <t>Telecom</t>
  </si>
  <si>
    <t>Carlos Slim Helu &amp; family</t>
  </si>
  <si>
    <t>Mexico</t>
  </si>
  <si>
    <t>Mexico City</t>
  </si>
  <si>
    <t>América Móvil</t>
  </si>
  <si>
    <t>Slim Helu</t>
  </si>
  <si>
    <t>Carlos</t>
  </si>
  <si>
    <t>Honorary Chairman</t>
  </si>
  <si>
    <t>Diversified</t>
  </si>
  <si>
    <t>Mukesh Ambani</t>
  </si>
  <si>
    <t>India</t>
  </si>
  <si>
    <t>Mumbai</t>
  </si>
  <si>
    <t>Reliance Industries</t>
  </si>
  <si>
    <t>Ambani</t>
  </si>
  <si>
    <t>Mukesh</t>
  </si>
  <si>
    <t>Founder and Chairman</t>
  </si>
  <si>
    <t>Steve Ballmer</t>
  </si>
  <si>
    <t>Hunts Point</t>
  </si>
  <si>
    <t>Los Angeles Clippers</t>
  </si>
  <si>
    <t>Ballmer</t>
  </si>
  <si>
    <t>Steve</t>
  </si>
  <si>
    <t>Owner</t>
  </si>
  <si>
    <t>Francoise Bettencourt Meyers &amp; family</t>
  </si>
  <si>
    <t>L'Oréal</t>
  </si>
  <si>
    <t>Bettencourt Meyers</t>
  </si>
  <si>
    <t>Francoise</t>
  </si>
  <si>
    <t>Larry Page</t>
  </si>
  <si>
    <t>Palo Alto</t>
  </si>
  <si>
    <t>Google</t>
  </si>
  <si>
    <t>Alphabet</t>
  </si>
  <si>
    <t>Page</t>
  </si>
  <si>
    <t>Cofounder and board member</t>
  </si>
  <si>
    <t>California</t>
  </si>
  <si>
    <t>Amancio Ortega</t>
  </si>
  <si>
    <t>Spain</t>
  </si>
  <si>
    <t>La Coruna</t>
  </si>
  <si>
    <t>Zara</t>
  </si>
  <si>
    <t>Ortega</t>
  </si>
  <si>
    <t>Amancio</t>
  </si>
  <si>
    <t>Sergey Brin</t>
  </si>
  <si>
    <t>Los Altos</t>
  </si>
  <si>
    <t>Brin</t>
  </si>
  <si>
    <t>Sergey</t>
  </si>
  <si>
    <t>Food &amp; Beverage</t>
  </si>
  <si>
    <t>Zhong Shanshan</t>
  </si>
  <si>
    <t>China</t>
  </si>
  <si>
    <t>Hangzhou</t>
  </si>
  <si>
    <t>Beverages, pharmaceuticals</t>
  </si>
  <si>
    <t>Zhong</t>
  </si>
  <si>
    <t>Shanshan</t>
  </si>
  <si>
    <t>Mark Zuckerberg</t>
  </si>
  <si>
    <t>Facebook</t>
  </si>
  <si>
    <t>Meta Platforms</t>
  </si>
  <si>
    <t>Zuckerberg</t>
  </si>
  <si>
    <t>Mark</t>
  </si>
  <si>
    <t>Cofounder</t>
  </si>
  <si>
    <t>Charles Koch &amp; family</t>
  </si>
  <si>
    <t>Wichita</t>
  </si>
  <si>
    <t>Koch Industries</t>
  </si>
  <si>
    <t>Koch Industries, Inc.</t>
  </si>
  <si>
    <t>Koch</t>
  </si>
  <si>
    <t>Charles</t>
  </si>
  <si>
    <t>Kansas</t>
  </si>
  <si>
    <t>Julia Koch &amp; family</t>
  </si>
  <si>
    <t>Julia</t>
  </si>
  <si>
    <t>Jim Walton</t>
  </si>
  <si>
    <t>Bentonville</t>
  </si>
  <si>
    <t>Walmart</t>
  </si>
  <si>
    <t>Arvest Bank Group, Inc.</t>
  </si>
  <si>
    <t>Walton</t>
  </si>
  <si>
    <t>Jim</t>
  </si>
  <si>
    <t>Arkansas</t>
  </si>
  <si>
    <t>Rob Walton &amp; family</t>
  </si>
  <si>
    <t>Rob</t>
  </si>
  <si>
    <t>Director</t>
  </si>
  <si>
    <t>Alice Walton</t>
  </si>
  <si>
    <t>Fort Worth</t>
  </si>
  <si>
    <t>Crystal Bridges Museum of American Art</t>
  </si>
  <si>
    <t>Alice</t>
  </si>
  <si>
    <t>Philanthropist</t>
  </si>
  <si>
    <t>David Thomson &amp; family</t>
  </si>
  <si>
    <t>Canada</t>
  </si>
  <si>
    <t>Toronto</t>
  </si>
  <si>
    <t>Media</t>
  </si>
  <si>
    <t>Thomson Reuters Corporation</t>
  </si>
  <si>
    <t>Thomson</t>
  </si>
  <si>
    <t>David</t>
  </si>
  <si>
    <t>Chairman</t>
  </si>
  <si>
    <t>Michael Dell</t>
  </si>
  <si>
    <t>Dell Technologies</t>
  </si>
  <si>
    <t>Dell Inc.</t>
  </si>
  <si>
    <t>Dell</t>
  </si>
  <si>
    <t>Gautam Adani</t>
  </si>
  <si>
    <t>Ahmedabad</t>
  </si>
  <si>
    <t>Infrastructure, commodities</t>
  </si>
  <si>
    <t>Adani</t>
  </si>
  <si>
    <t>Gautam</t>
  </si>
  <si>
    <t>Phil Knight &amp; family</t>
  </si>
  <si>
    <t>Hillsboro</t>
  </si>
  <si>
    <t>Nike</t>
  </si>
  <si>
    <t>Knight</t>
  </si>
  <si>
    <t>Phil</t>
  </si>
  <si>
    <t>Oregon</t>
  </si>
  <si>
    <t>Zhang Yiming</t>
  </si>
  <si>
    <t>Beijing</t>
  </si>
  <si>
    <t>TikTok</t>
  </si>
  <si>
    <t>ByteDance</t>
  </si>
  <si>
    <t>Zhang</t>
  </si>
  <si>
    <t>Yiming</t>
  </si>
  <si>
    <t>Founder</t>
  </si>
  <si>
    <t>Dieter Schwarz</t>
  </si>
  <si>
    <t>Germany</t>
  </si>
  <si>
    <t>Neckarsulm</t>
  </si>
  <si>
    <t>Retail</t>
  </si>
  <si>
    <t>Schwarz</t>
  </si>
  <si>
    <t>Dieter</t>
  </si>
  <si>
    <t>François Pinault &amp; family</t>
  </si>
  <si>
    <t>Luxury goods</t>
  </si>
  <si>
    <t>Pinault</t>
  </si>
  <si>
    <t>François</t>
  </si>
  <si>
    <t>Logistics</t>
  </si>
  <si>
    <t>Klaus-Michael Kuehne</t>
  </si>
  <si>
    <t>Switzerland</t>
  </si>
  <si>
    <t>Schindellegi</t>
  </si>
  <si>
    <t>Shipping</t>
  </si>
  <si>
    <t>Kuehne</t>
  </si>
  <si>
    <t>Klaus-Michael</t>
  </si>
  <si>
    <t>Giovanni Ferrero</t>
  </si>
  <si>
    <t>Belgium</t>
  </si>
  <si>
    <t>Brussels</t>
  </si>
  <si>
    <t>Nutella, chocolates</t>
  </si>
  <si>
    <t>Italy</t>
  </si>
  <si>
    <t>Ferrero</t>
  </si>
  <si>
    <t>Giovanni</t>
  </si>
  <si>
    <t>Jacqueline Mars</t>
  </si>
  <si>
    <t>The Plains</t>
  </si>
  <si>
    <t>Candy, pet food</t>
  </si>
  <si>
    <t>Mars</t>
  </si>
  <si>
    <t>Jacqueline</t>
  </si>
  <si>
    <t>Virginia</t>
  </si>
  <si>
    <t>John Mars</t>
  </si>
  <si>
    <t>Jackson</t>
  </si>
  <si>
    <t>John</t>
  </si>
  <si>
    <t>Wyoming</t>
  </si>
  <si>
    <t>Li Ka-shing</t>
  </si>
  <si>
    <t>Hong Kong</t>
  </si>
  <si>
    <t>CK Hutchison Holdings</t>
  </si>
  <si>
    <t>Li</t>
  </si>
  <si>
    <t>Ka-shing</t>
  </si>
  <si>
    <t>Senior Advisor</t>
  </si>
  <si>
    <t>Ma Huateng</t>
  </si>
  <si>
    <t>Shenzhen</t>
  </si>
  <si>
    <t>Internet media</t>
  </si>
  <si>
    <t>Tencent Holdings</t>
  </si>
  <si>
    <t>Ma</t>
  </si>
  <si>
    <t>Huateng</t>
  </si>
  <si>
    <t>Gambling &amp; Casinos</t>
  </si>
  <si>
    <t>Miriam Adelson &amp; family</t>
  </si>
  <si>
    <t>Las Vegas</t>
  </si>
  <si>
    <t>Casinos</t>
  </si>
  <si>
    <t>Adelson</t>
  </si>
  <si>
    <t>Miriam</t>
  </si>
  <si>
    <t>Nevada</t>
  </si>
  <si>
    <t>Ken Griffin</t>
  </si>
  <si>
    <t>Miami</t>
  </si>
  <si>
    <t>Hedge funds</t>
  </si>
  <si>
    <t>Citadel LLC</t>
  </si>
  <si>
    <t>Griffin</t>
  </si>
  <si>
    <t>Ken</t>
  </si>
  <si>
    <t>Founder &amp; CEO</t>
  </si>
  <si>
    <t>Florida</t>
  </si>
  <si>
    <t>Mark Mateschitz</t>
  </si>
  <si>
    <t>Austria</t>
  </si>
  <si>
    <t>Salzburg</t>
  </si>
  <si>
    <t>Red Bull</t>
  </si>
  <si>
    <t>N</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</si>
  <si>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</si>
  <si>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</si>
  <si>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</si>
  <si>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</si>
  <si>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</si>
  <si>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</si>
  <si>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</si>
  <si>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</si>
  <si>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</si>
  <si>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</si>
  <si>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</si>
  <si>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</si>
  <si>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</si>
  <si>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</si>
  <si>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</si>
  <si>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</si>
  <si>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</si>
  <si>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</si>
  <si>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</si>
  <si>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</si>
  <si>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</si>
  <si>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</si>
  <si>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</si>
  <si>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</si>
  <si>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</si>
  <si>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</si>
  <si>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Split Family Fortune</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</si>
  <si>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</si>
  <si>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</si>
  <si>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</si>
  <si>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</si>
  <si>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</si>
  <si>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</si>
  <si>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</si>
  <si>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</si>
  <si>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</si>
  <si>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</si>
  <si>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</si>
  <si>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</si>
  <si>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</si>
  <si>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</si>
  <si>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</si>
  <si>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</si>
  <si>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Real Estate</t>
  </si>
  <si>
    <t>Lee Shau Kee</t>
  </si>
  <si>
    <t>Real estate</t>
  </si>
  <si>
    <t>Lee</t>
  </si>
  <si>
    <t>Shau Kee</t>
  </si>
  <si>
    <t>Jeff Yass</t>
  </si>
  <si>
    <t>Haverford</t>
  </si>
  <si>
    <t>Trading, investments</t>
  </si>
  <si>
    <t>Yass</t>
  </si>
  <si>
    <t>Pennsylvania</t>
  </si>
  <si>
    <t>Jim Simons</t>
  </si>
  <si>
    <t>East Setauket</t>
  </si>
  <si>
    <t>Renaissance Technologies Corp.</t>
  </si>
  <si>
    <t>Simons</t>
  </si>
  <si>
    <t>Stephen Schwarzman</t>
  </si>
  <si>
    <t>Investments</t>
  </si>
  <si>
    <t>Blackstone Group</t>
  </si>
  <si>
    <t>Schwarzman</t>
  </si>
  <si>
    <t>Stephen</t>
  </si>
  <si>
    <t>Susanne Klatten</t>
  </si>
  <si>
    <t>Bad Homburg</t>
  </si>
  <si>
    <t>BMW, pharmaceuticals</t>
  </si>
  <si>
    <t>Klatten</t>
  </si>
  <si>
    <t>Susanne</t>
  </si>
  <si>
    <t>Metals &amp; Mining</t>
  </si>
  <si>
    <t>Gina Rinehart</t>
  </si>
  <si>
    <t>Australia</t>
  </si>
  <si>
    <t>Perth</t>
  </si>
  <si>
    <t>Mining</t>
  </si>
  <si>
    <t>Hancock Prospecting</t>
  </si>
  <si>
    <t>Rinehart</t>
  </si>
  <si>
    <t>Gina</t>
  </si>
  <si>
    <t>Executive Chairman</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</si>
  <si>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</si>
  <si>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</si>
  <si>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</si>
  <si>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</si>
  <si>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</si>
  <si>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</si>
  <si>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</si>
  <si>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</si>
  <si>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</si>
  <si>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</si>
  <si>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</si>
  <si>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</si>
  <si>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</si>
  <si>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</si>
  <si>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</si>
  <si>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</si>
  <si>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</si>
  <si>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</si>
  <si>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</si>
  <si>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</si>
  <si>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</si>
  <si>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</si>
  <si>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</si>
  <si>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</si>
  <si>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</si>
  <si>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</si>
  <si>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</si>
  <si>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</si>
  <si>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Russia</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</si>
  <si>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</si>
  <si>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</si>
  <si>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</si>
  <si>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</si>
  <si>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</si>
  <si>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</si>
  <si>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</si>
  <si>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</si>
  <si>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</si>
  <si>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</si>
  <si>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</si>
  <si>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</si>
  <si>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</si>
  <si>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</si>
  <si>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</si>
  <si>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</si>
  <si>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</si>
  <si>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</si>
  <si>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</si>
  <si>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</si>
  <si>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</si>
  <si>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</si>
  <si>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</si>
  <si>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</si>
  <si>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</si>
  <si>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</si>
  <si>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</si>
  <si>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</si>
  <si>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</si>
  <si>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</si>
  <si>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</si>
  <si>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</si>
  <si>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</si>
  <si>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</si>
  <si>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</si>
  <si>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</si>
  <si>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</si>
  <si>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</si>
  <si>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Healthcare</t>
  </si>
  <si>
    <t>Cyrus Poonawalla</t>
  </si>
  <si>
    <t>Pune</t>
  </si>
  <si>
    <t>Vaccines</t>
  </si>
  <si>
    <t>Poonawalla</t>
  </si>
  <si>
    <t>Cyrus</t>
  </si>
  <si>
    <t>Masayoshi Son</t>
  </si>
  <si>
    <t>Internet, telecom</t>
  </si>
  <si>
    <t>SoftBank Group Corp.</t>
  </si>
  <si>
    <t>Son</t>
  </si>
  <si>
    <t>Masayoshi</t>
  </si>
  <si>
    <t>Vladimir Lisin</t>
  </si>
  <si>
    <t>Steel, transport</t>
  </si>
  <si>
    <t>Lisin</t>
  </si>
  <si>
    <t>Emmanuel Besnier</t>
  </si>
  <si>
    <t>Laval</t>
  </si>
  <si>
    <t>Cheese</t>
  </si>
  <si>
    <t>Besnier</t>
  </si>
  <si>
    <t>Emmanuel</t>
  </si>
  <si>
    <t>Abigail Johnson</t>
  </si>
  <si>
    <t>Milton</t>
  </si>
  <si>
    <t>Fidelity</t>
  </si>
  <si>
    <t>Fidelity Investments</t>
  </si>
  <si>
    <t>Johnson</t>
  </si>
  <si>
    <t>Abigail</t>
  </si>
  <si>
    <t>Massachusetts</t>
  </si>
  <si>
    <t>Leonid Mikhelson &amp; family</t>
  </si>
  <si>
    <t>Gas, chemicals</t>
  </si>
  <si>
    <t>Mikhelson</t>
  </si>
  <si>
    <t>Leonid</t>
  </si>
  <si>
    <t>Lukas Walton</t>
  </si>
  <si>
    <t>Chicago</t>
  </si>
  <si>
    <t>Lukas</t>
  </si>
  <si>
    <t>Illinois</t>
  </si>
  <si>
    <t>Service</t>
  </si>
  <si>
    <t>Wang Wei</t>
  </si>
  <si>
    <t>Package delivery</t>
  </si>
  <si>
    <t>Wang</t>
  </si>
  <si>
    <t>Wei</t>
  </si>
  <si>
    <t>Jensen Huang</t>
  </si>
  <si>
    <t>Semiconductors</t>
  </si>
  <si>
    <t>Nvidia</t>
  </si>
  <si>
    <t>Jensen</t>
  </si>
  <si>
    <t>CEO &amp; President</t>
  </si>
  <si>
    <t>Leonard Lauder</t>
  </si>
  <si>
    <t>Estee Lauder</t>
  </si>
  <si>
    <t>The Estée Lauder Companies</t>
  </si>
  <si>
    <t>Lauder</t>
  </si>
  <si>
    <t>Leonard</t>
  </si>
  <si>
    <t>Chairman Emeritus</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</si>
  <si>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</si>
  <si>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</si>
  <si>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</si>
  <si>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</si>
  <si>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</si>
  <si>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</si>
  <si>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</si>
  <si>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</si>
  <si>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</si>
  <si>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</si>
  <si>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</si>
  <si>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</si>
  <si>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</si>
  <si>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</si>
  <si>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</si>
  <si>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</si>
  <si>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</si>
  <si>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Tennessee</t>
  </si>
  <si>
    <t>Andrew Forrest</t>
  </si>
  <si>
    <t>Forrest</t>
  </si>
  <si>
    <t>Andrew</t>
  </si>
  <si>
    <t>Ray Dalio</t>
  </si>
  <si>
    <t>Greenwich</t>
  </si>
  <si>
    <t>Bridgewater Associates</t>
  </si>
  <si>
    <t>Dalio</t>
  </si>
  <si>
    <t>Ray</t>
  </si>
  <si>
    <t>Founder &amp; Co-Chief Investment Officer</t>
  </si>
  <si>
    <t>Connecticut</t>
  </si>
  <si>
    <t>Eric Li</t>
  </si>
  <si>
    <t>Automobiles</t>
  </si>
  <si>
    <t>Eric</t>
  </si>
  <si>
    <t>Wang Wenyin</t>
  </si>
  <si>
    <t>Mining, copper products</t>
  </si>
  <si>
    <t>Wenyin</t>
  </si>
  <si>
    <t>Eyal Ofer</t>
  </si>
  <si>
    <t>Monaco</t>
  </si>
  <si>
    <t>Monte Carlo</t>
  </si>
  <si>
    <t>Real estate, shipping</t>
  </si>
  <si>
    <t>Israel</t>
  </si>
  <si>
    <t>Ofer</t>
  </si>
  <si>
    <t>Eyal</t>
  </si>
  <si>
    <t>Qin Yinglin</t>
  </si>
  <si>
    <t>Nanyang</t>
  </si>
  <si>
    <t>Pig breeding</t>
  </si>
  <si>
    <t>Qin</t>
  </si>
  <si>
    <t>Yinglin</t>
  </si>
  <si>
    <t>Wang Chuanfu</t>
  </si>
  <si>
    <t>Batteries, automobiles</t>
  </si>
  <si>
    <t>Chuanfu</t>
  </si>
  <si>
    <t>Harold Hamm &amp; family</t>
  </si>
  <si>
    <t>Oklahoma City</t>
  </si>
  <si>
    <t>Oil &amp; gas</t>
  </si>
  <si>
    <t xml:space="preserve">Continental Resources Inc. </t>
  </si>
  <si>
    <t>Hamm</t>
  </si>
  <si>
    <t>Harold</t>
  </si>
  <si>
    <t>Oklahoma</t>
  </si>
  <si>
    <t>David Tepper</t>
  </si>
  <si>
    <t>Appaloosa Management</t>
  </si>
  <si>
    <t>Tepper</t>
  </si>
  <si>
    <t>President and Founder</t>
  </si>
  <si>
    <t>Gennady Timchenko</t>
  </si>
  <si>
    <t>Oil, gas</t>
  </si>
  <si>
    <t>Timchenko</t>
  </si>
  <si>
    <t>Gennady</t>
  </si>
  <si>
    <t>Daniel Gilbert</t>
  </si>
  <si>
    <t>Franklin</t>
  </si>
  <si>
    <t>Quicken Loans</t>
  </si>
  <si>
    <t>Gilbert</t>
  </si>
  <si>
    <t>Daniel</t>
  </si>
  <si>
    <t>Michigan</t>
  </si>
  <si>
    <t>Lakshmi Mittal</t>
  </si>
  <si>
    <t>Steel</t>
  </si>
  <si>
    <t>ArcelorMittal (ADR)</t>
  </si>
  <si>
    <t>Mittal</t>
  </si>
  <si>
    <t>Lakshmi</t>
  </si>
  <si>
    <t>Steve Cohen</t>
  </si>
  <si>
    <t>Point72 Asset Management</t>
  </si>
  <si>
    <t>Cohen</t>
  </si>
  <si>
    <t>Carl Icahn</t>
  </si>
  <si>
    <t>Indian Creek</t>
  </si>
  <si>
    <t>Icahn Capital Management</t>
  </si>
  <si>
    <t>Icahn</t>
  </si>
  <si>
    <t>Carl</t>
  </si>
  <si>
    <t>Savitri Jindal &amp; family</t>
  </si>
  <si>
    <t>Hisar</t>
  </si>
  <si>
    <t>Jindal</t>
  </si>
  <si>
    <t>Savitri</t>
  </si>
  <si>
    <t>Donald Bren</t>
  </si>
  <si>
    <t>Newport Beach</t>
  </si>
  <si>
    <t>Irvine Company</t>
  </si>
  <si>
    <t>Bren</t>
  </si>
  <si>
    <t>Donald</t>
  </si>
  <si>
    <t>John Menard, Jr.</t>
  </si>
  <si>
    <t>Eau Claire</t>
  </si>
  <si>
    <t>Home improvement stores</t>
  </si>
  <si>
    <t>Menard, Inc.</t>
  </si>
  <si>
    <t>Menard</t>
  </si>
  <si>
    <t>Wisconsin</t>
  </si>
  <si>
    <t>Rupert Murdoch &amp; family</t>
  </si>
  <si>
    <t>Newspapers, TV network</t>
  </si>
  <si>
    <t>News Corp Class A</t>
  </si>
  <si>
    <t>Murdoch</t>
  </si>
  <si>
    <t>Rupert</t>
  </si>
  <si>
    <t>Vicky Safra &amp; family</t>
  </si>
  <si>
    <t>Crans-Montana</t>
  </si>
  <si>
    <t>Banking</t>
  </si>
  <si>
    <t>Brazil</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</si>
  <si>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</si>
  <si>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</si>
  <si>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</si>
  <si>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</si>
  <si>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</si>
  <si>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</si>
  <si>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</si>
  <si>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</si>
  <si>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</si>
  <si>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</si>
  <si>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</si>
  <si>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</si>
  <si>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</si>
  <si>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</si>
  <si>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</si>
  <si>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Singapore</t>
  </si>
  <si>
    <t>Xiting</t>
  </si>
  <si>
    <t>Stefan Persson</t>
  </si>
  <si>
    <t>Sweden</t>
  </si>
  <si>
    <t>Stockholm</t>
  </si>
  <si>
    <t>H&amp;M</t>
  </si>
  <si>
    <t>Hennes &amp; Mauritz Unsponsored ADR</t>
  </si>
  <si>
    <t>Persson</t>
  </si>
  <si>
    <t>Eric Schmidt</t>
  </si>
  <si>
    <t>Atherton</t>
  </si>
  <si>
    <t>Schmidt</t>
  </si>
  <si>
    <t>Michael Platt</t>
  </si>
  <si>
    <t>BlueCrest Capital Management</t>
  </si>
  <si>
    <t>Platt</t>
  </si>
  <si>
    <t xml:space="preserve">Founder </t>
  </si>
  <si>
    <t>Pang Kang</t>
  </si>
  <si>
    <t>Soy sauce</t>
  </si>
  <si>
    <t>Pang</t>
  </si>
  <si>
    <t>Kang</t>
  </si>
  <si>
    <t>Karl Albrecht Jr. &amp; family</t>
  </si>
  <si>
    <t>Supermarkets</t>
  </si>
  <si>
    <t>Albrecht Jr.</t>
  </si>
  <si>
    <t>Karl</t>
  </si>
  <si>
    <t>Beate Heister</t>
  </si>
  <si>
    <t>Heister</t>
  </si>
  <si>
    <t>Beate</t>
  </si>
  <si>
    <t>Jorge Paulo Lemann &amp; family</t>
  </si>
  <si>
    <t>Zurich</t>
  </si>
  <si>
    <t>Beer</t>
  </si>
  <si>
    <t>Lemann</t>
  </si>
  <si>
    <t>Jorge Paulo</t>
  </si>
  <si>
    <t>Investor, Philanthropist</t>
  </si>
  <si>
    <t>Peter Woo</t>
  </si>
  <si>
    <t>Woo</t>
  </si>
  <si>
    <t>Peter</t>
  </si>
  <si>
    <t>Dilip Shanghvi</t>
  </si>
  <si>
    <t>Pharmaceuticals</t>
  </si>
  <si>
    <t>E</t>
  </si>
  <si>
    <t>Shanghvi</t>
  </si>
  <si>
    <t>Dilip</t>
  </si>
  <si>
    <t>Robert Pera</t>
  </si>
  <si>
    <t>San Jose</t>
  </si>
  <si>
    <t>Wireless networking</t>
  </si>
  <si>
    <t>Ubiquiti</t>
  </si>
  <si>
    <t>Pera</t>
  </si>
  <si>
    <t>Robert</t>
  </si>
  <si>
    <t>Chief Executive Officer</t>
  </si>
  <si>
    <t>Radhakishan Damani</t>
  </si>
  <si>
    <t>Retail, investments</t>
  </si>
  <si>
    <t>Damani</t>
  </si>
  <si>
    <t>Radhakishan</t>
  </si>
  <si>
    <t>Huang Shilin</t>
  </si>
  <si>
    <t>Shilin</t>
  </si>
  <si>
    <t>Dhanin Chearavanont</t>
  </si>
  <si>
    <t>Thailand</t>
  </si>
  <si>
    <t>Bangkok</t>
  </si>
  <si>
    <t>Chearavanont</t>
  </si>
  <si>
    <t>Dhanin</t>
  </si>
  <si>
    <t>David Green &amp; family</t>
  </si>
  <si>
    <t>Hobby Lobby</t>
  </si>
  <si>
    <t>Green</t>
  </si>
  <si>
    <t>Charoen Sirivadhanabhakdi</t>
  </si>
  <si>
    <t>Alcohol, real estate</t>
  </si>
  <si>
    <t>Sirivadhanabhakdi</t>
  </si>
  <si>
    <t>Charoen</t>
  </si>
  <si>
    <t>Charlene de Carvalho-Heineken &amp; family</t>
  </si>
  <si>
    <t>Heineken</t>
  </si>
  <si>
    <t>Netherlands</t>
  </si>
  <si>
    <t>de Carvalho-Heineken</t>
  </si>
  <si>
    <t>Charlene</t>
  </si>
  <si>
    <t>Xu Hang</t>
  </si>
  <si>
    <t>Medical devices</t>
  </si>
  <si>
    <t>Xu</t>
  </si>
  <si>
    <t>Hang</t>
  </si>
  <si>
    <t>Wei Jianjun &amp; family</t>
  </si>
  <si>
    <t>Baoding</t>
  </si>
  <si>
    <t>Jianjun</t>
  </si>
  <si>
    <t>Alisher Usmanov</t>
  </si>
  <si>
    <t>Uzbekistan</t>
  </si>
  <si>
    <t>Tashkent</t>
  </si>
  <si>
    <t>Steel, telecom, investments</t>
  </si>
  <si>
    <t>Metalloinvest</t>
  </si>
  <si>
    <t>Usmanov</t>
  </si>
  <si>
    <t>Alisher</t>
  </si>
  <si>
    <t>Goh Cheng Liang</t>
  </si>
  <si>
    <t>Paints</t>
  </si>
  <si>
    <t>Goh</t>
  </si>
  <si>
    <t>Cheng Liang</t>
  </si>
  <si>
    <t>Kumar Birla</t>
  </si>
  <si>
    <t>Commodities</t>
  </si>
  <si>
    <t>Birla</t>
  </si>
  <si>
    <t>Kumar</t>
  </si>
  <si>
    <t>Aliko Dangote</t>
  </si>
  <si>
    <t>Nigeria</t>
  </si>
  <si>
    <t>Lagos</t>
  </si>
  <si>
    <t>Cement, sugar</t>
  </si>
  <si>
    <t>Dangote Group</t>
  </si>
  <si>
    <t>Dangote</t>
  </si>
  <si>
    <t>Aliko</t>
  </si>
  <si>
    <t>Kwong Siu-hing</t>
  </si>
  <si>
    <t>Siu-hing</t>
  </si>
  <si>
    <t>Idan Ofer</t>
  </si>
  <si>
    <t>Idan</t>
  </si>
  <si>
    <t>Chen Bang</t>
  </si>
  <si>
    <t>Changsha</t>
  </si>
  <si>
    <t>Chen</t>
  </si>
  <si>
    <t>Bang</t>
  </si>
  <si>
    <t>Lui Che Woo</t>
  </si>
  <si>
    <t>Casinos/hotels</t>
  </si>
  <si>
    <t>Lui</t>
  </si>
  <si>
    <t>Che Woo</t>
  </si>
  <si>
    <t>John Fredriksen</t>
  </si>
  <si>
    <t>Cyprus</t>
  </si>
  <si>
    <t>Fredriksen</t>
  </si>
  <si>
    <t>Investor</t>
  </si>
  <si>
    <t>Construction &amp; Engineering</t>
  </si>
  <si>
    <t>Diane Hendricks</t>
  </si>
  <si>
    <t>Afton</t>
  </si>
  <si>
    <t>Building supplies</t>
  </si>
  <si>
    <t>ABC Supply</t>
  </si>
  <si>
    <t>Hendricks</t>
  </si>
  <si>
    <t>Diane</t>
  </si>
  <si>
    <t>Jan Koum</t>
  </si>
  <si>
    <t>WhatsApp</t>
  </si>
  <si>
    <t>WhatsApp Inc.</t>
  </si>
  <si>
    <t>Koum</t>
  </si>
  <si>
    <t>Jan</t>
  </si>
  <si>
    <t>CEO, cofounder</t>
  </si>
  <si>
    <t>Sports</t>
  </si>
  <si>
    <t>Jerry Jones</t>
  </si>
  <si>
    <t>Dallas</t>
  </si>
  <si>
    <t>Dallas Cowboys</t>
  </si>
  <si>
    <t>Jones</t>
  </si>
  <si>
    <t>Jerry</t>
  </si>
  <si>
    <t>President and General Manager</t>
  </si>
  <si>
    <t>George Kaiser</t>
  </si>
  <si>
    <t>Tulsa</t>
  </si>
  <si>
    <t>Oil &amp; gas, banking</t>
  </si>
  <si>
    <t>BOK Financial Corp.</t>
  </si>
  <si>
    <t>Kaiser</t>
  </si>
  <si>
    <t>George</t>
  </si>
  <si>
    <t>Joseph Lau</t>
  </si>
  <si>
    <t>Lau</t>
  </si>
  <si>
    <t>Joseph</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</si>
  <si>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</si>
  <si>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</si>
  <si>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</si>
  <si>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</si>
  <si>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</si>
  <si>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</si>
  <si>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</si>
  <si>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</si>
  <si>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</si>
  <si>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</si>
  <si>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</si>
  <si>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</si>
  <si>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</si>
  <si>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</si>
  <si>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</si>
  <si>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</si>
  <si>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</si>
  <si>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</si>
  <si>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</si>
  <si>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</si>
  <si>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</si>
  <si>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</si>
  <si>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</si>
  <si>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</si>
  <si>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</si>
  <si>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</si>
  <si>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</si>
  <si>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</si>
  <si>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</si>
  <si>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</si>
  <si>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</si>
  <si>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</si>
  <si>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</si>
  <si>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</si>
  <si>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</si>
  <si>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</si>
  <si>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</si>
  <si>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</si>
  <si>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</si>
  <si>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Emerson Collective</t>
  </si>
  <si>
    <t>Powell Jobs</t>
  </si>
  <si>
    <t>Laurene</t>
  </si>
  <si>
    <t>Robert Kuok</t>
  </si>
  <si>
    <t>Palm oil, shipping, property</t>
  </si>
  <si>
    <t>Malaysia</t>
  </si>
  <si>
    <t>Kuok</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</si>
  <si>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</si>
  <si>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</si>
  <si>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</si>
  <si>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</si>
  <si>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</si>
  <si>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</si>
  <si>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</si>
  <si>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</si>
  <si>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</si>
  <si>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</si>
  <si>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</si>
  <si>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</si>
  <si>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</si>
  <si>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</si>
  <si>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</si>
  <si>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</si>
  <si>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</si>
  <si>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</si>
  <si>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</si>
  <si>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</si>
  <si>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Kynetic</t>
  </si>
  <si>
    <t>Rubin</t>
  </si>
  <si>
    <t>Israel Englander</t>
  </si>
  <si>
    <t>Millennium Management, L.L.C.</t>
  </si>
  <si>
    <t>Englander</t>
  </si>
  <si>
    <t>Viatcheslav Kantor</t>
  </si>
  <si>
    <t>Herzliya</t>
  </si>
  <si>
    <t>Fertilizer, real estate</t>
  </si>
  <si>
    <t>Kantor</t>
  </si>
  <si>
    <t>Viatcheslav</t>
  </si>
  <si>
    <t>Anthony Pratt</t>
  </si>
  <si>
    <t>Melbourne</t>
  </si>
  <si>
    <t>Pratt</t>
  </si>
  <si>
    <t>Anthony</t>
  </si>
  <si>
    <t>Mikhail Prokhorov</t>
  </si>
  <si>
    <t>Frauenfeld</t>
  </si>
  <si>
    <t>Prokhorov</t>
  </si>
  <si>
    <t>Giorgio Armani</t>
  </si>
  <si>
    <t>Milan</t>
  </si>
  <si>
    <t>Armani</t>
  </si>
  <si>
    <t>Giorgio</t>
  </si>
  <si>
    <t>Johann Rupert &amp; family</t>
  </si>
  <si>
    <t>South Africa</t>
  </si>
  <si>
    <t>Cape Town</t>
  </si>
  <si>
    <t>Johann</t>
  </si>
  <si>
    <t>Gong Hongjia &amp; family</t>
  </si>
  <si>
    <t>Video surveillance</t>
  </si>
  <si>
    <t>Gong</t>
  </si>
  <si>
    <t>Hongjia</t>
  </si>
  <si>
    <t>Zhang Zhidong</t>
  </si>
  <si>
    <t>Zhidong</t>
  </si>
  <si>
    <t>Philip Anschutz</t>
  </si>
  <si>
    <t>Denver</t>
  </si>
  <si>
    <t>Energy, sports, entertainment</t>
  </si>
  <si>
    <t>Anschutz</t>
  </si>
  <si>
    <t>Philip</t>
  </si>
  <si>
    <t>Colorado</t>
  </si>
  <si>
    <t>Judy Love &amp; family</t>
  </si>
  <si>
    <t>Gas stations</t>
  </si>
  <si>
    <t>Love's Travel Stops and Country Stores</t>
  </si>
  <si>
    <t>Love</t>
  </si>
  <si>
    <t>Judy</t>
  </si>
  <si>
    <t>Ricardo Salinas Pliego &amp; family</t>
  </si>
  <si>
    <t>Retail, media</t>
  </si>
  <si>
    <t>Salinas Pliego</t>
  </si>
  <si>
    <t>Ricardo</t>
  </si>
  <si>
    <t>Donald Newhouse</t>
  </si>
  <si>
    <t>Newhouse</t>
  </si>
  <si>
    <t>Robert Kraft</t>
  </si>
  <si>
    <t>Brookline</t>
  </si>
  <si>
    <t>Manufacturing, New England Patriots</t>
  </si>
  <si>
    <t>The Kraft Group</t>
  </si>
  <si>
    <t>Kraft</t>
  </si>
  <si>
    <t>Chairman &amp; CEO</t>
  </si>
  <si>
    <t>Marcel Herrmann Telles</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</si>
  <si>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</si>
  <si>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</si>
  <si>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</si>
  <si>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</si>
  <si>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</si>
  <si>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</si>
  <si>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</si>
  <si>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</si>
  <si>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</si>
  <si>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</si>
  <si>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</si>
  <si>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</si>
  <si>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</si>
  <si>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</si>
  <si>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</si>
  <si>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</si>
  <si>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</si>
  <si>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</si>
  <si>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</si>
  <si>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</si>
  <si>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</si>
  <si>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</si>
  <si>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</si>
  <si>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Indiana</t>
  </si>
  <si>
    <t>David Duffield</t>
  </si>
  <si>
    <t>Incline Village</t>
  </si>
  <si>
    <t>Business software</t>
  </si>
  <si>
    <t>Workday</t>
  </si>
  <si>
    <t>Duffield</t>
  </si>
  <si>
    <t>Chairman and Cofounder</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</si>
  <si>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</si>
  <si>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</si>
  <si>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</si>
  <si>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</si>
  <si>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</si>
  <si>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</si>
  <si>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</si>
  <si>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</si>
  <si>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</si>
  <si>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</si>
  <si>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</si>
  <si>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</si>
  <si>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</si>
  <si>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</si>
  <si>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</si>
  <si>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</si>
  <si>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</si>
  <si>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</si>
  <si>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</si>
  <si>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</si>
  <si>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Kuala Lumpur</t>
  </si>
  <si>
    <t>Banking, property</t>
  </si>
  <si>
    <t>Quek</t>
  </si>
  <si>
    <t>Leng Chan</t>
  </si>
  <si>
    <t>Wu Yajun</t>
  </si>
  <si>
    <t>Wu</t>
  </si>
  <si>
    <t>Yajun</t>
  </si>
  <si>
    <t>Autry Stephens</t>
  </si>
  <si>
    <t>Midland</t>
  </si>
  <si>
    <t>Stephens</t>
  </si>
  <si>
    <t>Autry</t>
  </si>
  <si>
    <t>Liu Yongxing</t>
  </si>
  <si>
    <t>East Hope Group</t>
  </si>
  <si>
    <t>Yongxing</t>
  </si>
  <si>
    <t>Vinod Adani</t>
  </si>
  <si>
    <t>Vinod</t>
  </si>
  <si>
    <t>Nicolas Puech</t>
  </si>
  <si>
    <t>Martigny</t>
  </si>
  <si>
    <t>Hermes</t>
  </si>
  <si>
    <t>Puech</t>
  </si>
  <si>
    <t>Nicolas</t>
  </si>
  <si>
    <t>Jacques Saadé, Jr.</t>
  </si>
  <si>
    <t>Marseille</t>
  </si>
  <si>
    <t>Saadé</t>
  </si>
  <si>
    <t>Jacques</t>
  </si>
  <si>
    <t>Rodolphe Saadé</t>
  </si>
  <si>
    <t>CMA CGM</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</si>
  <si>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</si>
  <si>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</si>
  <si>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</si>
  <si>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</si>
  <si>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</si>
  <si>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</si>
  <si>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</si>
  <si>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</si>
  <si>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</si>
  <si>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</si>
  <si>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</si>
  <si>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</si>
  <si>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</si>
  <si>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</si>
  <si>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</si>
  <si>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MBK Partners</t>
  </si>
  <si>
    <t>Kim</t>
  </si>
  <si>
    <t>Lei Jun</t>
  </si>
  <si>
    <t>Smartphones</t>
  </si>
  <si>
    <t>Xiaomi</t>
  </si>
  <si>
    <t>Lei</t>
  </si>
  <si>
    <t>Jun</t>
  </si>
  <si>
    <t>Founder and CEO</t>
  </si>
  <si>
    <t>Friedhelm Loh</t>
  </si>
  <si>
    <t>Haiger</t>
  </si>
  <si>
    <t>Loh</t>
  </si>
  <si>
    <t>Friedhelm</t>
  </si>
  <si>
    <t>Sun Piaoyang</t>
  </si>
  <si>
    <t>Lianyungang</t>
  </si>
  <si>
    <t>Sun</t>
  </si>
  <si>
    <t>Piaoyang</t>
  </si>
  <si>
    <t>Rick Cohen &amp; family</t>
  </si>
  <si>
    <t>Keene</t>
  </si>
  <si>
    <t>Warehouse automation</t>
  </si>
  <si>
    <t>C&amp;S Wholesale Grocers</t>
  </si>
  <si>
    <t>Rick</t>
  </si>
  <si>
    <t>Entrepreneur</t>
  </si>
  <si>
    <t>New Hampshire</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</si>
  <si>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</si>
  <si>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</si>
  <si>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</si>
  <si>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</si>
  <si>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</si>
  <si>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</si>
  <si>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</si>
  <si>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</si>
  <si>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</si>
  <si>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</si>
  <si>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</si>
  <si>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</si>
  <si>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</si>
  <si>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</si>
  <si>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</si>
  <si>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</si>
  <si>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</si>
  <si>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</si>
  <si>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</si>
  <si>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</si>
  <si>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</si>
  <si>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</si>
  <si>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</si>
  <si>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</si>
  <si>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</si>
  <si>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Jim Pattison Group</t>
  </si>
  <si>
    <t>Pattison</t>
  </si>
  <si>
    <t>Founder, Chairman and CEO</t>
  </si>
  <si>
    <t>Ernesto Bertarelli</t>
  </si>
  <si>
    <t>Gstaad</t>
  </si>
  <si>
    <t>Biotech, investments</t>
  </si>
  <si>
    <t>Bertarelli</t>
  </si>
  <si>
    <t>Ernesto</t>
  </si>
  <si>
    <t>Wang Xing</t>
  </si>
  <si>
    <t>Food delivery</t>
  </si>
  <si>
    <t>Xing</t>
  </si>
  <si>
    <t>Brian Chesky</t>
  </si>
  <si>
    <t>San Francisco</t>
  </si>
  <si>
    <t>Airbnb</t>
  </si>
  <si>
    <t>Airbnb, Inc.</t>
  </si>
  <si>
    <t>Chesky</t>
  </si>
  <si>
    <t>Brian</t>
  </si>
  <si>
    <t>CEO and Cofounder</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</si>
  <si>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</si>
  <si>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</si>
  <si>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</si>
  <si>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</si>
  <si>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</si>
  <si>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</si>
  <si>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</si>
  <si>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</si>
  <si>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</si>
  <si>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</si>
  <si>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</si>
  <si>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</si>
  <si>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</si>
  <si>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</si>
  <si>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</si>
  <si>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</si>
  <si>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</si>
  <si>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</si>
  <si>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</si>
  <si>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</si>
  <si>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Wipro Ltd.</t>
  </si>
  <si>
    <t>Premji</t>
  </si>
  <si>
    <t>Azim</t>
  </si>
  <si>
    <t>Founder Chairman</t>
  </si>
  <si>
    <t>Charles Schwab</t>
  </si>
  <si>
    <t>Woodside</t>
  </si>
  <si>
    <t>Charles Schwab Corp.</t>
  </si>
  <si>
    <t>Schwab</t>
  </si>
  <si>
    <t>Eric Smidt</t>
  </si>
  <si>
    <t>Beverly Hills</t>
  </si>
  <si>
    <t>Hardware stores</t>
  </si>
  <si>
    <t>Smidt</t>
  </si>
  <si>
    <t>David Cheriton</t>
  </si>
  <si>
    <t>Stanford University</t>
  </si>
  <si>
    <t>Cheriton</t>
  </si>
  <si>
    <t>Professor</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</si>
  <si>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</si>
  <si>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</si>
  <si>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</si>
  <si>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</si>
  <si>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</si>
  <si>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</si>
  <si>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</si>
  <si>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</si>
  <si>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</si>
  <si>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</si>
  <si>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</si>
  <si>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</si>
  <si>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</si>
  <si>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</si>
  <si>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</si>
  <si>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</si>
  <si>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</si>
  <si>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</si>
  <si>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</si>
  <si>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</si>
  <si>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</si>
  <si>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</si>
  <si>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</si>
  <si>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</si>
  <si>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</si>
  <si>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</si>
  <si>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</si>
  <si>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</si>
  <si>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</si>
  <si>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</si>
  <si>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</si>
  <si>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</si>
  <si>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Kleiner Perkins</t>
  </si>
  <si>
    <t>Doerr</t>
  </si>
  <si>
    <t>Richard Liu</t>
  </si>
  <si>
    <t>Richard</t>
  </si>
  <si>
    <t>Dustin Moskovitz</t>
  </si>
  <si>
    <t>Asana</t>
  </si>
  <si>
    <t>Moskovitz</t>
  </si>
  <si>
    <t>Dustin</t>
  </si>
  <si>
    <t>Pierre Omidyar</t>
  </si>
  <si>
    <t>Honolulu</t>
  </si>
  <si>
    <t>EBay, PayPal</t>
  </si>
  <si>
    <t>eBay</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</si>
  <si>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</si>
  <si>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</si>
  <si>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</si>
  <si>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</si>
  <si>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</si>
  <si>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</si>
  <si>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</si>
  <si>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</si>
  <si>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</si>
  <si>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</si>
  <si>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</si>
  <si>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</si>
  <si>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</si>
  <si>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</si>
  <si>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</si>
  <si>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</si>
  <si>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</si>
  <si>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</si>
  <si>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</si>
  <si>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</si>
  <si>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</si>
  <si>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</si>
  <si>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</si>
  <si>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</si>
  <si>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</si>
  <si>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</si>
  <si>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</si>
  <si>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</si>
  <si>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</si>
  <si>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</si>
  <si>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</si>
  <si>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</si>
  <si>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</si>
  <si>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</si>
  <si>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</si>
  <si>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</si>
  <si>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</si>
  <si>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</si>
  <si>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</si>
  <si>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Arista Networks</t>
  </si>
  <si>
    <t>von Bechtolsheim</t>
  </si>
  <si>
    <t>Cofounder, Chief Development Officer and Chairman</t>
  </si>
  <si>
    <t>Chase Coleman, III.</t>
  </si>
  <si>
    <t>Tiger Global Management</t>
  </si>
  <si>
    <t>Coleman</t>
  </si>
  <si>
    <t>Chase</t>
  </si>
  <si>
    <t>Ann Walton Kroenke</t>
  </si>
  <si>
    <t>Ann Walton</t>
  </si>
  <si>
    <t>Li Zhenguo &amp; family</t>
  </si>
  <si>
    <t>Xi'an</t>
  </si>
  <si>
    <t>Solar wafers and modules</t>
  </si>
  <si>
    <t>Zhenguo</t>
  </si>
  <si>
    <t>Jim Kennedy</t>
  </si>
  <si>
    <t>Atlanta</t>
  </si>
  <si>
    <t>Media, automotive</t>
  </si>
  <si>
    <t>Cox Enterprises</t>
  </si>
  <si>
    <t>Kennedy</t>
  </si>
  <si>
    <t>Georgia</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</si>
  <si>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</si>
  <si>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</si>
  <si>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</si>
  <si>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</si>
  <si>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</si>
  <si>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</si>
  <si>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</si>
  <si>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</si>
  <si>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</si>
  <si>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</si>
  <si>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</si>
  <si>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</si>
  <si>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</si>
  <si>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</si>
  <si>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</si>
  <si>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</si>
  <si>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</si>
  <si>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</si>
  <si>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Missouri</t>
  </si>
  <si>
    <t>Stefano Pessina</t>
  </si>
  <si>
    <t>Drugstores</t>
  </si>
  <si>
    <t>Pessina</t>
  </si>
  <si>
    <t>Stefano</t>
  </si>
  <si>
    <t>Francine von Finck &amp; family</t>
  </si>
  <si>
    <t>Thurgau</t>
  </si>
  <si>
    <t>von Finck</t>
  </si>
  <si>
    <t>Francine</t>
  </si>
  <si>
    <t>Francis Choi</t>
  </si>
  <si>
    <t>Choi</t>
  </si>
  <si>
    <t>Francis</t>
  </si>
  <si>
    <t>German Khan</t>
  </si>
  <si>
    <t>German</t>
  </si>
  <si>
    <t>Abdulsamad Rabiu</t>
  </si>
  <si>
    <t>Rabiu</t>
  </si>
  <si>
    <t>Abdulsamad</t>
  </si>
  <si>
    <t>George Roberts</t>
  </si>
  <si>
    <t>Roberts</t>
  </si>
  <si>
    <t>Kushal Pal Singh</t>
  </si>
  <si>
    <t>Singh</t>
  </si>
  <si>
    <t>Kushal Pal</t>
  </si>
  <si>
    <t>Wang Jianlin</t>
  </si>
  <si>
    <t>Dalian Wanda Group</t>
  </si>
  <si>
    <t>Jianlin</t>
  </si>
  <si>
    <t>Yang Huiyan &amp; family</t>
  </si>
  <si>
    <t>Yang</t>
  </si>
  <si>
    <t>Huiyan</t>
  </si>
  <si>
    <t>Laurent Dassault</t>
  </si>
  <si>
    <t>Dassault</t>
  </si>
  <si>
    <t>Laurent</t>
  </si>
  <si>
    <t>Thierry Dassault</t>
  </si>
  <si>
    <t>Thierry</t>
  </si>
  <si>
    <t>Tilman Fertitta</t>
  </si>
  <si>
    <t>Houston Rockets, entertainment</t>
  </si>
  <si>
    <t>Landry's Inc</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</si>
  <si>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</si>
  <si>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</si>
  <si>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</si>
  <si>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</si>
  <si>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</si>
  <si>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</si>
  <si>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</si>
  <si>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</si>
  <si>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</si>
  <si>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</si>
  <si>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</si>
  <si>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</si>
  <si>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</si>
  <si>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</si>
  <si>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</si>
  <si>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</si>
  <si>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</si>
  <si>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</si>
  <si>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Co-founder, ex chairman of the board</t>
  </si>
  <si>
    <t>Patrick Ryan</t>
  </si>
  <si>
    <t>Winnetka</t>
  </si>
  <si>
    <t>Insurance</t>
  </si>
  <si>
    <t>Ryan Specialty Group</t>
  </si>
  <si>
    <t>Ryan</t>
  </si>
  <si>
    <t>Patrick</t>
  </si>
  <si>
    <t>Robert F. Smith</t>
  </si>
  <si>
    <t>Smith</t>
  </si>
  <si>
    <t>Robert F.</t>
  </si>
  <si>
    <t>Pavel Tykac</t>
  </si>
  <si>
    <t>Coal mines</t>
  </si>
  <si>
    <t>Tykac</t>
  </si>
  <si>
    <t>Eric Wittouck</t>
  </si>
  <si>
    <t>Wittouck</t>
  </si>
  <si>
    <t>Orlando Bravo</t>
  </si>
  <si>
    <t>Miami Beach</t>
  </si>
  <si>
    <t>Bravo</t>
  </si>
  <si>
    <t>Orlando</t>
  </si>
  <si>
    <t>Ding Shizhong</t>
  </si>
  <si>
    <t>Quanzhou</t>
  </si>
  <si>
    <t>Sports apparel</t>
  </si>
  <si>
    <t>Shizhong</t>
  </si>
  <si>
    <t>Nancy Walton Laurie</t>
  </si>
  <si>
    <t>Henderson</t>
  </si>
  <si>
    <t>Laurie</t>
  </si>
  <si>
    <t>Nancy Walton</t>
  </si>
  <si>
    <t>Jay Y. Lee</t>
  </si>
  <si>
    <t>Samsung</t>
  </si>
  <si>
    <t>Jay Y.</t>
  </si>
  <si>
    <t>Ramzi Musallam</t>
  </si>
  <si>
    <t>Musallam</t>
  </si>
  <si>
    <t>Ramzi</t>
  </si>
  <si>
    <t>David Shaw</t>
  </si>
  <si>
    <t>D. E. Shaw &amp; Co., L.P.</t>
  </si>
  <si>
    <t>Shaw</t>
  </si>
  <si>
    <t>Andrei Skoch &amp; family</t>
  </si>
  <si>
    <t>Metals and mining</t>
  </si>
  <si>
    <t>Skoch &amp; family</t>
  </si>
  <si>
    <t>Georg Stumpf</t>
  </si>
  <si>
    <t>Vienna</t>
  </si>
  <si>
    <t>Real estate, construction</t>
  </si>
  <si>
    <t>Stumpf</t>
  </si>
  <si>
    <t>Rocco Commisso</t>
  </si>
  <si>
    <t>Saddle River</t>
  </si>
  <si>
    <t>Commisso</t>
  </si>
  <si>
    <t>Rocco</t>
  </si>
  <si>
    <t>New Jersey</t>
  </si>
  <si>
    <t>Li Shuirong &amp; family</t>
  </si>
  <si>
    <t>Petrochemicals</t>
  </si>
  <si>
    <t>Shuirong</t>
  </si>
  <si>
    <t>Lin Shu-hong</t>
  </si>
  <si>
    <t>Taiwan</t>
  </si>
  <si>
    <t>Taipei</t>
  </si>
  <si>
    <t>Lin</t>
  </si>
  <si>
    <t>Shu-hong</t>
  </si>
  <si>
    <t>Qi Shi &amp; family</t>
  </si>
  <si>
    <t>Financial information</t>
  </si>
  <si>
    <t>Qi</t>
  </si>
  <si>
    <t>Shi</t>
  </si>
  <si>
    <t>Yao Liangsong</t>
  </si>
  <si>
    <t>Furniture</t>
  </si>
  <si>
    <t>Yao</t>
  </si>
  <si>
    <t>Liangsong</t>
  </si>
  <si>
    <t>Zhang Congyuan</t>
  </si>
  <si>
    <t>Taoyuan</t>
  </si>
  <si>
    <t>Shoes</t>
  </si>
  <si>
    <t>Congyuan</t>
  </si>
  <si>
    <t>Jean-Michel Besnier</t>
  </si>
  <si>
    <t>Jean-Michel</t>
  </si>
  <si>
    <t>Marie Besnier Beauvalot</t>
  </si>
  <si>
    <t>Besnier Beauvalot</t>
  </si>
  <si>
    <t>Marie</t>
  </si>
  <si>
    <t>David Geffen</t>
  </si>
  <si>
    <t>Movies, record labels</t>
  </si>
  <si>
    <t>DreamWorks Animation SKG Inc. (Cl A)</t>
  </si>
  <si>
    <t>Geffen</t>
  </si>
  <si>
    <t>Robin Li</t>
  </si>
  <si>
    <t>Internet search</t>
  </si>
  <si>
    <t>Baidu</t>
  </si>
  <si>
    <t>Liu Yonghao &amp; family</t>
  </si>
  <si>
    <t>Yonghao</t>
  </si>
  <si>
    <t>Henry Samueli</t>
  </si>
  <si>
    <t>Broadcom</t>
  </si>
  <si>
    <t>Samueli</t>
  </si>
  <si>
    <t>Henry</t>
  </si>
  <si>
    <t>Cofounder, Chief Technology Officer and Chairman</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</si>
  <si>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</si>
  <si>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</si>
  <si>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</si>
  <si>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</si>
  <si>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</si>
  <si>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</si>
  <si>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</si>
  <si>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</si>
  <si>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</si>
  <si>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</si>
  <si>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</si>
  <si>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</si>
  <si>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</si>
  <si>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</si>
  <si>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</si>
  <si>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</si>
  <si>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</si>
  <si>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</si>
  <si>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</si>
  <si>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</si>
  <si>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Cofounder &amp; Chair of Airbnb.org</t>
  </si>
  <si>
    <t>Philip Ng</t>
  </si>
  <si>
    <t>Ng</t>
  </si>
  <si>
    <t>John Reece</t>
  </si>
  <si>
    <t>Reece</t>
  </si>
  <si>
    <t>Leonard Stern</t>
  </si>
  <si>
    <t>Hartz Mountain Industries, Inc.</t>
  </si>
  <si>
    <t>Stern</t>
  </si>
  <si>
    <t>Joseph Tsai</t>
  </si>
  <si>
    <t>Tsai</t>
  </si>
  <si>
    <t>Zhong Huijuan</t>
  </si>
  <si>
    <t>Huijuan</t>
  </si>
  <si>
    <t>Arthur Blank</t>
  </si>
  <si>
    <t>Atlanta Falcons</t>
  </si>
  <si>
    <t>Blank</t>
  </si>
  <si>
    <t>Arthur</t>
  </si>
  <si>
    <t>Charles Butt</t>
  </si>
  <si>
    <t>San Antonio</t>
  </si>
  <si>
    <t>R</t>
  </si>
  <si>
    <t>Butt</t>
  </si>
  <si>
    <t>Ding Shijia</t>
  </si>
  <si>
    <t>Shijia</t>
  </si>
  <si>
    <t>Paul Tudor Jones, II.</t>
  </si>
  <si>
    <t>Tudor Investment Corporation</t>
  </si>
  <si>
    <t>Paul Tudor</t>
  </si>
  <si>
    <t>Henry Kravis</t>
  </si>
  <si>
    <t>KKR &amp; Co.</t>
  </si>
  <si>
    <t>Kravis</t>
  </si>
  <si>
    <t>Co-Chair and Co-CEO</t>
  </si>
  <si>
    <t>Zhang Yong</t>
  </si>
  <si>
    <t>Restaurants</t>
  </si>
  <si>
    <t>Yong</t>
  </si>
  <si>
    <t>James Goodnight</t>
  </si>
  <si>
    <t>Cary</t>
  </si>
  <si>
    <t>SAS Institute</t>
  </si>
  <si>
    <t>Goodnight</t>
  </si>
  <si>
    <t>North Carolina</t>
  </si>
  <si>
    <t>Sri Prakash Lohia</t>
  </si>
  <si>
    <t>Lohia</t>
  </si>
  <si>
    <t>Sri Prakash</t>
  </si>
  <si>
    <t>Ma Jianrong</t>
  </si>
  <si>
    <t>Textiles, apparel</t>
  </si>
  <si>
    <t>Jianrong</t>
  </si>
  <si>
    <t>Robert Ng</t>
  </si>
  <si>
    <t>Steven Rales</t>
  </si>
  <si>
    <t>Santa Barbara</t>
  </si>
  <si>
    <t>Manufacturing, investments</t>
  </si>
  <si>
    <t>Danaher</t>
  </si>
  <si>
    <t>Rales</t>
  </si>
  <si>
    <t>Steven</t>
  </si>
  <si>
    <t>Nassef Sawiris</t>
  </si>
  <si>
    <t>Egypt</t>
  </si>
  <si>
    <t>Cairo</t>
  </si>
  <si>
    <t>Construction, investments</t>
  </si>
  <si>
    <t>Sawiris</t>
  </si>
  <si>
    <t>Nassef</t>
  </si>
  <si>
    <t>Harry Stine</t>
  </si>
  <si>
    <t>Adel</t>
  </si>
  <si>
    <t>Agriculture</t>
  </si>
  <si>
    <t>Stine</t>
  </si>
  <si>
    <t>Iowa</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</si>
  <si>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</si>
  <si>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</si>
  <si>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</si>
  <si>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</si>
  <si>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</si>
  <si>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</si>
  <si>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</si>
  <si>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</si>
  <si>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</si>
  <si>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</si>
  <si>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</si>
  <si>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</si>
  <si>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</si>
  <si>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</si>
  <si>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</si>
  <si>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</si>
  <si>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</si>
  <si>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</si>
  <si>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</si>
  <si>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</si>
  <si>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</si>
  <si>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</si>
  <si>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</si>
  <si>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</si>
  <si>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Terry Gou</t>
  </si>
  <si>
    <t>Electronics</t>
  </si>
  <si>
    <t>Hon Hai Precision Industries</t>
  </si>
  <si>
    <t>Gou</t>
  </si>
  <si>
    <t>Terry</t>
  </si>
  <si>
    <t>Jeff Greene</t>
  </si>
  <si>
    <t>Real estate, investments</t>
  </si>
  <si>
    <t>Greene</t>
  </si>
  <si>
    <t>Don Hankey</t>
  </si>
  <si>
    <t>Malibu</t>
  </si>
  <si>
    <t>Auto loans</t>
  </si>
  <si>
    <t>Hankey Group</t>
  </si>
  <si>
    <t>Hankey</t>
  </si>
  <si>
    <t>Don</t>
  </si>
  <si>
    <t>Richard Kinder</t>
  </si>
  <si>
    <t>Pipelines</t>
  </si>
  <si>
    <t>Kinder Morgan Inc</t>
  </si>
  <si>
    <t>Kinder</t>
  </si>
  <si>
    <t>Guillaume Pousaz</t>
  </si>
  <si>
    <t>Fintech</t>
  </si>
  <si>
    <t>Pousaz</t>
  </si>
  <si>
    <t>Guillaume</t>
  </si>
  <si>
    <t>Takahisa Takahara</t>
  </si>
  <si>
    <t>Personal care goods</t>
  </si>
  <si>
    <t>Takahara</t>
  </si>
  <si>
    <t>Takahisa</t>
  </si>
  <si>
    <t>Zong Qinghou</t>
  </si>
  <si>
    <t>Beverages</t>
  </si>
  <si>
    <t>Hangzhou Wahaha Group</t>
  </si>
  <si>
    <t>Zong</t>
  </si>
  <si>
    <t>Qinghou</t>
  </si>
  <si>
    <t>Judy Faulkner</t>
  </si>
  <si>
    <t>Madison</t>
  </si>
  <si>
    <t>Healthcare software</t>
  </si>
  <si>
    <t>Epic Systems</t>
  </si>
  <si>
    <t>Faulkner</t>
  </si>
  <si>
    <t>Johann Graf</t>
  </si>
  <si>
    <t>Gambling</t>
  </si>
  <si>
    <t>Graf</t>
  </si>
  <si>
    <t>Tamara Gustavson</t>
  </si>
  <si>
    <t>Lexington</t>
  </si>
  <si>
    <t>Self storage</t>
  </si>
  <si>
    <t>Gustavson</t>
  </si>
  <si>
    <t>Tamara</t>
  </si>
  <si>
    <t>Kentucky</t>
  </si>
  <si>
    <t>Liang Wengen</t>
  </si>
  <si>
    <t>Construction equipment</t>
  </si>
  <si>
    <t>Liang</t>
  </si>
  <si>
    <t>Wengen</t>
  </si>
  <si>
    <t>Frederik Paulsen</t>
  </si>
  <si>
    <t>Lausanne</t>
  </si>
  <si>
    <t>Health care</t>
  </si>
  <si>
    <t>Paulsen</t>
  </si>
  <si>
    <t>Frederik</t>
  </si>
  <si>
    <t>Wee Cho Yaw</t>
  </si>
  <si>
    <t>Wee</t>
  </si>
  <si>
    <t>Cho Yaw</t>
  </si>
  <si>
    <t>Zhang Hejun</t>
  </si>
  <si>
    <t>Hejun</t>
  </si>
  <si>
    <t>Marc Benioff</t>
  </si>
  <si>
    <t>Salesforce.com</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</si>
  <si>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</si>
  <si>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</si>
  <si>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</si>
  <si>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</si>
  <si>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</si>
  <si>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</si>
  <si>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</si>
  <si>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</si>
  <si>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</si>
  <si>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</si>
  <si>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</si>
  <si>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</si>
  <si>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</si>
  <si>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</si>
  <si>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</si>
  <si>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</si>
  <si>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</si>
  <si>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</si>
  <si>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 xml:space="preserve">Chairman </t>
  </si>
  <si>
    <t>Law Kar Po</t>
  </si>
  <si>
    <t>Law</t>
  </si>
  <si>
    <t>Kar Po</t>
  </si>
  <si>
    <t>Rohiqa Cyrus Mistry</t>
  </si>
  <si>
    <t>Mistry</t>
  </si>
  <si>
    <t>Rohiqa Cyrus</t>
  </si>
  <si>
    <t>Shapoor Mistry</t>
  </si>
  <si>
    <t>Ireland</t>
  </si>
  <si>
    <t>Shapoor</t>
  </si>
  <si>
    <t>J. Christopher Reyes</t>
  </si>
  <si>
    <t>Hobe Sound</t>
  </si>
  <si>
    <t>Food distribution</t>
  </si>
  <si>
    <t>Reyes Holdings, LLC</t>
  </si>
  <si>
    <t>Reyes</t>
  </si>
  <si>
    <t>J. Christopher</t>
  </si>
  <si>
    <t>Co-Chairman</t>
  </si>
  <si>
    <t>Jude Reyes</t>
  </si>
  <si>
    <t>Jude</t>
  </si>
  <si>
    <t>Don Vultaggio &amp; family</t>
  </si>
  <si>
    <t>Port Washington</t>
  </si>
  <si>
    <t>Vultaggio</t>
  </si>
  <si>
    <t>Alejandro Bailleres Gual &amp; family</t>
  </si>
  <si>
    <t>Bailleres Gual</t>
  </si>
  <si>
    <t>Alejandro</t>
  </si>
  <si>
    <t>Edythe Broad &amp; family</t>
  </si>
  <si>
    <t>Homebuilding, insurance</t>
  </si>
  <si>
    <t>Broad</t>
  </si>
  <si>
    <t>Edythe</t>
  </si>
  <si>
    <t>Pauline MacMillan Keinath</t>
  </si>
  <si>
    <t>St. Louis</t>
  </si>
  <si>
    <t>Cargill</t>
  </si>
  <si>
    <t>Keinath</t>
  </si>
  <si>
    <t>Pauline MacMillan</t>
  </si>
  <si>
    <t>Philippe Laffont</t>
  </si>
  <si>
    <t>Hedge fund</t>
  </si>
  <si>
    <t>Coatue Management</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</si>
  <si>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</si>
  <si>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</si>
  <si>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</si>
  <si>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</si>
  <si>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</si>
  <si>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</si>
  <si>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</si>
  <si>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</si>
  <si>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</si>
  <si>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</si>
  <si>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</si>
  <si>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</si>
  <si>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</si>
  <si>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</si>
  <si>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</si>
  <si>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</si>
  <si>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</si>
  <si>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</si>
  <si>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</si>
  <si>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</si>
  <si>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</si>
  <si>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</si>
  <si>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</si>
  <si>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</si>
  <si>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</si>
  <si>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</si>
  <si>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</si>
  <si>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</si>
  <si>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</si>
  <si>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</si>
  <si>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</si>
  <si>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</si>
  <si>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</si>
  <si>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</si>
  <si>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</si>
  <si>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</si>
  <si>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</si>
  <si>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</si>
  <si>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DST Global</t>
  </si>
  <si>
    <t>Milner</t>
  </si>
  <si>
    <t>Yuri</t>
  </si>
  <si>
    <t>Gordon Moore</t>
  </si>
  <si>
    <t>Intel</t>
  </si>
  <si>
    <t>Intel Corp.</t>
  </si>
  <si>
    <t>Moore</t>
  </si>
  <si>
    <t>Gordon</t>
  </si>
  <si>
    <t>Cofounder and Chairman Emeritus</t>
  </si>
  <si>
    <t>John Overdeck</t>
  </si>
  <si>
    <t>Millburn</t>
  </si>
  <si>
    <t>Two Sigma</t>
  </si>
  <si>
    <t>Overdeck</t>
  </si>
  <si>
    <t>David Siegel</t>
  </si>
  <si>
    <t>Scarsdale</t>
  </si>
  <si>
    <t>Siegel</t>
  </si>
  <si>
    <t>Viktor Vekselberg</t>
  </si>
  <si>
    <t>Metals, investments</t>
  </si>
  <si>
    <t>Vekselberg</t>
  </si>
  <si>
    <t>Wang Laisheng</t>
  </si>
  <si>
    <t>Laisheng</t>
  </si>
  <si>
    <t>Randa Duncan Williams</t>
  </si>
  <si>
    <t>Enterprise GP Holdings</t>
  </si>
  <si>
    <t>Williams</t>
  </si>
  <si>
    <t>Randa Duncan</t>
  </si>
  <si>
    <t>Non-Executive Chairman of the Board</t>
  </si>
  <si>
    <t>Ken Fisher</t>
  </si>
  <si>
    <t>Money management</t>
  </si>
  <si>
    <t>Fisher</t>
  </si>
  <si>
    <t>Christopher Hohn</t>
  </si>
  <si>
    <t>The Children's Investment Fund Management</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</si>
  <si>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</si>
  <si>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</si>
  <si>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</si>
  <si>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</si>
  <si>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</si>
  <si>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</si>
  <si>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</si>
  <si>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</si>
  <si>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</si>
  <si>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</si>
  <si>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</si>
  <si>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</si>
  <si>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</si>
  <si>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</si>
  <si>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</si>
  <si>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</si>
  <si>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</si>
  <si>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</si>
  <si>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</si>
  <si>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Magdalena Martullo-Blocher</t>
  </si>
  <si>
    <t>Feldmeilen</t>
  </si>
  <si>
    <t>Martullo-Blocher</t>
  </si>
  <si>
    <t>Magdalena</t>
  </si>
  <si>
    <t>Xavier Niel</t>
  </si>
  <si>
    <t>Niel</t>
  </si>
  <si>
    <t>Xavier</t>
  </si>
  <si>
    <t>Terrence Pegula</t>
  </si>
  <si>
    <t>Boca Raton</t>
  </si>
  <si>
    <t>Natural gas</t>
  </si>
  <si>
    <t>Buffalo Sabres</t>
  </si>
  <si>
    <t>Pegula</t>
  </si>
  <si>
    <t>Terrence</t>
  </si>
  <si>
    <t>Edward Roski, Jr.</t>
  </si>
  <si>
    <t>Majestic Realty, Co.</t>
  </si>
  <si>
    <t>Roski</t>
  </si>
  <si>
    <t>President and Chairman</t>
  </si>
  <si>
    <t>John A. Sobrato &amp; family</t>
  </si>
  <si>
    <t>Sobrato Development Cos.</t>
  </si>
  <si>
    <t>Sobrato</t>
  </si>
  <si>
    <t>John A.</t>
  </si>
  <si>
    <t>George Soros</t>
  </si>
  <si>
    <t>Katonah</t>
  </si>
  <si>
    <t>Soros Fund Management LLC</t>
  </si>
  <si>
    <t>Soros</t>
  </si>
  <si>
    <t>David Sun</t>
  </si>
  <si>
    <t>Irvine</t>
  </si>
  <si>
    <t>Computer hardware</t>
  </si>
  <si>
    <t>Kingston Technology Corporation</t>
  </si>
  <si>
    <t>COO</t>
  </si>
  <si>
    <t>Agnete Kirk Thinggaard</t>
  </si>
  <si>
    <t>Thinggaard</t>
  </si>
  <si>
    <t>Agnete Kirk</t>
  </si>
  <si>
    <t>John Tu</t>
  </si>
  <si>
    <t>Rolling Hills</t>
  </si>
  <si>
    <t>Tu</t>
  </si>
  <si>
    <t>President</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</si>
  <si>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</si>
  <si>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</si>
  <si>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</si>
  <si>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</si>
  <si>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</si>
  <si>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</si>
  <si>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</si>
  <si>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</si>
  <si>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</si>
  <si>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</si>
  <si>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</si>
  <si>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</si>
  <si>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</si>
  <si>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</si>
  <si>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</si>
  <si>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</si>
  <si>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</si>
  <si>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</si>
  <si>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Caxton Associates LP</t>
  </si>
  <si>
    <t>Kovner</t>
  </si>
  <si>
    <t>Bruce</t>
  </si>
  <si>
    <t>Henry Nicholas, III.</t>
  </si>
  <si>
    <t>Newport Coast</t>
  </si>
  <si>
    <t>Nicholas</t>
  </si>
  <si>
    <t>Nadia Thiele</t>
  </si>
  <si>
    <t>Munich</t>
  </si>
  <si>
    <t>Thiele</t>
  </si>
  <si>
    <t>Nadia</t>
  </si>
  <si>
    <t>David Bonderman</t>
  </si>
  <si>
    <t>Bonderman</t>
  </si>
  <si>
    <t>Melinda French Gates</t>
  </si>
  <si>
    <t>French Gates</t>
  </si>
  <si>
    <t>Melinda</t>
  </si>
  <si>
    <t>Nathan Kirsh</t>
  </si>
  <si>
    <t>Eswatini (Swaziland)</t>
  </si>
  <si>
    <t>Ezulwini</t>
  </si>
  <si>
    <t>Kirsh</t>
  </si>
  <si>
    <t>Annette Lerner &amp; family</t>
  </si>
  <si>
    <t>Chevy Chase</t>
  </si>
  <si>
    <t>Lerner</t>
  </si>
  <si>
    <t>Annette</t>
  </si>
  <si>
    <t>Maryland</t>
  </si>
  <si>
    <t>David Reuben</t>
  </si>
  <si>
    <t>Investments, real estate</t>
  </si>
  <si>
    <t>Reuben</t>
  </si>
  <si>
    <t>Simon Reuben</t>
  </si>
  <si>
    <t>Simon</t>
  </si>
  <si>
    <t>Radovan Vitek</t>
  </si>
  <si>
    <t>Crans Montana</t>
  </si>
  <si>
    <t>Vitek</t>
  </si>
  <si>
    <t>Radovan</t>
  </si>
  <si>
    <t>Carl Bennet</t>
  </si>
  <si>
    <t>Gothenberg</t>
  </si>
  <si>
    <t>Bennet</t>
  </si>
  <si>
    <t>Stephen Bisciotti</t>
  </si>
  <si>
    <t>Staffing, Baltimore Ravens</t>
  </si>
  <si>
    <t>Baltimore Ravens</t>
  </si>
  <si>
    <t>Bisciotti</t>
  </si>
  <si>
    <t>Stanley Druckenmiller</t>
  </si>
  <si>
    <t>Duquesne Family Office</t>
  </si>
  <si>
    <t>Druckenmiller</t>
  </si>
  <si>
    <t>Jian Jun</t>
  </si>
  <si>
    <t>Biomedical products</t>
  </si>
  <si>
    <t>Jian</t>
  </si>
  <si>
    <t>Alexei Kuzmichev</t>
  </si>
  <si>
    <t>Kuzmichev</t>
  </si>
  <si>
    <t>Alexei</t>
  </si>
  <si>
    <t>Dmitry Rybolovlev &amp; family</t>
  </si>
  <si>
    <t>Fertilizer</t>
  </si>
  <si>
    <t>Rybolovlev</t>
  </si>
  <si>
    <t>Dmitry</t>
  </si>
  <si>
    <t>Luis Carlos Sarmiento</t>
  </si>
  <si>
    <t>Colombia</t>
  </si>
  <si>
    <t>Bogota</t>
  </si>
  <si>
    <t>Sarmiento</t>
  </si>
  <si>
    <t>Luis Carlos</t>
  </si>
  <si>
    <t>Dennis Washington</t>
  </si>
  <si>
    <t>Missoula</t>
  </si>
  <si>
    <t>Construction, mining</t>
  </si>
  <si>
    <t>Dennis</t>
  </si>
  <si>
    <t>Montana</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</si>
  <si>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</si>
  <si>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</si>
  <si>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</si>
  <si>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</si>
  <si>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</si>
  <si>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</si>
  <si>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</si>
  <si>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</si>
  <si>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</si>
  <si>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</si>
  <si>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</si>
  <si>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</si>
  <si>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</si>
  <si>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</si>
  <si>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</si>
  <si>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</si>
  <si>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</si>
  <si>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</si>
  <si>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</si>
  <si>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</si>
  <si>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</si>
  <si>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</si>
  <si>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</si>
  <si>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</si>
  <si>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</si>
  <si>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</si>
  <si>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</si>
  <si>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</si>
  <si>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</si>
  <si>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</si>
  <si>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</si>
  <si>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</si>
  <si>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</si>
  <si>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</si>
  <si>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</si>
  <si>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</si>
  <si>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</si>
  <si>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</si>
  <si>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</si>
  <si>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</si>
  <si>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</si>
  <si>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</si>
  <si>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</si>
  <si>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</si>
  <si>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</si>
  <si>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</si>
  <si>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</si>
  <si>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</si>
  <si>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</si>
  <si>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</si>
  <si>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</si>
  <si>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</si>
  <si>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</si>
  <si>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</si>
  <si>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</si>
  <si>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Michael Kadoorie</t>
  </si>
  <si>
    <t>Hotels, energy</t>
  </si>
  <si>
    <t>Kadoorie</t>
  </si>
  <si>
    <t>Sunil Mittal</t>
  </si>
  <si>
    <t>Sunil</t>
  </si>
  <si>
    <t>Zhou Qunfei</t>
  </si>
  <si>
    <t>Smartphone screens</t>
  </si>
  <si>
    <t>Lens Technology</t>
  </si>
  <si>
    <t>Zhou</t>
  </si>
  <si>
    <t>Qunfei</t>
  </si>
  <si>
    <t>Alexander Abramov</t>
  </si>
  <si>
    <t>Steel, mining</t>
  </si>
  <si>
    <t>Abramov</t>
  </si>
  <si>
    <t>Rene Benko</t>
  </si>
  <si>
    <t>Real estate, retail</t>
  </si>
  <si>
    <t>Benko</t>
  </si>
  <si>
    <t>Rene</t>
  </si>
  <si>
    <t>Neil Bluhm</t>
  </si>
  <si>
    <t>Bluhm</t>
  </si>
  <si>
    <t>Neil</t>
  </si>
  <si>
    <t>Alain Bouchard</t>
  </si>
  <si>
    <t>Montreal</t>
  </si>
  <si>
    <t>Convinience stores</t>
  </si>
  <si>
    <t>Alimentation Couche Tard Inc. Cl A</t>
  </si>
  <si>
    <t>Bouchard</t>
  </si>
  <si>
    <t>Jay Chaudhry</t>
  </si>
  <si>
    <t>Reno</t>
  </si>
  <si>
    <t>Security software</t>
  </si>
  <si>
    <t>Chaudhry</t>
  </si>
  <si>
    <t>Jay</t>
  </si>
  <si>
    <t>Gopikishan Damani</t>
  </si>
  <si>
    <t>Gopikishan</t>
  </si>
  <si>
    <t>Sumet Jiaravanon</t>
  </si>
  <si>
    <t>Jiaravanon</t>
  </si>
  <si>
    <t>Sumet</t>
  </si>
  <si>
    <t>Joe Lewis</t>
  </si>
  <si>
    <t>Bahamas</t>
  </si>
  <si>
    <t>Albany</t>
  </si>
  <si>
    <t>Lewis</t>
  </si>
  <si>
    <t>Frank Lowy</t>
  </si>
  <si>
    <t>Lowy</t>
  </si>
  <si>
    <t>Frank</t>
  </si>
  <si>
    <t>Michael Milken</t>
  </si>
  <si>
    <t>Milken</t>
  </si>
  <si>
    <t>David Steward</t>
  </si>
  <si>
    <t>IT provider</t>
  </si>
  <si>
    <t>Steward</t>
  </si>
  <si>
    <t>Les Wexner &amp; family</t>
  </si>
  <si>
    <t>New Albany</t>
  </si>
  <si>
    <t>Wexner</t>
  </si>
  <si>
    <t>Les</t>
  </si>
  <si>
    <t>Ohio</t>
  </si>
  <si>
    <t>Cai Kui</t>
  </si>
  <si>
    <t>Cai</t>
  </si>
  <si>
    <t>Kui</t>
  </si>
  <si>
    <t>Jaran Chiaravanont</t>
  </si>
  <si>
    <t>Chiaravanont</t>
  </si>
  <si>
    <t>Jaran</t>
  </si>
  <si>
    <t>Andreas Halvorsen</t>
  </si>
  <si>
    <t>Darien</t>
  </si>
  <si>
    <t>Viking Global Investors</t>
  </si>
  <si>
    <t>Halvorsen</t>
  </si>
  <si>
    <t>Antony Ressler</t>
  </si>
  <si>
    <t>Finance</t>
  </si>
  <si>
    <t>Ressler</t>
  </si>
  <si>
    <t>Antony</t>
  </si>
  <si>
    <t>Tsai Eng-meng</t>
  </si>
  <si>
    <t>Food, beverages</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</si>
  <si>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</si>
  <si>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</si>
  <si>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</si>
  <si>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</si>
  <si>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</si>
  <si>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</si>
  <si>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</si>
  <si>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</si>
  <si>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</si>
  <si>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</si>
  <si>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</si>
  <si>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</si>
  <si>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</si>
  <si>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</si>
  <si>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</si>
  <si>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</si>
  <si>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</si>
  <si>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</si>
  <si>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Clive Calder</t>
  </si>
  <si>
    <t>Cayman Islands</t>
  </si>
  <si>
    <t>Grand Cayman</t>
  </si>
  <si>
    <t>Record label</t>
  </si>
  <si>
    <t>Calder</t>
  </si>
  <si>
    <t>Clive</t>
  </si>
  <si>
    <t>Arthur Irving</t>
  </si>
  <si>
    <t>Saint John</t>
  </si>
  <si>
    <t>Irving</t>
  </si>
  <si>
    <t>Fredrik Lundberg</t>
  </si>
  <si>
    <t>Lundberg</t>
  </si>
  <si>
    <t>Fredrik</t>
  </si>
  <si>
    <t>Thomas Schmidheiny</t>
  </si>
  <si>
    <t>Jona</t>
  </si>
  <si>
    <t>Schmidheiny</t>
  </si>
  <si>
    <t>Helmut Sohmen</t>
  </si>
  <si>
    <t>Sohmen</t>
  </si>
  <si>
    <t>Helmut</t>
  </si>
  <si>
    <t>Daniel Ziff</t>
  </si>
  <si>
    <t>Ziff</t>
  </si>
  <si>
    <t>Dirk Ziff</t>
  </si>
  <si>
    <t>North Palm Beach</t>
  </si>
  <si>
    <t>Dirk</t>
  </si>
  <si>
    <t>Robert Ziff</t>
  </si>
  <si>
    <t>Maria Angelicoussis</t>
  </si>
  <si>
    <t>Greece</t>
  </si>
  <si>
    <t>Angelicoussis</t>
  </si>
  <si>
    <t>Maria</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</si>
  <si>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</si>
  <si>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</si>
  <si>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</si>
  <si>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</si>
  <si>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</si>
  <si>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</si>
  <si>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</si>
  <si>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</si>
  <si>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</si>
  <si>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</si>
  <si>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</si>
  <si>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</si>
  <si>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</si>
  <si>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</si>
  <si>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</si>
  <si>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</si>
  <si>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</si>
  <si>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</si>
  <si>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</si>
  <si>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</si>
  <si>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</si>
  <si>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</si>
  <si>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</si>
  <si>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</si>
  <si>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</si>
  <si>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</si>
  <si>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</si>
  <si>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</si>
  <si>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</si>
  <si>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</si>
  <si>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Celltrion Inc.</t>
  </si>
  <si>
    <t>Seo</t>
  </si>
  <si>
    <t>Jung-jin</t>
  </si>
  <si>
    <t>Wu Jianshu</t>
  </si>
  <si>
    <t>Jianshu</t>
  </si>
  <si>
    <t>Micky Arison</t>
  </si>
  <si>
    <t>Bal Harbour</t>
  </si>
  <si>
    <t>Carnival Cruises</t>
  </si>
  <si>
    <t>Carnival Corp.</t>
  </si>
  <si>
    <t>Arison</t>
  </si>
  <si>
    <t>Micky</t>
  </si>
  <si>
    <t>James Chambers</t>
  </si>
  <si>
    <t>Palisades</t>
  </si>
  <si>
    <t>Chambers</t>
  </si>
  <si>
    <t>Pierre Chen</t>
  </si>
  <si>
    <t>John Collison</t>
  </si>
  <si>
    <t>Payments software</t>
  </si>
  <si>
    <t>Stripe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</si>
  <si>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</si>
  <si>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</si>
  <si>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</si>
  <si>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</si>
  <si>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</si>
  <si>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</si>
  <si>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</si>
  <si>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</si>
  <si>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</si>
  <si>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</si>
  <si>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</si>
  <si>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</si>
  <si>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</si>
  <si>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</si>
  <si>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Gulf States Toyota</t>
  </si>
  <si>
    <t>Friedkin</t>
  </si>
  <si>
    <t>owner and ceo</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</si>
  <si>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</si>
  <si>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</si>
  <si>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</si>
  <si>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</si>
  <si>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</si>
  <si>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</si>
  <si>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</si>
  <si>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</si>
  <si>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</si>
  <si>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</si>
  <si>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</si>
  <si>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</si>
  <si>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</si>
  <si>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</si>
  <si>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</si>
  <si>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</si>
  <si>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Jean Salata</t>
  </si>
  <si>
    <t>Salata</t>
  </si>
  <si>
    <t>Jean</t>
  </si>
  <si>
    <t>Paul Singer</t>
  </si>
  <si>
    <t>Elliott Management</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</si>
  <si>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</si>
  <si>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</si>
  <si>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</si>
  <si>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</si>
  <si>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</si>
  <si>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</si>
  <si>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</si>
  <si>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</si>
  <si>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</si>
  <si>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</si>
  <si>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</si>
  <si>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</si>
  <si>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</si>
  <si>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</si>
  <si>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</si>
  <si>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</si>
  <si>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</si>
  <si>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</si>
  <si>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</si>
  <si>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</si>
  <si>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</si>
  <si>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</si>
  <si>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</si>
  <si>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</si>
  <si>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</si>
  <si>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</si>
  <si>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</si>
  <si>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</si>
  <si>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</si>
  <si>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</si>
  <si>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</si>
  <si>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</si>
  <si>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</si>
  <si>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</si>
  <si>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</si>
  <si>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</si>
  <si>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</si>
  <si>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Artemis Real Estate Partners</t>
  </si>
  <si>
    <t>Pieper</t>
  </si>
  <si>
    <t>CEO of Artemis Group</t>
  </si>
  <si>
    <t>Miuccia Prada</t>
  </si>
  <si>
    <t>Prada</t>
  </si>
  <si>
    <t>Miuccia</t>
  </si>
  <si>
    <t>CEO, Fashion Designer</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</si>
  <si>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</si>
  <si>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</si>
  <si>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</si>
  <si>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</si>
  <si>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</si>
  <si>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</si>
  <si>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</si>
  <si>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</si>
  <si>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</si>
  <si>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</si>
  <si>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</si>
  <si>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</si>
  <si>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</si>
  <si>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</si>
  <si>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</si>
  <si>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</si>
  <si>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</si>
  <si>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</si>
  <si>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</si>
  <si>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</si>
  <si>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</si>
  <si>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</si>
  <si>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</si>
  <si>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</si>
  <si>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Sequoia</t>
  </si>
  <si>
    <t>Leone</t>
  </si>
  <si>
    <t>Global Managing Partner</t>
  </si>
  <si>
    <t>Prajogo Pangestu</t>
  </si>
  <si>
    <t>Pangestu</t>
  </si>
  <si>
    <t>Prajogo</t>
  </si>
  <si>
    <t>Thomas Pritzker</t>
  </si>
  <si>
    <t>Hyatt Hotels</t>
  </si>
  <si>
    <t>Lynda Resnick</t>
  </si>
  <si>
    <t>Resnick</t>
  </si>
  <si>
    <t>Lynda</t>
  </si>
  <si>
    <t>Stewart Resnick</t>
  </si>
  <si>
    <t>Stewart</t>
  </si>
  <si>
    <t>Gary Rollins</t>
  </si>
  <si>
    <t>Pest control</t>
  </si>
  <si>
    <t>Rollins</t>
  </si>
  <si>
    <t>Gary</t>
  </si>
  <si>
    <t>Mark Walter</t>
  </si>
  <si>
    <t>Finance, asset management</t>
  </si>
  <si>
    <t>Guggenheim Partners LLC</t>
  </si>
  <si>
    <t>Walter</t>
  </si>
  <si>
    <t>Ronald Wanek</t>
  </si>
  <si>
    <t>Saint Petersburg</t>
  </si>
  <si>
    <t>Wanek</t>
  </si>
  <si>
    <t>Ronald</t>
  </si>
  <si>
    <t>Erich Wesjohann &amp; family</t>
  </si>
  <si>
    <t>Visbek</t>
  </si>
  <si>
    <t>Poultry genetics</t>
  </si>
  <si>
    <t>Wesjohann</t>
  </si>
  <si>
    <t>Erich</t>
  </si>
  <si>
    <t>M.A. Yusuff Ali</t>
  </si>
  <si>
    <t>Abu Dhabi</t>
  </si>
  <si>
    <t>Yusuff Ali</t>
  </si>
  <si>
    <t>M.A.</t>
  </si>
  <si>
    <t>Alexandre Behring</t>
  </si>
  <si>
    <t>Behring</t>
  </si>
  <si>
    <t>Alexandre</t>
  </si>
  <si>
    <t>Cheng Xue</t>
  </si>
  <si>
    <t>Cheng</t>
  </si>
  <si>
    <t>Xue</t>
  </si>
  <si>
    <t>Robert Faith</t>
  </si>
  <si>
    <t>Charleston</t>
  </si>
  <si>
    <t>Real estate management</t>
  </si>
  <si>
    <t>Faith</t>
  </si>
  <si>
    <t>South Carolina</t>
  </si>
  <si>
    <t>Gao Dekang &amp; family</t>
  </si>
  <si>
    <t>Changshu</t>
  </si>
  <si>
    <t>Dekang</t>
  </si>
  <si>
    <t>Micky Jagtiani</t>
  </si>
  <si>
    <t>Jagtiani</t>
  </si>
  <si>
    <t>Ananda Krishnan</t>
  </si>
  <si>
    <t>Telecoms, media, oil-services</t>
  </si>
  <si>
    <t>Krishnan</t>
  </si>
  <si>
    <t>Ananda</t>
  </si>
  <si>
    <t>Barry Lam</t>
  </si>
  <si>
    <t>Lam</t>
  </si>
  <si>
    <t>Barry</t>
  </si>
  <si>
    <t>Robert Rich, Jr.</t>
  </si>
  <si>
    <t>Islamorada</t>
  </si>
  <si>
    <t>Frozen foods</t>
  </si>
  <si>
    <t>Rich</t>
  </si>
  <si>
    <t>Mark Scheinberg</t>
  </si>
  <si>
    <t>Isle of Man</t>
  </si>
  <si>
    <t>Scheinberg</t>
  </si>
  <si>
    <t>Charles Simonyi</t>
  </si>
  <si>
    <t>Simonyi</t>
  </si>
  <si>
    <t>Ty Warner</t>
  </si>
  <si>
    <t>Oak Brook</t>
  </si>
  <si>
    <t>Plush toys, real estate</t>
  </si>
  <si>
    <t>Warner</t>
  </si>
  <si>
    <t>Ty</t>
  </si>
  <si>
    <t>Sam Zell</t>
  </si>
  <si>
    <t>Real estate, private equity</t>
  </si>
  <si>
    <t>Zell</t>
  </si>
  <si>
    <t>Sam</t>
  </si>
  <si>
    <t>Fang Wei</t>
  </si>
  <si>
    <t>Fang</t>
  </si>
  <si>
    <t>Rekha Jhunjhunwala</t>
  </si>
  <si>
    <t>Jhunjhunwala</t>
  </si>
  <si>
    <t>Rekha</t>
  </si>
  <si>
    <t>Charles B. Johnson</t>
  </si>
  <si>
    <t>Franklin Templeton</t>
  </si>
  <si>
    <t>Franklin Resources Inc.</t>
  </si>
  <si>
    <t>Charles B.</t>
  </si>
  <si>
    <t>Former Chairman and CEO</t>
  </si>
  <si>
    <t>Kwon Hyuk-bin</t>
  </si>
  <si>
    <t>Smilegate Holdings</t>
  </si>
  <si>
    <t>Kwon</t>
  </si>
  <si>
    <t>Hyuk-bin</t>
  </si>
  <si>
    <t>Sami Mnaymneh</t>
  </si>
  <si>
    <t>Mnaymneh</t>
  </si>
  <si>
    <t>Sami</t>
  </si>
  <si>
    <t>Kjell Inge Rokke</t>
  </si>
  <si>
    <t>Vettre</t>
  </si>
  <si>
    <t>Shipping, seafood</t>
  </si>
  <si>
    <t>Rokke</t>
  </si>
  <si>
    <t>Kjell Inge</t>
  </si>
  <si>
    <t>Tony Tamer</t>
  </si>
  <si>
    <t>Tamer</t>
  </si>
  <si>
    <t>Tony</t>
  </si>
  <si>
    <t>Tse Ping &amp; family</t>
  </si>
  <si>
    <t>Tse</t>
  </si>
  <si>
    <t>Romesh T. Wadhwani</t>
  </si>
  <si>
    <t>Symphony Technology Group</t>
  </si>
  <si>
    <t>Wadhwani</t>
  </si>
  <si>
    <t>Romesh T.</t>
  </si>
  <si>
    <t>Hansjoerg Wyss</t>
  </si>
  <si>
    <t>Wilson</t>
  </si>
  <si>
    <t>Wyss</t>
  </si>
  <si>
    <t>Hansjoerg</t>
  </si>
  <si>
    <t>Denise York &amp; family</t>
  </si>
  <si>
    <t>Youngstown</t>
  </si>
  <si>
    <t>San Francisco 49ers</t>
  </si>
  <si>
    <t>York</t>
  </si>
  <si>
    <t>Ron Baron</t>
  </si>
  <si>
    <t>Baron</t>
  </si>
  <si>
    <t>Ron</t>
  </si>
  <si>
    <t>Robert Bass</t>
  </si>
  <si>
    <t>Oil, investments</t>
  </si>
  <si>
    <t>Bass</t>
  </si>
  <si>
    <t>Dona Bertarelli</t>
  </si>
  <si>
    <t>Biotech and investments</t>
  </si>
  <si>
    <t>Dona</t>
  </si>
  <si>
    <t>Alexander Gerko</t>
  </si>
  <si>
    <t>Trading</t>
  </si>
  <si>
    <t>Gerko</t>
  </si>
  <si>
    <t>Martin Haefner</t>
  </si>
  <si>
    <t>Software, investments</t>
  </si>
  <si>
    <t>Haefner</t>
  </si>
  <si>
    <t>Martin</t>
  </si>
  <si>
    <t>Robert Hale, Jr.</t>
  </si>
  <si>
    <t>Hale</t>
  </si>
  <si>
    <t>Viktor Kharitonin</t>
  </si>
  <si>
    <t>Kharitonin</t>
  </si>
  <si>
    <t>Kim Beom-su</t>
  </si>
  <si>
    <t>Online services</t>
  </si>
  <si>
    <t>Beom-su</t>
  </si>
  <si>
    <t>Jane Lauder</t>
  </si>
  <si>
    <t>Estée Lauder</t>
  </si>
  <si>
    <t>Jane</t>
  </si>
  <si>
    <t>Michel Leclercq &amp; family</t>
  </si>
  <si>
    <t>Lille</t>
  </si>
  <si>
    <t>Sporting goods</t>
  </si>
  <si>
    <t>Leclercq</t>
  </si>
  <si>
    <t>Michel</t>
  </si>
  <si>
    <t>George Lucas</t>
  </si>
  <si>
    <t>San Anselmo</t>
  </si>
  <si>
    <t>Star Wars</t>
  </si>
  <si>
    <t>Lucas</t>
  </si>
  <si>
    <t>Janice McNair</t>
  </si>
  <si>
    <t>Energy, sports</t>
  </si>
  <si>
    <t>McNair</t>
  </si>
  <si>
    <t>Janice</t>
  </si>
  <si>
    <t>Ugur Sahin</t>
  </si>
  <si>
    <t>Mainz</t>
  </si>
  <si>
    <t>Biotechnology</t>
  </si>
  <si>
    <t>Sahin</t>
  </si>
  <si>
    <t>Ugur</t>
  </si>
  <si>
    <t>Alexandra Schoerghuber &amp; family</t>
  </si>
  <si>
    <t>Schoerghuber</t>
  </si>
  <si>
    <t>Alexandra</t>
  </si>
  <si>
    <t>Thomas Straumann</t>
  </si>
  <si>
    <t>Basel</t>
  </si>
  <si>
    <t>Dental implants</t>
  </si>
  <si>
    <t>Straumann</t>
  </si>
  <si>
    <t>Murat Ulker</t>
  </si>
  <si>
    <t>Food</t>
  </si>
  <si>
    <t>Ulker</t>
  </si>
  <si>
    <t>Murat</t>
  </si>
  <si>
    <t>Chip Wilson</t>
  </si>
  <si>
    <t>Lululemon</t>
  </si>
  <si>
    <t>Chip</t>
  </si>
  <si>
    <t>Zhu Yan &amp; family</t>
  </si>
  <si>
    <t>Zhu</t>
  </si>
  <si>
    <t>Jim Davis &amp; family</t>
  </si>
  <si>
    <t>Newton</t>
  </si>
  <si>
    <t>New Balance</t>
  </si>
  <si>
    <t>Davis</t>
  </si>
  <si>
    <t>Murali Divi &amp; family</t>
  </si>
  <si>
    <t>Hyderabad</t>
  </si>
  <si>
    <t>Divi</t>
  </si>
  <si>
    <t>Murali</t>
  </si>
  <si>
    <t>Dagmar Dolby &amp; family</t>
  </si>
  <si>
    <t>Dolby Laboratories</t>
  </si>
  <si>
    <t>Dolby</t>
  </si>
  <si>
    <t>Dagmar</t>
  </si>
  <si>
    <t>Marcos Galperin</t>
  </si>
  <si>
    <t>Argentina</t>
  </si>
  <si>
    <t>Buenos Aires</t>
  </si>
  <si>
    <t>Galperin</t>
  </si>
  <si>
    <t>Marcos</t>
  </si>
  <si>
    <t>Tom Golisano</t>
  </si>
  <si>
    <t>Payroll services</t>
  </si>
  <si>
    <t>Golisano</t>
  </si>
  <si>
    <t>Jonathan Gray</t>
  </si>
  <si>
    <t>Gray</t>
  </si>
  <si>
    <t>Jonathan</t>
  </si>
  <si>
    <t>Bidzina Ivanishvili</t>
  </si>
  <si>
    <t>Tbilisi</t>
  </si>
  <si>
    <t>Ivanishvili</t>
  </si>
  <si>
    <t>Bidzina</t>
  </si>
  <si>
    <t>Lim Hariyanto Wijaya Sarwono</t>
  </si>
  <si>
    <t>Palm oil, nickel mining</t>
  </si>
  <si>
    <t>Lim</t>
  </si>
  <si>
    <t>Hariyanto Wijaya Sarwono</t>
  </si>
  <si>
    <t>Rudolf Maag</t>
  </si>
  <si>
    <t>Binningen</t>
  </si>
  <si>
    <t>Maag</t>
  </si>
  <si>
    <t>Rudolf</t>
  </si>
  <si>
    <t>Emanuele (Lino) Saputo &amp; family</t>
  </si>
  <si>
    <t>Saputo</t>
  </si>
  <si>
    <t>Emanuele (Lino)</t>
  </si>
  <si>
    <t>Mark Shoen</t>
  </si>
  <si>
    <t>Phoenix</t>
  </si>
  <si>
    <t>U-Haul</t>
  </si>
  <si>
    <t>Shoen</t>
  </si>
  <si>
    <t>Arizona</t>
  </si>
  <si>
    <t>Dan Snyder</t>
  </si>
  <si>
    <t>Washington Commanders</t>
  </si>
  <si>
    <t>Snyder</t>
  </si>
  <si>
    <t>Chairul Tanjung</t>
  </si>
  <si>
    <t>Tanjung</t>
  </si>
  <si>
    <t>Chairul</t>
  </si>
  <si>
    <t>Kelcy Warren</t>
  </si>
  <si>
    <t>Kelcy</t>
  </si>
  <si>
    <t>Zhang Tao</t>
  </si>
  <si>
    <t>Tao</t>
  </si>
  <si>
    <t>Michael Ashley</t>
  </si>
  <si>
    <t>Hertfordshire</t>
  </si>
  <si>
    <t>Sports retailing</t>
  </si>
  <si>
    <t>Ashley</t>
  </si>
  <si>
    <t>Tomasz Biernacki</t>
  </si>
  <si>
    <t>Krotoszyn,</t>
  </si>
  <si>
    <t>Biernacki</t>
  </si>
  <si>
    <t>Tomasz</t>
  </si>
  <si>
    <t>Bernard Broermann</t>
  </si>
  <si>
    <t>Koenigstein</t>
  </si>
  <si>
    <t>Broermann</t>
  </si>
  <si>
    <t>Jimmy Haslam</t>
  </si>
  <si>
    <t>Knoxville</t>
  </si>
  <si>
    <t>Gas stations, retail</t>
  </si>
  <si>
    <t>Pilot Flying J</t>
  </si>
  <si>
    <t>Haslam</t>
  </si>
  <si>
    <t>Jimmy</t>
  </si>
  <si>
    <t>H. Fisk Johnson</t>
  </si>
  <si>
    <t>Racine</t>
  </si>
  <si>
    <t>Cleaning products</t>
  </si>
  <si>
    <t>H. Fisk</t>
  </si>
  <si>
    <t>S. Curtis Johnson</t>
  </si>
  <si>
    <t>S. Curtis</t>
  </si>
  <si>
    <t>Helen Johnson-Leipold</t>
  </si>
  <si>
    <t>Johnson-Leipold</t>
  </si>
  <si>
    <t>Helen</t>
  </si>
  <si>
    <t>Vinod Khosla</t>
  </si>
  <si>
    <t>Portola Valley</t>
  </si>
  <si>
    <t>Khosla Ventures</t>
  </si>
  <si>
    <t>Khosla</t>
  </si>
  <si>
    <t>Thai Lee</t>
  </si>
  <si>
    <t>Thai</t>
  </si>
  <si>
    <t>Winifred J. Marquart</t>
  </si>
  <si>
    <t>Virginia Beach</t>
  </si>
  <si>
    <t>Marquart</t>
  </si>
  <si>
    <t>Winifred J.</t>
  </si>
  <si>
    <t>Pankaj Patel</t>
  </si>
  <si>
    <t>Patel</t>
  </si>
  <si>
    <t>Pankaj</t>
  </si>
  <si>
    <t>Horst Julius Pudwill</t>
  </si>
  <si>
    <t>Pudwill</t>
  </si>
  <si>
    <t>Horst Julius</t>
  </si>
  <si>
    <t>Yu Yong</t>
  </si>
  <si>
    <t>Yu</t>
  </si>
  <si>
    <t>Maria Fernanda Amorim &amp; family</t>
  </si>
  <si>
    <t>Portugal</t>
  </si>
  <si>
    <t>Grijo</t>
  </si>
  <si>
    <t>Amorim</t>
  </si>
  <si>
    <t>Maria Fernanda</t>
  </si>
  <si>
    <t>Gayle Benson</t>
  </si>
  <si>
    <t>New Orleans</t>
  </si>
  <si>
    <t>New Orleans Saints</t>
  </si>
  <si>
    <t>Benson</t>
  </si>
  <si>
    <t>Gayle</t>
  </si>
  <si>
    <t>Louisiana</t>
  </si>
  <si>
    <t>Jason Chang</t>
  </si>
  <si>
    <t>Chang</t>
  </si>
  <si>
    <t>Jason</t>
  </si>
  <si>
    <t>Ali Erdemoglu</t>
  </si>
  <si>
    <t>Ali</t>
  </si>
  <si>
    <t>Andre Esteves</t>
  </si>
  <si>
    <t>Sao paulo</t>
  </si>
  <si>
    <t>Esteves</t>
  </si>
  <si>
    <t>Andre</t>
  </si>
  <si>
    <t>Carlo Fidani</t>
  </si>
  <si>
    <t>Orlando Corporation</t>
  </si>
  <si>
    <t>Fidani</t>
  </si>
  <si>
    <t>Carlo</t>
  </si>
  <si>
    <t>Hong Ra-hee</t>
  </si>
  <si>
    <t>Hong</t>
  </si>
  <si>
    <t>Ra-hee</t>
  </si>
  <si>
    <t>Li Gaiteng</t>
  </si>
  <si>
    <t>Hair dryers</t>
  </si>
  <si>
    <t>Gaiteng</t>
  </si>
  <si>
    <t>Thomas Secunda</t>
  </si>
  <si>
    <t>Croton-on-Hudson</t>
  </si>
  <si>
    <t>Secunda</t>
  </si>
  <si>
    <t>Zuowen Song</t>
  </si>
  <si>
    <t>Longkou</t>
  </si>
  <si>
    <t>Aluminum, diversified</t>
  </si>
  <si>
    <t>Song</t>
  </si>
  <si>
    <t>Zuowen</t>
  </si>
  <si>
    <t>Tim Sweeney</t>
  </si>
  <si>
    <t>Video games</t>
  </si>
  <si>
    <t>Sweeney</t>
  </si>
  <si>
    <t>Tim</t>
  </si>
  <si>
    <t>Bert Beveridge</t>
  </si>
  <si>
    <t>Vodka</t>
  </si>
  <si>
    <t>Beveridge</t>
  </si>
  <si>
    <t>Bert</t>
  </si>
  <si>
    <t>Mark Cuban</t>
  </si>
  <si>
    <t>Online media, Dallas Mavericks</t>
  </si>
  <si>
    <t>Dallas Mavericks</t>
  </si>
  <si>
    <t>Cuban</t>
  </si>
  <si>
    <t>Charles Dolan &amp; family</t>
  </si>
  <si>
    <t>Oyster Bay</t>
  </si>
  <si>
    <t>Cablevision Systems Corp.</t>
  </si>
  <si>
    <t>Dolan</t>
  </si>
  <si>
    <t>Jack Dorsey</t>
  </si>
  <si>
    <t>Twitter, Square</t>
  </si>
  <si>
    <t>Twitter</t>
  </si>
  <si>
    <t>Dorsey</t>
  </si>
  <si>
    <t>Fan Hongwei</t>
  </si>
  <si>
    <t>Fan</t>
  </si>
  <si>
    <t>Hongwei</t>
  </si>
  <si>
    <t>Vladimir Kim</t>
  </si>
  <si>
    <t>Kazakhstan</t>
  </si>
  <si>
    <t>Almaty</t>
  </si>
  <si>
    <t>Andre Koo, Sr.</t>
  </si>
  <si>
    <t>Financial services</t>
  </si>
  <si>
    <t>Koo</t>
  </si>
  <si>
    <t>Ronald Lauder</t>
  </si>
  <si>
    <t>Li Chunan</t>
  </si>
  <si>
    <t>Fushun</t>
  </si>
  <si>
    <t>Renewable energy</t>
  </si>
  <si>
    <t>Chunan</t>
  </si>
  <si>
    <t>Forrest Li</t>
  </si>
  <si>
    <t>Gaming</t>
  </si>
  <si>
    <t>Richard Li</t>
  </si>
  <si>
    <t>Doug Meijer &amp; family</t>
  </si>
  <si>
    <t>Grand Rapids</t>
  </si>
  <si>
    <t>Meijer</t>
  </si>
  <si>
    <t>Doug</t>
  </si>
  <si>
    <t>Hank Meijer &amp; family</t>
  </si>
  <si>
    <t>Hank</t>
  </si>
  <si>
    <t>Mark Meijer &amp; family</t>
  </si>
  <si>
    <t>Issad Rebrab &amp; family</t>
  </si>
  <si>
    <t>Algeria</t>
  </si>
  <si>
    <t>Algiers</t>
  </si>
  <si>
    <t>Rebrab</t>
  </si>
  <si>
    <t>Issad</t>
  </si>
  <si>
    <t>Fred Smith</t>
  </si>
  <si>
    <t>Memphis</t>
  </si>
  <si>
    <t>FedEx</t>
  </si>
  <si>
    <t>FedEx Corp.</t>
  </si>
  <si>
    <t>Fred</t>
  </si>
  <si>
    <t>Barry Sternlicht</t>
  </si>
  <si>
    <t>Sternlicht</t>
  </si>
  <si>
    <t>Maximilian Viessmann</t>
  </si>
  <si>
    <t>Battenberg</t>
  </si>
  <si>
    <t>Heating, cooling equipment</t>
  </si>
  <si>
    <t>Viessmann</t>
  </si>
  <si>
    <t>Maximilian</t>
  </si>
  <si>
    <t>Russ Weiner</t>
  </si>
  <si>
    <t>Delray Beach</t>
  </si>
  <si>
    <t>Energy drinks</t>
  </si>
  <si>
    <t>Weiner</t>
  </si>
  <si>
    <t>Russ</t>
  </si>
  <si>
    <t>Xue Min</t>
  </si>
  <si>
    <t>Wuhan</t>
  </si>
  <si>
    <t>Min</t>
  </si>
  <si>
    <t>Juan Domingo Beckmann Legorreta &amp; family</t>
  </si>
  <si>
    <t>Tequila</t>
  </si>
  <si>
    <t>Beckmann Legorreta</t>
  </si>
  <si>
    <t>Juan Domingo</t>
  </si>
  <si>
    <t>Dietmar Hopp &amp; family</t>
  </si>
  <si>
    <t>Walldorf</t>
  </si>
  <si>
    <t>Hopp</t>
  </si>
  <si>
    <t>Dietmar</t>
  </si>
  <si>
    <t>Jiang Bin</t>
  </si>
  <si>
    <t>Weifang</t>
  </si>
  <si>
    <t>Acoustic components</t>
  </si>
  <si>
    <t>Bin</t>
  </si>
  <si>
    <t>Joseph Liemandt</t>
  </si>
  <si>
    <t>Liemandt</t>
  </si>
  <si>
    <t>Theo Mueller</t>
  </si>
  <si>
    <t>Dairy</t>
  </si>
  <si>
    <t>Mueller</t>
  </si>
  <si>
    <t>N.R. Narayana Murthy</t>
  </si>
  <si>
    <t>Murthy</t>
  </si>
  <si>
    <t>N.R. Narayana</t>
  </si>
  <si>
    <t>Odd Reitan &amp; family</t>
  </si>
  <si>
    <t>Trondheim</t>
  </si>
  <si>
    <t>Reitan</t>
  </si>
  <si>
    <t>Odd</t>
  </si>
  <si>
    <t>Marc Rowan</t>
  </si>
  <si>
    <t>Rowan</t>
  </si>
  <si>
    <t>Hussain Sajwani</t>
  </si>
  <si>
    <t>Sajwani</t>
  </si>
  <si>
    <t>Hussain</t>
  </si>
  <si>
    <t>David Velez &amp; family</t>
  </si>
  <si>
    <t>Velez</t>
  </si>
  <si>
    <t>Xu Jinfu</t>
  </si>
  <si>
    <t>Jinfu</t>
  </si>
  <si>
    <t>Samuel Yin</t>
  </si>
  <si>
    <t>Yin</t>
  </si>
  <si>
    <t>Samuel</t>
  </si>
  <si>
    <t>You Xiaoping &amp; family</t>
  </si>
  <si>
    <t>Wenzhou</t>
  </si>
  <si>
    <t>Chemicals, spandex</t>
  </si>
  <si>
    <t>You</t>
  </si>
  <si>
    <t>Xiaoping</t>
  </si>
  <si>
    <t>Stéphane Bancel</t>
  </si>
  <si>
    <t>Biotech, vaccines</t>
  </si>
  <si>
    <t>Bancel</t>
  </si>
  <si>
    <t>Stéphane</t>
  </si>
  <si>
    <t>Margot Birmingham Perot</t>
  </si>
  <si>
    <t>Computer services, real estate</t>
  </si>
  <si>
    <t>Birmingham Perot</t>
  </si>
  <si>
    <t>Margot</t>
  </si>
  <si>
    <t>Neal Blue &amp; family</t>
  </si>
  <si>
    <t>San Diego</t>
  </si>
  <si>
    <t>Defense</t>
  </si>
  <si>
    <t>Blue</t>
  </si>
  <si>
    <t>Neal</t>
  </si>
  <si>
    <t>Jim Davis</t>
  </si>
  <si>
    <t>Cockeysville</t>
  </si>
  <si>
    <t>Staffing &amp; recruiting</t>
  </si>
  <si>
    <t>Rafael Del Pino</t>
  </si>
  <si>
    <t>Madrid</t>
  </si>
  <si>
    <t>Construction</t>
  </si>
  <si>
    <t>Del Pino</t>
  </si>
  <si>
    <t>Rafael</t>
  </si>
  <si>
    <t>Peter Grogg</t>
  </si>
  <si>
    <t>Liestal</t>
  </si>
  <si>
    <t>Biochemicals</t>
  </si>
  <si>
    <t>Grogg</t>
  </si>
  <si>
    <t>Christian Haub</t>
  </si>
  <si>
    <t>Haub</t>
  </si>
  <si>
    <t>Christian</t>
  </si>
  <si>
    <t>Mangal Prabhat Lodha</t>
  </si>
  <si>
    <t>Lodha</t>
  </si>
  <si>
    <t>Mangal Prabhat</t>
  </si>
  <si>
    <t>Jeffrey Lurie &amp; family</t>
  </si>
  <si>
    <t>Wynnewood</t>
  </si>
  <si>
    <t>Philadelphia Eagles</t>
  </si>
  <si>
    <t>Lurie</t>
  </si>
  <si>
    <t>Jeffrey</t>
  </si>
  <si>
    <t>Joe Mansueto</t>
  </si>
  <si>
    <t>Investment research</t>
  </si>
  <si>
    <t>Morningstar Inc.</t>
  </si>
  <si>
    <t>Mansueto</t>
  </si>
  <si>
    <t>Entrepreneur, Investor</t>
  </si>
  <si>
    <t>Qian Dongqi &amp; family</t>
  </si>
  <si>
    <t>Home-cleaning robots</t>
  </si>
  <si>
    <t>Qian</t>
  </si>
  <si>
    <t>Dongqi</t>
  </si>
  <si>
    <t>Mikhail Shelkov</t>
  </si>
  <si>
    <t>Titanium</t>
  </si>
  <si>
    <t>Shelkov</t>
  </si>
  <si>
    <t>Patrick Drahi</t>
  </si>
  <si>
    <t>Zermatt</t>
  </si>
  <si>
    <t>Drahi</t>
  </si>
  <si>
    <t>Behdad Eghbali</t>
  </si>
  <si>
    <t>Eghbali</t>
  </si>
  <si>
    <t>Behdad</t>
  </si>
  <si>
    <t>Juan Carlos Escotet</t>
  </si>
  <si>
    <t>A Coruña</t>
  </si>
  <si>
    <t>Venezuela</t>
  </si>
  <si>
    <t>Escotet</t>
  </si>
  <si>
    <t>Juan Carlos</t>
  </si>
  <si>
    <t>Jose E. Feliciano</t>
  </si>
  <si>
    <t>Feliciano</t>
  </si>
  <si>
    <t>Jose E.</t>
  </si>
  <si>
    <t>Hu Kaijun</t>
  </si>
  <si>
    <t>Hu</t>
  </si>
  <si>
    <t>Kaijun</t>
  </si>
  <si>
    <t>Johnelle Hunt</t>
  </si>
  <si>
    <t>Fayetteville</t>
  </si>
  <si>
    <t>Trucking</t>
  </si>
  <si>
    <t>Johnelle</t>
  </si>
  <si>
    <t>Marian Ilitch</t>
  </si>
  <si>
    <t>Bingham Farms</t>
  </si>
  <si>
    <t>Little Caesars Pizza</t>
  </si>
  <si>
    <t>Ilitch</t>
  </si>
  <si>
    <t>Marian</t>
  </si>
  <si>
    <t>Daryl Katz</t>
  </si>
  <si>
    <t>Edmonton</t>
  </si>
  <si>
    <t>Pharmacies</t>
  </si>
  <si>
    <t>Katz Group</t>
  </si>
  <si>
    <t>Katz</t>
  </si>
  <si>
    <t>Daryl</t>
  </si>
  <si>
    <t>Andrei Kozitsyn</t>
  </si>
  <si>
    <t>Verkhniaya Pyshma</t>
  </si>
  <si>
    <t>Kozitsyn</t>
  </si>
  <si>
    <t>Timur Kulibaev</t>
  </si>
  <si>
    <t>Kulibaev</t>
  </si>
  <si>
    <t>Timur</t>
  </si>
  <si>
    <t>Dinara Kulibaeva</t>
  </si>
  <si>
    <t>Kulibaeva</t>
  </si>
  <si>
    <t>Dinara</t>
  </si>
  <si>
    <t>Ian Livingstone</t>
  </si>
  <si>
    <t>Livingstone</t>
  </si>
  <si>
    <t>Ian</t>
  </si>
  <si>
    <t>Richard Livingstone</t>
  </si>
  <si>
    <t>Gwendolyn Sontheim Meyer</t>
  </si>
  <si>
    <t>Rancho Santa Fe</t>
  </si>
  <si>
    <t>Meyer</t>
  </si>
  <si>
    <t>Gwendolyn Sontheim</t>
  </si>
  <si>
    <t>Jay Paul</t>
  </si>
  <si>
    <t>Pham Nhat Vuong</t>
  </si>
  <si>
    <t>Vietnam</t>
  </si>
  <si>
    <t>Hanoi</t>
  </si>
  <si>
    <t>Pham</t>
  </si>
  <si>
    <t>Nhat Vuong</t>
  </si>
  <si>
    <t>Jon Stryker</t>
  </si>
  <si>
    <t>Jon</t>
  </si>
  <si>
    <t>Daniel Tsai</t>
  </si>
  <si>
    <t>Richard Tsai</t>
  </si>
  <si>
    <t>Frank Wang</t>
  </si>
  <si>
    <t>Drones</t>
  </si>
  <si>
    <t>DJI Technology Co.</t>
  </si>
  <si>
    <t>Wang Junshi &amp; family</t>
  </si>
  <si>
    <t>Solar inverters</t>
  </si>
  <si>
    <t>Junshi</t>
  </si>
  <si>
    <t>Wang Wenjing</t>
  </si>
  <si>
    <t>Wenjing</t>
  </si>
  <si>
    <t>Herbert Wertheim</t>
  </si>
  <si>
    <t>Coral Gables</t>
  </si>
  <si>
    <t>Wertheim</t>
  </si>
  <si>
    <t>Herbert</t>
  </si>
  <si>
    <t>Shari Arison</t>
  </si>
  <si>
    <t>Shari</t>
  </si>
  <si>
    <t>Pyotr Aven</t>
  </si>
  <si>
    <t>Latvia</t>
  </si>
  <si>
    <t>Aven</t>
  </si>
  <si>
    <t>Pyotr</t>
  </si>
  <si>
    <t>Chan Laiwa &amp; family</t>
  </si>
  <si>
    <t>Chan</t>
  </si>
  <si>
    <t>Laiwa</t>
  </si>
  <si>
    <t>Chen Hua</t>
  </si>
  <si>
    <t>Hua</t>
  </si>
  <si>
    <t>Thomas Hagen</t>
  </si>
  <si>
    <t>Erie</t>
  </si>
  <si>
    <t>Hagen</t>
  </si>
  <si>
    <t>Rupert Johnson, Jr.</t>
  </si>
  <si>
    <t>Burlingame</t>
  </si>
  <si>
    <t>Vice Chairman and Director</t>
  </si>
  <si>
    <t>Dewi Kam</t>
  </si>
  <si>
    <t>Kam</t>
  </si>
  <si>
    <t>Dewi</t>
  </si>
  <si>
    <t>Min Kao &amp; family</t>
  </si>
  <si>
    <t>Leawood</t>
  </si>
  <si>
    <t>Navigation equipment</t>
  </si>
  <si>
    <t>Kao</t>
  </si>
  <si>
    <t>Marc Ladreit de Lacharriere</t>
  </si>
  <si>
    <t>Ladreit de Lacharriere</t>
  </si>
  <si>
    <t>Eric Lefkofsky</t>
  </si>
  <si>
    <t>Glencoe</t>
  </si>
  <si>
    <t>Groupon, investments</t>
  </si>
  <si>
    <t>Groupon</t>
  </si>
  <si>
    <t>Lefkofsky</t>
  </si>
  <si>
    <t>Lin Bin</t>
  </si>
  <si>
    <t>Lin Li</t>
  </si>
  <si>
    <t>Michael Moritz</t>
  </si>
  <si>
    <t>Moritz</t>
  </si>
  <si>
    <t>Jean (Gigi) Pritzker</t>
  </si>
  <si>
    <t>Jean (Gigi)</t>
  </si>
  <si>
    <t>E. Joe Shoen</t>
  </si>
  <si>
    <t>E. Joe</t>
  </si>
  <si>
    <t>Jeff Skoll</t>
  </si>
  <si>
    <t>EBay</t>
  </si>
  <si>
    <t>Skoll</t>
  </si>
  <si>
    <t>Lynsi Snyder</t>
  </si>
  <si>
    <t>Glendora</t>
  </si>
  <si>
    <t>In-N-Out Burger</t>
  </si>
  <si>
    <t>Lynsi</t>
  </si>
  <si>
    <t>Djoko Susanto</t>
  </si>
  <si>
    <t>Susanto</t>
  </si>
  <si>
    <t>Djoko</t>
  </si>
  <si>
    <t>Tahir &amp; family</t>
  </si>
  <si>
    <t>Tahir</t>
  </si>
  <si>
    <t>Peter Thiel</t>
  </si>
  <si>
    <t>Facebook, investments</t>
  </si>
  <si>
    <t>Founders Fund</t>
  </si>
  <si>
    <t>Thiel</t>
  </si>
  <si>
    <t>Andrej Babis</t>
  </si>
  <si>
    <t>Babis</t>
  </si>
  <si>
    <t>Andrej</t>
  </si>
  <si>
    <t>Danielle Bellon &amp; family</t>
  </si>
  <si>
    <t>Food services</t>
  </si>
  <si>
    <t>Bellon</t>
  </si>
  <si>
    <t>Danielle</t>
  </si>
  <si>
    <t>Hubert Burda</t>
  </si>
  <si>
    <t>Publishing</t>
  </si>
  <si>
    <t>Burda</t>
  </si>
  <si>
    <t>Hubert</t>
  </si>
  <si>
    <t>Nick Caporella</t>
  </si>
  <si>
    <t>Plantation</t>
  </si>
  <si>
    <t>Caporella</t>
  </si>
  <si>
    <t>Nick</t>
  </si>
  <si>
    <t>John Catsimatidis</t>
  </si>
  <si>
    <t>Catsimatidis</t>
  </si>
  <si>
    <t>Scott Cook</t>
  </si>
  <si>
    <t>Luca Garavoglia</t>
  </si>
  <si>
    <t>Spirits</t>
  </si>
  <si>
    <t>Garavoglia</t>
  </si>
  <si>
    <t>Luca</t>
  </si>
  <si>
    <t>Antti Herlin</t>
  </si>
  <si>
    <t>Finland</t>
  </si>
  <si>
    <t>Kirkkonummi</t>
  </si>
  <si>
    <t>Elevators, escalators</t>
  </si>
  <si>
    <t>Herlin</t>
  </si>
  <si>
    <t>Antti</t>
  </si>
  <si>
    <t>Hong Jie</t>
  </si>
  <si>
    <t>Putian</t>
  </si>
  <si>
    <t>Paint</t>
  </si>
  <si>
    <t>Jie</t>
  </si>
  <si>
    <t>Jeremy Jacobs, Sr. &amp; family</t>
  </si>
  <si>
    <t>East Aurora</t>
  </si>
  <si>
    <t>Food service</t>
  </si>
  <si>
    <t>Jacobs</t>
  </si>
  <si>
    <t>Jeremy</t>
  </si>
  <si>
    <t>Igor Kesaev</t>
  </si>
  <si>
    <t>Tobacco distribution, retail</t>
  </si>
  <si>
    <t>Kesaev</t>
  </si>
  <si>
    <t>Mary Alice Dorrance Malone</t>
  </si>
  <si>
    <t>Coatesville</t>
  </si>
  <si>
    <t>Campbell Soup</t>
  </si>
  <si>
    <t>Mary Alice Dorrance</t>
  </si>
  <si>
    <t>Joao Moreira Salles</t>
  </si>
  <si>
    <t>Rio de Janeiro</t>
  </si>
  <si>
    <t>Banking, minerals</t>
  </si>
  <si>
    <t>Moreira Salles</t>
  </si>
  <si>
    <t>Joao</t>
  </si>
  <si>
    <t>Walther Moreira Salles Junior</t>
  </si>
  <si>
    <t>Moreira Salles Junior</t>
  </si>
  <si>
    <t>Walther</t>
  </si>
  <si>
    <t>Arturo Moreno</t>
  </si>
  <si>
    <t>Billboards, Los Angeles Angels</t>
  </si>
  <si>
    <t>Moreno</t>
  </si>
  <si>
    <t>Arturo</t>
  </si>
  <si>
    <t>Peter Spuhler</t>
  </si>
  <si>
    <t>Weiningen</t>
  </si>
  <si>
    <t>Train cars</t>
  </si>
  <si>
    <t>Spuhler</t>
  </si>
  <si>
    <t>Donald Sterling</t>
  </si>
  <si>
    <t>Sterling</t>
  </si>
  <si>
    <t>Kerry Stokes</t>
  </si>
  <si>
    <t>Construction equipment, media</t>
  </si>
  <si>
    <t>Stokes</t>
  </si>
  <si>
    <t>Kerry</t>
  </si>
  <si>
    <t>Ken Xie</t>
  </si>
  <si>
    <t>Los Altos Hills</t>
  </si>
  <si>
    <t>Cybersecurity</t>
  </si>
  <si>
    <t>Xie</t>
  </si>
  <si>
    <t>Liangzhi Xie &amp; family</t>
  </si>
  <si>
    <t>Liangzhi</t>
  </si>
  <si>
    <t>Sid Bass</t>
  </si>
  <si>
    <t>Sid</t>
  </si>
  <si>
    <t>Ben Chestnut</t>
  </si>
  <si>
    <t>Email marketing</t>
  </si>
  <si>
    <t>Chestnut</t>
  </si>
  <si>
    <t>Ben</t>
  </si>
  <si>
    <t>Elisabeth DeLuca &amp; family</t>
  </si>
  <si>
    <t>Subway</t>
  </si>
  <si>
    <t>DeLuca</t>
  </si>
  <si>
    <t>Elisabeth</t>
  </si>
  <si>
    <t>Guangchang Guo</t>
  </si>
  <si>
    <t>Conglomerate</t>
  </si>
  <si>
    <t>Guo</t>
  </si>
  <si>
    <t>Guangchang</t>
  </si>
  <si>
    <t>Vinod Rai Gupta</t>
  </si>
  <si>
    <t>Electrical equipment</t>
  </si>
  <si>
    <t>Gupta</t>
  </si>
  <si>
    <t>Vinod Rai</t>
  </si>
  <si>
    <t>John Henry</t>
  </si>
  <si>
    <t>Travis Kalanick</t>
  </si>
  <si>
    <t>Uber</t>
  </si>
  <si>
    <t>Uber Technologies Inc.</t>
  </si>
  <si>
    <t>Kalanick</t>
  </si>
  <si>
    <t>Travis</t>
  </si>
  <si>
    <t>Koon Poh Keong</t>
  </si>
  <si>
    <t>Petaling Jaya</t>
  </si>
  <si>
    <t>Aluminum</t>
  </si>
  <si>
    <t>Koon</t>
  </si>
  <si>
    <t>Poh Keong</t>
  </si>
  <si>
    <t>Dan Kurzius</t>
  </si>
  <si>
    <t>Kurzius</t>
  </si>
  <si>
    <t>Paul Lee</t>
  </si>
  <si>
    <t>Yuxi</t>
  </si>
  <si>
    <t>Battery separators</t>
  </si>
  <si>
    <t>Tobi Lutke</t>
  </si>
  <si>
    <t>Ottawa</t>
  </si>
  <si>
    <t>Lutke</t>
  </si>
  <si>
    <t>Tobi</t>
  </si>
  <si>
    <t>Gail Miller</t>
  </si>
  <si>
    <t>Salt Lake City</t>
  </si>
  <si>
    <t>Car dealerships</t>
  </si>
  <si>
    <t>Miller</t>
  </si>
  <si>
    <t>Gail</t>
  </si>
  <si>
    <t>Utah</t>
  </si>
  <si>
    <t>Rajan Mittal</t>
  </si>
  <si>
    <t>Rajan</t>
  </si>
  <si>
    <t>Rakesh Mittal</t>
  </si>
  <si>
    <t>Rakesh</t>
  </si>
  <si>
    <t>Isaac Perlmutter</t>
  </si>
  <si>
    <t>Marvel comics</t>
  </si>
  <si>
    <t>Marvel Entertainment</t>
  </si>
  <si>
    <t>Perlmutter</t>
  </si>
  <si>
    <t>Isaac</t>
  </si>
  <si>
    <t>Bernard Saul, II.</t>
  </si>
  <si>
    <t>Banking, real estate</t>
  </si>
  <si>
    <t>Saul Centers</t>
  </si>
  <si>
    <t>Saul</t>
  </si>
  <si>
    <t>Shaul Shani</t>
  </si>
  <si>
    <t>Shani</t>
  </si>
  <si>
    <t>Shaul</t>
  </si>
  <si>
    <t>Steven Spielberg</t>
  </si>
  <si>
    <t>Pacific Palisades</t>
  </si>
  <si>
    <t>Movies</t>
  </si>
  <si>
    <t>Spielberg</t>
  </si>
  <si>
    <t>Jerzy Starak</t>
  </si>
  <si>
    <t>Konstancin</t>
  </si>
  <si>
    <t>Starak</t>
  </si>
  <si>
    <t>Jerzy</t>
  </si>
  <si>
    <t>Torbjorn Tornqvist</t>
  </si>
  <si>
    <t>Oil trading</t>
  </si>
  <si>
    <t>Tornqvist</t>
  </si>
  <si>
    <t>Torbjorn</t>
  </si>
  <si>
    <t>Rufino Vigil Gonzalez</t>
  </si>
  <si>
    <t>Vigil Gonzalez</t>
  </si>
  <si>
    <t>Rufino</t>
  </si>
  <si>
    <t>Zhang Daocai</t>
  </si>
  <si>
    <t>Shaoxing</t>
  </si>
  <si>
    <t>Valves</t>
  </si>
  <si>
    <t>Daocai</t>
  </si>
  <si>
    <t>Juergen Blickle</t>
  </si>
  <si>
    <t>Bruchsal</t>
  </si>
  <si>
    <t>Blickle</t>
  </si>
  <si>
    <t>Juergen</t>
  </si>
  <si>
    <t>Austen Cargill, II.</t>
  </si>
  <si>
    <t>Livingston</t>
  </si>
  <si>
    <t>Austen</t>
  </si>
  <si>
    <t>James Cargill, II.</t>
  </si>
  <si>
    <t>Birchwood</t>
  </si>
  <si>
    <t>Vanich Chaiyawan</t>
  </si>
  <si>
    <t>Insurance, beverages</t>
  </si>
  <si>
    <t>Chaiyawan</t>
  </si>
  <si>
    <t>Vanich</t>
  </si>
  <si>
    <t>Chen Dongsheng</t>
  </si>
  <si>
    <t>Dongsheng</t>
  </si>
  <si>
    <t>Mong-Koo Chung</t>
  </si>
  <si>
    <t>Hyundai</t>
  </si>
  <si>
    <t>Chung</t>
  </si>
  <si>
    <t>Mong-Koo</t>
  </si>
  <si>
    <t>Kenneth Dart</t>
  </si>
  <si>
    <t>George Town</t>
  </si>
  <si>
    <t>Belize</t>
  </si>
  <si>
    <t>Dart</t>
  </si>
  <si>
    <t>Kenneth</t>
  </si>
  <si>
    <t>Giuseppe De'Longhi &amp; family</t>
  </si>
  <si>
    <t>Treviso</t>
  </si>
  <si>
    <t>Coffee makers</t>
  </si>
  <si>
    <t>De'Longhi</t>
  </si>
  <si>
    <t>Giuseppe</t>
  </si>
  <si>
    <t>Guenther Fielmann &amp; family</t>
  </si>
  <si>
    <t>Optometry</t>
  </si>
  <si>
    <t>Fielmann</t>
  </si>
  <si>
    <t>Guenther</t>
  </si>
  <si>
    <t>W. Herbert Hunt</t>
  </si>
  <si>
    <t>W. Herbert</t>
  </si>
  <si>
    <t>James Irsay</t>
  </si>
  <si>
    <t>Carmel</t>
  </si>
  <si>
    <t>Indianapolis Colts</t>
  </si>
  <si>
    <t>Irsay</t>
  </si>
  <si>
    <t>Somurai Jaruphnit</t>
  </si>
  <si>
    <t>Jaruphnit</t>
  </si>
  <si>
    <t>Somurai</t>
  </si>
  <si>
    <t>Marianne Liebmann</t>
  </si>
  <si>
    <t>Bozeman</t>
  </si>
  <si>
    <t>Liebmann</t>
  </si>
  <si>
    <t>Marianne</t>
  </si>
  <si>
    <t>Jorge Moll Filho &amp; family</t>
  </si>
  <si>
    <t>Moll Filho</t>
  </si>
  <si>
    <t>Jorge</t>
  </si>
  <si>
    <t>Fernando Roberto Moreira Salles</t>
  </si>
  <si>
    <t>Fernando Roberto</t>
  </si>
  <si>
    <t>Pedro Moreira Salles</t>
  </si>
  <si>
    <t>Pedro</t>
  </si>
  <si>
    <t>Gabe Newell</t>
  </si>
  <si>
    <t>Videogames</t>
  </si>
  <si>
    <t>Valve Corporation</t>
  </si>
  <si>
    <t>Newell</t>
  </si>
  <si>
    <t>Gabe</t>
  </si>
  <si>
    <t>Cofounder and CEO</t>
  </si>
  <si>
    <t>Alfred Oetker</t>
  </si>
  <si>
    <t>Bielefeld</t>
  </si>
  <si>
    <t>Oetker</t>
  </si>
  <si>
    <t>Alfred</t>
  </si>
  <si>
    <t>Carl Ferdinand Oetker</t>
  </si>
  <si>
    <t>Carl Ferdinand</t>
  </si>
  <si>
    <t>Julia Oetker</t>
  </si>
  <si>
    <t>Ruan Hongliang &amp; family</t>
  </si>
  <si>
    <t>Jiaxing</t>
  </si>
  <si>
    <t>Glass</t>
  </si>
  <si>
    <t>Hongliang</t>
  </si>
  <si>
    <t>Mark Stevens</t>
  </si>
  <si>
    <t>Steamboat Springs</t>
  </si>
  <si>
    <t>Stevens</t>
  </si>
  <si>
    <t>Tsai Hong-tu</t>
  </si>
  <si>
    <t>Hong-tu</t>
  </si>
  <si>
    <t>Nusli Wadia</t>
  </si>
  <si>
    <t>Wadia</t>
  </si>
  <si>
    <t>Nusli</t>
  </si>
  <si>
    <t>Wu Yiling</t>
  </si>
  <si>
    <t>Shijiazhuang</t>
  </si>
  <si>
    <t>Yiling</t>
  </si>
  <si>
    <t>Yu Renrong</t>
  </si>
  <si>
    <t>Renrong</t>
  </si>
  <si>
    <t>Zhu Baoguo &amp; family</t>
  </si>
  <si>
    <t>Baoguo</t>
  </si>
  <si>
    <t>Rahul Bhatia</t>
  </si>
  <si>
    <t>Aviation</t>
  </si>
  <si>
    <t>Bhatia</t>
  </si>
  <si>
    <t>Rahul</t>
  </si>
  <si>
    <t>Francesco Gaetano Caltagirone</t>
  </si>
  <si>
    <t>Rome</t>
  </si>
  <si>
    <t>Cement, diversified</t>
  </si>
  <si>
    <t>Caltagirone</t>
  </si>
  <si>
    <t>Francesco Gaetano</t>
  </si>
  <si>
    <t>Barry Diller</t>
  </si>
  <si>
    <t>Online media</t>
  </si>
  <si>
    <t>Diller</t>
  </si>
  <si>
    <t>Wesley Edens</t>
  </si>
  <si>
    <t>Edens</t>
  </si>
  <si>
    <t>Wesley</t>
  </si>
  <si>
    <t>Stephen Feinberg</t>
  </si>
  <si>
    <t>Cerberus Capital Management</t>
  </si>
  <si>
    <t>Feinberg</t>
  </si>
  <si>
    <t>Co-founder and CEO</t>
  </si>
  <si>
    <t>Rakesh Gangwal</t>
  </si>
  <si>
    <t>Airline</t>
  </si>
  <si>
    <t>Gangwal</t>
  </si>
  <si>
    <t>Joseph Grendys</t>
  </si>
  <si>
    <t>Poultry processing</t>
  </si>
  <si>
    <t>Grendys</t>
  </si>
  <si>
    <t>Martha Ingram &amp; family</t>
  </si>
  <si>
    <t>Book distribution, transportation</t>
  </si>
  <si>
    <t>Ingram Industries, Inc.</t>
  </si>
  <si>
    <t>Ingram</t>
  </si>
  <si>
    <t>Martha</t>
  </si>
  <si>
    <t>Former Chairman</t>
  </si>
  <si>
    <t>Li Xiang</t>
  </si>
  <si>
    <t>Electric vehicles</t>
  </si>
  <si>
    <t>Xiang</t>
  </si>
  <si>
    <t>H. Ross Perot, Jr.</t>
  </si>
  <si>
    <t>Perot</t>
  </si>
  <si>
    <t>H. Ross</t>
  </si>
  <si>
    <t>Chandru Raheja</t>
  </si>
  <si>
    <t>Raheja</t>
  </si>
  <si>
    <t>Chandru</t>
  </si>
  <si>
    <t>Trevor Rees-Jones</t>
  </si>
  <si>
    <t>Rees-Jones</t>
  </si>
  <si>
    <t>Trevor</t>
  </si>
  <si>
    <t>Yasumitsu Shigeta</t>
  </si>
  <si>
    <t>Mobile phone retailer</t>
  </si>
  <si>
    <t>Shigeta</t>
  </si>
  <si>
    <t>Yasumitsu</t>
  </si>
  <si>
    <t>Su Qingcan</t>
  </si>
  <si>
    <t>Xiamen</t>
  </si>
  <si>
    <t>Su</t>
  </si>
  <si>
    <t>Qingcan</t>
  </si>
  <si>
    <t>Tsai Cheng-ta</t>
  </si>
  <si>
    <t>Cheng-ta</t>
  </si>
  <si>
    <t>Steven Udvar-Hazy</t>
  </si>
  <si>
    <t>Westlake</t>
  </si>
  <si>
    <t>Aircraft leasing</t>
  </si>
  <si>
    <t>Air Lease Corp.</t>
  </si>
  <si>
    <t>Udvar-Hazy</t>
  </si>
  <si>
    <t>CEO and Chairman</t>
  </si>
  <si>
    <t>Elizabeth Uihlein</t>
  </si>
  <si>
    <t>Lake Forest</t>
  </si>
  <si>
    <t>Packaging materials</t>
  </si>
  <si>
    <t>Uihlein</t>
  </si>
  <si>
    <t>Richard Uihlein</t>
  </si>
  <si>
    <t>Hayes Barnard</t>
  </si>
  <si>
    <t>Barnard</t>
  </si>
  <si>
    <t>Hayes</t>
  </si>
  <si>
    <t>William Berkley</t>
  </si>
  <si>
    <t>Coconut Grove</t>
  </si>
  <si>
    <t>WR Berkley</t>
  </si>
  <si>
    <t>Berkley</t>
  </si>
  <si>
    <t>Charles Cohen</t>
  </si>
  <si>
    <t>Yakir Gabay</t>
  </si>
  <si>
    <t>Gabay</t>
  </si>
  <si>
    <t>Yakir</t>
  </si>
  <si>
    <t>Huang Li</t>
  </si>
  <si>
    <t>Imaging systems</t>
  </si>
  <si>
    <t>Brad Jacobs</t>
  </si>
  <si>
    <t>Brad</t>
  </si>
  <si>
    <t>Ji Qi</t>
  </si>
  <si>
    <t>Hotels, motels</t>
  </si>
  <si>
    <t>Ji</t>
  </si>
  <si>
    <t>Jason Jiang</t>
  </si>
  <si>
    <t>Advertising</t>
  </si>
  <si>
    <t>Jim Kavanaugh</t>
  </si>
  <si>
    <t>Kavanaugh</t>
  </si>
  <si>
    <t>Richard LeFrak &amp; family</t>
  </si>
  <si>
    <t>LeFrak</t>
  </si>
  <si>
    <t>Mikhail Lomtadze</t>
  </si>
  <si>
    <t>Lomtadze</t>
  </si>
  <si>
    <t>Tom Morris</t>
  </si>
  <si>
    <t>Merseyside</t>
  </si>
  <si>
    <t>Shigenobu Nagamori</t>
  </si>
  <si>
    <t>Kyoto</t>
  </si>
  <si>
    <t>Motors</t>
  </si>
  <si>
    <t>Nagamori</t>
  </si>
  <si>
    <t>Shigenobu</t>
  </si>
  <si>
    <t>Daniel Och</t>
  </si>
  <si>
    <t>Och-Ziff Capital Management</t>
  </si>
  <si>
    <t>Och</t>
  </si>
  <si>
    <t>Horst Paulmann &amp; family</t>
  </si>
  <si>
    <t>Paulmann</t>
  </si>
  <si>
    <t>Horst</t>
  </si>
  <si>
    <t>Anthony Pritzker</t>
  </si>
  <si>
    <t>John Sall</t>
  </si>
  <si>
    <t>Sall</t>
  </si>
  <si>
    <t>Co-Founder, Executive Vice President</t>
  </si>
  <si>
    <t>Howard Schultz</t>
  </si>
  <si>
    <t>Starbucks</t>
  </si>
  <si>
    <t>Schultz</t>
  </si>
  <si>
    <t>Howard</t>
  </si>
  <si>
    <t>Richard Schulze</t>
  </si>
  <si>
    <t>Best Buy</t>
  </si>
  <si>
    <t>Best Buy Co. Inc.</t>
  </si>
  <si>
    <t>Schulze</t>
  </si>
  <si>
    <t>Yitzhak Tshuva</t>
  </si>
  <si>
    <t>Netanya</t>
  </si>
  <si>
    <t>Tshuva</t>
  </si>
  <si>
    <t>Yitzhak</t>
  </si>
  <si>
    <t>Wang Yanqing &amp; family</t>
  </si>
  <si>
    <t>Wuxi</t>
  </si>
  <si>
    <t>Yanqing</t>
  </si>
  <si>
    <t>Rajiv Bajaj</t>
  </si>
  <si>
    <t>Bajaj</t>
  </si>
  <si>
    <t>Rajiv</t>
  </si>
  <si>
    <t>Sanjiv Bajaj</t>
  </si>
  <si>
    <t>Sanjiv</t>
  </si>
  <si>
    <t>Leonid Boguslavsky</t>
  </si>
  <si>
    <t>Florence</t>
  </si>
  <si>
    <t>Boguslavsky</t>
  </si>
  <si>
    <t>Jim Coulter</t>
  </si>
  <si>
    <t>Coulter</t>
  </si>
  <si>
    <t>Nicolas D'Ieteren</t>
  </si>
  <si>
    <t>Anzere</t>
  </si>
  <si>
    <t>Auto parts, distribution</t>
  </si>
  <si>
    <t>D'Ieteren</t>
  </si>
  <si>
    <t xml:space="preserve">Nicolas </t>
  </si>
  <si>
    <t>Beatriz Davila de Santo Domingo</t>
  </si>
  <si>
    <t>Bermuda</t>
  </si>
  <si>
    <t>Davila de Santo Domingo</t>
  </si>
  <si>
    <t>Beatriz</t>
  </si>
  <si>
    <t>Bob Gaglardi</t>
  </si>
  <si>
    <t>Hotels</t>
  </si>
  <si>
    <t>Gaglardi</t>
  </si>
  <si>
    <t>Bob</t>
  </si>
  <si>
    <t>Jaime Gilinski Bacal</t>
  </si>
  <si>
    <t>Gilinski Bacal</t>
  </si>
  <si>
    <t>Jaime</t>
  </si>
  <si>
    <t>Pansy Ho</t>
  </si>
  <si>
    <t>Ho</t>
  </si>
  <si>
    <t>Pansy</t>
  </si>
  <si>
    <t>Alan Howard</t>
  </si>
  <si>
    <t>Brevan Howard Asset Management</t>
  </si>
  <si>
    <t>Alan</t>
  </si>
  <si>
    <t>Huang Yi</t>
  </si>
  <si>
    <t>Yi</t>
  </si>
  <si>
    <t>Peter Kellogg</t>
  </si>
  <si>
    <t>Short Hills</t>
  </si>
  <si>
    <t>Kellogg</t>
  </si>
  <si>
    <t>Vyacheslav Kim</t>
  </si>
  <si>
    <t>Vyacheslav</t>
  </si>
  <si>
    <t>Josh Kushner</t>
  </si>
  <si>
    <t>New York City</t>
  </si>
  <si>
    <t>Thrive Capital</t>
  </si>
  <si>
    <t>Kushner</t>
  </si>
  <si>
    <t>Managing Partner</t>
  </si>
  <si>
    <t>Samuel Tak Lee</t>
  </si>
  <si>
    <t>Samuel Tak</t>
  </si>
  <si>
    <t>Edwin Leong</t>
  </si>
  <si>
    <t>Leong</t>
  </si>
  <si>
    <t>Edwin</t>
  </si>
  <si>
    <t>Stephen Mandel, Jr.</t>
  </si>
  <si>
    <t>Lone Pine Capital</t>
  </si>
  <si>
    <t>Mandel</t>
  </si>
  <si>
    <t>Mohamed Mansour</t>
  </si>
  <si>
    <t>Mansour</t>
  </si>
  <si>
    <t>Mohamed</t>
  </si>
  <si>
    <t>Masahiro Miki</t>
  </si>
  <si>
    <t>Miki</t>
  </si>
  <si>
    <t>Masahiro</t>
  </si>
  <si>
    <t>Masahiro Noda</t>
  </si>
  <si>
    <t>Noda</t>
  </si>
  <si>
    <t>Cliff Obrecht</t>
  </si>
  <si>
    <t>Obrecht</t>
  </si>
  <si>
    <t>Cliff</t>
  </si>
  <si>
    <t>Melanie Perkins</t>
  </si>
  <si>
    <t>Canva</t>
  </si>
  <si>
    <t>Perkins</t>
  </si>
  <si>
    <t>Melanie</t>
  </si>
  <si>
    <t>Cofounder &amp; CEO</t>
  </si>
  <si>
    <t>J.B. Pritzker</t>
  </si>
  <si>
    <t>J.B.</t>
  </si>
  <si>
    <t>Juan Roig</t>
  </si>
  <si>
    <t>Valencia</t>
  </si>
  <si>
    <t>Roig</t>
  </si>
  <si>
    <t>Juan</t>
  </si>
  <si>
    <t>Jerry Speyer &amp; family</t>
  </si>
  <si>
    <t>Speyer</t>
  </si>
  <si>
    <t>Lawrence Stroll</t>
  </si>
  <si>
    <t>Fashion investments</t>
  </si>
  <si>
    <t>Stroll</t>
  </si>
  <si>
    <t>Lawrence</t>
  </si>
  <si>
    <t>Tung Chee Chen</t>
  </si>
  <si>
    <t>Tung</t>
  </si>
  <si>
    <t>Chee Chen</t>
  </si>
  <si>
    <t>Wang Junlin</t>
  </si>
  <si>
    <t>Liquor</t>
  </si>
  <si>
    <t>Junlin</t>
  </si>
  <si>
    <t>Xia Zuoquan</t>
  </si>
  <si>
    <t>Xia</t>
  </si>
  <si>
    <t>Zuoquan</t>
  </si>
  <si>
    <t>Zeng Fangqin</t>
  </si>
  <si>
    <t>Smartphone components</t>
  </si>
  <si>
    <t>Fangqin</t>
  </si>
  <si>
    <t>Zhang Jian</t>
  </si>
  <si>
    <t>Tianjin</t>
  </si>
  <si>
    <t>Electric bikes, scooters</t>
  </si>
  <si>
    <t>Rocco Basilico</t>
  </si>
  <si>
    <t>Eyeglasses</t>
  </si>
  <si>
    <t>Basilico</t>
  </si>
  <si>
    <t>Maurizio Billi</t>
  </si>
  <si>
    <t>Generic drugs</t>
  </si>
  <si>
    <t>Billi</t>
  </si>
  <si>
    <t>Maurizio</t>
  </si>
  <si>
    <t>Fashu Chen</t>
  </si>
  <si>
    <t>Fuzhou</t>
  </si>
  <si>
    <t>Fashu</t>
  </si>
  <si>
    <t>Giuseppe Crippa &amp; family</t>
  </si>
  <si>
    <t>Cernusco Lombardone</t>
  </si>
  <si>
    <t>Microchip testing</t>
  </si>
  <si>
    <t>Crippa</t>
  </si>
  <si>
    <t>Daniel D'Aniello</t>
  </si>
  <si>
    <t>D'Aniello</t>
  </si>
  <si>
    <t>Claudio Del Vecchio</t>
  </si>
  <si>
    <t>Muttontown</t>
  </si>
  <si>
    <t>Del Vecchio</t>
  </si>
  <si>
    <t>Claudio</t>
  </si>
  <si>
    <t>Clemente Del Vecchio</t>
  </si>
  <si>
    <t>Eyeglases</t>
  </si>
  <si>
    <t>Clemente</t>
  </si>
  <si>
    <t>Leonardo Maria Del Vecchio</t>
  </si>
  <si>
    <t>Leonardo Maria</t>
  </si>
  <si>
    <t>Luca Del Vecchio</t>
  </si>
  <si>
    <t>Marisa Del Vecchio</t>
  </si>
  <si>
    <t>Marisa</t>
  </si>
  <si>
    <t>Paola Del Vecchio</t>
  </si>
  <si>
    <t>Luxembourg</t>
  </si>
  <si>
    <t>Paola</t>
  </si>
  <si>
    <t>Walter P.J. Droege</t>
  </si>
  <si>
    <t>Dusseldorf</t>
  </si>
  <si>
    <t>Investing</t>
  </si>
  <si>
    <t>Droege</t>
  </si>
  <si>
    <t>Walter P.J.</t>
  </si>
  <si>
    <t>Fan Daidi</t>
  </si>
  <si>
    <t>Xian</t>
  </si>
  <si>
    <t>Skincare</t>
  </si>
  <si>
    <t xml:space="preserve">Fan </t>
  </si>
  <si>
    <t>Daidi</t>
  </si>
  <si>
    <t>Peter Gassner</t>
  </si>
  <si>
    <t>Pleasanton</t>
  </si>
  <si>
    <t>Gassner</t>
  </si>
  <si>
    <t>Mikhail Gutseriev</t>
  </si>
  <si>
    <t>Oil, coal, real estate</t>
  </si>
  <si>
    <t>Gutseriev</t>
  </si>
  <si>
    <t>Patrick Lee</t>
  </si>
  <si>
    <t>Paper</t>
  </si>
  <si>
    <t>Leng Youbin</t>
  </si>
  <si>
    <t>Infant formula</t>
  </si>
  <si>
    <t>Leng</t>
  </si>
  <si>
    <t>Youbin</t>
  </si>
  <si>
    <t>Daniel Loeb</t>
  </si>
  <si>
    <t>Third Point</t>
  </si>
  <si>
    <t>Loeb</t>
  </si>
  <si>
    <t>Margarita Louis-Dreyfus &amp; family</t>
  </si>
  <si>
    <t>Davos</t>
  </si>
  <si>
    <t>Louis Dreyfus SAS</t>
  </si>
  <si>
    <t>Louis-Dreyfus</t>
  </si>
  <si>
    <t>Margarita</t>
  </si>
  <si>
    <t>Prasert Prasarttong-Osoth</t>
  </si>
  <si>
    <t>Prasarttong-Osoth</t>
  </si>
  <si>
    <t>Prasert</t>
  </si>
  <si>
    <t>Ira Rennert</t>
  </si>
  <si>
    <t>Rennert</t>
  </si>
  <si>
    <t>Ira</t>
  </si>
  <si>
    <t>Dirk Rossmann &amp; family</t>
  </si>
  <si>
    <t>Lower-Saxony</t>
  </si>
  <si>
    <t>Rossmann</t>
  </si>
  <si>
    <t>Arkady Rotenberg</t>
  </si>
  <si>
    <t>Construction, pipes, banking</t>
  </si>
  <si>
    <t>Rotenberg</t>
  </si>
  <si>
    <t>Arkady</t>
  </si>
  <si>
    <t>Remo Ruffini</t>
  </si>
  <si>
    <t>Como</t>
  </si>
  <si>
    <t>Winter jackets</t>
  </si>
  <si>
    <t>Ruffini</t>
  </si>
  <si>
    <t>Remo</t>
  </si>
  <si>
    <t>Karin Sartorius-Herbst</t>
  </si>
  <si>
    <t>Northeim</t>
  </si>
  <si>
    <t>Biopharmaceuticals</t>
  </si>
  <si>
    <t>Sartorius-Herbst</t>
  </si>
  <si>
    <t>Karin</t>
  </si>
  <si>
    <t>Vivek Chaand Sehgal</t>
  </si>
  <si>
    <t>Sehgal</t>
  </si>
  <si>
    <t>Vivek Chaand</t>
  </si>
  <si>
    <t>Scott Shleifer</t>
  </si>
  <si>
    <t>Shleifer</t>
  </si>
  <si>
    <t>Thomas Siebel</t>
  </si>
  <si>
    <t>Siebel</t>
  </si>
  <si>
    <t>Wim van der Leegte &amp; family</t>
  </si>
  <si>
    <t>Eindhoven</t>
  </si>
  <si>
    <t>van der Leegte</t>
  </si>
  <si>
    <t>Wim</t>
  </si>
  <si>
    <t>Xiao Yongming &amp; family</t>
  </si>
  <si>
    <t>Xiao</t>
  </si>
  <si>
    <t>Yongming</t>
  </si>
  <si>
    <t>Michael Xie</t>
  </si>
  <si>
    <t>Yang Shaopeng</t>
  </si>
  <si>
    <t>Qingdao</t>
  </si>
  <si>
    <t>Shaopeng</t>
  </si>
  <si>
    <t>Nicoletta Zampillo</t>
  </si>
  <si>
    <t>Zampillo</t>
  </si>
  <si>
    <t>Nicoletta</t>
  </si>
  <si>
    <t>Barry Zekelman</t>
  </si>
  <si>
    <t>Windsor</t>
  </si>
  <si>
    <t>Zekelman</t>
  </si>
  <si>
    <t>William Ackman</t>
  </si>
  <si>
    <t>Pershing Square Capital Management, L.P.</t>
  </si>
  <si>
    <t>Ackman</t>
  </si>
  <si>
    <t>Founder, CEO</t>
  </si>
  <si>
    <t>Somphote Ahunai</t>
  </si>
  <si>
    <t>Ahunai</t>
  </si>
  <si>
    <t>Somphote</t>
  </si>
  <si>
    <t>Igor Altushkin</t>
  </si>
  <si>
    <t>Yekaterinburg</t>
  </si>
  <si>
    <t>Altushkin</t>
  </si>
  <si>
    <t>Ramon Ang</t>
  </si>
  <si>
    <t>Ang</t>
  </si>
  <si>
    <t>Ramon</t>
  </si>
  <si>
    <t>Acharya Balkrishna</t>
  </si>
  <si>
    <t>Haridwar</t>
  </si>
  <si>
    <t>Balkrishna</t>
  </si>
  <si>
    <t>Acharya</t>
  </si>
  <si>
    <t>Markus Blocher</t>
  </si>
  <si>
    <t>Markus</t>
  </si>
  <si>
    <t>Richard Branson</t>
  </si>
  <si>
    <t>British Virgin Islands</t>
  </si>
  <si>
    <t>Necker Island</t>
  </si>
  <si>
    <t>Virgin</t>
  </si>
  <si>
    <t>Branson</t>
  </si>
  <si>
    <t>Cho Jung-ho</t>
  </si>
  <si>
    <t>Meritz Financial Group</t>
  </si>
  <si>
    <t>Cho</t>
  </si>
  <si>
    <t>Jung-ho</t>
  </si>
  <si>
    <t>Alessandra Garavoglia</t>
  </si>
  <si>
    <t>Alessandra</t>
  </si>
  <si>
    <t>Laurence Graff &amp; family</t>
  </si>
  <si>
    <t>Diamond jewelry</t>
  </si>
  <si>
    <t>Graff</t>
  </si>
  <si>
    <t>Laurence</t>
  </si>
  <si>
    <t>Amos Hostetter, Jr.</t>
  </si>
  <si>
    <t>Pilot House Associates</t>
  </si>
  <si>
    <t>Hostetter</t>
  </si>
  <si>
    <t>Amos</t>
  </si>
  <si>
    <t>Chair</t>
  </si>
  <si>
    <t>Robert Johnson</t>
  </si>
  <si>
    <t>Johnson &amp; Johnson, sports</t>
  </si>
  <si>
    <t xml:space="preserve">Robert </t>
  </si>
  <si>
    <t>Steven Klinsky</t>
  </si>
  <si>
    <t>New Mountain Capital</t>
  </si>
  <si>
    <t>Klinsky</t>
  </si>
  <si>
    <t>William Lauder</t>
  </si>
  <si>
    <t>John Middleton</t>
  </si>
  <si>
    <t>Tobacco</t>
  </si>
  <si>
    <t>Middleton</t>
  </si>
  <si>
    <t>Hiroshi Mikitani</t>
  </si>
  <si>
    <t>Mikitani</t>
  </si>
  <si>
    <t>Hiroshi</t>
  </si>
  <si>
    <t>Bob Parsons</t>
  </si>
  <si>
    <t>Scottsdale</t>
  </si>
  <si>
    <t>Web hosting</t>
  </si>
  <si>
    <t>Parsons</t>
  </si>
  <si>
    <t>J. Joe Ricketts &amp; family</t>
  </si>
  <si>
    <t>Little Jackson Hole</t>
  </si>
  <si>
    <t>TD Ameritrade</t>
  </si>
  <si>
    <t>Ricketts</t>
  </si>
  <si>
    <t>J. Joe</t>
  </si>
  <si>
    <t>Herb Simon</t>
  </si>
  <si>
    <t>Indianapolis</t>
  </si>
  <si>
    <t>Simon Property Group</t>
  </si>
  <si>
    <t>Herb</t>
  </si>
  <si>
    <t>Chairman Emeritus of the Board of Simon Property Group, Inc.</t>
  </si>
  <si>
    <t>Leena Tewari</t>
  </si>
  <si>
    <t>Tewari</t>
  </si>
  <si>
    <t>Leena</t>
  </si>
  <si>
    <t>Stefan von Holtzbrinck</t>
  </si>
  <si>
    <t>Stuttgart</t>
  </si>
  <si>
    <t>von Holtzbrinck</t>
  </si>
  <si>
    <t>Hans Peter Wild</t>
  </si>
  <si>
    <t>Zug</t>
  </si>
  <si>
    <t>Flavorings</t>
  </si>
  <si>
    <t>Wild</t>
  </si>
  <si>
    <t>Hans Peter</t>
  </si>
  <si>
    <t>Wu Guanjiang &amp; family</t>
  </si>
  <si>
    <t>Guanjiang</t>
  </si>
  <si>
    <t>Yi Zheng</t>
  </si>
  <si>
    <t>Eric Yuan &amp; family</t>
  </si>
  <si>
    <t>Santa Clara</t>
  </si>
  <si>
    <t>Zoom Video Communications</t>
  </si>
  <si>
    <t>Yuan</t>
  </si>
  <si>
    <t>Charles Zegar</t>
  </si>
  <si>
    <t>Zegar</t>
  </si>
  <si>
    <t>Mohed Altrad</t>
  </si>
  <si>
    <t>Montpellier</t>
  </si>
  <si>
    <t>Scaffolding, cement mixers</t>
  </si>
  <si>
    <t>Altrad</t>
  </si>
  <si>
    <t>Mohed</t>
  </si>
  <si>
    <t>John Arnold</t>
  </si>
  <si>
    <t>Centaurus Advisors</t>
  </si>
  <si>
    <t>Arnold</t>
  </si>
  <si>
    <t>Bill Austin</t>
  </si>
  <si>
    <t>Brownsville</t>
  </si>
  <si>
    <t>Hearing aids</t>
  </si>
  <si>
    <t>Chen Shibin</t>
  </si>
  <si>
    <t>Quartz products</t>
  </si>
  <si>
    <t>Shibin</t>
  </si>
  <si>
    <t>Bennett Dorrance</t>
  </si>
  <si>
    <t>Paradise Valley</t>
  </si>
  <si>
    <t>Dorrance</t>
  </si>
  <si>
    <t>Bennett</t>
  </si>
  <si>
    <t>Walter Faria</t>
  </si>
  <si>
    <t>Faria</t>
  </si>
  <si>
    <t>Walter Frey</t>
  </si>
  <si>
    <t>Küsnacht</t>
  </si>
  <si>
    <t>Frey</t>
  </si>
  <si>
    <t>Fu Liquan &amp; family</t>
  </si>
  <si>
    <t>Surveillance equipment</t>
  </si>
  <si>
    <t>Fu</t>
  </si>
  <si>
    <t>Liquan</t>
  </si>
  <si>
    <t>John Gandel</t>
  </si>
  <si>
    <t>Shopping malls</t>
  </si>
  <si>
    <t>Gandel</t>
  </si>
  <si>
    <t>Peter Gilgan</t>
  </si>
  <si>
    <t>Oakville</t>
  </si>
  <si>
    <t>Homebuilding</t>
  </si>
  <si>
    <t>Mattamy Group Corp.</t>
  </si>
  <si>
    <t>Gilgan</t>
  </si>
  <si>
    <t>Founder, CEO and Chairman</t>
  </si>
  <si>
    <t>Kwek Leng Beng</t>
  </si>
  <si>
    <t>Kwek</t>
  </si>
  <si>
    <t>Leng Beng</t>
  </si>
  <si>
    <t>Pablo Legorreta</t>
  </si>
  <si>
    <t>Sag Harbor</t>
  </si>
  <si>
    <t>Legorreta</t>
  </si>
  <si>
    <t>Pablo</t>
  </si>
  <si>
    <t>Arnon Milchan</t>
  </si>
  <si>
    <t>Movie making</t>
  </si>
  <si>
    <t>Milchan</t>
  </si>
  <si>
    <t>Arnon</t>
  </si>
  <si>
    <t>Akio Nitori</t>
  </si>
  <si>
    <t>Hokkaido</t>
  </si>
  <si>
    <t>Home furnishings</t>
  </si>
  <si>
    <t>Nitori</t>
  </si>
  <si>
    <t>Akio</t>
  </si>
  <si>
    <t>Julio Ponce Lerou</t>
  </si>
  <si>
    <t>Ponce Lerou</t>
  </si>
  <si>
    <t>Julio</t>
  </si>
  <si>
    <t>Rodger Riney &amp; family</t>
  </si>
  <si>
    <t>Scottrade, Inc.</t>
  </si>
  <si>
    <t>Riney</t>
  </si>
  <si>
    <t>Rodger</t>
  </si>
  <si>
    <t>Phil Ruffin</t>
  </si>
  <si>
    <t>Casinos, real estate</t>
  </si>
  <si>
    <t>Ruffin</t>
  </si>
  <si>
    <t>Naguib Sawiris</t>
  </si>
  <si>
    <t>Naguib</t>
  </si>
  <si>
    <t>Neil Shen</t>
  </si>
  <si>
    <t>Sequoia China</t>
  </si>
  <si>
    <t>Shen</t>
  </si>
  <si>
    <t>Gil Shwed</t>
  </si>
  <si>
    <t>Shwed</t>
  </si>
  <si>
    <t>Gil</t>
  </si>
  <si>
    <t>Stephen Smith</t>
  </si>
  <si>
    <t>Finance and investments</t>
  </si>
  <si>
    <t>Nik Storonsky</t>
  </si>
  <si>
    <t>Storonsky</t>
  </si>
  <si>
    <t>Nik</t>
  </si>
  <si>
    <t>Jeffrey Talpins</t>
  </si>
  <si>
    <t>Larchmont</t>
  </si>
  <si>
    <t>Element Capital Management</t>
  </si>
  <si>
    <t>Talpins</t>
  </si>
  <si>
    <t>Carl Thoma</t>
  </si>
  <si>
    <t>Thoma</t>
  </si>
  <si>
    <t>Todd Wanek</t>
  </si>
  <si>
    <t>St. Petersburg</t>
  </si>
  <si>
    <t>Xue Hua</t>
  </si>
  <si>
    <t>Takao Yasuda</t>
  </si>
  <si>
    <t>Yasuda</t>
  </si>
  <si>
    <t>Takao</t>
  </si>
  <si>
    <t>Karen Virginia Beckmann Legoretta</t>
  </si>
  <si>
    <t>Beckmann Legoretta</t>
  </si>
  <si>
    <t>Karen Virginia</t>
  </si>
  <si>
    <t>Giuliana Benetton</t>
  </si>
  <si>
    <t>Fashion retail, investments</t>
  </si>
  <si>
    <t>Benetton</t>
  </si>
  <si>
    <t>Giuliana</t>
  </si>
  <si>
    <t>Luciano Benetton</t>
  </si>
  <si>
    <t>Ponzano Veneto</t>
  </si>
  <si>
    <t>Luciano</t>
  </si>
  <si>
    <t>Arun Bharat Ram</t>
  </si>
  <si>
    <t>Bharat Ram</t>
  </si>
  <si>
    <t>Arun</t>
  </si>
  <si>
    <t>Ron Burkle</t>
  </si>
  <si>
    <t>Supermarkets, investments</t>
  </si>
  <si>
    <t>The Yucaipa Companies, LLC</t>
  </si>
  <si>
    <t>Burkle</t>
  </si>
  <si>
    <t>Chen Kaixuan</t>
  </si>
  <si>
    <t>Household chemicals</t>
  </si>
  <si>
    <t>Kaixuan</t>
  </si>
  <si>
    <t>Brunello Cucinelli &amp; family</t>
  </si>
  <si>
    <t>Solomeo</t>
  </si>
  <si>
    <t>Fashion</t>
  </si>
  <si>
    <t>Cucinelli</t>
  </si>
  <si>
    <t>Brunello</t>
  </si>
  <si>
    <t>Antonio Del Valle Ruiz &amp; family</t>
  </si>
  <si>
    <t>Del Valle Ruiz</t>
  </si>
  <si>
    <t>Antonio</t>
  </si>
  <si>
    <t>Gustavo Denegri &amp; family</t>
  </si>
  <si>
    <t>torino</t>
  </si>
  <si>
    <t>Denegri</t>
  </si>
  <si>
    <t>Gustavo</t>
  </si>
  <si>
    <t>Dong Jinggui</t>
  </si>
  <si>
    <t>Electric scooters</t>
  </si>
  <si>
    <t>Dong</t>
  </si>
  <si>
    <t>Jinggui</t>
  </si>
  <si>
    <t>Charles Ergen</t>
  </si>
  <si>
    <t>Satellite TV</t>
  </si>
  <si>
    <t>DISH Network</t>
  </si>
  <si>
    <t>Ergen</t>
  </si>
  <si>
    <t>David Filo</t>
  </si>
  <si>
    <t>Yahoo</t>
  </si>
  <si>
    <t>Yahoo!</t>
  </si>
  <si>
    <t>Filo</t>
  </si>
  <si>
    <t>Chief Yahoo</t>
  </si>
  <si>
    <t>Lindsay Fox</t>
  </si>
  <si>
    <t>Logistics, real estate</t>
  </si>
  <si>
    <t>Fox</t>
  </si>
  <si>
    <t>Lindsay</t>
  </si>
  <si>
    <t>Sergei Galitsky</t>
  </si>
  <si>
    <t>Krasnodar</t>
  </si>
  <si>
    <t>Galitsky</t>
  </si>
  <si>
    <t>Sergei</t>
  </si>
  <si>
    <t>Senapathy Gopalakrishnan</t>
  </si>
  <si>
    <t>Gopalakrishnan</t>
  </si>
  <si>
    <t>Senapathy</t>
  </si>
  <si>
    <t>Luciano Hang</t>
  </si>
  <si>
    <t>Brusque</t>
  </si>
  <si>
    <t>Department stores</t>
  </si>
  <si>
    <t>Michael Hintze</t>
  </si>
  <si>
    <t>Investment</t>
  </si>
  <si>
    <t>CQS LLP</t>
  </si>
  <si>
    <t>Hintze</t>
  </si>
  <si>
    <t>Hu Baifan</t>
  </si>
  <si>
    <t>Baifan</t>
  </si>
  <si>
    <t>Hamilton James &amp; family</t>
  </si>
  <si>
    <t>Hamilton</t>
  </si>
  <si>
    <t>Lee Boo-jin</t>
  </si>
  <si>
    <t>Boo-jin</t>
  </si>
  <si>
    <t>Li Liangbin</t>
  </si>
  <si>
    <t>Xinyu</t>
  </si>
  <si>
    <t>Lithium</t>
  </si>
  <si>
    <t>Liangbin</t>
  </si>
  <si>
    <t>Liang Feng</t>
  </si>
  <si>
    <t>Feng</t>
  </si>
  <si>
    <t>Samir Mehta</t>
  </si>
  <si>
    <t>Pharmaceuticals, power</t>
  </si>
  <si>
    <t>Mehta</t>
  </si>
  <si>
    <t>Samir</t>
  </si>
  <si>
    <t>Sudhir Mehta</t>
  </si>
  <si>
    <t>Sudhir</t>
  </si>
  <si>
    <t>Aristotelis Mistakidis</t>
  </si>
  <si>
    <t>Mining, commodities</t>
  </si>
  <si>
    <t>Mistakidis</t>
  </si>
  <si>
    <t>Aristotelis</t>
  </si>
  <si>
    <t>Geoffrey Palmer</t>
  </si>
  <si>
    <t>Palmer</t>
  </si>
  <si>
    <t>Geoffrey</t>
  </si>
  <si>
    <t>Roger Penske</t>
  </si>
  <si>
    <t>Birmingham</t>
  </si>
  <si>
    <t>Cars</t>
  </si>
  <si>
    <t>Penske</t>
  </si>
  <si>
    <t>Roger</t>
  </si>
  <si>
    <t>Ravi Pillai</t>
  </si>
  <si>
    <t>Pillai</t>
  </si>
  <si>
    <t>David Rubenstein</t>
  </si>
  <si>
    <t>Bethesda</t>
  </si>
  <si>
    <t>Carlyle Group</t>
  </si>
  <si>
    <t>Rubenstein</t>
  </si>
  <si>
    <t>Cofounder and Co-executive Chairman</t>
  </si>
  <si>
    <t>Hilton Schlosberg</t>
  </si>
  <si>
    <t>Schlosberg</t>
  </si>
  <si>
    <t>Hilton</t>
  </si>
  <si>
    <t>Klaus-Peter Schulenberg</t>
  </si>
  <si>
    <t>Bremen</t>
  </si>
  <si>
    <t>Ticketing service</t>
  </si>
  <si>
    <t>Schulenberg</t>
  </si>
  <si>
    <t>Klaus-Peter</t>
  </si>
  <si>
    <t>Lynn Schusterman &amp; family</t>
  </si>
  <si>
    <t>Oil &amp; gas, investments</t>
  </si>
  <si>
    <t>Schusterman</t>
  </si>
  <si>
    <t>Lynn</t>
  </si>
  <si>
    <t>Isabella Seràgnoli</t>
  </si>
  <si>
    <t>Bologna</t>
  </si>
  <si>
    <t>Seràgnoli</t>
  </si>
  <si>
    <t>Isabella</t>
  </si>
  <si>
    <t>Shen Guojun</t>
  </si>
  <si>
    <t>Guojun</t>
  </si>
  <si>
    <t>Warren Stephens</t>
  </si>
  <si>
    <t>Little Rock</t>
  </si>
  <si>
    <t>Investment banking</t>
  </si>
  <si>
    <t>Pat Stryker</t>
  </si>
  <si>
    <t>Fort Collins</t>
  </si>
  <si>
    <t>Pat</t>
  </si>
  <si>
    <t>Roman Trotsenko</t>
  </si>
  <si>
    <t>Transport, engineering, real estate</t>
  </si>
  <si>
    <t>Trotsenko</t>
  </si>
  <si>
    <t>Harald Tschira</t>
  </si>
  <si>
    <t>Tschira</t>
  </si>
  <si>
    <t>Harald</t>
  </si>
  <si>
    <t>Udo Tschira</t>
  </si>
  <si>
    <t>Wiesloch</t>
  </si>
  <si>
    <t>Udo</t>
  </si>
  <si>
    <t>Vincent Viola</t>
  </si>
  <si>
    <t>Electronic trading</t>
  </si>
  <si>
    <t>Viola</t>
  </si>
  <si>
    <t>Wu Shaoxun</t>
  </si>
  <si>
    <t>Daye</t>
  </si>
  <si>
    <t>Wine</t>
  </si>
  <si>
    <t>Shaoxun</t>
  </si>
  <si>
    <t>Steve Wynn</t>
  </si>
  <si>
    <t>Casinos, hotels</t>
  </si>
  <si>
    <t>Wynn Resorts</t>
  </si>
  <si>
    <t>Wynn</t>
  </si>
  <si>
    <t>Jon Yarbrough</t>
  </si>
  <si>
    <t>Yarbrough</t>
  </si>
  <si>
    <t>Zhou Bajin</t>
  </si>
  <si>
    <t>Bajin</t>
  </si>
  <si>
    <t>Cho Tak Wong</t>
  </si>
  <si>
    <t>Fuqing</t>
  </si>
  <si>
    <t>Tak Wong</t>
  </si>
  <si>
    <t>John Coates</t>
  </si>
  <si>
    <t>Stoke-On-Trent</t>
  </si>
  <si>
    <t>Ryan Cohen</t>
  </si>
  <si>
    <t>Deng Wen</t>
  </si>
  <si>
    <t>Deng</t>
  </si>
  <si>
    <t>Wen</t>
  </si>
  <si>
    <t>Gurbachan Singh Dhingra</t>
  </si>
  <si>
    <t>Dhingra</t>
  </si>
  <si>
    <t>Gurbachan Singh</t>
  </si>
  <si>
    <t>Kuldip Singh Dhingra</t>
  </si>
  <si>
    <t>Kuldip Singh</t>
  </si>
  <si>
    <t>Martin Ebner</t>
  </si>
  <si>
    <t>Wilen</t>
  </si>
  <si>
    <t>Ebner</t>
  </si>
  <si>
    <t>Charles Edelstenne</t>
  </si>
  <si>
    <t>Edelstenne</t>
  </si>
  <si>
    <t>Sergei Gordeev</t>
  </si>
  <si>
    <t>Gordeev</t>
  </si>
  <si>
    <t>Jeff T. Green</t>
  </si>
  <si>
    <t>Newbury Park</t>
  </si>
  <si>
    <t>Digital advertising</t>
  </si>
  <si>
    <t>Jeff T.</t>
  </si>
  <si>
    <t>Reed Hastings</t>
  </si>
  <si>
    <t>Santa Cruz</t>
  </si>
  <si>
    <t>Netflix</t>
  </si>
  <si>
    <t>Hastings</t>
  </si>
  <si>
    <t>Reed</t>
  </si>
  <si>
    <t>Bertil Hult</t>
  </si>
  <si>
    <t>Education</t>
  </si>
  <si>
    <t>Hult</t>
  </si>
  <si>
    <t>Bertil</t>
  </si>
  <si>
    <t>Miguel Krigsner</t>
  </si>
  <si>
    <t>Sao Jose dos Pinhais</t>
  </si>
  <si>
    <t>Cosmetics</t>
  </si>
  <si>
    <t>Krigsner</t>
  </si>
  <si>
    <t>Miguel</t>
  </si>
  <si>
    <t>Kuok Khoon Hong</t>
  </si>
  <si>
    <t>Palm oil</t>
  </si>
  <si>
    <t>Khoon Hong</t>
  </si>
  <si>
    <t>Aerin Lauder</t>
  </si>
  <si>
    <t>Aerin</t>
  </si>
  <si>
    <t>Sheldon Lavin</t>
  </si>
  <si>
    <t>Highland Park</t>
  </si>
  <si>
    <t>Meat processing</t>
  </si>
  <si>
    <t>Lavin</t>
  </si>
  <si>
    <t>Sheldon</t>
  </si>
  <si>
    <t>Yin Yee Lee</t>
  </si>
  <si>
    <t>Yin Yee</t>
  </si>
  <si>
    <t>Vladimir Litvinenko &amp; family</t>
  </si>
  <si>
    <t>Chemical industry</t>
  </si>
  <si>
    <t>Litvinenko</t>
  </si>
  <si>
    <t>Daniel Mate</t>
  </si>
  <si>
    <t>Kanton Schwyz</t>
  </si>
  <si>
    <t>Mate</t>
  </si>
  <si>
    <t>Ravi Modi</t>
  </si>
  <si>
    <t>Readymade garments</t>
  </si>
  <si>
    <t>Modi</t>
  </si>
  <si>
    <t>Farhad Moshiri</t>
  </si>
  <si>
    <t>Moshiri</t>
  </si>
  <si>
    <t>Farhad</t>
  </si>
  <si>
    <t>Jonathan Nelson</t>
  </si>
  <si>
    <t>Providence</t>
  </si>
  <si>
    <t>Providence Equity Partners</t>
  </si>
  <si>
    <t>Nelson</t>
  </si>
  <si>
    <t xml:space="preserve">Executive Chairman </t>
  </si>
  <si>
    <t>Rhode Island</t>
  </si>
  <si>
    <t>Or Wai Sheun</t>
  </si>
  <si>
    <t>Or</t>
  </si>
  <si>
    <t>Wai Sheun</t>
  </si>
  <si>
    <t>Katharina Otto-Bernstein</t>
  </si>
  <si>
    <t>Otto-Bernstein</t>
  </si>
  <si>
    <t>Katharina</t>
  </si>
  <si>
    <t>Sergei Popov</t>
  </si>
  <si>
    <t>Popov</t>
  </si>
  <si>
    <t>Penny Pritzker</t>
  </si>
  <si>
    <t>Inspired Capital</t>
  </si>
  <si>
    <t>Penny</t>
  </si>
  <si>
    <t>Theodore Rachmat</t>
  </si>
  <si>
    <t>Rachmat</t>
  </si>
  <si>
    <t>Theodore</t>
  </si>
  <si>
    <t>Renzo Rosso &amp; family</t>
  </si>
  <si>
    <t>Bassano del Grappa</t>
  </si>
  <si>
    <t>Rosso</t>
  </si>
  <si>
    <t>Renzo</t>
  </si>
  <si>
    <t>Friede Springer</t>
  </si>
  <si>
    <t>Berlin</t>
  </si>
  <si>
    <t>Springer</t>
  </si>
  <si>
    <t>Friede</t>
  </si>
  <si>
    <t>Rita Tong Liu</t>
  </si>
  <si>
    <t>Tong Liu</t>
  </si>
  <si>
    <t>Rita</t>
  </si>
  <si>
    <t>Timur Turlov</t>
  </si>
  <si>
    <t>Stock brokerage</t>
  </si>
  <si>
    <t>Turlov</t>
  </si>
  <si>
    <t>Frank VanderSloot</t>
  </si>
  <si>
    <t>Idaho Falls</t>
  </si>
  <si>
    <t>Nutrition, wellness products</t>
  </si>
  <si>
    <t>VanderSloot</t>
  </si>
  <si>
    <t>Idaho</t>
  </si>
  <si>
    <t>Yoo Jung-hyun</t>
  </si>
  <si>
    <t>Jeju-do</t>
  </si>
  <si>
    <t>Yoo</t>
  </si>
  <si>
    <t>Jung-hyun</t>
  </si>
  <si>
    <t>Abdulla bin Ahmad Al Ghurair &amp; family</t>
  </si>
  <si>
    <t>Al Ghurair</t>
  </si>
  <si>
    <t>Abdulla bin Ahmad</t>
  </si>
  <si>
    <t>Athlete</t>
  </si>
  <si>
    <t>Semahat Sevim Arsel</t>
  </si>
  <si>
    <t>Arsel</t>
  </si>
  <si>
    <t>Semahat Sevim</t>
  </si>
  <si>
    <t>Nicolas Berggruen</t>
  </si>
  <si>
    <t>Berggruen</t>
  </si>
  <si>
    <t>George Bishop</t>
  </si>
  <si>
    <t>The Woodlands</t>
  </si>
  <si>
    <t>Bishop</t>
  </si>
  <si>
    <t>Norman Braman</t>
  </si>
  <si>
    <t>Art, car dealerships</t>
  </si>
  <si>
    <t>Braman</t>
  </si>
  <si>
    <t>Norman</t>
  </si>
  <si>
    <t>Eva Maria Bucher-Haefner</t>
  </si>
  <si>
    <t>Bucher-Haefner</t>
  </si>
  <si>
    <t>Eva Maria</t>
  </si>
  <si>
    <t>Cai Dongchen</t>
  </si>
  <si>
    <t>Luancheng</t>
  </si>
  <si>
    <t>Dongchen</t>
  </si>
  <si>
    <t>Jean-Pierre Cayard</t>
  </si>
  <si>
    <t>Cayard</t>
  </si>
  <si>
    <t>Jean-Pierre</t>
  </si>
  <si>
    <t>Chan Tan Ching-fen</t>
  </si>
  <si>
    <t>Tan Ching-fen</t>
  </si>
  <si>
    <t>Todd Christopher</t>
  </si>
  <si>
    <t>Clearwater</t>
  </si>
  <si>
    <t>Hair care products</t>
  </si>
  <si>
    <t>Mang Yee Chu &amp; family</t>
  </si>
  <si>
    <t>Chu</t>
  </si>
  <si>
    <t>Mang Yee</t>
  </si>
  <si>
    <t>William Conway, Jr.</t>
  </si>
  <si>
    <t>McLean</t>
  </si>
  <si>
    <t>Conway</t>
  </si>
  <si>
    <t>Co-Chief Executive Officer and Co-founder</t>
  </si>
  <si>
    <t>Jean Coutu &amp; family</t>
  </si>
  <si>
    <t>Jean Coutu Group (PJC) Inc. (Cl A)</t>
  </si>
  <si>
    <t>Coutu</t>
  </si>
  <si>
    <t>Catheline Perier D'Ieteren</t>
  </si>
  <si>
    <t>Catheline Perier</t>
  </si>
  <si>
    <t>Edward DeBartolo, Jr.</t>
  </si>
  <si>
    <t>Tampa</t>
  </si>
  <si>
    <t>Shopping centers</t>
  </si>
  <si>
    <t>DeBartolo</t>
  </si>
  <si>
    <t>Stephen Deckoff</t>
  </si>
  <si>
    <t>St. John</t>
  </si>
  <si>
    <t>Deckoff</t>
  </si>
  <si>
    <t>U.S. Virgin Islands</t>
  </si>
  <si>
    <t>U.S. Territories</t>
  </si>
  <si>
    <t>Feng Hailiang</t>
  </si>
  <si>
    <t>Zhuji</t>
  </si>
  <si>
    <t>Copper, education</t>
  </si>
  <si>
    <t>Hailiang</t>
  </si>
  <si>
    <t>Ernest Garcia, II.</t>
  </si>
  <si>
    <t>Tempe</t>
  </si>
  <si>
    <t>Used cars</t>
  </si>
  <si>
    <t>Garcia</t>
  </si>
  <si>
    <t>Ernest</t>
  </si>
  <si>
    <t>Sam Goi</t>
  </si>
  <si>
    <t>Goi</t>
  </si>
  <si>
    <t>Carlos Hank Rhon</t>
  </si>
  <si>
    <t>Hank Rhon</t>
  </si>
  <si>
    <t>Susan Carol Holland</t>
  </si>
  <si>
    <t>Holland</t>
  </si>
  <si>
    <t>Susan Carol</t>
  </si>
  <si>
    <t>Hui Ka Yan</t>
  </si>
  <si>
    <t>Hui</t>
  </si>
  <si>
    <t>Ka Yan</t>
  </si>
  <si>
    <t>Vivek Jain</t>
  </si>
  <si>
    <t>Jain</t>
  </si>
  <si>
    <t>Vivek</t>
  </si>
  <si>
    <t>Friedrich Knapp</t>
  </si>
  <si>
    <t>Brunswick</t>
  </si>
  <si>
    <t>Knapp</t>
  </si>
  <si>
    <t>Friedrich</t>
  </si>
  <si>
    <t>Egor Kulkov</t>
  </si>
  <si>
    <t>Grimisuat</t>
  </si>
  <si>
    <t>Kulkov</t>
  </si>
  <si>
    <t>Egor</t>
  </si>
  <si>
    <t>Lin Ming-hsiung</t>
  </si>
  <si>
    <t>Ming-hsiung</t>
  </si>
  <si>
    <t>Lin Xiucheng &amp; family</t>
  </si>
  <si>
    <t>Xiucheng</t>
  </si>
  <si>
    <t>Harsh Mariwala</t>
  </si>
  <si>
    <t>Mariwala</t>
  </si>
  <si>
    <t>Harsh</t>
  </si>
  <si>
    <t>Gilles Martin</t>
  </si>
  <si>
    <t>Nantes</t>
  </si>
  <si>
    <t>Laboratory services</t>
  </si>
  <si>
    <t>Gilles</t>
  </si>
  <si>
    <t>Maja Oeri</t>
  </si>
  <si>
    <t>Oeri</t>
  </si>
  <si>
    <t>Maja</t>
  </si>
  <si>
    <t>John Paulson</t>
  </si>
  <si>
    <t>Paulson &amp; Co. Inc.</t>
  </si>
  <si>
    <t>Paulson</t>
  </si>
  <si>
    <t>Ajay Piramal</t>
  </si>
  <si>
    <t>Piramal</t>
  </si>
  <si>
    <t>Ajay</t>
  </si>
  <si>
    <t>Guanghe Qiu &amp; family</t>
  </si>
  <si>
    <t>Qiu</t>
  </si>
  <si>
    <t>Guanghe</t>
  </si>
  <si>
    <t>Stephen Rubin</t>
  </si>
  <si>
    <t>Robert Sands</t>
  </si>
  <si>
    <t>Sands</t>
  </si>
  <si>
    <t>Erik Selin</t>
  </si>
  <si>
    <t>Göteborg</t>
  </si>
  <si>
    <t>Selin</t>
  </si>
  <si>
    <t>Erik</t>
  </si>
  <si>
    <t>Yonghong Shi &amp; family</t>
  </si>
  <si>
    <t>Yonghong</t>
  </si>
  <si>
    <t>Martua Sitorus</t>
  </si>
  <si>
    <t>Sitorus</t>
  </si>
  <si>
    <t>Martua</t>
  </si>
  <si>
    <t>Guangxin Sun</t>
  </si>
  <si>
    <t>Urumqi</t>
  </si>
  <si>
    <t>Guangxin</t>
  </si>
  <si>
    <t>Sukanto Tanoto</t>
  </si>
  <si>
    <t>Tanoto</t>
  </si>
  <si>
    <t>Sukanto</t>
  </si>
  <si>
    <t>Sunny Varkey</t>
  </si>
  <si>
    <t>Varkey</t>
  </si>
  <si>
    <t>Sunny</t>
  </si>
  <si>
    <t>Gang Ye</t>
  </si>
  <si>
    <t>Ye</t>
  </si>
  <si>
    <t>Gang</t>
  </si>
  <si>
    <t>Ye Xiaoping</t>
  </si>
  <si>
    <t>Lei Zhang</t>
  </si>
  <si>
    <t>Zhu Gongshan &amp; family</t>
  </si>
  <si>
    <t>Solar panel materials</t>
  </si>
  <si>
    <t>Gongshan</t>
  </si>
  <si>
    <t>Isak Andic &amp; family</t>
  </si>
  <si>
    <t>Barcelona</t>
  </si>
  <si>
    <t>Andic</t>
  </si>
  <si>
    <t>Isak</t>
  </si>
  <si>
    <t>Alberto Bombassei</t>
  </si>
  <si>
    <t>Bergamo</t>
  </si>
  <si>
    <t>Automotive brakes</t>
  </si>
  <si>
    <t>Bombassei</t>
  </si>
  <si>
    <t>Alberto</t>
  </si>
  <si>
    <t>Cao Longxiang &amp; family</t>
  </si>
  <si>
    <t>Taixing</t>
  </si>
  <si>
    <t>Longxiang</t>
  </si>
  <si>
    <t>Roy Carroll, II.</t>
  </si>
  <si>
    <t>Greensboro</t>
  </si>
  <si>
    <t>Carroll</t>
  </si>
  <si>
    <t>Roy</t>
  </si>
  <si>
    <t>John Caudwell</t>
  </si>
  <si>
    <t>Mobile phones</t>
  </si>
  <si>
    <t>Caudwell</t>
  </si>
  <si>
    <t>James Clark</t>
  </si>
  <si>
    <t>Netscape, investments</t>
  </si>
  <si>
    <t>Netscape Communications Corporation</t>
  </si>
  <si>
    <t>Clark</t>
  </si>
  <si>
    <t>Jacques D'Amours</t>
  </si>
  <si>
    <t>Convenience stores</t>
  </si>
  <si>
    <t>D'Amours</t>
  </si>
  <si>
    <t>Vice President and Cofounder</t>
  </si>
  <si>
    <t>John Paul DeJoria</t>
  </si>
  <si>
    <t>Hair products, tequila</t>
  </si>
  <si>
    <t>DeJoria</t>
  </si>
  <si>
    <t>John Paul</t>
  </si>
  <si>
    <t>Bernard Ecclestone &amp; family</t>
  </si>
  <si>
    <t>Formula One</t>
  </si>
  <si>
    <t>Ecclestone</t>
  </si>
  <si>
    <t>Michael Federmann &amp; family</t>
  </si>
  <si>
    <t>Defense, hotels</t>
  </si>
  <si>
    <t>Federmann</t>
  </si>
  <si>
    <t>Kenneth Feld &amp; family</t>
  </si>
  <si>
    <t>Sarasota</t>
  </si>
  <si>
    <t>Live entertainment</t>
  </si>
  <si>
    <t>Feld Entertainment</t>
  </si>
  <si>
    <t>Feld</t>
  </si>
  <si>
    <t>Gu Yuhua &amp; family</t>
  </si>
  <si>
    <t>Gu</t>
  </si>
  <si>
    <t>Yuhua</t>
  </si>
  <si>
    <t>Otto Happel</t>
  </si>
  <si>
    <t>Luzerne</t>
  </si>
  <si>
    <t>Engineering</t>
  </si>
  <si>
    <t>Happel</t>
  </si>
  <si>
    <t>Gudrun Heine</t>
  </si>
  <si>
    <t>Ohningen</t>
  </si>
  <si>
    <t>Heine</t>
  </si>
  <si>
    <t>Gudrun</t>
  </si>
  <si>
    <t>Donald Horton &amp; family</t>
  </si>
  <si>
    <t>Horton</t>
  </si>
  <si>
    <t>Zarakh Iliev</t>
  </si>
  <si>
    <t>Iliev</t>
  </si>
  <si>
    <t>Zarakh</t>
  </si>
  <si>
    <t>Ipek Kirac</t>
  </si>
  <si>
    <t>Kirac</t>
  </si>
  <si>
    <t>Ipek</t>
  </si>
  <si>
    <t>Lee Seo-hyun</t>
  </si>
  <si>
    <t>Seo-hyun</t>
  </si>
  <si>
    <t>Li Jianquan &amp; family</t>
  </si>
  <si>
    <t>Consumer products</t>
  </si>
  <si>
    <t>Jianquan</t>
  </si>
  <si>
    <t>Li Li</t>
  </si>
  <si>
    <t>Li Xiaohua &amp; family</t>
  </si>
  <si>
    <t>Xiaohua</t>
  </si>
  <si>
    <t>Liu Xiaodong</t>
  </si>
  <si>
    <t>Xiaodong</t>
  </si>
  <si>
    <t>Martin Lorentzon</t>
  </si>
  <si>
    <t>Spotify</t>
  </si>
  <si>
    <t>Lorentzon</t>
  </si>
  <si>
    <t>Ronald McAulay</t>
  </si>
  <si>
    <t>McAulay</t>
  </si>
  <si>
    <t>Erwin Franz Mueller</t>
  </si>
  <si>
    <t>Erwin Franz</t>
  </si>
  <si>
    <t>Georg Nemetschek &amp; family</t>
  </si>
  <si>
    <t>Nemetschek</t>
  </si>
  <si>
    <t>God Nisanov</t>
  </si>
  <si>
    <t>Nisanov</t>
  </si>
  <si>
    <t>God</t>
  </si>
  <si>
    <t>Vikas Oberoi</t>
  </si>
  <si>
    <t>Oberoi</t>
  </si>
  <si>
    <t>Vikas</t>
  </si>
  <si>
    <t>Gregorio Perez Companc &amp; family</t>
  </si>
  <si>
    <t>Perez Companc</t>
  </si>
  <si>
    <t>Gregorio</t>
  </si>
  <si>
    <t>Sebastian Piñera &amp; family</t>
  </si>
  <si>
    <t>Piñera</t>
  </si>
  <si>
    <t>Sebastian</t>
  </si>
  <si>
    <t>Arvind Poddar</t>
  </si>
  <si>
    <t>Tires</t>
  </si>
  <si>
    <t>Poddar</t>
  </si>
  <si>
    <t>Arvind</t>
  </si>
  <si>
    <t>Alexey Repik</t>
  </si>
  <si>
    <t>Repik</t>
  </si>
  <si>
    <t>Haim Saban</t>
  </si>
  <si>
    <t>TV network, investments</t>
  </si>
  <si>
    <t>Saban</t>
  </si>
  <si>
    <t>Haim</t>
  </si>
  <si>
    <t>Rodney Sacks</t>
  </si>
  <si>
    <t>Laguna Beach</t>
  </si>
  <si>
    <t>Monster Beverage</t>
  </si>
  <si>
    <t>Sacks</t>
  </si>
  <si>
    <t>Rodney</t>
  </si>
  <si>
    <t>Karthik Sarma</t>
  </si>
  <si>
    <t>Sarma</t>
  </si>
  <si>
    <t>Karthik</t>
  </si>
  <si>
    <t>Sybill Storz</t>
  </si>
  <si>
    <t>Leipzig</t>
  </si>
  <si>
    <t>Storz</t>
  </si>
  <si>
    <t>Sybill</t>
  </si>
  <si>
    <t>Daniel Sundheim</t>
  </si>
  <si>
    <t>Sundheim</t>
  </si>
  <si>
    <t>William Wrigley, Jr.</t>
  </si>
  <si>
    <t>Chewing gum</t>
  </si>
  <si>
    <t>Wrigley Management, Inc.</t>
  </si>
  <si>
    <t>Wrigley</t>
  </si>
  <si>
    <t>Zhang Wenzhong</t>
  </si>
  <si>
    <t>Wenzhong</t>
  </si>
  <si>
    <t>Zhou Jianping</t>
  </si>
  <si>
    <t>Jiangyin</t>
  </si>
  <si>
    <t>Jianping</t>
  </si>
  <si>
    <t>Joy Alukkas</t>
  </si>
  <si>
    <t>Cochin</t>
  </si>
  <si>
    <t>Jewelry</t>
  </si>
  <si>
    <t>Alukkas</t>
  </si>
  <si>
    <t>Joy</t>
  </si>
  <si>
    <t>Kang An</t>
  </si>
  <si>
    <t>Xinxiang</t>
  </si>
  <si>
    <t>An</t>
  </si>
  <si>
    <t>Garrett Camp</t>
  </si>
  <si>
    <t>Camp</t>
  </si>
  <si>
    <t>Garrett</t>
  </si>
  <si>
    <t>Cofounder and Chairman</t>
  </si>
  <si>
    <t>Chen Lip Keong</t>
  </si>
  <si>
    <t>Cambodia</t>
  </si>
  <si>
    <t>Phnom Penh</t>
  </si>
  <si>
    <t>Casinos, property, energy</t>
  </si>
  <si>
    <t>Lip Keong</t>
  </si>
  <si>
    <t>Choo Chong Ngen</t>
  </si>
  <si>
    <t>Choo</t>
  </si>
  <si>
    <t>Chong Ngen</t>
  </si>
  <si>
    <t>Euisun Chung</t>
  </si>
  <si>
    <t>Hyundai Motor Co. Ltd.</t>
  </si>
  <si>
    <t>Euisun</t>
  </si>
  <si>
    <t>Smita Crishna-Godrej</t>
  </si>
  <si>
    <t>Crishna-Godrej</t>
  </si>
  <si>
    <t>Smita</t>
  </si>
  <si>
    <t>Eleanor Butt Crook &amp; family</t>
  </si>
  <si>
    <t>San Marcos</t>
  </si>
  <si>
    <t>Crook</t>
  </si>
  <si>
    <t>Eleanor Butt</t>
  </si>
  <si>
    <t>Du Jiangtao &amp; family</t>
  </si>
  <si>
    <t>Du</t>
  </si>
  <si>
    <t>Jiangtao</t>
  </si>
  <si>
    <t>Lorenzo Fertitta</t>
  </si>
  <si>
    <t>Casinos, mixed martial arts</t>
  </si>
  <si>
    <t>Lorenzo</t>
  </si>
  <si>
    <t>Sebastian Glaser</t>
  </si>
  <si>
    <t>Sensor technology</t>
  </si>
  <si>
    <t>Glaser</t>
  </si>
  <si>
    <t>Adi Godrej</t>
  </si>
  <si>
    <t>Godrej</t>
  </si>
  <si>
    <t>Adi</t>
  </si>
  <si>
    <t>Jamshyd Godrej</t>
  </si>
  <si>
    <t>Jamshyd</t>
  </si>
  <si>
    <t>Lee Yeow Chor</t>
  </si>
  <si>
    <t>Palm oil, property</t>
  </si>
  <si>
    <t>Yeow Chor</t>
  </si>
  <si>
    <t>Li Weiguo</t>
  </si>
  <si>
    <t>Construction materials</t>
  </si>
  <si>
    <t>Weiguo</t>
  </si>
  <si>
    <t>Dmitry Mazepin</t>
  </si>
  <si>
    <t>Mazepin</t>
  </si>
  <si>
    <t>Drayton McLane, Jr.</t>
  </si>
  <si>
    <t>Temple</t>
  </si>
  <si>
    <t>Walmart, logistics</t>
  </si>
  <si>
    <t>McLane</t>
  </si>
  <si>
    <t>Drayton</t>
  </si>
  <si>
    <t>Najib Mikati</t>
  </si>
  <si>
    <t>Lebanon</t>
  </si>
  <si>
    <t>Beirut</t>
  </si>
  <si>
    <t>Mikati</t>
  </si>
  <si>
    <t>Najib</t>
  </si>
  <si>
    <t>Taha Mikati</t>
  </si>
  <si>
    <t>Taha</t>
  </si>
  <si>
    <t>Akira Mori &amp; family</t>
  </si>
  <si>
    <t>Mori</t>
  </si>
  <si>
    <t>Akira</t>
  </si>
  <si>
    <t>Rishad Naoroji</t>
  </si>
  <si>
    <t>Naoroji</t>
  </si>
  <si>
    <t>Rishad</t>
  </si>
  <si>
    <t>Philip Niarchos</t>
  </si>
  <si>
    <t>Art collection</t>
  </si>
  <si>
    <t>Niarchos</t>
  </si>
  <si>
    <t>Nandan Nilekani</t>
  </si>
  <si>
    <t>Nilekani</t>
  </si>
  <si>
    <t>Nandan</t>
  </si>
  <si>
    <t>Benjamin Otto</t>
  </si>
  <si>
    <t>Benjamin</t>
  </si>
  <si>
    <t>Maren Otto</t>
  </si>
  <si>
    <t>Maren</t>
  </si>
  <si>
    <t>Ranjan Pai</t>
  </si>
  <si>
    <t>Pai</t>
  </si>
  <si>
    <t>Ranjan</t>
  </si>
  <si>
    <t>Madhukar Parekh</t>
  </si>
  <si>
    <t>Adhesives</t>
  </si>
  <si>
    <t>Parekh</t>
  </si>
  <si>
    <t>Madhukar</t>
  </si>
  <si>
    <t>Sean Parker</t>
  </si>
  <si>
    <t>Parker</t>
  </si>
  <si>
    <t>Sean</t>
  </si>
  <si>
    <t>Stewart Rahr</t>
  </si>
  <si>
    <t>Drug distribution</t>
  </si>
  <si>
    <t>Rahr</t>
  </si>
  <si>
    <t>Su Hua</t>
  </si>
  <si>
    <t>Video streaming</t>
  </si>
  <si>
    <t>Sun Shoukuan</t>
  </si>
  <si>
    <t>Yingkou</t>
  </si>
  <si>
    <t>Metals, coal</t>
  </si>
  <si>
    <t>Shoukuan</t>
  </si>
  <si>
    <t>Tseng Cheng</t>
  </si>
  <si>
    <t>Tseng</t>
  </si>
  <si>
    <t>Tung Chee Hwa</t>
  </si>
  <si>
    <t>Chee Hwa</t>
  </si>
  <si>
    <t>Meg Whitman</t>
  </si>
  <si>
    <t>Quibi</t>
  </si>
  <si>
    <t>Whitman</t>
  </si>
  <si>
    <t>Meg</t>
  </si>
  <si>
    <t>Wong Luen Hei</t>
  </si>
  <si>
    <t>Building materials</t>
  </si>
  <si>
    <t>Wong</t>
  </si>
  <si>
    <t>Luen Hei</t>
  </si>
  <si>
    <t>Chenghai Ye &amp; family</t>
  </si>
  <si>
    <t>Chenghai</t>
  </si>
  <si>
    <t>Zhu Xingming</t>
  </si>
  <si>
    <t>Xingming</t>
  </si>
  <si>
    <t>Jose Joao Abdalla Filho</t>
  </si>
  <si>
    <t>Abdalla Filho</t>
  </si>
  <si>
    <t>Jose Joao</t>
  </si>
  <si>
    <t>Juan Abello</t>
  </si>
  <si>
    <t>Abello</t>
  </si>
  <si>
    <t>Suhail Bahwan</t>
  </si>
  <si>
    <t>Oman</t>
  </si>
  <si>
    <t>Muscat</t>
  </si>
  <si>
    <t>Bahwan</t>
  </si>
  <si>
    <t>Suhail</t>
  </si>
  <si>
    <t>Madhur Bajaj</t>
  </si>
  <si>
    <t>Madhur</t>
  </si>
  <si>
    <t>Niraj Bajaj</t>
  </si>
  <si>
    <t>Niraj</t>
  </si>
  <si>
    <t>Shekhar Bajaj</t>
  </si>
  <si>
    <t>Shekhar</t>
  </si>
  <si>
    <t>Harindarpal Banga</t>
  </si>
  <si>
    <t>Banga</t>
  </si>
  <si>
    <t>Harindarpal</t>
  </si>
  <si>
    <t>Ulrike Baro</t>
  </si>
  <si>
    <t>Baro</t>
  </si>
  <si>
    <t>Ulrike</t>
  </si>
  <si>
    <t>Anne Beaufour</t>
  </si>
  <si>
    <t>Beaufour</t>
  </si>
  <si>
    <t>Anne</t>
  </si>
  <si>
    <t>Henri Beaufour</t>
  </si>
  <si>
    <t>Henri</t>
  </si>
  <si>
    <t>Andrei Bokarev</t>
  </si>
  <si>
    <t>Metals, mining</t>
  </si>
  <si>
    <t>Bokarev</t>
  </si>
  <si>
    <t>Jack Cowin</t>
  </si>
  <si>
    <t>Fast food</t>
  </si>
  <si>
    <t>Cowin</t>
  </si>
  <si>
    <t>Glenn Dubin</t>
  </si>
  <si>
    <t>Dubin</t>
  </si>
  <si>
    <t>Glenn</t>
  </si>
  <si>
    <t>N. Murray Edwards</t>
  </si>
  <si>
    <t>Edwards</t>
  </si>
  <si>
    <t>N. Murray</t>
  </si>
  <si>
    <t>Frank Fertitta, III.</t>
  </si>
  <si>
    <t>Abhay Firodia</t>
  </si>
  <si>
    <t>Firodia</t>
  </si>
  <si>
    <t>Abhay</t>
  </si>
  <si>
    <t>Bruce Flatt</t>
  </si>
  <si>
    <t>Flatt</t>
  </si>
  <si>
    <t>Miguel Fluxa Rossello</t>
  </si>
  <si>
    <t>Esporles</t>
  </si>
  <si>
    <t>Fluxa Rossello</t>
  </si>
  <si>
    <t>Robert Friedland</t>
  </si>
  <si>
    <t>Ivanhoe Mines Ltd.</t>
  </si>
  <si>
    <t>Friedland</t>
  </si>
  <si>
    <t>Founder and Executive Chairman</t>
  </si>
  <si>
    <t>Alexander Frolov</t>
  </si>
  <si>
    <t>Mining, steel</t>
  </si>
  <si>
    <t>Frolov</t>
  </si>
  <si>
    <t>Nadir Godrej</t>
  </si>
  <si>
    <t>Nadir</t>
  </si>
  <si>
    <t>Maggie Hardy</t>
  </si>
  <si>
    <t>Belle Vernon</t>
  </si>
  <si>
    <t>Hardy Knox</t>
  </si>
  <si>
    <t>Maggie</t>
  </si>
  <si>
    <t>Nithin Kamath</t>
  </si>
  <si>
    <t>Kamath</t>
  </si>
  <si>
    <t>Nithin</t>
  </si>
  <si>
    <t>Samvel Karapetyan</t>
  </si>
  <si>
    <t>Karapetyan</t>
  </si>
  <si>
    <t>Samvel</t>
  </si>
  <si>
    <t>Kei Hoi Pang</t>
  </si>
  <si>
    <t>Kei</t>
  </si>
  <si>
    <t>Hoi Pang</t>
  </si>
  <si>
    <t>Mustafa Rahmi Koc</t>
  </si>
  <si>
    <t>Koc</t>
  </si>
  <si>
    <t>Mustafa Rahmi</t>
  </si>
  <si>
    <t>Yuri Kovalchuk &amp; family</t>
  </si>
  <si>
    <t>Banking, insurance, media</t>
  </si>
  <si>
    <t>Kovalchuk</t>
  </si>
  <si>
    <t>Geoffrey Kwok</t>
  </si>
  <si>
    <t>Kwok</t>
  </si>
  <si>
    <t>Jonathan Kwok</t>
  </si>
  <si>
    <t>Hans Langer</t>
  </si>
  <si>
    <t>Gräfelfing</t>
  </si>
  <si>
    <t>3D printing</t>
  </si>
  <si>
    <t>Langer</t>
  </si>
  <si>
    <t>Hans</t>
  </si>
  <si>
    <t>Frank Laukien</t>
  </si>
  <si>
    <t>Scientific equipment</t>
  </si>
  <si>
    <t>Laukien</t>
  </si>
  <si>
    <t>Maritsa Lazari &amp; family</t>
  </si>
  <si>
    <t>Lazari</t>
  </si>
  <si>
    <t>Maritsa</t>
  </si>
  <si>
    <t>Angela Leong</t>
  </si>
  <si>
    <t>Angela</t>
  </si>
  <si>
    <t>Li Zhongchu</t>
  </si>
  <si>
    <t>Zhongchu</t>
  </si>
  <si>
    <t>Liang Yunchao</t>
  </si>
  <si>
    <t>Nutritional supplements</t>
  </si>
  <si>
    <t>Yunchao</t>
  </si>
  <si>
    <t>Vincent McMahon</t>
  </si>
  <si>
    <t>Entertainment</t>
  </si>
  <si>
    <t>McMahon</t>
  </si>
  <si>
    <t>Patrice Motsepe</t>
  </si>
  <si>
    <t>Motsepe</t>
  </si>
  <si>
    <t>Patrice</t>
  </si>
  <si>
    <t>Denis O'Brien</t>
  </si>
  <si>
    <t>Dublin</t>
  </si>
  <si>
    <t>O'Brien</t>
  </si>
  <si>
    <t>Denis</t>
  </si>
  <si>
    <t>Timm Oberwelland</t>
  </si>
  <si>
    <t>Candy</t>
  </si>
  <si>
    <t>Oberwelland</t>
  </si>
  <si>
    <t>Timm</t>
  </si>
  <si>
    <t>Dan Olsson</t>
  </si>
  <si>
    <t>Gothenburg</t>
  </si>
  <si>
    <t>Olsson</t>
  </si>
  <si>
    <t>Yuji Otsuka</t>
  </si>
  <si>
    <t>Copy machines, software</t>
  </si>
  <si>
    <t>Otsuka</t>
  </si>
  <si>
    <t>Yuji</t>
  </si>
  <si>
    <t>Pan Dong</t>
  </si>
  <si>
    <t>Pan</t>
  </si>
  <si>
    <t>Karsanbhai Patel</t>
  </si>
  <si>
    <t>Karsanbhai</t>
  </si>
  <si>
    <t>Richard Peery</t>
  </si>
  <si>
    <t>Peery</t>
  </si>
  <si>
    <t>Gianfelice Rocca</t>
  </si>
  <si>
    <t>Pipe Manufacturing</t>
  </si>
  <si>
    <t>Rocca</t>
  </si>
  <si>
    <t>Gianfelice</t>
  </si>
  <si>
    <t>Paolo Rocca</t>
  </si>
  <si>
    <t>Paolo</t>
  </si>
  <si>
    <t>Wayne Rothbaum</t>
  </si>
  <si>
    <t>Biotech investing</t>
  </si>
  <si>
    <t>Rothbaum</t>
  </si>
  <si>
    <t>Wayne</t>
  </si>
  <si>
    <t>Jeff Rothschild</t>
  </si>
  <si>
    <t>Rothschild</t>
  </si>
  <si>
    <t>Advisor</t>
  </si>
  <si>
    <t>Raj Sardana</t>
  </si>
  <si>
    <t>Technology services</t>
  </si>
  <si>
    <t>Sardana</t>
  </si>
  <si>
    <t>Raj</t>
  </si>
  <si>
    <t>Christiane Schoeller</t>
  </si>
  <si>
    <t>Schoeller</t>
  </si>
  <si>
    <t>Christiane</t>
  </si>
  <si>
    <t>Salil Singhal</t>
  </si>
  <si>
    <t>Agrochemicals</t>
  </si>
  <si>
    <t>Singhal</t>
  </si>
  <si>
    <t>Salil</t>
  </si>
  <si>
    <t>Alexander Skorobogatko</t>
  </si>
  <si>
    <t>Real estate, airport</t>
  </si>
  <si>
    <t>Skorobogatko</t>
  </si>
  <si>
    <t>Evan Spiegel</t>
  </si>
  <si>
    <t>Snapchat</t>
  </si>
  <si>
    <t>Snap</t>
  </si>
  <si>
    <t>Spiegel</t>
  </si>
  <si>
    <t>Evan</t>
  </si>
  <si>
    <t>Glen Taylor</t>
  </si>
  <si>
    <t>Mankato</t>
  </si>
  <si>
    <t>Printing</t>
  </si>
  <si>
    <t>Glen</t>
  </si>
  <si>
    <t>Minnesota</t>
  </si>
  <si>
    <t>Thomas Tull</t>
  </si>
  <si>
    <t>Pittsburgh</t>
  </si>
  <si>
    <t>Movies, investments</t>
  </si>
  <si>
    <t>Tull</t>
  </si>
  <si>
    <t>Bulat Utemuratov</t>
  </si>
  <si>
    <t>Nur-Sultan</t>
  </si>
  <si>
    <t>Mining, banking, hotels</t>
  </si>
  <si>
    <t>Utemuratov</t>
  </si>
  <si>
    <t>Bulat</t>
  </si>
  <si>
    <t>Gustav Magnar Witzoe</t>
  </si>
  <si>
    <t>Kverva</t>
  </si>
  <si>
    <t>Fish farming</t>
  </si>
  <si>
    <t>Witzoe</t>
  </si>
  <si>
    <t>Gustav Magnar</t>
  </si>
  <si>
    <t>Wong Man Li</t>
  </si>
  <si>
    <t>Man Li</t>
  </si>
  <si>
    <t>Guangming Wu</t>
  </si>
  <si>
    <t>Danyang</t>
  </si>
  <si>
    <t>Guangming</t>
  </si>
  <si>
    <t>Zhu Yi</t>
  </si>
  <si>
    <t xml:space="preserve">Zhu </t>
  </si>
  <si>
    <t xml:space="preserve">Yi </t>
  </si>
  <si>
    <t>Ben Ashkenazy</t>
  </si>
  <si>
    <t>Ashkenazy</t>
  </si>
  <si>
    <t>Felix Baker</t>
  </si>
  <si>
    <t>Baker</t>
  </si>
  <si>
    <t>Felix</t>
  </si>
  <si>
    <t>Julian Baker</t>
  </si>
  <si>
    <t>Julian</t>
  </si>
  <si>
    <t>David Baszucki</t>
  </si>
  <si>
    <t>Baszucki</t>
  </si>
  <si>
    <t>Joesley Batista</t>
  </si>
  <si>
    <t>Beef processing</t>
  </si>
  <si>
    <t>Batista</t>
  </si>
  <si>
    <t>Joesley</t>
  </si>
  <si>
    <t>Wesley Batista</t>
  </si>
  <si>
    <t>Beef packing</t>
  </si>
  <si>
    <t>Yvonne Bauer</t>
  </si>
  <si>
    <t>Magazines, media</t>
  </si>
  <si>
    <t>Bauer</t>
  </si>
  <si>
    <t>Yvonne</t>
  </si>
  <si>
    <t>Miriam Baumann-Blocher</t>
  </si>
  <si>
    <t>Rheinfelden</t>
  </si>
  <si>
    <t>Baumann-Blocher</t>
  </si>
  <si>
    <t>Cen Junda</t>
  </si>
  <si>
    <t>Cen</t>
  </si>
  <si>
    <t>Junda</t>
  </si>
  <si>
    <t>Richard Chandler</t>
  </si>
  <si>
    <t>Chandler</t>
  </si>
  <si>
    <t>Chen Zhiping</t>
  </si>
  <si>
    <t>E-cigarettes</t>
  </si>
  <si>
    <t>Zhiping</t>
  </si>
  <si>
    <t>Fernando Chico Pardo</t>
  </si>
  <si>
    <t>Airport management</t>
  </si>
  <si>
    <t>Chico Pardo</t>
  </si>
  <si>
    <t>Fernando</t>
  </si>
  <si>
    <t>Ray Davis</t>
  </si>
  <si>
    <t>Maria Del Pino</t>
  </si>
  <si>
    <t>Deng Weiming &amp; family</t>
  </si>
  <si>
    <t>Battery components</t>
  </si>
  <si>
    <t>Weiming</t>
  </si>
  <si>
    <t>John Dorrance, III.</t>
  </si>
  <si>
    <t>Carl Douglas</t>
  </si>
  <si>
    <t>Eric Douglas</t>
  </si>
  <si>
    <t>Fiona Geminder</t>
  </si>
  <si>
    <t>Geminder</t>
  </si>
  <si>
    <t>Fiona</t>
  </si>
  <si>
    <t>Stewart Horejsi &amp; family</t>
  </si>
  <si>
    <t>Horejsi</t>
  </si>
  <si>
    <t>Hou Juncheng</t>
  </si>
  <si>
    <t>Hou</t>
  </si>
  <si>
    <t>Juncheng</t>
  </si>
  <si>
    <t>Zhenda Huang &amp; family</t>
  </si>
  <si>
    <t>Shantou</t>
  </si>
  <si>
    <t>Zhenda</t>
  </si>
  <si>
    <t>Dmitry Kamenshchik</t>
  </si>
  <si>
    <t>Airport</t>
  </si>
  <si>
    <t>Kamenshchik</t>
  </si>
  <si>
    <t>Alicia Koplowitz</t>
  </si>
  <si>
    <t>Koplowitz</t>
  </si>
  <si>
    <t>Alicia</t>
  </si>
  <si>
    <t>Adam Kwok</t>
  </si>
  <si>
    <t>Adam</t>
  </si>
  <si>
    <t>Henry Laufer</t>
  </si>
  <si>
    <t>Lake Worth</t>
  </si>
  <si>
    <t>Laufer</t>
  </si>
  <si>
    <t>Louis Le Duff</t>
  </si>
  <si>
    <t>Bakeries</t>
  </si>
  <si>
    <t>Le Duff</t>
  </si>
  <si>
    <t>Louis</t>
  </si>
  <si>
    <t>Mark Leonard &amp; family</t>
  </si>
  <si>
    <t>Li Guoqiang</t>
  </si>
  <si>
    <t>Auto dealerships</t>
  </si>
  <si>
    <t>Guoqiang</t>
  </si>
  <si>
    <t>Li Yongxin</t>
  </si>
  <si>
    <t>Yongxin</t>
  </si>
  <si>
    <t>Peter Lim</t>
  </si>
  <si>
    <t>Lu Weiding</t>
  </si>
  <si>
    <t>Weiding</t>
  </si>
  <si>
    <t>Sergio Mantegazza</t>
  </si>
  <si>
    <t>Lugano</t>
  </si>
  <si>
    <t>Travel</t>
  </si>
  <si>
    <t>Mantegazza</t>
  </si>
  <si>
    <t>Hans Melchers</t>
  </si>
  <si>
    <t>Vorden</t>
  </si>
  <si>
    <t>Chemicals, investments</t>
  </si>
  <si>
    <t>Melchers</t>
  </si>
  <si>
    <t>C. Dean Metropoulos</t>
  </si>
  <si>
    <t>Metropoulos</t>
  </si>
  <si>
    <t>C. Dean</t>
  </si>
  <si>
    <t>Hans Georg Naeder</t>
  </si>
  <si>
    <t>Duderstadt</t>
  </si>
  <si>
    <t>Prosthetics</t>
  </si>
  <si>
    <t>Naeder</t>
  </si>
  <si>
    <t>Hans Georg</t>
  </si>
  <si>
    <t>Falguni Nayar</t>
  </si>
  <si>
    <t>Retailing</t>
  </si>
  <si>
    <t>Nykaa</t>
  </si>
  <si>
    <t>Nayar</t>
  </si>
  <si>
    <t>Falguni</t>
  </si>
  <si>
    <t>James Packer</t>
  </si>
  <si>
    <t>Packer</t>
  </si>
  <si>
    <t>Alexander Ponomarenko</t>
  </si>
  <si>
    <t>Ponomarenko</t>
  </si>
  <si>
    <t>Nicholas Pritzker</t>
  </si>
  <si>
    <t>Nicasio</t>
  </si>
  <si>
    <t>Alejandro Santo Domingo</t>
  </si>
  <si>
    <t>Santo Domingo</t>
  </si>
  <si>
    <t>Steven Sarowitz</t>
  </si>
  <si>
    <t>Payroll software</t>
  </si>
  <si>
    <t>Sarowitz</t>
  </si>
  <si>
    <t>Maria-Elisabeth Schaeffler-Thumann</t>
  </si>
  <si>
    <t>Schaeffler-Thumann</t>
  </si>
  <si>
    <t>Maria-Elisabeth</t>
  </si>
  <si>
    <t>Leonard Schleifer</t>
  </si>
  <si>
    <t>Tarrytown</t>
  </si>
  <si>
    <t>Regeneron Pharmaceuticals</t>
  </si>
  <si>
    <t>Schleifer</t>
  </si>
  <si>
    <t>CEO and Founder</t>
  </si>
  <si>
    <t>Dieter Schnabel</t>
  </si>
  <si>
    <t>Schnabel</t>
  </si>
  <si>
    <t>Michael S. Smith</t>
  </si>
  <si>
    <t>Liquefied natural gas</t>
  </si>
  <si>
    <t>Michael S.</t>
  </si>
  <si>
    <t>Julia Thiele-Schuerhoff</t>
  </si>
  <si>
    <t>Brakes, investments</t>
  </si>
  <si>
    <t>Thiele-Schuerhoff</t>
  </si>
  <si>
    <t>John Tyson &amp; family</t>
  </si>
  <si>
    <t>Springdale</t>
  </si>
  <si>
    <t>Food processing</t>
  </si>
  <si>
    <t>Tyson</t>
  </si>
  <si>
    <t>Anna Katharina Viessmann</t>
  </si>
  <si>
    <t>Heating and cooling equipment</t>
  </si>
  <si>
    <t>Anna Katharina</t>
  </si>
  <si>
    <t>Jurgen Wirtgen</t>
  </si>
  <si>
    <t>Construction Vehicles</t>
  </si>
  <si>
    <t>Wirtgen</t>
  </si>
  <si>
    <t>Jurgen</t>
  </si>
  <si>
    <t>Stefan Wirtgen</t>
  </si>
  <si>
    <t>Zhao Lixin</t>
  </si>
  <si>
    <t>Lixin</t>
  </si>
  <si>
    <t>Hongyi Zhou</t>
  </si>
  <si>
    <t>Hongyi</t>
  </si>
  <si>
    <t>S. Daniel Abraham</t>
  </si>
  <si>
    <t>Slim-Fast</t>
  </si>
  <si>
    <t>S. Daniel Abraham Center for Middle East Peace</t>
  </si>
  <si>
    <t>Abraham</t>
  </si>
  <si>
    <t>S. Daniel</t>
  </si>
  <si>
    <t>Bill Alfond</t>
  </si>
  <si>
    <t>Alfond</t>
  </si>
  <si>
    <t>Susan Alfond</t>
  </si>
  <si>
    <t>Scarborough</t>
  </si>
  <si>
    <t>Susan</t>
  </si>
  <si>
    <t>Maine</t>
  </si>
  <si>
    <t>Ted Alfond</t>
  </si>
  <si>
    <t>Weston</t>
  </si>
  <si>
    <t>Ted</t>
  </si>
  <si>
    <t>Riley Bechtel &amp; family</t>
  </si>
  <si>
    <t>Engineering, construction</t>
  </si>
  <si>
    <t>Bechtel Corp.</t>
  </si>
  <si>
    <t>Bechtel</t>
  </si>
  <si>
    <t>Riley</t>
  </si>
  <si>
    <t>former Chairman and CEO</t>
  </si>
  <si>
    <t>Thor Bjorgolfsson</t>
  </si>
  <si>
    <t>Iceland</t>
  </si>
  <si>
    <t>Bjorgolfsson</t>
  </si>
  <si>
    <t>Thor</t>
  </si>
  <si>
    <t>Charles Bronfman</t>
  </si>
  <si>
    <t>Bronfman</t>
  </si>
  <si>
    <t>Vivek Chand Burman</t>
  </si>
  <si>
    <t>Burman</t>
  </si>
  <si>
    <t>Vivek Chand</t>
  </si>
  <si>
    <t>Herb Chambers</t>
  </si>
  <si>
    <t>Cheng Yixiao</t>
  </si>
  <si>
    <t>Video streaming app</t>
  </si>
  <si>
    <t>Yixiao</t>
  </si>
  <si>
    <t>Andrew Cherng</t>
  </si>
  <si>
    <t>Cherng</t>
  </si>
  <si>
    <t>Peggy Cherng</t>
  </si>
  <si>
    <t>Peggy</t>
  </si>
  <si>
    <t>Leon G. Cooperman</t>
  </si>
  <si>
    <t>Omega Advisors, Inc.</t>
  </si>
  <si>
    <t>Cooperman</t>
  </si>
  <si>
    <t>Leon G.</t>
  </si>
  <si>
    <t>Yadu Hari Dalmia &amp; family</t>
  </si>
  <si>
    <t>Dalmia</t>
  </si>
  <si>
    <t>Yadu Hari</t>
  </si>
  <si>
    <t>Henry Davis</t>
  </si>
  <si>
    <t>Oleg Deripaska</t>
  </si>
  <si>
    <t>Aluminum, utilities</t>
  </si>
  <si>
    <t>Deripaska</t>
  </si>
  <si>
    <t>Oleg</t>
  </si>
  <si>
    <t>Sergey Dmitriev</t>
  </si>
  <si>
    <t>Paralimni</t>
  </si>
  <si>
    <t>Dmitriev</t>
  </si>
  <si>
    <t>Joseph Edelman</t>
  </si>
  <si>
    <t>Perceptive Advisors</t>
  </si>
  <si>
    <t>Edelman</t>
  </si>
  <si>
    <t>Sandeep Engineer</t>
  </si>
  <si>
    <t>Plastic pipes</t>
  </si>
  <si>
    <t>Engineer</t>
  </si>
  <si>
    <t>Sandeep</t>
  </si>
  <si>
    <t>Alceu Elias Feldmann &amp; family</t>
  </si>
  <si>
    <t>Curitiba</t>
  </si>
  <si>
    <t>Feldmann</t>
  </si>
  <si>
    <t>Alceu Elias</t>
  </si>
  <si>
    <t>Serge Godin</t>
  </si>
  <si>
    <t>Westmount</t>
  </si>
  <si>
    <t>Information technology</t>
  </si>
  <si>
    <t>CGI Group</t>
  </si>
  <si>
    <t>Godin</t>
  </si>
  <si>
    <t>Serge</t>
  </si>
  <si>
    <t>Alec Gores</t>
  </si>
  <si>
    <t>Alec</t>
  </si>
  <si>
    <t>Bill Haslam</t>
  </si>
  <si>
    <t>J. Tomilson Hill</t>
  </si>
  <si>
    <t>Hill</t>
  </si>
  <si>
    <t>J. Tomilson</t>
  </si>
  <si>
    <t>Jay-Z</t>
  </si>
  <si>
    <t>Music</t>
  </si>
  <si>
    <t>Baba Kalyani</t>
  </si>
  <si>
    <t>Kalyani</t>
  </si>
  <si>
    <t>Baba</t>
  </si>
  <si>
    <t>Saban Cemil Kazanci</t>
  </si>
  <si>
    <t>Kazanci</t>
  </si>
  <si>
    <t>Saban Cemil</t>
  </si>
  <si>
    <t>Brad Kelley</t>
  </si>
  <si>
    <t>Kelley</t>
  </si>
  <si>
    <t>Wolfgang Leitner</t>
  </si>
  <si>
    <t>Graz</t>
  </si>
  <si>
    <t>Leitner</t>
  </si>
  <si>
    <t>Li Hongxin &amp; family</t>
  </si>
  <si>
    <t>Yanzhou</t>
  </si>
  <si>
    <t>Paper &amp; related products</t>
  </si>
  <si>
    <t>Hongxin</t>
  </si>
  <si>
    <t>Lin Chen-hai</t>
  </si>
  <si>
    <t>Chen-hai</t>
  </si>
  <si>
    <t>Lu Yiwen</t>
  </si>
  <si>
    <t>Yiwen</t>
  </si>
  <si>
    <t>Prayudh Mahagitsiri</t>
  </si>
  <si>
    <t>Coffee, shipping</t>
  </si>
  <si>
    <t>Mahagitsiri</t>
  </si>
  <si>
    <t>Prayudh</t>
  </si>
  <si>
    <t>Willy Michel</t>
  </si>
  <si>
    <t>Burgdorf</t>
  </si>
  <si>
    <t>Willy</t>
  </si>
  <si>
    <t>Lachhman Das Mittal</t>
  </si>
  <si>
    <t>Tractors</t>
  </si>
  <si>
    <t>Lachhman Das</t>
  </si>
  <si>
    <t>Bobby Murphy</t>
  </si>
  <si>
    <t>Murphy</t>
  </si>
  <si>
    <t>Bobby</t>
  </si>
  <si>
    <t>Tomas Olivo Lopez</t>
  </si>
  <si>
    <t>Marbella</t>
  </si>
  <si>
    <t>Olivo Lopez</t>
  </si>
  <si>
    <t>Tomas</t>
  </si>
  <si>
    <t>Eren Ozmen</t>
  </si>
  <si>
    <t>Aerospace</t>
  </si>
  <si>
    <t>Ozmen</t>
  </si>
  <si>
    <t>Eren</t>
  </si>
  <si>
    <t>John Pritzker</t>
  </si>
  <si>
    <t>Qiu Minxiu</t>
  </si>
  <si>
    <t>Shangyu</t>
  </si>
  <si>
    <t>Minxiu</t>
  </si>
  <si>
    <t>Ferit Faik Sahenk</t>
  </si>
  <si>
    <t>Sahenk</t>
  </si>
  <si>
    <t>Ferit Faik</t>
  </si>
  <si>
    <t>Wenrong Shen</t>
  </si>
  <si>
    <t>Zhangjiagang</t>
  </si>
  <si>
    <t>Steel production</t>
  </si>
  <si>
    <t>Wenrong</t>
  </si>
  <si>
    <t>Yuzhu Shi</t>
  </si>
  <si>
    <t>Online games, investments</t>
  </si>
  <si>
    <t>Yuzhu</t>
  </si>
  <si>
    <t>Jeff Sutton</t>
  </si>
  <si>
    <t>Sutton</t>
  </si>
  <si>
    <t>Henry Sy, Jr.</t>
  </si>
  <si>
    <t>Sy</t>
  </si>
  <si>
    <t>Andrew Tan</t>
  </si>
  <si>
    <t>Tan</t>
  </si>
  <si>
    <t>Arvind Tiku</t>
  </si>
  <si>
    <t>Tiku</t>
  </si>
  <si>
    <t>Byron Trott</t>
  </si>
  <si>
    <t>Trott</t>
  </si>
  <si>
    <t>Byron</t>
  </si>
  <si>
    <t>Donald Trump</t>
  </si>
  <si>
    <t>Trump</t>
  </si>
  <si>
    <t>Peter Unger</t>
  </si>
  <si>
    <t>Neustadt an der Waldnaab</t>
  </si>
  <si>
    <t>Auto repair</t>
  </si>
  <si>
    <t>Unger</t>
  </si>
  <si>
    <t>Roger Wang</t>
  </si>
  <si>
    <t>Nanjing</t>
  </si>
  <si>
    <t>Oprah Winfrey</t>
  </si>
  <si>
    <t>Montecito</t>
  </si>
  <si>
    <t>TV shows</t>
  </si>
  <si>
    <t>Winfrey</t>
  </si>
  <si>
    <t>Oprah</t>
  </si>
  <si>
    <t>Entrepreneur, Personality, Philanthropist</t>
  </si>
  <si>
    <t>Wu Zhigang &amp; family</t>
  </si>
  <si>
    <t>Shenyang</t>
  </si>
  <si>
    <t>Bakery chain</t>
  </si>
  <si>
    <t>Zhigang</t>
  </si>
  <si>
    <t>Xie Weitong</t>
  </si>
  <si>
    <t>Cobalt</t>
  </si>
  <si>
    <t>Weitong</t>
  </si>
  <si>
    <t>Ye Guofu</t>
  </si>
  <si>
    <t>Guofu</t>
  </si>
  <si>
    <t>Brian Acton</t>
  </si>
  <si>
    <t>Acton</t>
  </si>
  <si>
    <t>Abdulla Al Futtaim &amp; family</t>
  </si>
  <si>
    <t>Auto dealers, investments</t>
  </si>
  <si>
    <t>Al Futtaim</t>
  </si>
  <si>
    <t>Abdulla</t>
  </si>
  <si>
    <t>Edward Bass</t>
  </si>
  <si>
    <t>Koos Bekker</t>
  </si>
  <si>
    <t>Media, investments</t>
  </si>
  <si>
    <t>Bekker</t>
  </si>
  <si>
    <t>Koos</t>
  </si>
  <si>
    <t>Otto Philipp Braun</t>
  </si>
  <si>
    <t>Melsungen</t>
  </si>
  <si>
    <t>Medical technology</t>
  </si>
  <si>
    <t>Braun</t>
  </si>
  <si>
    <t>Otto Philipp</t>
  </si>
  <si>
    <t>Chen Tei-fu</t>
  </si>
  <si>
    <t>Herbal products</t>
  </si>
  <si>
    <t>Tei-fu</t>
  </si>
  <si>
    <t>Abilio dos Santos Diniz</t>
  </si>
  <si>
    <t>Diniz</t>
  </si>
  <si>
    <t>Abilio dos Santos</t>
  </si>
  <si>
    <t>Marcel Erni</t>
  </si>
  <si>
    <t>Erni</t>
  </si>
  <si>
    <t>Marcel</t>
  </si>
  <si>
    <t>Doris Fisher</t>
  </si>
  <si>
    <t>Gap</t>
  </si>
  <si>
    <t>Gap Inc.</t>
  </si>
  <si>
    <t>Doris</t>
  </si>
  <si>
    <t>Gerald Ford</t>
  </si>
  <si>
    <t>Ford Financial Fund</t>
  </si>
  <si>
    <t>Ford</t>
  </si>
  <si>
    <t>Gerald</t>
  </si>
  <si>
    <t>Managing Member</t>
  </si>
  <si>
    <t>Bernard Fraisse &amp; family</t>
  </si>
  <si>
    <t>Fraisse</t>
  </si>
  <si>
    <t>Alfred Gantner</t>
  </si>
  <si>
    <t>Gantner</t>
  </si>
  <si>
    <t>Paul Gauselmann &amp; family</t>
  </si>
  <si>
    <t>Espelkamp</t>
  </si>
  <si>
    <t>Gauselmann</t>
  </si>
  <si>
    <t>Mitchell Goldhar</t>
  </si>
  <si>
    <t>North York</t>
  </si>
  <si>
    <t>SmartCentres</t>
  </si>
  <si>
    <t>Goldhar</t>
  </si>
  <si>
    <t>Peter Hargreaves</t>
  </si>
  <si>
    <t>Bristol</t>
  </si>
  <si>
    <t>Hargreaves</t>
  </si>
  <si>
    <t>Xuande Hua &amp; family</t>
  </si>
  <si>
    <t>Taizhou</t>
  </si>
  <si>
    <t>Xuande</t>
  </si>
  <si>
    <t>Kwek Leng Kee</t>
  </si>
  <si>
    <t>Leng Kee</t>
  </si>
  <si>
    <t>Catherine Lozick</t>
  </si>
  <si>
    <t>Fort Lauderdale</t>
  </si>
  <si>
    <t>Valve manufacturing</t>
  </si>
  <si>
    <t>Lozick</t>
  </si>
  <si>
    <t>Catherine</t>
  </si>
  <si>
    <t>Kalanithi Maran</t>
  </si>
  <si>
    <t>Chennai</t>
  </si>
  <si>
    <t>Maran</t>
  </si>
  <si>
    <t>Kalanithi</t>
  </si>
  <si>
    <t>Jed McCaleb</t>
  </si>
  <si>
    <t>Berkeley</t>
  </si>
  <si>
    <t>Cryptocurrency</t>
  </si>
  <si>
    <t>McCaleb</t>
  </si>
  <si>
    <t>Jed</t>
  </si>
  <si>
    <t>Fatih Ozmen</t>
  </si>
  <si>
    <t>Fatih</t>
  </si>
  <si>
    <t>Pan Laican</t>
  </si>
  <si>
    <t>foshan</t>
  </si>
  <si>
    <t>Laican</t>
  </si>
  <si>
    <t>Tor Peterson</t>
  </si>
  <si>
    <t>Peterson</t>
  </si>
  <si>
    <t>Tor</t>
  </si>
  <si>
    <t>Daniel Pritzker</t>
  </si>
  <si>
    <t>Marin County</t>
  </si>
  <si>
    <t>Jinxing Qi</t>
  </si>
  <si>
    <t>Jinxing</t>
  </si>
  <si>
    <t>Qiu Jianping &amp; family</t>
  </si>
  <si>
    <t>Hand tools</t>
  </si>
  <si>
    <t>Rajan Raheja &amp; family</t>
  </si>
  <si>
    <t>Matthias Reinhart</t>
  </si>
  <si>
    <t>Reinhart</t>
  </si>
  <si>
    <t>Arnout Schuijff</t>
  </si>
  <si>
    <t>Schuijff</t>
  </si>
  <si>
    <t>Arnout</t>
  </si>
  <si>
    <t>Hans Sy</t>
  </si>
  <si>
    <t>Herbert Sy</t>
  </si>
  <si>
    <t>Lucio Tan</t>
  </si>
  <si>
    <t>Lucio</t>
  </si>
  <si>
    <t>Tsai Ming-kai</t>
  </si>
  <si>
    <t>Hsinchu</t>
  </si>
  <si>
    <t>Ming-kai</t>
  </si>
  <si>
    <t>Ted Turner</t>
  </si>
  <si>
    <t>Turner</t>
  </si>
  <si>
    <t>David Walentas</t>
  </si>
  <si>
    <t>Walentas</t>
  </si>
  <si>
    <t>Urs Wietlisbach</t>
  </si>
  <si>
    <t>Wietlisbach</t>
  </si>
  <si>
    <t>Urs</t>
  </si>
  <si>
    <t>Jerry Yang</t>
  </si>
  <si>
    <t>Yang Jianliang &amp; family</t>
  </si>
  <si>
    <t>Machinery</t>
  </si>
  <si>
    <t>Jianliang</t>
  </si>
  <si>
    <t>Yang Weidong &amp; family</t>
  </si>
  <si>
    <t>Weidong</t>
  </si>
  <si>
    <t>Mortimer Zuckerman</t>
  </si>
  <si>
    <t>Real estate, media</t>
  </si>
  <si>
    <t>Boston Properties</t>
  </si>
  <si>
    <t>Zuckerman</t>
  </si>
  <si>
    <t>Mortimer</t>
  </si>
  <si>
    <t>John Armitage</t>
  </si>
  <si>
    <t>Egerton Capital</t>
  </si>
  <si>
    <t>Armitage</t>
  </si>
  <si>
    <t>Lee Bass</t>
  </si>
  <si>
    <t>John Bicket</t>
  </si>
  <si>
    <t>Sensor systems</t>
  </si>
  <si>
    <t>Bicket</t>
  </si>
  <si>
    <t>Sanjit Biswas</t>
  </si>
  <si>
    <t>Biswas</t>
  </si>
  <si>
    <t>Sanjit</t>
  </si>
  <si>
    <t>Timothy Boyle</t>
  </si>
  <si>
    <t>Portland</t>
  </si>
  <si>
    <t>Columbia Sportswear</t>
  </si>
  <si>
    <t>Boyle</t>
  </si>
  <si>
    <t>Timothy</t>
  </si>
  <si>
    <t>Morris Chang</t>
  </si>
  <si>
    <t>Chao Teng-hsiung</t>
  </si>
  <si>
    <t>Chao</t>
  </si>
  <si>
    <t>Teng-hsiung</t>
  </si>
  <si>
    <t>Samuel Chen</t>
  </si>
  <si>
    <t>Chu Lam Yiu</t>
  </si>
  <si>
    <t>Lam Yiu</t>
  </si>
  <si>
    <t>K. Dinesh</t>
  </si>
  <si>
    <t>Dinesh</t>
  </si>
  <si>
    <t>K.</t>
  </si>
  <si>
    <t>James Duff</t>
  </si>
  <si>
    <t>Hattiesburg</t>
  </si>
  <si>
    <t>Tires, diversified</t>
  </si>
  <si>
    <t>Duff</t>
  </si>
  <si>
    <t>Mississippi</t>
  </si>
  <si>
    <t>Thomas Duff</t>
  </si>
  <si>
    <t>Daniel Ek</t>
  </si>
  <si>
    <t>Ek</t>
  </si>
  <si>
    <t>John Fisher</t>
  </si>
  <si>
    <t>Pisces, Inc.</t>
  </si>
  <si>
    <t>Georg Haub</t>
  </si>
  <si>
    <t>Erman Ilicak</t>
  </si>
  <si>
    <t>Ankara</t>
  </si>
  <si>
    <t>Ilicak</t>
  </si>
  <si>
    <t>Erman</t>
  </si>
  <si>
    <t>Justin Ishbia</t>
  </si>
  <si>
    <t>Justin</t>
  </si>
  <si>
    <t>Long Jiang</t>
  </si>
  <si>
    <t>Long</t>
  </si>
  <si>
    <t>Bruce Karsh</t>
  </si>
  <si>
    <t>Oaktree Capital Group LLC</t>
  </si>
  <si>
    <t>Karsh</t>
  </si>
  <si>
    <t>Bom Kim</t>
  </si>
  <si>
    <t>Online retailing</t>
  </si>
  <si>
    <t>Coupang</t>
  </si>
  <si>
    <t>Bom</t>
  </si>
  <si>
    <t>Jianping Lai</t>
  </si>
  <si>
    <t>Lam Kong</t>
  </si>
  <si>
    <t>Kong</t>
  </si>
  <si>
    <t>Stephen Lansdown</t>
  </si>
  <si>
    <t>Guernsey</t>
  </si>
  <si>
    <t>St. Peter Port</t>
  </si>
  <si>
    <t>Lansdown</t>
  </si>
  <si>
    <t>Kevin David Lehmann</t>
  </si>
  <si>
    <t>Lehmann</t>
  </si>
  <si>
    <t>Kevin David</t>
  </si>
  <si>
    <t>Li Haiyan</t>
  </si>
  <si>
    <t>Haiyan</t>
  </si>
  <si>
    <t>Hua Li</t>
  </si>
  <si>
    <t>Lim Kok Thay</t>
  </si>
  <si>
    <t>Kok Thay</t>
  </si>
  <si>
    <t>Kishore Mariwala</t>
  </si>
  <si>
    <t>Kishore</t>
  </si>
  <si>
    <t>Clayton Mathile</t>
  </si>
  <si>
    <t>Brookville</t>
  </si>
  <si>
    <t>Pet food</t>
  </si>
  <si>
    <t>Mathile</t>
  </si>
  <si>
    <t>Clayton</t>
  </si>
  <si>
    <t>Mi Enhua</t>
  </si>
  <si>
    <t>Mi</t>
  </si>
  <si>
    <t>Enhua</t>
  </si>
  <si>
    <t>Vadim Moshkovich</t>
  </si>
  <si>
    <t>Agriculture, land</t>
  </si>
  <si>
    <t>Moshkovich</t>
  </si>
  <si>
    <t>Vadim</t>
  </si>
  <si>
    <t>David Murdock</t>
  </si>
  <si>
    <t>Ventura</t>
  </si>
  <si>
    <t>Dole, real estate</t>
  </si>
  <si>
    <t>Murdock</t>
  </si>
  <si>
    <t>David Nahmad</t>
  </si>
  <si>
    <t>Nahmad</t>
  </si>
  <si>
    <t>Lirio Parisotto</t>
  </si>
  <si>
    <t>Manaus</t>
  </si>
  <si>
    <t>Parisotto</t>
  </si>
  <si>
    <t>Lirio</t>
  </si>
  <si>
    <t>Augusto Perfetti</t>
  </si>
  <si>
    <t>Perfetti</t>
  </si>
  <si>
    <t>Augusto</t>
  </si>
  <si>
    <t>Giorgio Perfetti</t>
  </si>
  <si>
    <t>Alberto Prada</t>
  </si>
  <si>
    <t>Marina Prada</t>
  </si>
  <si>
    <t>Marina</t>
  </si>
  <si>
    <t>Filiz Sahenk</t>
  </si>
  <si>
    <t>Filiz</t>
  </si>
  <si>
    <t>Richard Sands</t>
  </si>
  <si>
    <t>Stephan Schmidheiny</t>
  </si>
  <si>
    <t>Hurden</t>
  </si>
  <si>
    <t>Stephan</t>
  </si>
  <si>
    <t>Alberto Siccardi &amp; family</t>
  </si>
  <si>
    <t>Siccardi</t>
  </si>
  <si>
    <t>Stefan Soloviev</t>
  </si>
  <si>
    <t>Real estate, grains</t>
  </si>
  <si>
    <t>Soloviev</t>
  </si>
  <si>
    <t>Tang Yiu</t>
  </si>
  <si>
    <t>Tang</t>
  </si>
  <si>
    <t>Yiu</t>
  </si>
  <si>
    <t>Tian Ming</t>
  </si>
  <si>
    <t>Measuring instruments</t>
  </si>
  <si>
    <t>Tian</t>
  </si>
  <si>
    <t>Ming</t>
  </si>
  <si>
    <t>T.Y. Tsai</t>
  </si>
  <si>
    <t>T.Y.</t>
  </si>
  <si>
    <t>Jayshree Ullal</t>
  </si>
  <si>
    <t>Saratoga</t>
  </si>
  <si>
    <t>Computer networking</t>
  </si>
  <si>
    <t>Arista</t>
  </si>
  <si>
    <t>Ullal</t>
  </si>
  <si>
    <t>Jayshree</t>
  </si>
  <si>
    <t>Georg von Opel</t>
  </si>
  <si>
    <t>von Opel</t>
  </si>
  <si>
    <t>Lang Walker</t>
  </si>
  <si>
    <t>Walker</t>
  </si>
  <si>
    <t>Lang</t>
  </si>
  <si>
    <t>Xicheng Wang &amp; family</t>
  </si>
  <si>
    <t>Zhaoyuan</t>
  </si>
  <si>
    <t>Xicheng</t>
  </si>
  <si>
    <t>Wang Zhenhua</t>
  </si>
  <si>
    <t>Paul-Heinz Wesjohann &amp; family</t>
  </si>
  <si>
    <t>Rechterfeld</t>
  </si>
  <si>
    <t>Chicken processing</t>
  </si>
  <si>
    <t>Paul-Heinz</t>
  </si>
  <si>
    <t>Xie Bingkun &amp; family</t>
  </si>
  <si>
    <t>Pearlescent pigments</t>
  </si>
  <si>
    <t>Bingkun</t>
  </si>
  <si>
    <t>Xu Shugen</t>
  </si>
  <si>
    <t>Construction, mining machinery</t>
  </si>
  <si>
    <t>Shugen</t>
  </si>
  <si>
    <t>Christoph Zeller</t>
  </si>
  <si>
    <t>Liechtenstein</t>
  </si>
  <si>
    <t>Vaduz</t>
  </si>
  <si>
    <t>Dental materials</t>
  </si>
  <si>
    <t>Zeller</t>
  </si>
  <si>
    <t>Christoph</t>
  </si>
  <si>
    <t>Zhang Jingzhang &amp; family</t>
  </si>
  <si>
    <t>Precision machinery</t>
  </si>
  <si>
    <t>Jingzhang</t>
  </si>
  <si>
    <t>George Argyros &amp; family</t>
  </si>
  <si>
    <t>Arnel &amp; Affiliates</t>
  </si>
  <si>
    <t>Argyros</t>
  </si>
  <si>
    <t>Brian Armstrong</t>
  </si>
  <si>
    <t>Armstrong</t>
  </si>
  <si>
    <t>Albert Avdolyan</t>
  </si>
  <si>
    <t>Oil, mining</t>
  </si>
  <si>
    <t>Avdolyan</t>
  </si>
  <si>
    <t>Albert</t>
  </si>
  <si>
    <t>Sezai Bacaksiz</t>
  </si>
  <si>
    <t>Bacaksiz</t>
  </si>
  <si>
    <t>Sezai</t>
  </si>
  <si>
    <t>Aneel Bhusri</t>
  </si>
  <si>
    <t>Bhusri</t>
  </si>
  <si>
    <t>Aneel</t>
  </si>
  <si>
    <t>Brett Blundy</t>
  </si>
  <si>
    <t>Paradise Island</t>
  </si>
  <si>
    <t>Retail, agribusiness</t>
  </si>
  <si>
    <t>Blundy</t>
  </si>
  <si>
    <t>Brett</t>
  </si>
  <si>
    <t>J. Hyatt Brown</t>
  </si>
  <si>
    <t>Ormond Beach</t>
  </si>
  <si>
    <t>J. Hyatt</t>
  </si>
  <si>
    <t>Chen Jinxia</t>
  </si>
  <si>
    <t>Jinxia</t>
  </si>
  <si>
    <t>Chen Xueli</t>
  </si>
  <si>
    <t>Weihai</t>
  </si>
  <si>
    <t>Xueli</t>
  </si>
  <si>
    <t>Dermot Desmond</t>
  </si>
  <si>
    <t>Desmond</t>
  </si>
  <si>
    <t>Dermot</t>
  </si>
  <si>
    <t>Dong Wei</t>
  </si>
  <si>
    <t>Tom Ford</t>
  </si>
  <si>
    <t>Fu Guangming &amp; family</t>
  </si>
  <si>
    <t>Nanping</t>
  </si>
  <si>
    <t>Poultry</t>
  </si>
  <si>
    <t>Noam Gottesman</t>
  </si>
  <si>
    <t>TOMS Capital</t>
  </si>
  <si>
    <t>Gottesman</t>
  </si>
  <si>
    <t>Noam</t>
  </si>
  <si>
    <t>Jeffrey Gundlach</t>
  </si>
  <si>
    <t>DoubleLine Capital</t>
  </si>
  <si>
    <t>Gundlach</t>
  </si>
  <si>
    <t>Hao Hong</t>
  </si>
  <si>
    <t>Hao</t>
  </si>
  <si>
    <t>Shmuel Harlap</t>
  </si>
  <si>
    <t>Harlap</t>
  </si>
  <si>
    <t>Shmuel</t>
  </si>
  <si>
    <t>Hans-Werner Hector</t>
  </si>
  <si>
    <t>Weinheim</t>
  </si>
  <si>
    <t>SAP</t>
  </si>
  <si>
    <t>Hector</t>
  </si>
  <si>
    <t>Hans-Werner</t>
  </si>
  <si>
    <t>Lutz Mario Helmig &amp; family</t>
  </si>
  <si>
    <t>Grebenhain</t>
  </si>
  <si>
    <t>Helmig</t>
  </si>
  <si>
    <t>Lutz Mario</t>
  </si>
  <si>
    <t>Chulong Huang</t>
  </si>
  <si>
    <t>Chulong</t>
  </si>
  <si>
    <t>Thomas James</t>
  </si>
  <si>
    <t>James Jannard</t>
  </si>
  <si>
    <t>San Juan Islands</t>
  </si>
  <si>
    <t>Sunglasses</t>
  </si>
  <si>
    <t>Jannard</t>
  </si>
  <si>
    <t>Willis Johnson</t>
  </si>
  <si>
    <t>Damaged cars</t>
  </si>
  <si>
    <t>Willis</t>
  </si>
  <si>
    <t>Lai Shixian</t>
  </si>
  <si>
    <t>Shixian</t>
  </si>
  <si>
    <t>Chris Larsen</t>
  </si>
  <si>
    <t>Larsen</t>
  </si>
  <si>
    <t>Chris</t>
  </si>
  <si>
    <t>Solomon Lew</t>
  </si>
  <si>
    <t>Lew</t>
  </si>
  <si>
    <t>Solomon</t>
  </si>
  <si>
    <t>Liang Xinjun</t>
  </si>
  <si>
    <t>Xinjun</t>
  </si>
  <si>
    <t>Harald Link</t>
  </si>
  <si>
    <t>Link</t>
  </si>
  <si>
    <t>Max Lytvyn</t>
  </si>
  <si>
    <t>Lytvyn</t>
  </si>
  <si>
    <t>Max</t>
  </si>
  <si>
    <t>Igor Makarov</t>
  </si>
  <si>
    <t>Makarov</t>
  </si>
  <si>
    <t>Howard Marks</t>
  </si>
  <si>
    <t>Marks</t>
  </si>
  <si>
    <t>Charles Munger</t>
  </si>
  <si>
    <t>Munger</t>
  </si>
  <si>
    <t>Vice Chairman</t>
  </si>
  <si>
    <t>Adam Neumann</t>
  </si>
  <si>
    <t>WeWork</t>
  </si>
  <si>
    <t>Neumann</t>
  </si>
  <si>
    <t>Thi Phuong Thao Nguyen</t>
  </si>
  <si>
    <t>Ho Chi Minh City</t>
  </si>
  <si>
    <t>Airlines</t>
  </si>
  <si>
    <t>Sovico Holdings</t>
  </si>
  <si>
    <t>Nguyen</t>
  </si>
  <si>
    <t>Thi Phuong Thao</t>
  </si>
  <si>
    <t>Ni Yongpei &amp; family</t>
  </si>
  <si>
    <t>Liuan</t>
  </si>
  <si>
    <t>Ni</t>
  </si>
  <si>
    <t>Yongpei</t>
  </si>
  <si>
    <t>Heloise Pratt</t>
  </si>
  <si>
    <t>Manufacturing, investment</t>
  </si>
  <si>
    <t>Heloise</t>
  </si>
  <si>
    <t>Qi Xiangdong</t>
  </si>
  <si>
    <t>Xiangdong</t>
  </si>
  <si>
    <t>Phillip T. (Terry) Ragon</t>
  </si>
  <si>
    <t>Health IT</t>
  </si>
  <si>
    <t>Ragon</t>
  </si>
  <si>
    <t>Phillip T. (Terry)</t>
  </si>
  <si>
    <t>Prathap Reddy</t>
  </si>
  <si>
    <t>Reddy</t>
  </si>
  <si>
    <t>Prathap</t>
  </si>
  <si>
    <t>Jerry Reinsdorf</t>
  </si>
  <si>
    <t>Sports teams</t>
  </si>
  <si>
    <t>Reinsdorf</t>
  </si>
  <si>
    <t>Chad Richison</t>
  </si>
  <si>
    <t>Edmond</t>
  </si>
  <si>
    <t>Payroll processing</t>
  </si>
  <si>
    <t>Richison</t>
  </si>
  <si>
    <t>Chad</t>
  </si>
  <si>
    <t>Karl Scheufele, III. &amp; family</t>
  </si>
  <si>
    <t>Scheufele</t>
  </si>
  <si>
    <t>Alice Schwartz</t>
  </si>
  <si>
    <t>El Cerrito</t>
  </si>
  <si>
    <t>Schwartz</t>
  </si>
  <si>
    <t>Alex Shevchenko</t>
  </si>
  <si>
    <t>Shevchenko</t>
  </si>
  <si>
    <t>Alex</t>
  </si>
  <si>
    <t>Kavitark Ram Shriram</t>
  </si>
  <si>
    <t>Menlo Park</t>
  </si>
  <si>
    <t>Venture capital, Google</t>
  </si>
  <si>
    <t>Sherpalo Ventures</t>
  </si>
  <si>
    <t>Shriram</t>
  </si>
  <si>
    <t>Kavitark Ram</t>
  </si>
  <si>
    <t>Jeffrey Soffer</t>
  </si>
  <si>
    <t>Aventura</t>
  </si>
  <si>
    <t>Soffer</t>
  </si>
  <si>
    <t>William Stone</t>
  </si>
  <si>
    <t>East Lyme</t>
  </si>
  <si>
    <t>Stone</t>
  </si>
  <si>
    <t>Henry Swieca</t>
  </si>
  <si>
    <t>Talpion Fund Management</t>
  </si>
  <si>
    <t>Swieca</t>
  </si>
  <si>
    <t>Harley Sy</t>
  </si>
  <si>
    <t>Harley</t>
  </si>
  <si>
    <t>Teresita Sy-Coson</t>
  </si>
  <si>
    <t>Sy-Coson</t>
  </si>
  <si>
    <t>Teresita</t>
  </si>
  <si>
    <t>Katsumi Tada</t>
  </si>
  <si>
    <t>Tada</t>
  </si>
  <si>
    <t>Katsumi</t>
  </si>
  <si>
    <t>Tang Jinkui &amp; family</t>
  </si>
  <si>
    <t>Jinkui</t>
  </si>
  <si>
    <t>Tang Xiao'ou</t>
  </si>
  <si>
    <t>Xiao'ou</t>
  </si>
  <si>
    <t>Lottie Tham &amp; family</t>
  </si>
  <si>
    <t>Tham</t>
  </si>
  <si>
    <t>Lottie</t>
  </si>
  <si>
    <t>Shamsheer Vayalil</t>
  </si>
  <si>
    <t>Vayalil</t>
  </si>
  <si>
    <t>Shamsheer</t>
  </si>
  <si>
    <t>Radha Vembu</t>
  </si>
  <si>
    <t>Vembu</t>
  </si>
  <si>
    <t>Radha</t>
  </si>
  <si>
    <t>Wang Wenmo</t>
  </si>
  <si>
    <t>Wenmo</t>
  </si>
  <si>
    <t>Wang Zhenghua</t>
  </si>
  <si>
    <t>Budget airline</t>
  </si>
  <si>
    <t>Zhenghua</t>
  </si>
  <si>
    <t>David Wertheim</t>
  </si>
  <si>
    <t>Coca-Cola Israel</t>
  </si>
  <si>
    <t>Kai Wu</t>
  </si>
  <si>
    <t>Kai</t>
  </si>
  <si>
    <t>Xu Yingzhuo</t>
  </si>
  <si>
    <t>Yingzhuo</t>
  </si>
  <si>
    <t>Yeung Kin-man</t>
  </si>
  <si>
    <t>Yeung</t>
  </si>
  <si>
    <t>Kin-man</t>
  </si>
  <si>
    <t>Huijiao Yu</t>
  </si>
  <si>
    <t>Shanghai YTO Express (Logistics)</t>
  </si>
  <si>
    <t>Huijiao</t>
  </si>
  <si>
    <t>Oren Zeev</t>
  </si>
  <si>
    <t>Zeev</t>
  </si>
  <si>
    <t>Oren</t>
  </si>
  <si>
    <t>Clayton Zekelman</t>
  </si>
  <si>
    <t>Zhao Fenggang</t>
  </si>
  <si>
    <t>Fenggang</t>
  </si>
  <si>
    <t>Alex Beard</t>
  </si>
  <si>
    <t>Beard</t>
  </si>
  <si>
    <t>Travis Boersma</t>
  </si>
  <si>
    <t>Grants Pass</t>
  </si>
  <si>
    <t>Boersma</t>
  </si>
  <si>
    <t>Martin Bouygues</t>
  </si>
  <si>
    <t>Construction, media</t>
  </si>
  <si>
    <t>Bouygues</t>
  </si>
  <si>
    <t>Olivier Bouygues</t>
  </si>
  <si>
    <t>Olivier</t>
  </si>
  <si>
    <t>William Boyd &amp; family</t>
  </si>
  <si>
    <t>Casinos, banking</t>
  </si>
  <si>
    <t>Boyd</t>
  </si>
  <si>
    <t>Anand Burman</t>
  </si>
  <si>
    <t>Anand</t>
  </si>
  <si>
    <t>Cao Ji</t>
  </si>
  <si>
    <t>Bruce Cheng</t>
  </si>
  <si>
    <t>Chi Yufeng</t>
  </si>
  <si>
    <t>Chi</t>
  </si>
  <si>
    <t>Yufeng</t>
  </si>
  <si>
    <t>Daniel Chiu</t>
  </si>
  <si>
    <t>Chiu</t>
  </si>
  <si>
    <t>Beda Diethelm</t>
  </si>
  <si>
    <t>Diethelm</t>
  </si>
  <si>
    <t>Beda</t>
  </si>
  <si>
    <t>Domenico Dolce</t>
  </si>
  <si>
    <t>Dolce</t>
  </si>
  <si>
    <t>Domenico</t>
  </si>
  <si>
    <t>Ralph Dommermuth</t>
  </si>
  <si>
    <t>Montabaur</t>
  </si>
  <si>
    <t>Internet service provider</t>
  </si>
  <si>
    <t>Dommermuth</t>
  </si>
  <si>
    <t>Georgi Domuschiev</t>
  </si>
  <si>
    <t>Animal health, investments</t>
  </si>
  <si>
    <t>Bulgaria</t>
  </si>
  <si>
    <t>Domuschiev</t>
  </si>
  <si>
    <t>Georgi</t>
  </si>
  <si>
    <t>Kiril Domuschiev</t>
  </si>
  <si>
    <t>Kiril</t>
  </si>
  <si>
    <t>Bob Ell</t>
  </si>
  <si>
    <t>Surfers Paradise</t>
  </si>
  <si>
    <t>Ell</t>
  </si>
  <si>
    <t>Paul Foster</t>
  </si>
  <si>
    <t>El Paso</t>
  </si>
  <si>
    <t>Oil refining</t>
  </si>
  <si>
    <t>Western Refining</t>
  </si>
  <si>
    <t>Foster</t>
  </si>
  <si>
    <t>Stefano Gabbana</t>
  </si>
  <si>
    <t>Gabbana</t>
  </si>
  <si>
    <t>Xingjiang Gao</t>
  </si>
  <si>
    <t>Huzhou</t>
  </si>
  <si>
    <t>Xingjiang</t>
  </si>
  <si>
    <t>Gordon Getty</t>
  </si>
  <si>
    <t>Getty Oil</t>
  </si>
  <si>
    <t>Ann &amp; Gordon Getty Foundation</t>
  </si>
  <si>
    <t>Getty</t>
  </si>
  <si>
    <t>Kamal Ghaffarian</t>
  </si>
  <si>
    <t>Space, energy</t>
  </si>
  <si>
    <t>Ghaffarian</t>
  </si>
  <si>
    <t>Kamal</t>
  </si>
  <si>
    <t>Dennis Gillings</t>
  </si>
  <si>
    <t>Durham</t>
  </si>
  <si>
    <t>Clinical trials</t>
  </si>
  <si>
    <t>Gillings</t>
  </si>
  <si>
    <t>Harsh Goenka</t>
  </si>
  <si>
    <t>Goenka</t>
  </si>
  <si>
    <t>Sanjiv Goenka</t>
  </si>
  <si>
    <t>Jane Goldman</t>
  </si>
  <si>
    <t>Goldman</t>
  </si>
  <si>
    <t>Stein Erik Hagen</t>
  </si>
  <si>
    <t>Stein Erik</t>
  </si>
  <si>
    <t>Bahaa Hariri</t>
  </si>
  <si>
    <t>Hariri</t>
  </si>
  <si>
    <t>Bahaa</t>
  </si>
  <si>
    <t>Hortensia Herrero</t>
  </si>
  <si>
    <t>Herrero</t>
  </si>
  <si>
    <t>Hortensia</t>
  </si>
  <si>
    <t>Douglas Hsu</t>
  </si>
  <si>
    <t>Hsu</t>
  </si>
  <si>
    <t>Huang Min</t>
  </si>
  <si>
    <t>Jared Isaacman</t>
  </si>
  <si>
    <t>Easton</t>
  </si>
  <si>
    <t>Payment processing</t>
  </si>
  <si>
    <t>Isaacman</t>
  </si>
  <si>
    <t>Jared</t>
  </si>
  <si>
    <t>Eugene Kaspersky</t>
  </si>
  <si>
    <t>Kaspersky</t>
  </si>
  <si>
    <t>Eugene</t>
  </si>
  <si>
    <t>Artem Khachatryan</t>
  </si>
  <si>
    <t>Limassol</t>
  </si>
  <si>
    <t>Khachatryan</t>
  </si>
  <si>
    <t>Artem</t>
  </si>
  <si>
    <t>Andrei Krivenko</t>
  </si>
  <si>
    <t>Krivenko</t>
  </si>
  <si>
    <t>Thomas Kwok</t>
  </si>
  <si>
    <t>Lam Wai-ying</t>
  </si>
  <si>
    <t>Biel Crystal</t>
  </si>
  <si>
    <t>Wai-ying</t>
  </si>
  <si>
    <t>Marc Lasry</t>
  </si>
  <si>
    <t>Avenue Capital Group</t>
  </si>
  <si>
    <t>Lasry</t>
  </si>
  <si>
    <t>Christian Latouche &amp; family</t>
  </si>
  <si>
    <t>Accounting services</t>
  </si>
  <si>
    <t>Latouche</t>
  </si>
  <si>
    <t>Theodore Leonsis</t>
  </si>
  <si>
    <t>Leonsis</t>
  </si>
  <si>
    <t>Lin Chang Su-O</t>
  </si>
  <si>
    <t>Chang Su-O</t>
  </si>
  <si>
    <t>Liu Chengyu &amp; family</t>
  </si>
  <si>
    <t>Power supply equipment</t>
  </si>
  <si>
    <t>Chengyu</t>
  </si>
  <si>
    <t>Sergey Lomakin</t>
  </si>
  <si>
    <t>Paphos</t>
  </si>
  <si>
    <t>Lomakin</t>
  </si>
  <si>
    <t>Daniel Lubetzky</t>
  </si>
  <si>
    <t>Snack bars</t>
  </si>
  <si>
    <t>Lubetzky</t>
  </si>
  <si>
    <t>Melissa Ma</t>
  </si>
  <si>
    <t>Melissa</t>
  </si>
  <si>
    <t>Anand Mahindra</t>
  </si>
  <si>
    <t>Mahindra</t>
  </si>
  <si>
    <t>Rafique Malik</t>
  </si>
  <si>
    <t>Footwear</t>
  </si>
  <si>
    <t>Malik</t>
  </si>
  <si>
    <t>Rafique</t>
  </si>
  <si>
    <t>Katarina Martinson</t>
  </si>
  <si>
    <t>Martinson</t>
  </si>
  <si>
    <t>Katarina</t>
  </si>
  <si>
    <t>Kiran Mazumdar-Shaw</t>
  </si>
  <si>
    <t>Biocon</t>
  </si>
  <si>
    <t>Mazumdar-Shaw</t>
  </si>
  <si>
    <t>Kiran</t>
  </si>
  <si>
    <t>Nirmal Minda</t>
  </si>
  <si>
    <t>Gurgaon</t>
  </si>
  <si>
    <t>Minda</t>
  </si>
  <si>
    <t>Nirmal</t>
  </si>
  <si>
    <t>Mu Rongjun</t>
  </si>
  <si>
    <t>Mu</t>
  </si>
  <si>
    <t>Rongjun</t>
  </si>
  <si>
    <t>Eugene Murtagh</t>
  </si>
  <si>
    <t>Kingscourt</t>
  </si>
  <si>
    <t>Murtagh</t>
  </si>
  <si>
    <t>Alexander Nesis</t>
  </si>
  <si>
    <t>Metals, banking, fertilizers</t>
  </si>
  <si>
    <t>Nesis</t>
  </si>
  <si>
    <t>Zugen Ni</t>
  </si>
  <si>
    <t>Appliances</t>
  </si>
  <si>
    <t>Zugen</t>
  </si>
  <si>
    <t>Florentino Perez</t>
  </si>
  <si>
    <t>Perez</t>
  </si>
  <si>
    <t>Florentino</t>
  </si>
  <si>
    <t>Victor Pinchuk</t>
  </si>
  <si>
    <t>Kiev</t>
  </si>
  <si>
    <t>Steel pipes, diversified</t>
  </si>
  <si>
    <t>Pinchuk</t>
  </si>
  <si>
    <t>Victor</t>
  </si>
  <si>
    <t>Leonid Radvinsky</t>
  </si>
  <si>
    <t>Radvinsky</t>
  </si>
  <si>
    <t>Raveendran Byju</t>
  </si>
  <si>
    <t>Education technology</t>
  </si>
  <si>
    <t>Raveendran</t>
  </si>
  <si>
    <t>Byju</t>
  </si>
  <si>
    <t>P.P. Reddy</t>
  </si>
  <si>
    <t>Infrastructure</t>
  </si>
  <si>
    <t>P.P.</t>
  </si>
  <si>
    <t>Richard Saghian</t>
  </si>
  <si>
    <t>Fast fashion</t>
  </si>
  <si>
    <t>Saghian</t>
  </si>
  <si>
    <t>Shi Yifeng</t>
  </si>
  <si>
    <t>Medical cosmetics</t>
  </si>
  <si>
    <t>Yifeng</t>
  </si>
  <si>
    <t>Thaksin Shinawatra</t>
  </si>
  <si>
    <t>Shinawatra</t>
  </si>
  <si>
    <t>Thaksin</t>
  </si>
  <si>
    <t>Shu Ping</t>
  </si>
  <si>
    <t>Shu</t>
  </si>
  <si>
    <t>Timothy Springer</t>
  </si>
  <si>
    <t>Chestnut Hill</t>
  </si>
  <si>
    <t>Venu Srinivasan</t>
  </si>
  <si>
    <t>Two-wheelers</t>
  </si>
  <si>
    <t>Srinivasan</t>
  </si>
  <si>
    <t>Venu</t>
  </si>
  <si>
    <t>Edward Stack</t>
  </si>
  <si>
    <t>Sewickley</t>
  </si>
  <si>
    <t>Dick's Sporting Goods</t>
  </si>
  <si>
    <t>Stack</t>
  </si>
  <si>
    <t>Sun Mengquan &amp; family</t>
  </si>
  <si>
    <t>Yantai</t>
  </si>
  <si>
    <t>Edible oil</t>
  </si>
  <si>
    <t>Mengquan</t>
  </si>
  <si>
    <t>Alexander Svetakov</t>
  </si>
  <si>
    <t>Svetakov</t>
  </si>
  <si>
    <t>Torsten Toeller</t>
  </si>
  <si>
    <t>Krefeld</t>
  </si>
  <si>
    <t>Toeller</t>
  </si>
  <si>
    <t>Torsten</t>
  </si>
  <si>
    <t>Barbara Tyson</t>
  </si>
  <si>
    <t>Barbara</t>
  </si>
  <si>
    <t>Hamdi Ulukaya</t>
  </si>
  <si>
    <t>Norwich</t>
  </si>
  <si>
    <t>Greek yogurt</t>
  </si>
  <si>
    <t>Chobani</t>
  </si>
  <si>
    <t>Ulukaya</t>
  </si>
  <si>
    <t>Hamdi</t>
  </si>
  <si>
    <t>Wang Linpeng</t>
  </si>
  <si>
    <t>Furniture retailing</t>
  </si>
  <si>
    <t>Linpeng</t>
  </si>
  <si>
    <t>Wei Ing-Chou</t>
  </si>
  <si>
    <t>Ing-Chou</t>
  </si>
  <si>
    <t>Wei Yin-Chun</t>
  </si>
  <si>
    <t>Yin-Chun</t>
  </si>
  <si>
    <t>Wei Yin-Heng</t>
  </si>
  <si>
    <t>Yin-Heng</t>
  </si>
  <si>
    <t>Wei Ying-Chiao</t>
  </si>
  <si>
    <t>Ying-Chiao</t>
  </si>
  <si>
    <t>Elaine Wynn</t>
  </si>
  <si>
    <t>Wynn Las Vegas, LLC</t>
  </si>
  <si>
    <t>Elaine</t>
  </si>
  <si>
    <t>Board Member</t>
  </si>
  <si>
    <t>Xu Xudong &amp; family</t>
  </si>
  <si>
    <t>Xudong</t>
  </si>
  <si>
    <t>Michael Ying</t>
  </si>
  <si>
    <t>Ying</t>
  </si>
  <si>
    <t>Yu Qibing &amp; family</t>
  </si>
  <si>
    <t>Qibing</t>
  </si>
  <si>
    <t>Yuan Fugen &amp; family</t>
  </si>
  <si>
    <t>Metal processing</t>
  </si>
  <si>
    <t>Fugen</t>
  </si>
  <si>
    <t>Zhang Ning &amp; family</t>
  </si>
  <si>
    <t>Ning</t>
  </si>
  <si>
    <t>Zhao Tao</t>
  </si>
  <si>
    <t>Anu Aga</t>
  </si>
  <si>
    <t>Aga</t>
  </si>
  <si>
    <t>Anu</t>
  </si>
  <si>
    <t>Mohamed Al Fayed</t>
  </si>
  <si>
    <t>Al Fayed</t>
  </si>
  <si>
    <t>Andrey Andreev</t>
  </si>
  <si>
    <t>Online dating</t>
  </si>
  <si>
    <t>Andreev</t>
  </si>
  <si>
    <t>Michael Ashcroft</t>
  </si>
  <si>
    <t>Turks and Caicos Islands</t>
  </si>
  <si>
    <t>Security</t>
  </si>
  <si>
    <t>Ashcroft</t>
  </si>
  <si>
    <t>Pavel Baudis</t>
  </si>
  <si>
    <t>Baudis</t>
  </si>
  <si>
    <t>Wilhelm Beier &amp; family</t>
  </si>
  <si>
    <t>Beier</t>
  </si>
  <si>
    <t>Wilhelm</t>
  </si>
  <si>
    <t>Cao Jianwei</t>
  </si>
  <si>
    <t>Jianwei</t>
  </si>
  <si>
    <t>Huwen Chen</t>
  </si>
  <si>
    <t>Stationery</t>
  </si>
  <si>
    <t>Huwen</t>
  </si>
  <si>
    <t>Phongthep Chiaravanont</t>
  </si>
  <si>
    <t>Phongthep</t>
  </si>
  <si>
    <t>Dou Zhenggang</t>
  </si>
  <si>
    <t>Energy, chemicals</t>
  </si>
  <si>
    <t>Dou</t>
  </si>
  <si>
    <t>Zhenggang</t>
  </si>
  <si>
    <t>Maria Franca Fissolo</t>
  </si>
  <si>
    <t>Fissolo</t>
  </si>
  <si>
    <t>Maria Franca</t>
  </si>
  <si>
    <t>William Franke</t>
  </si>
  <si>
    <t>Low-cost airlines</t>
  </si>
  <si>
    <t>Franke</t>
  </si>
  <si>
    <t>Mario Germano Giuliani</t>
  </si>
  <si>
    <t>Giuliani</t>
  </si>
  <si>
    <t>Mario Germano</t>
  </si>
  <si>
    <t>Amy Goldman Fowler</t>
  </si>
  <si>
    <t>Rhinebeck</t>
  </si>
  <si>
    <t>Goldman Fowler</t>
  </si>
  <si>
    <t>Amy</t>
  </si>
  <si>
    <t>John Hancock</t>
  </si>
  <si>
    <t>Hancock</t>
  </si>
  <si>
    <t>Hu Yangzhong</t>
  </si>
  <si>
    <t>Yangzhong</t>
  </si>
  <si>
    <t>Huang Dawen</t>
  </si>
  <si>
    <t>Silicon</t>
  </si>
  <si>
    <t>Dawen</t>
  </si>
  <si>
    <t>Huang Qiaoling</t>
  </si>
  <si>
    <t>Amusement parks</t>
  </si>
  <si>
    <t>Qiaoling</t>
  </si>
  <si>
    <t>Rajiv Jain</t>
  </si>
  <si>
    <t>Michael Jordan</t>
  </si>
  <si>
    <t>Jupiter</t>
  </si>
  <si>
    <t>Charlotte Hornets, endorsements</t>
  </si>
  <si>
    <t>Jordan</t>
  </si>
  <si>
    <t>Diane Kemper</t>
  </si>
  <si>
    <t>Kemper</t>
  </si>
  <si>
    <t>Shlomo Kramer</t>
  </si>
  <si>
    <t>Kramer</t>
  </si>
  <si>
    <t>Shlomo</t>
  </si>
  <si>
    <t>Heikki Kyostila</t>
  </si>
  <si>
    <t>Helsinki</t>
  </si>
  <si>
    <t>Dental products</t>
  </si>
  <si>
    <t>Kyostila</t>
  </si>
  <si>
    <t>Heikki</t>
  </si>
  <si>
    <t>Martin Lau</t>
  </si>
  <si>
    <t>Li Min</t>
  </si>
  <si>
    <t>Semiconductor</t>
  </si>
  <si>
    <t>Liang Rubo</t>
  </si>
  <si>
    <t>Rubo</t>
  </si>
  <si>
    <t>Liang Zhaoxian</t>
  </si>
  <si>
    <t>Zhaoxian</t>
  </si>
  <si>
    <t>Lin Fanlian</t>
  </si>
  <si>
    <t>Linyi</t>
  </si>
  <si>
    <t>Energy, real estate</t>
  </si>
  <si>
    <t>Fanlian</t>
  </si>
  <si>
    <t>Aloke Lohia</t>
  </si>
  <si>
    <t>Aloke</t>
  </si>
  <si>
    <t>Bill Malhotra</t>
  </si>
  <si>
    <t>Malhotra</t>
  </si>
  <si>
    <t>Alexander Mamut</t>
  </si>
  <si>
    <t>Mamut</t>
  </si>
  <si>
    <t>Craig McCaw</t>
  </si>
  <si>
    <t>McCaw</t>
  </si>
  <si>
    <t>Craig</t>
  </si>
  <si>
    <t>Cunhui Nan</t>
  </si>
  <si>
    <t>Power equipment</t>
  </si>
  <si>
    <t>Nan</t>
  </si>
  <si>
    <t>Cunhui</t>
  </si>
  <si>
    <t>Tengyun Nie &amp; family</t>
  </si>
  <si>
    <t>Nie</t>
  </si>
  <si>
    <t>Tengyun</t>
  </si>
  <si>
    <t>Oei Hong Leong</t>
  </si>
  <si>
    <t>Oei</t>
  </si>
  <si>
    <t>Hong Leong</t>
  </si>
  <si>
    <t>Clive Palmer</t>
  </si>
  <si>
    <t>Brisbane</t>
  </si>
  <si>
    <t>Matthew Prince</t>
  </si>
  <si>
    <t>Park City</t>
  </si>
  <si>
    <t>Prince</t>
  </si>
  <si>
    <t>Matthew</t>
  </si>
  <si>
    <t>Linda Pritzker</t>
  </si>
  <si>
    <t>Linda</t>
  </si>
  <si>
    <t>P.V. Krishna Reddy</t>
  </si>
  <si>
    <t>P.V. Krishna</t>
  </si>
  <si>
    <t>Bianca Rinehart</t>
  </si>
  <si>
    <t>Bianca</t>
  </si>
  <si>
    <t>Ginia Rinehart</t>
  </si>
  <si>
    <t>Ginia</t>
  </si>
  <si>
    <t>T. Denny Sanford</t>
  </si>
  <si>
    <t>Sioux Falls</t>
  </si>
  <si>
    <t>Banking, credit cards</t>
  </si>
  <si>
    <t>Sanford</t>
  </si>
  <si>
    <t>T. Denny</t>
  </si>
  <si>
    <t>South Dakota</t>
  </si>
  <si>
    <t>Bhadresh Shah</t>
  </si>
  <si>
    <t>Shah</t>
  </si>
  <si>
    <t>Bhadresh</t>
  </si>
  <si>
    <t>Zygmunt Solorz-Zak</t>
  </si>
  <si>
    <t>Warsaw</t>
  </si>
  <si>
    <t>TV broadcasting</t>
  </si>
  <si>
    <t>Solorz-Zak</t>
  </si>
  <si>
    <t>Zygmunt</t>
  </si>
  <si>
    <t>Michal Strnad</t>
  </si>
  <si>
    <t>Defense Contracting</t>
  </si>
  <si>
    <t xml:space="preserve">Strnad </t>
  </si>
  <si>
    <t>Sylvia Stroeher</t>
  </si>
  <si>
    <t>Darmstadt</t>
  </si>
  <si>
    <t>Stroeher</t>
  </si>
  <si>
    <t>Sylvia</t>
  </si>
  <si>
    <t>Otto Toto Sugiri</t>
  </si>
  <si>
    <t>Data centers</t>
  </si>
  <si>
    <t>Sugiri</t>
  </si>
  <si>
    <t>Otto Toto</t>
  </si>
  <si>
    <t>Larry Tanenbaum</t>
  </si>
  <si>
    <t>Tanenbaum</t>
  </si>
  <si>
    <t>Wichai Thongtang</t>
  </si>
  <si>
    <t>Thongtang</t>
  </si>
  <si>
    <t>Wichai</t>
  </si>
  <si>
    <t>Ion Tiriac</t>
  </si>
  <si>
    <t>Romania</t>
  </si>
  <si>
    <t>Bucharest</t>
  </si>
  <si>
    <t>Banking, insurance</t>
  </si>
  <si>
    <t>Tiriac</t>
  </si>
  <si>
    <t>Ion</t>
  </si>
  <si>
    <t>Hope Welker</t>
  </si>
  <si>
    <t>Welker</t>
  </si>
  <si>
    <t>Hope</t>
  </si>
  <si>
    <t>William Young</t>
  </si>
  <si>
    <t>Ypsilanti</t>
  </si>
  <si>
    <t>Plastics</t>
  </si>
  <si>
    <t>Young</t>
  </si>
  <si>
    <t>Ales Zavoral</t>
  </si>
  <si>
    <t>Zavoral</t>
  </si>
  <si>
    <t>Ales</t>
  </si>
  <si>
    <t>Zhang Fan</t>
  </si>
  <si>
    <t>Touch screens</t>
  </si>
  <si>
    <t>Shilong Zhang &amp; family</t>
  </si>
  <si>
    <t>Shilong</t>
  </si>
  <si>
    <t>Zhang Wanzhen</t>
  </si>
  <si>
    <t>Chaozhou</t>
  </si>
  <si>
    <t>Wanzhen</t>
  </si>
  <si>
    <t>Hongfei Zhao</t>
  </si>
  <si>
    <t>Hongfei</t>
  </si>
  <si>
    <t>Zhou Jian</t>
  </si>
  <si>
    <t>Solar energy equipment</t>
  </si>
  <si>
    <t>Zhu Yiwen &amp; family</t>
  </si>
  <si>
    <t>Roberto Angelini Rossi</t>
  </si>
  <si>
    <t>Forestry, mining</t>
  </si>
  <si>
    <t>Angelini Rossi</t>
  </si>
  <si>
    <t>Roberto</t>
  </si>
  <si>
    <t>Mika Anttonen</t>
  </si>
  <si>
    <t>Anttonen</t>
  </si>
  <si>
    <t>Mika</t>
  </si>
  <si>
    <t>David Blitzer</t>
  </si>
  <si>
    <t>Blitzer</t>
  </si>
  <si>
    <t>Julio Bozano</t>
  </si>
  <si>
    <t>Bozano</t>
  </si>
  <si>
    <t>Nikolai Buinov</t>
  </si>
  <si>
    <t>Irkutsk</t>
  </si>
  <si>
    <t>Buinov</t>
  </si>
  <si>
    <t>Nikolai</t>
  </si>
  <si>
    <t>Nicola Bulgari</t>
  </si>
  <si>
    <t>Bulgari</t>
  </si>
  <si>
    <t>Nicola</t>
  </si>
  <si>
    <t>Howard Butt, III. &amp; family</t>
  </si>
  <si>
    <t>Stephen Butt &amp; family</t>
  </si>
  <si>
    <t>Jianxing Che</t>
  </si>
  <si>
    <t>Che</t>
  </si>
  <si>
    <t>Jianxing</t>
  </si>
  <si>
    <t>Huxiong Chen</t>
  </si>
  <si>
    <t>Huxiong</t>
  </si>
  <si>
    <t>Chen Qiongxiang</t>
  </si>
  <si>
    <t>Qiongxiang</t>
  </si>
  <si>
    <t>Chen Zhisong</t>
  </si>
  <si>
    <t>Communication equipment</t>
  </si>
  <si>
    <t>Zhisong</t>
  </si>
  <si>
    <t>Manas Chiaravanond</t>
  </si>
  <si>
    <t>Chiaravanond</t>
  </si>
  <si>
    <t>Manas</t>
  </si>
  <si>
    <t>Prathip Chiravanond</t>
  </si>
  <si>
    <t>Chiravanond</t>
  </si>
  <si>
    <t>Prathip</t>
  </si>
  <si>
    <t>Alexandra Daitch</t>
  </si>
  <si>
    <t>Old Lyme</t>
  </si>
  <si>
    <t>Daitch</t>
  </si>
  <si>
    <t>Sol Daurella</t>
  </si>
  <si>
    <t>Coca-Cola bottler</t>
  </si>
  <si>
    <t>Daurella</t>
  </si>
  <si>
    <t>Sol</t>
  </si>
  <si>
    <t>Mark Davis</t>
  </si>
  <si>
    <t>Las Vegas Raiders</t>
  </si>
  <si>
    <t>James Dinan</t>
  </si>
  <si>
    <t>North Salem</t>
  </si>
  <si>
    <t>York Capital Management</t>
  </si>
  <si>
    <t>Dinan</t>
  </si>
  <si>
    <t>Dong Fan</t>
  </si>
  <si>
    <t>Zhuhai</t>
  </si>
  <si>
    <t>Fritz Draexlmaier</t>
  </si>
  <si>
    <t>Landshut</t>
  </si>
  <si>
    <t>Draexlmaier</t>
  </si>
  <si>
    <t>Fritz</t>
  </si>
  <si>
    <t>Bulent Eczacibasi</t>
  </si>
  <si>
    <t>Pharmaceuticals, diversified</t>
  </si>
  <si>
    <t>Eczacibasi</t>
  </si>
  <si>
    <t>Bulent</t>
  </si>
  <si>
    <t>Faruk Eczacibasi</t>
  </si>
  <si>
    <t>Faruk</t>
  </si>
  <si>
    <t>Eduardo Eurnekian</t>
  </si>
  <si>
    <t>Airports, investments</t>
  </si>
  <si>
    <t>Eurnekian</t>
  </si>
  <si>
    <t>David Fong</t>
  </si>
  <si>
    <t>Fong</t>
  </si>
  <si>
    <t>Guo Zhenyu &amp; family</t>
  </si>
  <si>
    <t>Kunming</t>
  </si>
  <si>
    <t>Zhenyu</t>
  </si>
  <si>
    <t>Surjit Kumar Gupta</t>
  </si>
  <si>
    <t>Surjit Kumar</t>
  </si>
  <si>
    <t>Caroline Hagen Kjos</t>
  </si>
  <si>
    <t>Wollerau</t>
  </si>
  <si>
    <t>Hagen Kjos</t>
  </si>
  <si>
    <t>Caroline</t>
  </si>
  <si>
    <t>Roberto Hernandez Ramirez</t>
  </si>
  <si>
    <t>Banking, investments</t>
  </si>
  <si>
    <t>Hernandez Ramirez</t>
  </si>
  <si>
    <t>Reid Hoffman</t>
  </si>
  <si>
    <t>LinkedIn</t>
  </si>
  <si>
    <t>Greylock</t>
  </si>
  <si>
    <t>Hoffman</t>
  </si>
  <si>
    <t>Reid</t>
  </si>
  <si>
    <t>Partner</t>
  </si>
  <si>
    <t>Hu Rongda &amp; family</t>
  </si>
  <si>
    <t>Jinhua</t>
  </si>
  <si>
    <t>Rongda</t>
  </si>
  <si>
    <t>B. Wayne Hughes, Jr.</t>
  </si>
  <si>
    <t>Storage facilities</t>
  </si>
  <si>
    <t>Hughes</t>
  </si>
  <si>
    <t>B. Wayne</t>
  </si>
  <si>
    <t>Hui Wing Mau</t>
  </si>
  <si>
    <t>Wing Mau</t>
  </si>
  <si>
    <t>Scott Kapnick</t>
  </si>
  <si>
    <t>Kapnick</t>
  </si>
  <si>
    <t>Richard Kayne</t>
  </si>
  <si>
    <t>Santa Monica</t>
  </si>
  <si>
    <t>Kayne</t>
  </si>
  <si>
    <t>Dominika Kulczyk</t>
  </si>
  <si>
    <t>Kulczyk</t>
  </si>
  <si>
    <t>Dominika</t>
  </si>
  <si>
    <t>Edward Lampert</t>
  </si>
  <si>
    <t>Sears</t>
  </si>
  <si>
    <t>ESL Investments Inc.</t>
  </si>
  <si>
    <t>Lampert</t>
  </si>
  <si>
    <t>Somsri Lamsam</t>
  </si>
  <si>
    <t>Lamsam</t>
  </si>
  <si>
    <t>Somsri</t>
  </si>
  <si>
    <t>James Leprino</t>
  </si>
  <si>
    <t>Indian Hills</t>
  </si>
  <si>
    <t>Leprino Foods</t>
  </si>
  <si>
    <t>Leprino</t>
  </si>
  <si>
    <t>David Lichtenstein</t>
  </si>
  <si>
    <t>Monsey</t>
  </si>
  <si>
    <t>Lichtenstein</t>
  </si>
  <si>
    <t>Lin Dingqiang &amp; family</t>
  </si>
  <si>
    <t>Dingqiang</t>
  </si>
  <si>
    <t>Sarah MacMillan</t>
  </si>
  <si>
    <t>MacMillan</t>
  </si>
  <si>
    <t>Sarah</t>
  </si>
  <si>
    <t>Strive Masiyiwa</t>
  </si>
  <si>
    <t>Zimbabwe</t>
  </si>
  <si>
    <t>Masiyiwa</t>
  </si>
  <si>
    <t>Strive</t>
  </si>
  <si>
    <t>Robert Miller</t>
  </si>
  <si>
    <t>Simon Nixon</t>
  </si>
  <si>
    <t>St. Brelade, Jersey</t>
  </si>
  <si>
    <t>Price comparison website</t>
  </si>
  <si>
    <t>Nixon</t>
  </si>
  <si>
    <t>Kentaro Ogawa</t>
  </si>
  <si>
    <t>Ogawa</t>
  </si>
  <si>
    <t>Kentaro</t>
  </si>
  <si>
    <t>Ajay Parekh</t>
  </si>
  <si>
    <t>Narendrakumar Parekh</t>
  </si>
  <si>
    <t>Narendrakumar</t>
  </si>
  <si>
    <t>Jennifer Pritzker</t>
  </si>
  <si>
    <t>Tawani Enterprises</t>
  </si>
  <si>
    <t>Jennifer</t>
  </si>
  <si>
    <t>G. Rajendran</t>
  </si>
  <si>
    <t>Jewellery</t>
  </si>
  <si>
    <t>Rajendran</t>
  </si>
  <si>
    <t>G.</t>
  </si>
  <si>
    <t>Ren Jianhua</t>
  </si>
  <si>
    <t>Ren</t>
  </si>
  <si>
    <t>Larry Robbins</t>
  </si>
  <si>
    <t>Alpine</t>
  </si>
  <si>
    <t>Glenview Capital Management</t>
  </si>
  <si>
    <t>Robbins</t>
  </si>
  <si>
    <t>Dwight Schar</t>
  </si>
  <si>
    <t>Homebuilding, NFL team</t>
  </si>
  <si>
    <t>Schar</t>
  </si>
  <si>
    <t>Dwight</t>
  </si>
  <si>
    <t>Shao Jianxiong</t>
  </si>
  <si>
    <t>Photovoltaics</t>
  </si>
  <si>
    <t>Shao</t>
  </si>
  <si>
    <t>Jianxiong</t>
  </si>
  <si>
    <t>Qinxiang Shao</t>
  </si>
  <si>
    <t>Qinxiang</t>
  </si>
  <si>
    <t>Hua Shen</t>
  </si>
  <si>
    <t>Shi Wen-long</t>
  </si>
  <si>
    <t>Tainan</t>
  </si>
  <si>
    <t>Wen-long</t>
  </si>
  <si>
    <t>Peter Sondakh</t>
  </si>
  <si>
    <t>Surabaya</t>
  </si>
  <si>
    <t>Sondakh</t>
  </si>
  <si>
    <t>Lucy Stitzer</t>
  </si>
  <si>
    <t>Stitzer</t>
  </si>
  <si>
    <t>Lucy</t>
  </si>
  <si>
    <t>Elizabeth Sy</t>
  </si>
  <si>
    <t>Hermanto Tanoko</t>
  </si>
  <si>
    <t>Tanoko</t>
  </si>
  <si>
    <t>Hermanto</t>
  </si>
  <si>
    <t>Mehmet Sinan Tara</t>
  </si>
  <si>
    <t>Tara</t>
  </si>
  <si>
    <t>Mehmet Sinan</t>
  </si>
  <si>
    <t>Masateru Uno &amp; family</t>
  </si>
  <si>
    <t>Fukuoka</t>
  </si>
  <si>
    <t>Uno</t>
  </si>
  <si>
    <t>Masateru</t>
  </si>
  <si>
    <t>Vardis Vardinoyannis &amp; family</t>
  </si>
  <si>
    <t>Athens</t>
  </si>
  <si>
    <t>Oil and gas</t>
  </si>
  <si>
    <t>Vardinoyannis &amp; family</t>
  </si>
  <si>
    <t>Vardis</t>
  </si>
  <si>
    <t>Jitendra Virwani</t>
  </si>
  <si>
    <t>Virwani</t>
  </si>
  <si>
    <t>Jitendra</t>
  </si>
  <si>
    <t>Wang Chaobin</t>
  </si>
  <si>
    <t>Zhengzhou</t>
  </si>
  <si>
    <t>Chaobin</t>
  </si>
  <si>
    <t>Wang Ren-sheng</t>
  </si>
  <si>
    <t>Ren-sheng</t>
  </si>
  <si>
    <t>Charlotte Colket Weber</t>
  </si>
  <si>
    <t>Weber</t>
  </si>
  <si>
    <t>Charlotte Colket</t>
  </si>
  <si>
    <t>Xie Juhua &amp; family</t>
  </si>
  <si>
    <t>Juhua</t>
  </si>
  <si>
    <t>Chuanhua Xu &amp; family</t>
  </si>
  <si>
    <t>Chemicals, logistics</t>
  </si>
  <si>
    <t>Transfar Group</t>
  </si>
  <si>
    <t>Chuanhua</t>
  </si>
  <si>
    <t>Gavril Yushvaev &amp; family</t>
  </si>
  <si>
    <t>Precious metals, real estate</t>
  </si>
  <si>
    <t>Yushvaev</t>
  </si>
  <si>
    <t>Gavril</t>
  </si>
  <si>
    <t>Zhang Hongwei</t>
  </si>
  <si>
    <t>Oil, banking</t>
  </si>
  <si>
    <t>Anita Zucker</t>
  </si>
  <si>
    <t>Zucker</t>
  </si>
  <si>
    <t>Anita</t>
  </si>
  <si>
    <t>Cameron Adams</t>
  </si>
  <si>
    <t>Adams</t>
  </si>
  <si>
    <t>Cameron</t>
  </si>
  <si>
    <t>Will Adderley</t>
  </si>
  <si>
    <t>Adderley</t>
  </si>
  <si>
    <t>Will</t>
  </si>
  <si>
    <t>Faisal Bin Qassim Al Thani</t>
  </si>
  <si>
    <t>Qatar</t>
  </si>
  <si>
    <t>Doha</t>
  </si>
  <si>
    <t>Hotels, diversified</t>
  </si>
  <si>
    <t>Al Thani</t>
  </si>
  <si>
    <t>Faisal Bin Qassim</t>
  </si>
  <si>
    <t>Leslie Alexander</t>
  </si>
  <si>
    <t>Sports team</t>
  </si>
  <si>
    <t>Leslie</t>
  </si>
  <si>
    <t>Masaaki Arai</t>
  </si>
  <si>
    <t>Home sales</t>
  </si>
  <si>
    <t>Arai</t>
  </si>
  <si>
    <t>Masaaki</t>
  </si>
  <si>
    <t>Sabrina Benetton</t>
  </si>
  <si>
    <t>Sabrina</t>
  </si>
  <si>
    <t>Sanjeev Bikhchandani</t>
  </si>
  <si>
    <t>Internet</t>
  </si>
  <si>
    <t>Bikhchandani</t>
  </si>
  <si>
    <t>Sanjeev</t>
  </si>
  <si>
    <t>O. Francis Biondi</t>
  </si>
  <si>
    <t>Biondi</t>
  </si>
  <si>
    <t>O. Francis</t>
  </si>
  <si>
    <t>Alejandro Bulgheroni</t>
  </si>
  <si>
    <t>Uruguay</t>
  </si>
  <si>
    <t>Manantiales</t>
  </si>
  <si>
    <t>Bulgheroni</t>
  </si>
  <si>
    <t>R.G. Chandramogan</t>
  </si>
  <si>
    <t>Chandramogan</t>
  </si>
  <si>
    <t>R.G.</t>
  </si>
  <si>
    <t>Binod Chaudhary</t>
  </si>
  <si>
    <t>Nepal</t>
  </si>
  <si>
    <t>Kathmandu</t>
  </si>
  <si>
    <t>Chaudhary</t>
  </si>
  <si>
    <t>Binod</t>
  </si>
  <si>
    <t>Parker Conrad</t>
  </si>
  <si>
    <t>Conrad</t>
  </si>
  <si>
    <t>Tim Cook</t>
  </si>
  <si>
    <t>Cupertino</t>
  </si>
  <si>
    <t>Apple</t>
  </si>
  <si>
    <t>Mark Coombs</t>
  </si>
  <si>
    <t>Coombs</t>
  </si>
  <si>
    <t>John de Mol</t>
  </si>
  <si>
    <t>Blaricum</t>
  </si>
  <si>
    <t>TV programs</t>
  </si>
  <si>
    <t>de Mol</t>
  </si>
  <si>
    <t>D. Leopoldo Del Pino</t>
  </si>
  <si>
    <t>D. Leopoldo</t>
  </si>
  <si>
    <t>Diao Zhizhong</t>
  </si>
  <si>
    <t>Diao</t>
  </si>
  <si>
    <t>Zhizhong</t>
  </si>
  <si>
    <t>Robert Duggan</t>
  </si>
  <si>
    <t>Duggan</t>
  </si>
  <si>
    <t>James France</t>
  </si>
  <si>
    <t>Daytona Beach</t>
  </si>
  <si>
    <t>Nascar, racing</t>
  </si>
  <si>
    <t>Phillip Frost</t>
  </si>
  <si>
    <t>Frost</t>
  </si>
  <si>
    <t>Phillip</t>
  </si>
  <si>
    <t>Jayme Garfinkel &amp; family</t>
  </si>
  <si>
    <t>Garfinkel</t>
  </si>
  <si>
    <t>Jayme</t>
  </si>
  <si>
    <t>Christopher Goldsbury</t>
  </si>
  <si>
    <t>Salsa</t>
  </si>
  <si>
    <t>Silver Ventures</t>
  </si>
  <si>
    <t>Goldsbury</t>
  </si>
  <si>
    <t>Yusuf Hamied</t>
  </si>
  <si>
    <t>Hamied</t>
  </si>
  <si>
    <t>Yusuf</t>
  </si>
  <si>
    <t>Brian Higgins</t>
  </si>
  <si>
    <t>King Street Capital Management</t>
  </si>
  <si>
    <t>Higgins</t>
  </si>
  <si>
    <t>Wei Huang</t>
  </si>
  <si>
    <t>Yintai Jiang &amp; family</t>
  </si>
  <si>
    <t>Yintai</t>
  </si>
  <si>
    <t>Lei Jin</t>
  </si>
  <si>
    <t>Changchun</t>
  </si>
  <si>
    <t>Jin Lei &amp; family</t>
  </si>
  <si>
    <t>Valentin Kipyatkov</t>
  </si>
  <si>
    <t>Peyia</t>
  </si>
  <si>
    <t>Kipyatkov</t>
  </si>
  <si>
    <t>Valentin</t>
  </si>
  <si>
    <t>Koo Kwang-mo</t>
  </si>
  <si>
    <t>LG</t>
  </si>
  <si>
    <t>Kwang-mo</t>
  </si>
  <si>
    <t>George Kurtz</t>
  </si>
  <si>
    <t>Kurtz</t>
  </si>
  <si>
    <t>Joe Lacob</t>
  </si>
  <si>
    <t>Golden State Warriors</t>
  </si>
  <si>
    <t>Lacob</t>
  </si>
  <si>
    <t>Joe Lau</t>
  </si>
  <si>
    <t>Stanford</t>
  </si>
  <si>
    <t>Blockchain, technology</t>
  </si>
  <si>
    <t>Louise Lindh</t>
  </si>
  <si>
    <t>Lindh</t>
  </si>
  <si>
    <t>Louise</t>
  </si>
  <si>
    <t>Luo Yangyong &amp; family</t>
  </si>
  <si>
    <t>Panzhihua</t>
  </si>
  <si>
    <t>Yangyong</t>
  </si>
  <si>
    <t>Joao Roberto Marinho</t>
  </si>
  <si>
    <t>Marinho</t>
  </si>
  <si>
    <t>Joao Roberto</t>
  </si>
  <si>
    <t>Jose Roberto Marinho</t>
  </si>
  <si>
    <t>Jose Roberto</t>
  </si>
  <si>
    <t>Roberto Irineu Marinho</t>
  </si>
  <si>
    <t>Roberto Irineu</t>
  </si>
  <si>
    <t>Gary Michelson</t>
  </si>
  <si>
    <t>Medical patents</t>
  </si>
  <si>
    <t>Michelson</t>
  </si>
  <si>
    <t>Robert G. Miller</t>
  </si>
  <si>
    <t>Future Electronics</t>
  </si>
  <si>
    <t>Robert G.</t>
  </si>
  <si>
    <t>David Mindus</t>
  </si>
  <si>
    <t>Mindus</t>
  </si>
  <si>
    <t>Adriaan Mol</t>
  </si>
  <si>
    <t>Mol</t>
  </si>
  <si>
    <t>Adriaan</t>
  </si>
  <si>
    <t>Mofatraj Munot</t>
  </si>
  <si>
    <t>Munot</t>
  </si>
  <si>
    <t>Mofatraj</t>
  </si>
  <si>
    <t>Ezra Nahmad</t>
  </si>
  <si>
    <t>Art</t>
  </si>
  <si>
    <t>Ezra</t>
  </si>
  <si>
    <t>Satyanarayan Nuwal</t>
  </si>
  <si>
    <t>Nagpur</t>
  </si>
  <si>
    <t>Industrial explosives</t>
  </si>
  <si>
    <t>Nuwal</t>
  </si>
  <si>
    <t>Satyanarayan</t>
  </si>
  <si>
    <t>Maike Oberwelland-Height</t>
  </si>
  <si>
    <t>Oberwelland-Height</t>
  </si>
  <si>
    <t>Maike</t>
  </si>
  <si>
    <t>Nihat Ozdemir</t>
  </si>
  <si>
    <t>Ozdemir</t>
  </si>
  <si>
    <t>Nihat</t>
  </si>
  <si>
    <t>Benjamin Zhengmin Pan &amp; family</t>
  </si>
  <si>
    <t>Benjamin Zhengmin</t>
  </si>
  <si>
    <t>Pierre Karl Péladeau</t>
  </si>
  <si>
    <t>Péladeau</t>
  </si>
  <si>
    <t>Pierre Karl</t>
  </si>
  <si>
    <t>Ronald Perelman</t>
  </si>
  <si>
    <t>Leveraged buyouts</t>
  </si>
  <si>
    <t>Perelman</t>
  </si>
  <si>
    <t>Olivier Pomel</t>
  </si>
  <si>
    <t>Cloud computing</t>
  </si>
  <si>
    <t>Datadog</t>
  </si>
  <si>
    <t>Pomel</t>
  </si>
  <si>
    <t>Krit Ratanarak</t>
  </si>
  <si>
    <t>Media, real estate</t>
  </si>
  <si>
    <t>Ratanarak</t>
  </si>
  <si>
    <t>Krit</t>
  </si>
  <si>
    <t>Vinod Saraf</t>
  </si>
  <si>
    <t>Saraf</t>
  </si>
  <si>
    <t>Karin Schick</t>
  </si>
  <si>
    <t>Gaildorf</t>
  </si>
  <si>
    <t>Schick</t>
  </si>
  <si>
    <t>Anatoly Sedykh</t>
  </si>
  <si>
    <t>Steel pipes</t>
  </si>
  <si>
    <t>Sedykh</t>
  </si>
  <si>
    <t>Anatoly</t>
  </si>
  <si>
    <t>Genhuo Shao</t>
  </si>
  <si>
    <t>Genhuo</t>
  </si>
  <si>
    <t>Shen Xiqiang &amp; family</t>
  </si>
  <si>
    <t>Yixing</t>
  </si>
  <si>
    <t>Chemical</t>
  </si>
  <si>
    <t>Xiqiang</t>
  </si>
  <si>
    <t>S.D. Shibulal</t>
  </si>
  <si>
    <t>Shibulal</t>
  </si>
  <si>
    <t>S.D.</t>
  </si>
  <si>
    <t>Suh Kyung-bae</t>
  </si>
  <si>
    <t>Amorepacific Corp. (New)</t>
  </si>
  <si>
    <t>Suh</t>
  </si>
  <si>
    <t>Kyung-bae</t>
  </si>
  <si>
    <t>Bambang Sutantio</t>
  </si>
  <si>
    <t>Dairy &amp; consumer products</t>
  </si>
  <si>
    <t>Sutantio</t>
  </si>
  <si>
    <t>Bambang</t>
  </si>
  <si>
    <t>Sze Man Bok</t>
  </si>
  <si>
    <t>Jinjiang</t>
  </si>
  <si>
    <t>Hygiene products</t>
  </si>
  <si>
    <t>Sze</t>
  </si>
  <si>
    <t>Man Bok</t>
  </si>
  <si>
    <t>Jim Thompson</t>
  </si>
  <si>
    <t>Thompson</t>
  </si>
  <si>
    <t>Tran Dinh Long</t>
  </si>
  <si>
    <t>Tran Dinh</t>
  </si>
  <si>
    <t>Alan Trefler</t>
  </si>
  <si>
    <t>Trefler</t>
  </si>
  <si>
    <t>Riaz Valani</t>
  </si>
  <si>
    <t>Valani</t>
  </si>
  <si>
    <t>Riaz</t>
  </si>
  <si>
    <t>Pieter van der Does</t>
  </si>
  <si>
    <t>van der Does</t>
  </si>
  <si>
    <t>Pieter</t>
  </si>
  <si>
    <t>Martin Viessmann</t>
  </si>
  <si>
    <t>Allendorf</t>
  </si>
  <si>
    <t>Nikil Viswanathan</t>
  </si>
  <si>
    <t>Blockchain technology</t>
  </si>
  <si>
    <t>Viswanathan</t>
  </si>
  <si>
    <t>Nikil</t>
  </si>
  <si>
    <t>Todd Wagner</t>
  </si>
  <si>
    <t>Wagner</t>
  </si>
  <si>
    <t>Evan Williams</t>
  </si>
  <si>
    <t>Cofounder and Director</t>
  </si>
  <si>
    <t>Kie Chie Wong</t>
  </si>
  <si>
    <t>Kie Chie</t>
  </si>
  <si>
    <t>Thomas Wu</t>
  </si>
  <si>
    <t>Wu Yingming</t>
  </si>
  <si>
    <t>Yingming</t>
  </si>
  <si>
    <t>Amy Wyss</t>
  </si>
  <si>
    <t>Yan Zhi</t>
  </si>
  <si>
    <t>Zhi</t>
  </si>
  <si>
    <t>Yoshiaki Yoshida</t>
  </si>
  <si>
    <t>cosmetics</t>
  </si>
  <si>
    <t>Yoshida</t>
  </si>
  <si>
    <t>Yoshiaki</t>
  </si>
  <si>
    <t>Alan Zekelman</t>
  </si>
  <si>
    <t>Zhang Li</t>
  </si>
  <si>
    <t>Amy Adams Strunk</t>
  </si>
  <si>
    <t>Tennessee Titans</t>
  </si>
  <si>
    <t>Adams Strunk</t>
  </si>
  <si>
    <t>Marc Andreessen</t>
  </si>
  <si>
    <t>Venture capital investing</t>
  </si>
  <si>
    <t>Andreessen Horowitz</t>
  </si>
  <si>
    <t>Andreessen</t>
  </si>
  <si>
    <t>Giovanni Arvedi</t>
  </si>
  <si>
    <t>Cremona</t>
  </si>
  <si>
    <t>Arvedi</t>
  </si>
  <si>
    <t>Lesley Bamberger</t>
  </si>
  <si>
    <t>Bamberger</t>
  </si>
  <si>
    <t>Lesley</t>
  </si>
  <si>
    <t>Bang Si-hyuk</t>
  </si>
  <si>
    <t>Si-hyuk</t>
  </si>
  <si>
    <t>David Booth</t>
  </si>
  <si>
    <t>Mutual funds</t>
  </si>
  <si>
    <t>Dimensional Fund Advisors</t>
  </si>
  <si>
    <t>Booth</t>
  </si>
  <si>
    <t>Jim Breyer</t>
  </si>
  <si>
    <t>Breyer Capital</t>
  </si>
  <si>
    <t>Breyer</t>
  </si>
  <si>
    <t>Chen Kaichen</t>
  </si>
  <si>
    <t>Kaichen</t>
  </si>
  <si>
    <t>Kommer Damen</t>
  </si>
  <si>
    <t>Gorinchem</t>
  </si>
  <si>
    <t>Shipbuilding</t>
  </si>
  <si>
    <t>Damen</t>
  </si>
  <si>
    <t>Kommer</t>
  </si>
  <si>
    <t>Carl DeSantis</t>
  </si>
  <si>
    <t>Energy drink</t>
  </si>
  <si>
    <t>DeSantis</t>
  </si>
  <si>
    <t>Marek Dospiva</t>
  </si>
  <si>
    <t>Dospiva</t>
  </si>
  <si>
    <t>Marek</t>
  </si>
  <si>
    <t>Keith Dunleavy &amp; family</t>
  </si>
  <si>
    <t>Annapolis</t>
  </si>
  <si>
    <t>Dunleavy</t>
  </si>
  <si>
    <t>Keith</t>
  </si>
  <si>
    <t>John Elkann</t>
  </si>
  <si>
    <t>Turin</t>
  </si>
  <si>
    <t>FIAT, investments</t>
  </si>
  <si>
    <t>Elkann</t>
  </si>
  <si>
    <t>Francois Feuillet &amp; family</t>
  </si>
  <si>
    <t>Motorhomes, RVs</t>
  </si>
  <si>
    <t>Feuillet</t>
  </si>
  <si>
    <t>Francois</t>
  </si>
  <si>
    <t>Yasuhiro Fukushima</t>
  </si>
  <si>
    <t>Fukushima</t>
  </si>
  <si>
    <t>Yasuhiro</t>
  </si>
  <si>
    <t>Mario Gabelli</t>
  </si>
  <si>
    <t>Gabelli</t>
  </si>
  <si>
    <t>Mario</t>
  </si>
  <si>
    <t>Rolf Gerling</t>
  </si>
  <si>
    <t>Gerling</t>
  </si>
  <si>
    <t>Rolf</t>
  </si>
  <si>
    <t>John Goff</t>
  </si>
  <si>
    <t>Goff</t>
  </si>
  <si>
    <t>Alexandre Grendene Bartelle</t>
  </si>
  <si>
    <t>Porto Alegre</t>
  </si>
  <si>
    <t>Grendene Bartelle</t>
  </si>
  <si>
    <t>Gerry Harvey</t>
  </si>
  <si>
    <t>Harvey</t>
  </si>
  <si>
    <t>Gerry</t>
  </si>
  <si>
    <t>He Zhaoxi</t>
  </si>
  <si>
    <t>Zhaoxi</t>
  </si>
  <si>
    <t>William Heinecke</t>
  </si>
  <si>
    <t>Heinecke</t>
  </si>
  <si>
    <t>Jay Hennick</t>
  </si>
  <si>
    <t>Real estate finance</t>
  </si>
  <si>
    <t>Hennick</t>
  </si>
  <si>
    <t>Ilkka Herlin</t>
  </si>
  <si>
    <t>Ilkka</t>
  </si>
  <si>
    <t>Asok Kumar Hiranandani</t>
  </si>
  <si>
    <t>Hiranandani</t>
  </si>
  <si>
    <t>Asok Kumar</t>
  </si>
  <si>
    <t>Hal Jackman</t>
  </si>
  <si>
    <t>Insurance, investments</t>
  </si>
  <si>
    <t>Jackman</t>
  </si>
  <si>
    <t>Hal</t>
  </si>
  <si>
    <t>Pavan Jain</t>
  </si>
  <si>
    <t>Pavan</t>
  </si>
  <si>
    <t>Keeree Kanjanapas</t>
  </si>
  <si>
    <t>Transportation</t>
  </si>
  <si>
    <t>Kanjanapas</t>
  </si>
  <si>
    <t>Keeree</t>
  </si>
  <si>
    <t>Osman Kibar</t>
  </si>
  <si>
    <t>La Jolla</t>
  </si>
  <si>
    <t>Samumed</t>
  </si>
  <si>
    <t>Kibar</t>
  </si>
  <si>
    <t>Osman</t>
  </si>
  <si>
    <t>Kim Chang-soo</t>
  </si>
  <si>
    <t>Chang-soo</t>
  </si>
  <si>
    <t>Kim Jung-min</t>
  </si>
  <si>
    <t>Online gaming</t>
  </si>
  <si>
    <t>Jung-min</t>
  </si>
  <si>
    <t>Kim Jung-youn</t>
  </si>
  <si>
    <t>Jung-youn</t>
  </si>
  <si>
    <t>Mustafa Kucuk</t>
  </si>
  <si>
    <t>Kucuk</t>
  </si>
  <si>
    <t>Mustafa</t>
  </si>
  <si>
    <t>Christopher Kwok</t>
  </si>
  <si>
    <t>Edward Kwok</t>
  </si>
  <si>
    <t>Lai Jianfa</t>
  </si>
  <si>
    <t>Express delivery</t>
  </si>
  <si>
    <t>Jianfa</t>
  </si>
  <si>
    <t>Lau Cho Kun</t>
  </si>
  <si>
    <t>Tawau, Sabah</t>
  </si>
  <si>
    <t>Cho Kun</t>
  </si>
  <si>
    <t>Alexis Lê-Quôc</t>
  </si>
  <si>
    <t>Lê-Quôc</t>
  </si>
  <si>
    <t>Alexis</t>
  </si>
  <si>
    <t>Lei Jufang</t>
  </si>
  <si>
    <t>Lanzhou</t>
  </si>
  <si>
    <t>Jufang</t>
  </si>
  <si>
    <t>James Leininger</t>
  </si>
  <si>
    <t>Medical products</t>
  </si>
  <si>
    <t>Leininger</t>
  </si>
  <si>
    <t>Xuhui Li</t>
  </si>
  <si>
    <t>Xuhui</t>
  </si>
  <si>
    <t>Jimmy John Liautaud</t>
  </si>
  <si>
    <t>Key Largo</t>
  </si>
  <si>
    <t>Sandwich chain</t>
  </si>
  <si>
    <t>Liautaud</t>
  </si>
  <si>
    <t>Jimmy John</t>
  </si>
  <si>
    <t>Lin Lairong &amp; family</t>
  </si>
  <si>
    <t>Bayannur</t>
  </si>
  <si>
    <t>Iron ore mining</t>
  </si>
  <si>
    <t>Lairong</t>
  </si>
  <si>
    <t>Lu Di</t>
  </si>
  <si>
    <t>Di</t>
  </si>
  <si>
    <t>Palmer Luckey</t>
  </si>
  <si>
    <t>Virtual reality</t>
  </si>
  <si>
    <t>Oculus VR</t>
  </si>
  <si>
    <t>Luckey</t>
  </si>
  <si>
    <t>Duncan MacMillan</t>
  </si>
  <si>
    <t>Princeton</t>
  </si>
  <si>
    <t>Yusaku Maezawa</t>
  </si>
  <si>
    <t>Chiba</t>
  </si>
  <si>
    <t>Maezawa</t>
  </si>
  <si>
    <t>Yusaku</t>
  </si>
  <si>
    <t>Ilson Mateus &amp; family</t>
  </si>
  <si>
    <t>Sao Luis</t>
  </si>
  <si>
    <t>Mateus</t>
  </si>
  <si>
    <t>Ilson</t>
  </si>
  <si>
    <t>Meng Qingshan &amp; family</t>
  </si>
  <si>
    <t>Meng</t>
  </si>
  <si>
    <t>Qingshan</t>
  </si>
  <si>
    <t>Alberto Palatchi</t>
  </si>
  <si>
    <t>Wedding dresses</t>
  </si>
  <si>
    <t>Palatchi</t>
  </si>
  <si>
    <t>Mrudula Parekh</t>
  </si>
  <si>
    <t>Mrudula</t>
  </si>
  <si>
    <t>Dragos Paval</t>
  </si>
  <si>
    <t>Bacau</t>
  </si>
  <si>
    <t>Paval</t>
  </si>
  <si>
    <t>Dragos</t>
  </si>
  <si>
    <t>Jorge Perez</t>
  </si>
  <si>
    <t>Dmitry Pumpyansky</t>
  </si>
  <si>
    <t>Pumpyansky</t>
  </si>
  <si>
    <t>Jinsheng Ren &amp; family</t>
  </si>
  <si>
    <t>Pharmaceutical</t>
  </si>
  <si>
    <t>Jinsheng</t>
  </si>
  <si>
    <t>Brian Roberts</t>
  </si>
  <si>
    <t>Comcast</t>
  </si>
  <si>
    <t>Joe Rogers, Jr.</t>
  </si>
  <si>
    <t>Waffle House</t>
  </si>
  <si>
    <t>Rogers</t>
  </si>
  <si>
    <t>Ruan Shuilong &amp; family</t>
  </si>
  <si>
    <t>Shuilong</t>
  </si>
  <si>
    <t>Paul Saville</t>
  </si>
  <si>
    <t>Homebuilder</t>
  </si>
  <si>
    <t>Saville</t>
  </si>
  <si>
    <t>Ivan Savvidis &amp; family</t>
  </si>
  <si>
    <t>Rostov-on-Don</t>
  </si>
  <si>
    <t>Savvidis</t>
  </si>
  <si>
    <t>Keiichi Shibahara</t>
  </si>
  <si>
    <t>Shibahara</t>
  </si>
  <si>
    <t>Keiichi</t>
  </si>
  <si>
    <t>Rajju Shroff</t>
  </si>
  <si>
    <t>Shroff</t>
  </si>
  <si>
    <t>Rajju</t>
  </si>
  <si>
    <t>Sun Huaiqing &amp; family</t>
  </si>
  <si>
    <t>Huaiqing</t>
  </si>
  <si>
    <t>Alain Taravella</t>
  </si>
  <si>
    <t>Real estate development</t>
  </si>
  <si>
    <t>Taravella</t>
  </si>
  <si>
    <t>Jonathan Tisch</t>
  </si>
  <si>
    <t>Insurance, NFL team</t>
  </si>
  <si>
    <t>Tisch</t>
  </si>
  <si>
    <t>Kenneth Tuchman</t>
  </si>
  <si>
    <t>Call centers</t>
  </si>
  <si>
    <t>Tuchman</t>
  </si>
  <si>
    <t>Wang Chou-hsiong</t>
  </si>
  <si>
    <t>Yunlin</t>
  </si>
  <si>
    <t>Chou-hsiong</t>
  </si>
  <si>
    <t>Wang Minwen</t>
  </si>
  <si>
    <t>Minwen</t>
  </si>
  <si>
    <t>Tom Werner</t>
  </si>
  <si>
    <t>Werner</t>
  </si>
  <si>
    <t>Stephen Winn</t>
  </si>
  <si>
    <t>Real estate services</t>
  </si>
  <si>
    <t>Winn</t>
  </si>
  <si>
    <t>Ian Wood &amp; family</t>
  </si>
  <si>
    <t>Aberdeen</t>
  </si>
  <si>
    <t>Energy services</t>
  </si>
  <si>
    <t>Wood</t>
  </si>
  <si>
    <t>Wu Lanlan &amp; family</t>
  </si>
  <si>
    <t>Lanlan</t>
  </si>
  <si>
    <t>Xu Bingzhong</t>
  </si>
  <si>
    <t>Bars</t>
  </si>
  <si>
    <t>Bingzhong</t>
  </si>
  <si>
    <t>Yang Xuegang</t>
  </si>
  <si>
    <t>Coking</t>
  </si>
  <si>
    <t>Xuegang</t>
  </si>
  <si>
    <t>Vladimir Yevtushenkov</t>
  </si>
  <si>
    <t>Telecom, investments</t>
  </si>
  <si>
    <t>Yevtushenkov</t>
  </si>
  <si>
    <t>David Zalik</t>
  </si>
  <si>
    <t>Financial technology</t>
  </si>
  <si>
    <t>GreenSky</t>
  </si>
  <si>
    <t>Zalik</t>
  </si>
  <si>
    <t>Zhang Xiaojuan</t>
  </si>
  <si>
    <t>Xiaojuan</t>
  </si>
  <si>
    <t>Zheng Xiaodong</t>
  </si>
  <si>
    <t>Zhong Ruonong &amp; family</t>
  </si>
  <si>
    <t>Zhuzhou</t>
  </si>
  <si>
    <t>Ruonong</t>
  </si>
  <si>
    <t>Noubar Afeyan</t>
  </si>
  <si>
    <t>Afeyan</t>
  </si>
  <si>
    <t>Noubar</t>
  </si>
  <si>
    <t>Syed Mokhtar AlBukhary</t>
  </si>
  <si>
    <t>Engineering, automotive</t>
  </si>
  <si>
    <t>AlBukhary</t>
  </si>
  <si>
    <t>Syed Mokhtar</t>
  </si>
  <si>
    <t>Herbert Allen, Jr. &amp; family</t>
  </si>
  <si>
    <t>Allen</t>
  </si>
  <si>
    <t>Vasily Anisimov</t>
  </si>
  <si>
    <t>Anisimov</t>
  </si>
  <si>
    <t>Vasily</t>
  </si>
  <si>
    <t>Clifford Asness</t>
  </si>
  <si>
    <t>AQR Capital Management</t>
  </si>
  <si>
    <t>Asness</t>
  </si>
  <si>
    <t>Clifford</t>
  </si>
  <si>
    <t>Louis Bacon</t>
  </si>
  <si>
    <t>Moore Capital Management, LP</t>
  </si>
  <si>
    <t>Bacon</t>
  </si>
  <si>
    <t>Bai Baokun</t>
  </si>
  <si>
    <t>Dongguan</t>
  </si>
  <si>
    <t>Hardware</t>
  </si>
  <si>
    <t>Bai</t>
  </si>
  <si>
    <t>Baokun</t>
  </si>
  <si>
    <t>Alex Birkenstock</t>
  </si>
  <si>
    <t>Birkenstock</t>
  </si>
  <si>
    <t>Christian Birkenstock</t>
  </si>
  <si>
    <t>Kitzbuhel</t>
  </si>
  <si>
    <t>Josef Boquoi &amp; family</t>
  </si>
  <si>
    <t>Straelen</t>
  </si>
  <si>
    <t>Boquoi</t>
  </si>
  <si>
    <t>Josef</t>
  </si>
  <si>
    <t>Cai Huabo</t>
  </si>
  <si>
    <t>Jiujiang</t>
  </si>
  <si>
    <t>Huabo</t>
  </si>
  <si>
    <t>Chen Tianshi</t>
  </si>
  <si>
    <t>Tianshi</t>
  </si>
  <si>
    <t>Chen Yung-tai</t>
  </si>
  <si>
    <t>Yung-tai</t>
  </si>
  <si>
    <t>Chey Tae-won</t>
  </si>
  <si>
    <t>Oil, semiconductor</t>
  </si>
  <si>
    <t>SK Holdings</t>
  </si>
  <si>
    <t>Chey</t>
  </si>
  <si>
    <t>Tae-won</t>
  </si>
  <si>
    <t>Ivan Chrenko</t>
  </si>
  <si>
    <t>Slovakia</t>
  </si>
  <si>
    <t>Bratislava</t>
  </si>
  <si>
    <t>Chrenko</t>
  </si>
  <si>
    <t>Robert Clark</t>
  </si>
  <si>
    <t>Jack Cockwell</t>
  </si>
  <si>
    <t>Cockwell</t>
  </si>
  <si>
    <t>Tench Coxe</t>
  </si>
  <si>
    <t>Coxe</t>
  </si>
  <si>
    <t>Tench</t>
  </si>
  <si>
    <t>Jim Crane</t>
  </si>
  <si>
    <t>Logistics, baseball</t>
  </si>
  <si>
    <t>Crane</t>
  </si>
  <si>
    <t>Norbert Dentressangle</t>
  </si>
  <si>
    <t>Transport, logistics</t>
  </si>
  <si>
    <t>Dentressangle</t>
  </si>
  <si>
    <t>Norbert</t>
  </si>
  <si>
    <t>Jamie Dimon</t>
  </si>
  <si>
    <t>JPMorgan Chase &amp; Co.</t>
  </si>
  <si>
    <t>Dimon</t>
  </si>
  <si>
    <t>Jamie</t>
  </si>
  <si>
    <t>Daniel Dines</t>
  </si>
  <si>
    <t>Dines</t>
  </si>
  <si>
    <t>Alfredo Egydio Arruda Villela Filho</t>
  </si>
  <si>
    <t>Egydio Arruda Villela Filho</t>
  </si>
  <si>
    <t>Alfredo</t>
  </si>
  <si>
    <t>Gary Fegel</t>
  </si>
  <si>
    <t>Commodities, investments</t>
  </si>
  <si>
    <t>Fegel</t>
  </si>
  <si>
    <t>William Foley, II.</t>
  </si>
  <si>
    <t>Foley</t>
  </si>
  <si>
    <t>Richard Fortin</t>
  </si>
  <si>
    <t>Boucherville</t>
  </si>
  <si>
    <t>Fortin</t>
  </si>
  <si>
    <t>Gao Yi &amp; family</t>
  </si>
  <si>
    <t>Giammaria Giuliani</t>
  </si>
  <si>
    <t>Montagnola</t>
  </si>
  <si>
    <t>Giammaria</t>
  </si>
  <si>
    <t>Bill Gross</t>
  </si>
  <si>
    <t>Pacific Investment Management Company LLC</t>
  </si>
  <si>
    <t>Gross</t>
  </si>
  <si>
    <t>Cofounder and Co-Chief Investment Officer</t>
  </si>
  <si>
    <t>Sue Gross</t>
  </si>
  <si>
    <t>Sue</t>
  </si>
  <si>
    <t>Irving Grousbeck &amp; family</t>
  </si>
  <si>
    <t>Telecommunication, sports</t>
  </si>
  <si>
    <t>Grousbeck</t>
  </si>
  <si>
    <t>Timothy Headington</t>
  </si>
  <si>
    <t>Headington</t>
  </si>
  <si>
    <t>Ilona Herlin</t>
  </si>
  <si>
    <t>Ilona</t>
  </si>
  <si>
    <t>David Hoffmann</t>
  </si>
  <si>
    <t>Executive search, investments</t>
  </si>
  <si>
    <t>Hoffmann</t>
  </si>
  <si>
    <t>Stanley Hubbard</t>
  </si>
  <si>
    <t>St. Paul</t>
  </si>
  <si>
    <t>DirecTV</t>
  </si>
  <si>
    <t>Hubbard Broadcasting, Inc.</t>
  </si>
  <si>
    <t>Hubbard</t>
  </si>
  <si>
    <t>Hui Lin Chit</t>
  </si>
  <si>
    <t>Lin Chit</t>
  </si>
  <si>
    <t>Tianjiang Jia &amp; family</t>
  </si>
  <si>
    <t>Non-ferrous metals</t>
  </si>
  <si>
    <t>Jia</t>
  </si>
  <si>
    <t>Tianjiang</t>
  </si>
  <si>
    <t>Zhaobai Jiang</t>
  </si>
  <si>
    <t>Zhaobai</t>
  </si>
  <si>
    <t>Sergei Katsiev</t>
  </si>
  <si>
    <t>Retail, wholesale</t>
  </si>
  <si>
    <t>Katsiev</t>
  </si>
  <si>
    <t>Kim Jae-young</t>
  </si>
  <si>
    <t>Jae-young</t>
  </si>
  <si>
    <t>Randal J. Kirk</t>
  </si>
  <si>
    <t>Manalapan</t>
  </si>
  <si>
    <t>Kirk</t>
  </si>
  <si>
    <t>Randal J.</t>
  </si>
  <si>
    <t>William Koch</t>
  </si>
  <si>
    <t>Pyotr Kondrashev</t>
  </si>
  <si>
    <t>Wien</t>
  </si>
  <si>
    <t>Kondrashev</t>
  </si>
  <si>
    <t>Eiichi Kuriwada</t>
  </si>
  <si>
    <t>Kuriwada</t>
  </si>
  <si>
    <t>Eiichi</t>
  </si>
  <si>
    <t>Robert Langer</t>
  </si>
  <si>
    <t>Anthony Langley</t>
  </si>
  <si>
    <t>Nottinghamshire</t>
  </si>
  <si>
    <t>Langley</t>
  </si>
  <si>
    <t>Marianna Latsis &amp; family</t>
  </si>
  <si>
    <t>Banking, shipping</t>
  </si>
  <si>
    <t>Latsis</t>
  </si>
  <si>
    <t>Marianna</t>
  </si>
  <si>
    <t>Lee Yeow Seng</t>
  </si>
  <si>
    <t>Yeow Seng</t>
  </si>
  <si>
    <t>Li Sze Lim</t>
  </si>
  <si>
    <t>Sze Lim</t>
  </si>
  <si>
    <t>Li Wa</t>
  </si>
  <si>
    <t>Wa</t>
  </si>
  <si>
    <t>Li Weiwei</t>
  </si>
  <si>
    <t>Weiwei</t>
  </si>
  <si>
    <t>Liang Qin &amp; family</t>
  </si>
  <si>
    <t>Yangzhou</t>
  </si>
  <si>
    <t>Semiconductor devices</t>
  </si>
  <si>
    <t>Vincent Lo</t>
  </si>
  <si>
    <t>Lo</t>
  </si>
  <si>
    <t>Terence (Terry) Matthews</t>
  </si>
  <si>
    <t>Matthews</t>
  </si>
  <si>
    <t>Terence (Terry)</t>
  </si>
  <si>
    <t>Jim McKelvey</t>
  </si>
  <si>
    <t>Mobile payments</t>
  </si>
  <si>
    <t>McKelvey</t>
  </si>
  <si>
    <t>P.N.C. Menon</t>
  </si>
  <si>
    <t>Menon</t>
  </si>
  <si>
    <t>P.N.C.</t>
  </si>
  <si>
    <t>Massimo Moratti</t>
  </si>
  <si>
    <t>Oil refinery</t>
  </si>
  <si>
    <t>Moratti</t>
  </si>
  <si>
    <t>Massimo</t>
  </si>
  <si>
    <t>Liora Ofer</t>
  </si>
  <si>
    <t>Liora</t>
  </si>
  <si>
    <t>Stefan Pierer</t>
  </si>
  <si>
    <t>Wels</t>
  </si>
  <si>
    <t>Pierer</t>
  </si>
  <si>
    <t>Andreas Pohl</t>
  </si>
  <si>
    <t>Marburg</t>
  </si>
  <si>
    <t>Pohl</t>
  </si>
  <si>
    <t>Reinfried Pohl, Jr.</t>
  </si>
  <si>
    <t>Reinfried</t>
  </si>
  <si>
    <t>Michael Polsky</t>
  </si>
  <si>
    <t>Electric power</t>
  </si>
  <si>
    <t>Polsky</t>
  </si>
  <si>
    <t>Francisco Jose Riberas Mera</t>
  </si>
  <si>
    <t>Steel, autoparts</t>
  </si>
  <si>
    <t>Riberas Mera</t>
  </si>
  <si>
    <t>Francisco Jose</t>
  </si>
  <si>
    <t>Juan Maria Riberas Mera</t>
  </si>
  <si>
    <t>Juan Maria</t>
  </si>
  <si>
    <t>Andres Santo Domingo</t>
  </si>
  <si>
    <t>Andres</t>
  </si>
  <si>
    <t>Sathien Sathientham</t>
  </si>
  <si>
    <t>energy drinks</t>
  </si>
  <si>
    <t>Sathientham</t>
  </si>
  <si>
    <t>Sathien</t>
  </si>
  <si>
    <t>Shang Xiaobo &amp; family</t>
  </si>
  <si>
    <t>Shang</t>
  </si>
  <si>
    <t>Xiaobo</t>
  </si>
  <si>
    <t>Yuri Shefler</t>
  </si>
  <si>
    <t>Alcohol</t>
  </si>
  <si>
    <t>Shefler</t>
  </si>
  <si>
    <t>Evgeny (Eugene) Shvidler</t>
  </si>
  <si>
    <t>Shvidler</t>
  </si>
  <si>
    <t>Evgeny (Eugene)</t>
  </si>
  <si>
    <t>Ryan Smith</t>
  </si>
  <si>
    <t>Provo</t>
  </si>
  <si>
    <t>Qualtrics</t>
  </si>
  <si>
    <t>Co-Founder &amp; CEO</t>
  </si>
  <si>
    <t>Zakhar Smushkin</t>
  </si>
  <si>
    <t>Pulp and paper, diversified</t>
  </si>
  <si>
    <t>Smushkin</t>
  </si>
  <si>
    <t>Zakhar</t>
  </si>
  <si>
    <t>Peter Sperling</t>
  </si>
  <si>
    <t>Sperling</t>
  </si>
  <si>
    <t>Laurie Tisch</t>
  </si>
  <si>
    <t>Steven Tisch</t>
  </si>
  <si>
    <t>Michael Tojner</t>
  </si>
  <si>
    <t>Batteries, investments</t>
  </si>
  <si>
    <t>Tojner</t>
  </si>
  <si>
    <t>August Troendle</t>
  </si>
  <si>
    <t>Cincinnati</t>
  </si>
  <si>
    <t>Pharmaceutical services</t>
  </si>
  <si>
    <t>Troendle</t>
  </si>
  <si>
    <t>August</t>
  </si>
  <si>
    <t>Tseng Sing-ai</t>
  </si>
  <si>
    <t>Sing-ai</t>
  </si>
  <si>
    <t>Sekar Vembu</t>
  </si>
  <si>
    <t>Sekar</t>
  </si>
  <si>
    <t>Chris Wallin</t>
  </si>
  <si>
    <t>Wallin</t>
  </si>
  <si>
    <t>Wang Changtian</t>
  </si>
  <si>
    <t>TV, movie production</t>
  </si>
  <si>
    <t>Changtian</t>
  </si>
  <si>
    <t>Ning Wang &amp; family</t>
  </si>
  <si>
    <t>Toys</t>
  </si>
  <si>
    <t>Scott Watterson</t>
  </si>
  <si>
    <t>Logan</t>
  </si>
  <si>
    <t>Fitness equipment</t>
  </si>
  <si>
    <t>Watterson</t>
  </si>
  <si>
    <t>Dan Wilks</t>
  </si>
  <si>
    <t>Cisco</t>
  </si>
  <si>
    <t>Wilks</t>
  </si>
  <si>
    <t>Alan Wilson</t>
  </si>
  <si>
    <t>Bruce Wilson</t>
  </si>
  <si>
    <t>John Wilson</t>
  </si>
  <si>
    <t>Anthony Wood</t>
  </si>
  <si>
    <t>Roku</t>
  </si>
  <si>
    <t>Wu Ying</t>
  </si>
  <si>
    <t>Xianyang</t>
  </si>
  <si>
    <t>Materials</t>
  </si>
  <si>
    <t>Wu Yulan</t>
  </si>
  <si>
    <t>Yulan</t>
  </si>
  <si>
    <t>Zhongyi Wu</t>
  </si>
  <si>
    <t>electronics</t>
  </si>
  <si>
    <t>Zhongyi</t>
  </si>
  <si>
    <t>Xiang Guangming &amp; family</t>
  </si>
  <si>
    <t>Waste disposal</t>
  </si>
  <si>
    <t>Xue Xiangdong &amp; family</t>
  </si>
  <si>
    <t>George Yancopoulos</t>
  </si>
  <si>
    <t>Yorktown Heights</t>
  </si>
  <si>
    <t>Yancopoulos</t>
  </si>
  <si>
    <t>Steven Meng Yang &amp; family</t>
  </si>
  <si>
    <t>Steven Meng</t>
  </si>
  <si>
    <t>Ye Fan &amp; family</t>
  </si>
  <si>
    <t>Yi Dasheng</t>
  </si>
  <si>
    <t>Dasheng</t>
  </si>
  <si>
    <t>Yu Lili</t>
  </si>
  <si>
    <t>Electronic components</t>
  </si>
  <si>
    <t>Lili</t>
  </si>
  <si>
    <t>Zeng Kaitian</t>
  </si>
  <si>
    <t>Kaitian</t>
  </si>
  <si>
    <t>Zhang Xuexin &amp; family</t>
  </si>
  <si>
    <t>Liaocheng</t>
  </si>
  <si>
    <t>Xuexin</t>
  </si>
  <si>
    <t>Yubai Zhang</t>
  </si>
  <si>
    <t>Suqian</t>
  </si>
  <si>
    <t>Yubai</t>
  </si>
  <si>
    <t>Fredrik Österberg</t>
  </si>
  <si>
    <t>Gambling products</t>
  </si>
  <si>
    <t>Österberg</t>
  </si>
  <si>
    <t>Shiv Kishan Agrawal</t>
  </si>
  <si>
    <t>Snacks</t>
  </si>
  <si>
    <t>Agrawal</t>
  </si>
  <si>
    <t>Shiv Kishan</t>
  </si>
  <si>
    <t>Aziz Akhannouch &amp; family</t>
  </si>
  <si>
    <t>Morocco</t>
  </si>
  <si>
    <t>Casablanca</t>
  </si>
  <si>
    <t>Petroleum, diversified</t>
  </si>
  <si>
    <t>Akhannouch</t>
  </si>
  <si>
    <t>Aziz</t>
  </si>
  <si>
    <t>Hamdi Akin &amp; family</t>
  </si>
  <si>
    <t>Akin</t>
  </si>
  <si>
    <t>Nerio Alessandri</t>
  </si>
  <si>
    <t>Cesena</t>
  </si>
  <si>
    <t>Gym equipment</t>
  </si>
  <si>
    <t>Alessandri</t>
  </si>
  <si>
    <t>Nerio</t>
  </si>
  <si>
    <t>Alexandra Andresen</t>
  </si>
  <si>
    <t>Andresen</t>
  </si>
  <si>
    <t>Katharina Andresen</t>
  </si>
  <si>
    <t>Patricia Angelini Rossi</t>
  </si>
  <si>
    <t>Patricia</t>
  </si>
  <si>
    <t>Mori Arkin</t>
  </si>
  <si>
    <t>Herzliya Pituach</t>
  </si>
  <si>
    <t>Arkin</t>
  </si>
  <si>
    <t>Barbara Benetton</t>
  </si>
  <si>
    <t>Campodoro</t>
  </si>
  <si>
    <t>Angela Bennett</t>
  </si>
  <si>
    <t>Zadik Bino &amp; family</t>
  </si>
  <si>
    <t>Banking, oil</t>
  </si>
  <si>
    <t>Bino</t>
  </si>
  <si>
    <t>Zadik</t>
  </si>
  <si>
    <t>Paolo Bulgari</t>
  </si>
  <si>
    <t>Saket Burman</t>
  </si>
  <si>
    <t>Saket</t>
  </si>
  <si>
    <t>Ahmet Calik</t>
  </si>
  <si>
    <t>Energy, banking, construction</t>
  </si>
  <si>
    <t>Calik</t>
  </si>
  <si>
    <t>Ahmet</t>
  </si>
  <si>
    <t>Safra Catz</t>
  </si>
  <si>
    <t>Redwood City</t>
  </si>
  <si>
    <t>Catz</t>
  </si>
  <si>
    <t>Chang Kuo-Hua</t>
  </si>
  <si>
    <t>Shipping, airlines</t>
  </si>
  <si>
    <t>Kuo-Hua</t>
  </si>
  <si>
    <t>Chu Jian</t>
  </si>
  <si>
    <t>Sandor Csanyi</t>
  </si>
  <si>
    <t>Hungary</t>
  </si>
  <si>
    <t>Budapest</t>
  </si>
  <si>
    <t>Finance, real estate</t>
  </si>
  <si>
    <t>Csanyi</t>
  </si>
  <si>
    <t>Sandor</t>
  </si>
  <si>
    <t>Ana Lucia de Mattos Barretto Villela</t>
  </si>
  <si>
    <t>de Mattos Barretto Villela</t>
  </si>
  <si>
    <t>Ana Lucia</t>
  </si>
  <si>
    <t>Federico De Nora</t>
  </si>
  <si>
    <t>Electrodes</t>
  </si>
  <si>
    <t>De Nora</t>
  </si>
  <si>
    <t>Federico</t>
  </si>
  <si>
    <t>Bharat Desai</t>
  </si>
  <si>
    <t>Fisher Island</t>
  </si>
  <si>
    <t>IT consulting</t>
  </si>
  <si>
    <t>Syntel</t>
  </si>
  <si>
    <t>Desai</t>
  </si>
  <si>
    <t>Bharat</t>
  </si>
  <si>
    <t>Chairman and Co-founder</t>
  </si>
  <si>
    <t>Mohammed Dewji</t>
  </si>
  <si>
    <t>Tanzania</t>
  </si>
  <si>
    <t>Dar es Salaam</t>
  </si>
  <si>
    <t>Dewji</t>
  </si>
  <si>
    <t>Mohammed</t>
  </si>
  <si>
    <t>Egon Durban</t>
  </si>
  <si>
    <t>Durban</t>
  </si>
  <si>
    <t>Egon</t>
  </si>
  <si>
    <t>Fu Mingkang &amp; family</t>
  </si>
  <si>
    <t>Mingkang</t>
  </si>
  <si>
    <t>Alan Gerry</t>
  </si>
  <si>
    <t>Liberty</t>
  </si>
  <si>
    <t>Philippe Ginestet &amp; family</t>
  </si>
  <si>
    <t>Pujols</t>
  </si>
  <si>
    <t>Retail stores</t>
  </si>
  <si>
    <t>Ginestet</t>
  </si>
  <si>
    <t>G. Gnanalingam</t>
  </si>
  <si>
    <t>Gnanalingam</t>
  </si>
  <si>
    <t>Esther Grether</t>
  </si>
  <si>
    <t>Grether</t>
  </si>
  <si>
    <t>Esther</t>
  </si>
  <si>
    <t>Wei Gu</t>
  </si>
  <si>
    <t>Consumer electronics</t>
  </si>
  <si>
    <t>Patrick Hanrahan</t>
  </si>
  <si>
    <t>Hanrahan</t>
  </si>
  <si>
    <t>Kenneth Hao</t>
  </si>
  <si>
    <t>Hillsborough</t>
  </si>
  <si>
    <t>Jaroslav Hascak &amp; family</t>
  </si>
  <si>
    <t>Hascak</t>
  </si>
  <si>
    <t>Jaroslav</t>
  </si>
  <si>
    <t>He Zhenggang</t>
  </si>
  <si>
    <t>Leshan</t>
  </si>
  <si>
    <t>Niranjan Hiranandani</t>
  </si>
  <si>
    <t>Niranjan</t>
  </si>
  <si>
    <t>Ho Hung Anh</t>
  </si>
  <si>
    <t>Consumer products, banking</t>
  </si>
  <si>
    <t>Hung Anh</t>
  </si>
  <si>
    <t>Archie Hwang</t>
  </si>
  <si>
    <t>Hwang</t>
  </si>
  <si>
    <t>Archie</t>
  </si>
  <si>
    <t>Peter Jackson</t>
  </si>
  <si>
    <t>Wellington</t>
  </si>
  <si>
    <t>Movies, digital effects</t>
  </si>
  <si>
    <t>Film</t>
  </si>
  <si>
    <t>Stephen Jarislowsky</t>
  </si>
  <si>
    <t>Jarislowsky &amp; Fraser</t>
  </si>
  <si>
    <t>Jarislowsky</t>
  </si>
  <si>
    <t>Rajeev Juneja</t>
  </si>
  <si>
    <t>Phamaceuticals</t>
  </si>
  <si>
    <t>Juneja</t>
  </si>
  <si>
    <t>Rajeev</t>
  </si>
  <si>
    <t>Ramesh Juneja</t>
  </si>
  <si>
    <t>Ramesh</t>
  </si>
  <si>
    <t>Ke Xiping &amp; family</t>
  </si>
  <si>
    <t>Ke</t>
  </si>
  <si>
    <t>Xiping</t>
  </si>
  <si>
    <t>Kim Jun-ki</t>
  </si>
  <si>
    <t>Dongbu Insurance Co. Ltd.</t>
  </si>
  <si>
    <t>Jun-ki</t>
  </si>
  <si>
    <t>Sidney Kimmel</t>
  </si>
  <si>
    <t>Kimmel</t>
  </si>
  <si>
    <t>Sidney</t>
  </si>
  <si>
    <t>Jim Koch</t>
  </si>
  <si>
    <t>Raj Kumar</t>
  </si>
  <si>
    <t>Real estate, hotels</t>
  </si>
  <si>
    <t>Spiro Latsis &amp; family</t>
  </si>
  <si>
    <t>Spiro</t>
  </si>
  <si>
    <t>Peter Leibinger</t>
  </si>
  <si>
    <t>Schwieberdingen</t>
  </si>
  <si>
    <t>Machine tools</t>
  </si>
  <si>
    <t>Leibinger</t>
  </si>
  <si>
    <t>Regine Leibinger</t>
  </si>
  <si>
    <t>Regine</t>
  </si>
  <si>
    <t>Nicola Leibinger-Kammueller</t>
  </si>
  <si>
    <t>Leibinger-Kammueller</t>
  </si>
  <si>
    <t>Li Jianli</t>
  </si>
  <si>
    <t>Lithium-ion battery cap</t>
  </si>
  <si>
    <t>Jianli</t>
  </si>
  <si>
    <t>Li Jiaquan</t>
  </si>
  <si>
    <t>Jiaquan</t>
  </si>
  <si>
    <t>Li Rucheng</t>
  </si>
  <si>
    <t>Rucheng</t>
  </si>
  <si>
    <t>Li Shui-po</t>
  </si>
  <si>
    <t>Kunshan</t>
  </si>
  <si>
    <t>Stainless steel products</t>
  </si>
  <si>
    <t>Shui-po</t>
  </si>
  <si>
    <t>Scott Lin</t>
  </si>
  <si>
    <t>Taichung</t>
  </si>
  <si>
    <t>Optical components</t>
  </si>
  <si>
    <t>Liu Xiucai &amp; family</t>
  </si>
  <si>
    <t>Xiucai</t>
  </si>
  <si>
    <t>Lu Zhongfang</t>
  </si>
  <si>
    <t>Tonghua</t>
  </si>
  <si>
    <t>Zhongfang</t>
  </si>
  <si>
    <t>Lu Zongjun</t>
  </si>
  <si>
    <t>Zongjun</t>
  </si>
  <si>
    <t>Youssef Mansour</t>
  </si>
  <si>
    <t>Youssef</t>
  </si>
  <si>
    <t>Bruce Mathieson</t>
  </si>
  <si>
    <t>Gold Coast</t>
  </si>
  <si>
    <t>Mathieson</t>
  </si>
  <si>
    <t>Romano Minozzi</t>
  </si>
  <si>
    <t>Spilamberto</t>
  </si>
  <si>
    <t>Utilities, diversified</t>
  </si>
  <si>
    <t>Minozzi</t>
  </si>
  <si>
    <t>Romano</t>
  </si>
  <si>
    <t>Greg Mondre</t>
  </si>
  <si>
    <t>Mondre</t>
  </si>
  <si>
    <t>Greg</t>
  </si>
  <si>
    <t>Mario Moretti Polegato &amp; family</t>
  </si>
  <si>
    <t>Crocetta del Montello</t>
  </si>
  <si>
    <t>Moretti Polegato</t>
  </si>
  <si>
    <t>Robert Mouawad</t>
  </si>
  <si>
    <t>Bahrain</t>
  </si>
  <si>
    <t>Manama</t>
  </si>
  <si>
    <t>Fine jewelry</t>
  </si>
  <si>
    <t>Mouawad</t>
  </si>
  <si>
    <t>Jerry Moyes &amp; family</t>
  </si>
  <si>
    <t>Tolleson</t>
  </si>
  <si>
    <t>Moyes</t>
  </si>
  <si>
    <t>John Ocampo</t>
  </si>
  <si>
    <t>Ocampo</t>
  </si>
  <si>
    <t>Stefan Olsson</t>
  </si>
  <si>
    <t>Rubens Ometto Silveira Mello</t>
  </si>
  <si>
    <t>Sugar, ethanol</t>
  </si>
  <si>
    <t>Ometto Silveira Mello</t>
  </si>
  <si>
    <t>Rubens</t>
  </si>
  <si>
    <t>Anne Marie See Pastor</t>
  </si>
  <si>
    <t>Peru</t>
  </si>
  <si>
    <t>Pastor</t>
  </si>
  <si>
    <t>Anne Marie See</t>
  </si>
  <si>
    <t>George Pastor</t>
  </si>
  <si>
    <t>Nelson Peltz</t>
  </si>
  <si>
    <t>Bedford</t>
  </si>
  <si>
    <t>Trian Fund Management</t>
  </si>
  <si>
    <t>Peltz</t>
  </si>
  <si>
    <t>David Penaloza Alanis</t>
  </si>
  <si>
    <t>Toll roads</t>
  </si>
  <si>
    <t>Penaloza Alanis</t>
  </si>
  <si>
    <t>Karl-Johan Persson</t>
  </si>
  <si>
    <t>Karl-Johan</t>
  </si>
  <si>
    <t>Mike Repole</t>
  </si>
  <si>
    <t>Windermere</t>
  </si>
  <si>
    <t>Sports drink</t>
  </si>
  <si>
    <t>Repole</t>
  </si>
  <si>
    <t>Duke Reyes</t>
  </si>
  <si>
    <t>Beer distribution</t>
  </si>
  <si>
    <t>Duke</t>
  </si>
  <si>
    <t>Kishin RK</t>
  </si>
  <si>
    <t>RK</t>
  </si>
  <si>
    <t>Kishin</t>
  </si>
  <si>
    <t>Carlos Rodriguez-Pastor</t>
  </si>
  <si>
    <t>Lima</t>
  </si>
  <si>
    <t>Rodriguez-Pastor</t>
  </si>
  <si>
    <t>Christopher Rokos</t>
  </si>
  <si>
    <t>Rokos Capital Management</t>
  </si>
  <si>
    <t>Rokos</t>
  </si>
  <si>
    <t xml:space="preserve">CEO &amp; Founder </t>
  </si>
  <si>
    <t>John Ruiz</t>
  </si>
  <si>
    <t>Healthcare services</t>
  </si>
  <si>
    <t>Ruiz</t>
  </si>
  <si>
    <t>Sheryl Sandberg</t>
  </si>
  <si>
    <t>Sandberg</t>
  </si>
  <si>
    <t>Sheryl</t>
  </si>
  <si>
    <t>Amnon Shashua</t>
  </si>
  <si>
    <t>Kfar Shmaryahu</t>
  </si>
  <si>
    <t>Automotive technology</t>
  </si>
  <si>
    <t>Shashua</t>
  </si>
  <si>
    <t>Amnon</t>
  </si>
  <si>
    <t>Ben Silbermann</t>
  </si>
  <si>
    <t>Social media</t>
  </si>
  <si>
    <t>Pinterest</t>
  </si>
  <si>
    <t>Silbermann</t>
  </si>
  <si>
    <t>Ron Sim</t>
  </si>
  <si>
    <t>retail</t>
  </si>
  <si>
    <t>Sim</t>
  </si>
  <si>
    <t>Leonid Simanovsky</t>
  </si>
  <si>
    <t>Simanovsky</t>
  </si>
  <si>
    <t>Basudeo Singh</t>
  </si>
  <si>
    <t>Basudeo</t>
  </si>
  <si>
    <t>Frank Slootman</t>
  </si>
  <si>
    <t>Slootman</t>
  </si>
  <si>
    <t>Terry Snow</t>
  </si>
  <si>
    <t>Canberra</t>
  </si>
  <si>
    <t>Airports, real estate</t>
  </si>
  <si>
    <t>Snow</t>
  </si>
  <si>
    <t>Axel Stawski</t>
  </si>
  <si>
    <t>Sagaponack</t>
  </si>
  <si>
    <t>Stawski</t>
  </si>
  <si>
    <t>Axel</t>
  </si>
  <si>
    <t>Thomas Steyer</t>
  </si>
  <si>
    <t>Steyer</t>
  </si>
  <si>
    <t>Sergei Studennikov &amp; family</t>
  </si>
  <si>
    <t>Liquor stores, supermarkets</t>
  </si>
  <si>
    <t>Studennikov</t>
  </si>
  <si>
    <t>Su Suyu &amp; family</t>
  </si>
  <si>
    <t>Utilities, real estate</t>
  </si>
  <si>
    <t>Suyu</t>
  </si>
  <si>
    <t>Kevin Systrom</t>
  </si>
  <si>
    <t>Instagram</t>
  </si>
  <si>
    <t>Systrom</t>
  </si>
  <si>
    <t>Kevin</t>
  </si>
  <si>
    <t>Tan Lili</t>
  </si>
  <si>
    <t>Feed</t>
  </si>
  <si>
    <t>Tang Binsen</t>
  </si>
  <si>
    <t>Binsen</t>
  </si>
  <si>
    <t>Tang Rui</t>
  </si>
  <si>
    <t>Rui</t>
  </si>
  <si>
    <t>Prachak Tangkaravakoon</t>
  </si>
  <si>
    <t>Tangkaravakoon</t>
  </si>
  <si>
    <t>Prachak</t>
  </si>
  <si>
    <t>Jeff Tangney</t>
  </si>
  <si>
    <t>Healthcare IT</t>
  </si>
  <si>
    <t>Doximity</t>
  </si>
  <si>
    <t>Tangney</t>
  </si>
  <si>
    <t>Yuequn Tao</t>
  </si>
  <si>
    <t>Contact Lens</t>
  </si>
  <si>
    <t>Yuequn</t>
  </si>
  <si>
    <t>David Teoh</t>
  </si>
  <si>
    <t>Teoh</t>
  </si>
  <si>
    <t>Carmen Thyssen</t>
  </si>
  <si>
    <t>Andorra</t>
  </si>
  <si>
    <t>Investments, art</t>
  </si>
  <si>
    <t>Thyssen</t>
  </si>
  <si>
    <t>Carmen</t>
  </si>
  <si>
    <t>Tran Ba Duong &amp; family</t>
  </si>
  <si>
    <t>Tran</t>
  </si>
  <si>
    <t>Ba Duong</t>
  </si>
  <si>
    <t>Kenny Troutt</t>
  </si>
  <si>
    <t>Troutt</t>
  </si>
  <si>
    <t>Kenny</t>
  </si>
  <si>
    <t>Jens von Bahr</t>
  </si>
  <si>
    <t>von Bahr</t>
  </si>
  <si>
    <t>Jens</t>
  </si>
  <si>
    <t>Wang Junmin</t>
  </si>
  <si>
    <t>Junmin</t>
  </si>
  <si>
    <t>Weng Xianding</t>
  </si>
  <si>
    <t>Weng</t>
  </si>
  <si>
    <t>Xianding</t>
  </si>
  <si>
    <t>Farris Wilks</t>
  </si>
  <si>
    <t>Farris</t>
  </si>
  <si>
    <t>Gordon Wu</t>
  </si>
  <si>
    <t>Xiong Wu</t>
  </si>
  <si>
    <t>Xiong</t>
  </si>
  <si>
    <t>Xu Zhenhua</t>
  </si>
  <si>
    <t>Xu Zhihan</t>
  </si>
  <si>
    <t>Zhihan</t>
  </si>
  <si>
    <t>Tingdong Yang</t>
  </si>
  <si>
    <t>Brewery</t>
  </si>
  <si>
    <t>Tingdong</t>
  </si>
  <si>
    <t>Michael Minhong Yu</t>
  </si>
  <si>
    <t>Michael Minhong</t>
  </si>
  <si>
    <t>Justin Yuan</t>
  </si>
  <si>
    <t>Zhang Bangxin</t>
  </si>
  <si>
    <t>Bangxin</t>
  </si>
  <si>
    <t>Zhang Hong</t>
  </si>
  <si>
    <t>Solar</t>
  </si>
  <si>
    <t>Zhou Zongwen &amp; family</t>
  </si>
  <si>
    <t>Zongwen</t>
  </si>
  <si>
    <t>Antti Aarnio-Wihuri</t>
  </si>
  <si>
    <t>Aarnio-Wihuri</t>
  </si>
  <si>
    <t>Alberto Alcocer</t>
  </si>
  <si>
    <t>Alcocer</t>
  </si>
  <si>
    <t>Nigel Austin</t>
  </si>
  <si>
    <t>Nigel</t>
  </si>
  <si>
    <t>Binny Bansal</t>
  </si>
  <si>
    <t>Flipkart</t>
  </si>
  <si>
    <t>Bansal</t>
  </si>
  <si>
    <t>Binny</t>
  </si>
  <si>
    <t>Girdhari Lal Bawri</t>
  </si>
  <si>
    <t>Bawri</t>
  </si>
  <si>
    <t>Girdhari Lal</t>
  </si>
  <si>
    <t>John Bloor</t>
  </si>
  <si>
    <t>Aberdyfi</t>
  </si>
  <si>
    <t>Real estate, manufacturing</t>
  </si>
  <si>
    <t>Bloor</t>
  </si>
  <si>
    <t>Vladimir Bogdanov</t>
  </si>
  <si>
    <t>Surgut</t>
  </si>
  <si>
    <t>Bogdanov</t>
  </si>
  <si>
    <t>Amit Burman</t>
  </si>
  <si>
    <t>Amit</t>
  </si>
  <si>
    <t>Cai Jianyong</t>
  </si>
  <si>
    <t>Nickel</t>
  </si>
  <si>
    <t xml:space="preserve">Cai </t>
  </si>
  <si>
    <t>Jianyong</t>
  </si>
  <si>
    <t>Steve Case</t>
  </si>
  <si>
    <t>AOL</t>
  </si>
  <si>
    <t>Case</t>
  </si>
  <si>
    <t>Chen Wenyuan &amp; family</t>
  </si>
  <si>
    <t>Testing equipment</t>
  </si>
  <si>
    <t>Wenyuan</t>
  </si>
  <si>
    <t>Chua Thian Poh</t>
  </si>
  <si>
    <t>Chua</t>
  </si>
  <si>
    <t>Thian Poh</t>
  </si>
  <si>
    <t>Sasson Dayan &amp; family</t>
  </si>
  <si>
    <t>Dayan</t>
  </si>
  <si>
    <t>Sasson</t>
  </si>
  <si>
    <t>Chris Ellison</t>
  </si>
  <si>
    <t>John Farber</t>
  </si>
  <si>
    <t>Farber</t>
  </si>
  <si>
    <t>Dr.</t>
  </si>
  <si>
    <t>J. Christopher Flowers</t>
  </si>
  <si>
    <t>J.C. Flowers &amp; Co. LLC</t>
  </si>
  <si>
    <t>Flowers</t>
  </si>
  <si>
    <t>Founder and Managing Director</t>
  </si>
  <si>
    <t>Reinold Geiger</t>
  </si>
  <si>
    <t>Beauty products</t>
  </si>
  <si>
    <t>Geiger</t>
  </si>
  <si>
    <t>Reinold</t>
  </si>
  <si>
    <t>Ali Ghodsi</t>
  </si>
  <si>
    <t>Data analytics</t>
  </si>
  <si>
    <t>Ghodsi</t>
  </si>
  <si>
    <t>Lance Gokongwei</t>
  </si>
  <si>
    <t>Gokongwei</t>
  </si>
  <si>
    <t>Lance</t>
  </si>
  <si>
    <t>Guan Yihong</t>
  </si>
  <si>
    <t>Restaurant</t>
  </si>
  <si>
    <t>Guan</t>
  </si>
  <si>
    <t>Yihong</t>
  </si>
  <si>
    <t>Rajinder Gupta</t>
  </si>
  <si>
    <t>Ludhiana</t>
  </si>
  <si>
    <t>Textiles, paper</t>
  </si>
  <si>
    <t>Rajinder</t>
  </si>
  <si>
    <t>Torstein Hagen</t>
  </si>
  <si>
    <t>Cruises</t>
  </si>
  <si>
    <t>Torstein</t>
  </si>
  <si>
    <t>Ayman Hariri</t>
  </si>
  <si>
    <t>Ayman</t>
  </si>
  <si>
    <t>Alfredo Harp Helu &amp; family</t>
  </si>
  <si>
    <t>Harp Helu</t>
  </si>
  <si>
    <t>He Xiaopeng</t>
  </si>
  <si>
    <t>Xiaopeng</t>
  </si>
  <si>
    <t>Christoph Henkel</t>
  </si>
  <si>
    <t>Henkel</t>
  </si>
  <si>
    <t>Daniel Hirschfeld</t>
  </si>
  <si>
    <t>Kearney</t>
  </si>
  <si>
    <t>Hirschfeld</t>
  </si>
  <si>
    <t>Drew Houston</t>
  </si>
  <si>
    <t>Cloud storage service</t>
  </si>
  <si>
    <t>Dropbox</t>
  </si>
  <si>
    <t>Drew</t>
  </si>
  <si>
    <t>Huang Jinxiang &amp; family</t>
  </si>
  <si>
    <t>Xuancheng</t>
  </si>
  <si>
    <t>Jinxiang</t>
  </si>
  <si>
    <t>Rameshchandra Jain</t>
  </si>
  <si>
    <t>Textiles</t>
  </si>
  <si>
    <t>Rameshchandra</t>
  </si>
  <si>
    <t>Ke Zunhong &amp; family</t>
  </si>
  <si>
    <t>Zunhong</t>
  </si>
  <si>
    <t>Kim Taek-jin</t>
  </si>
  <si>
    <t>NCSOFT Corporation</t>
  </si>
  <si>
    <t>Taek-jin</t>
  </si>
  <si>
    <t>Koh Wee Meng</t>
  </si>
  <si>
    <t>Koh</t>
  </si>
  <si>
    <t>Wee Meng</t>
  </si>
  <si>
    <t>Sergei Kolesnikov</t>
  </si>
  <si>
    <t>Kolesnikov</t>
  </si>
  <si>
    <t>Hemendra Kothari</t>
  </si>
  <si>
    <t>Kothari</t>
  </si>
  <si>
    <t>Hemendra</t>
  </si>
  <si>
    <t>Sebastian Kulczyk</t>
  </si>
  <si>
    <t>Kwee Liong Keng</t>
  </si>
  <si>
    <t>Kwee</t>
  </si>
  <si>
    <t>Liong Keng</t>
  </si>
  <si>
    <t>Kwee Liong Phing</t>
  </si>
  <si>
    <t>Liong Phing</t>
  </si>
  <si>
    <t>Kwee Liong Seen</t>
  </si>
  <si>
    <t>Liong Seen</t>
  </si>
  <si>
    <t>Kwee Liong Tek</t>
  </si>
  <si>
    <t>Liong Tek</t>
  </si>
  <si>
    <t>Kwek Leng Keow</t>
  </si>
  <si>
    <t>Leng Keow</t>
  </si>
  <si>
    <t>Kwek Leng Peck</t>
  </si>
  <si>
    <t>Leng Peck</t>
  </si>
  <si>
    <t>Raymond Kwok</t>
  </si>
  <si>
    <t>Raymond</t>
  </si>
  <si>
    <t>Lee Ho-jin</t>
  </si>
  <si>
    <t>Taekwang Industrial</t>
  </si>
  <si>
    <t>Ho-jin</t>
  </si>
  <si>
    <t>Michael Lee-Chin</t>
  </si>
  <si>
    <t>Burlington</t>
  </si>
  <si>
    <t>Lee-Chin</t>
  </si>
  <si>
    <t>Manfredi Lefebvre d'Ovidio &amp; family</t>
  </si>
  <si>
    <t>Lefebvre d'Ovidio</t>
  </si>
  <si>
    <t>Manfredi</t>
  </si>
  <si>
    <t>Bernard Lewis &amp; family</t>
  </si>
  <si>
    <t>Fashion retailer</t>
  </si>
  <si>
    <t>Li Jinyang</t>
  </si>
  <si>
    <t>Chifeng</t>
  </si>
  <si>
    <t>Jinyang</t>
  </si>
  <si>
    <t>William Li</t>
  </si>
  <si>
    <t>Jenny Lindén Urnes</t>
  </si>
  <si>
    <t>Helsingborg</t>
  </si>
  <si>
    <t>Powdered metal</t>
  </si>
  <si>
    <t>Lindén Urnes</t>
  </si>
  <si>
    <t>Jenny</t>
  </si>
  <si>
    <t>Liu Fangyi</t>
  </si>
  <si>
    <t>Fangyi</t>
  </si>
  <si>
    <t>K.C. Liu</t>
  </si>
  <si>
    <t>K.C.</t>
  </si>
  <si>
    <t>Liu Ming Chung</t>
  </si>
  <si>
    <t>Ming Chung</t>
  </si>
  <si>
    <t>Anatoly Lomakin</t>
  </si>
  <si>
    <t>Brandt Louie</t>
  </si>
  <si>
    <t>Louie</t>
  </si>
  <si>
    <t>Brandt</t>
  </si>
  <si>
    <t>Lucia Maggi &amp; family</t>
  </si>
  <si>
    <t>Rondonopolis</t>
  </si>
  <si>
    <t>Maggi</t>
  </si>
  <si>
    <t>Lucia</t>
  </si>
  <si>
    <t>Gary Magness</t>
  </si>
  <si>
    <t>Cable TV, investments</t>
  </si>
  <si>
    <t>Magness</t>
  </si>
  <si>
    <t>Mao Lixiang &amp; family</t>
  </si>
  <si>
    <t>Cooking appliances</t>
  </si>
  <si>
    <t>Mao</t>
  </si>
  <si>
    <t>Lixiang</t>
  </si>
  <si>
    <t>David McMurtry</t>
  </si>
  <si>
    <t>Wotton-under-Edge</t>
  </si>
  <si>
    <t>McMurtry</t>
  </si>
  <si>
    <t>Deepak Mehta</t>
  </si>
  <si>
    <t>Vadodara</t>
  </si>
  <si>
    <t>Deepak</t>
  </si>
  <si>
    <t>Miao Shouliang</t>
  </si>
  <si>
    <t>Shouliang</t>
  </si>
  <si>
    <t>Miao Yongjun</t>
  </si>
  <si>
    <t>Clinical diagnostics</t>
  </si>
  <si>
    <t>Yongjun</t>
  </si>
  <si>
    <t>Yoshiko Mori</t>
  </si>
  <si>
    <t>Yoshiko</t>
  </si>
  <si>
    <t>Marius Nacht</t>
  </si>
  <si>
    <t>Nacht</t>
  </si>
  <si>
    <t>Marius</t>
  </si>
  <si>
    <t>Tadako Nakatani</t>
  </si>
  <si>
    <t>Kobe</t>
  </si>
  <si>
    <t>Medical diagnostic equipment</t>
  </si>
  <si>
    <t>Nakatani</t>
  </si>
  <si>
    <t>Tadako</t>
  </si>
  <si>
    <t>Vadim Novinsky</t>
  </si>
  <si>
    <t>Novinsky</t>
  </si>
  <si>
    <t>Niti Osathanugrah</t>
  </si>
  <si>
    <t>Energy drinks,investments</t>
  </si>
  <si>
    <t>Osathanugrah</t>
  </si>
  <si>
    <t>Niti</t>
  </si>
  <si>
    <t>Gretel Packer</t>
  </si>
  <si>
    <t>Gretel</t>
  </si>
  <si>
    <t>Pan Longquan</t>
  </si>
  <si>
    <t>Longquan</t>
  </si>
  <si>
    <t>Pan Shiyi</t>
  </si>
  <si>
    <t>Shiyi</t>
  </si>
  <si>
    <t>David Paul</t>
  </si>
  <si>
    <t>Audubon</t>
  </si>
  <si>
    <t>Globus Medical</t>
  </si>
  <si>
    <t>Tom Persson</t>
  </si>
  <si>
    <t>Qian Jinghong</t>
  </si>
  <si>
    <t>Jinghong</t>
  </si>
  <si>
    <t>Qin Long</t>
  </si>
  <si>
    <t>Tire</t>
  </si>
  <si>
    <t>M.Satyanarayana Reddy</t>
  </si>
  <si>
    <t>M.Satyanarayana</t>
  </si>
  <si>
    <t>Mochtar Riady &amp; family</t>
  </si>
  <si>
    <t>Riady</t>
  </si>
  <si>
    <t>Mochtar</t>
  </si>
  <si>
    <t>Rihanna</t>
  </si>
  <si>
    <t>Music, cosmetics</t>
  </si>
  <si>
    <t>Barbados</t>
  </si>
  <si>
    <t>Musician</t>
  </si>
  <si>
    <t>Boris Rotenberg</t>
  </si>
  <si>
    <t>Construction, pipes, chemicals</t>
  </si>
  <si>
    <t>Boris</t>
  </si>
  <si>
    <t>Subhash Runwal</t>
  </si>
  <si>
    <t>Runwal</t>
  </si>
  <si>
    <t>Subhash</t>
  </si>
  <si>
    <t>Igor Rybakov</t>
  </si>
  <si>
    <t>Rybakov</t>
  </si>
  <si>
    <t>Carlos Sanchez</t>
  </si>
  <si>
    <t>Santo Andre</t>
  </si>
  <si>
    <t>Sanchez</t>
  </si>
  <si>
    <t>Martin Selig</t>
  </si>
  <si>
    <t>Selig</t>
  </si>
  <si>
    <t>Airat Shaimiev</t>
  </si>
  <si>
    <t>Kazan</t>
  </si>
  <si>
    <t>Refinery, chemicals</t>
  </si>
  <si>
    <t>Shaimiev</t>
  </si>
  <si>
    <t>Airat</t>
  </si>
  <si>
    <t>Radik Shaimiev</t>
  </si>
  <si>
    <t>Radik</t>
  </si>
  <si>
    <t>Nobutoshi Shimamura</t>
  </si>
  <si>
    <t>Saitama</t>
  </si>
  <si>
    <t>Shimamura</t>
  </si>
  <si>
    <t>Nobutoshi</t>
  </si>
  <si>
    <t>Jared Smith</t>
  </si>
  <si>
    <t>Charlotte Soderstrom</t>
  </si>
  <si>
    <t>Soderstrom</t>
  </si>
  <si>
    <t>Charlotte</t>
  </si>
  <si>
    <t>Anand Surana</t>
  </si>
  <si>
    <t>Surana</t>
  </si>
  <si>
    <t>Dilip Surana</t>
  </si>
  <si>
    <t>Wilma Tisch</t>
  </si>
  <si>
    <t>Wilma</t>
  </si>
  <si>
    <t>Jianyi Wang</t>
  </si>
  <si>
    <t>Fiber optic cables</t>
  </si>
  <si>
    <t>Jianyi</t>
  </si>
  <si>
    <t>Wang Jilei</t>
  </si>
  <si>
    <t>Jilei</t>
  </si>
  <si>
    <t>Shuifu Wang</t>
  </si>
  <si>
    <t>Shuifu</t>
  </si>
  <si>
    <t>Carbon fiber products</t>
  </si>
  <si>
    <t>Wang Zelong</t>
  </si>
  <si>
    <t>Jiaozuo</t>
  </si>
  <si>
    <t>Zelong</t>
  </si>
  <si>
    <t>Werner O. Weber</t>
  </si>
  <si>
    <t>Werner O.</t>
  </si>
  <si>
    <t>Anne Werninghaus</t>
  </si>
  <si>
    <t>Joinville</t>
  </si>
  <si>
    <t>Industrial machinery</t>
  </si>
  <si>
    <t>Werninghaus</t>
  </si>
  <si>
    <t>Alfred West, Jr.</t>
  </si>
  <si>
    <t>Paoli</t>
  </si>
  <si>
    <t>Bo Wu</t>
  </si>
  <si>
    <t>Bo</t>
  </si>
  <si>
    <t>Wu Chaoqun</t>
  </si>
  <si>
    <t>Meishan</t>
  </si>
  <si>
    <t>Chaoqun</t>
  </si>
  <si>
    <t>Swift Xie</t>
  </si>
  <si>
    <t>Swift</t>
  </si>
  <si>
    <t>Chief Marketing Officer</t>
  </si>
  <si>
    <t>Xu Guozhong &amp; family</t>
  </si>
  <si>
    <t>Guozhong</t>
  </si>
  <si>
    <t>Yao Kuizhang</t>
  </si>
  <si>
    <t>Hengshui</t>
  </si>
  <si>
    <t>Kuizhang</t>
  </si>
  <si>
    <t>Yu Peidi</t>
  </si>
  <si>
    <t>Peidi</t>
  </si>
  <si>
    <t>Yuan Liping</t>
  </si>
  <si>
    <t>Zhang Chuanwei &amp; family</t>
  </si>
  <si>
    <t>Zhongshan</t>
  </si>
  <si>
    <t>Chuanwei</t>
  </si>
  <si>
    <t>Zhang Keqiang</t>
  </si>
  <si>
    <t>Keqiang</t>
  </si>
  <si>
    <t>Zhang Xin</t>
  </si>
  <si>
    <t>SOHO China</t>
  </si>
  <si>
    <t>Xin</t>
  </si>
  <si>
    <t>Cofounder, CEO</t>
  </si>
  <si>
    <t>Xinghai Zhang &amp; family</t>
  </si>
  <si>
    <t>Xinghai</t>
  </si>
  <si>
    <t>Zheng Jianjiang &amp; family</t>
  </si>
  <si>
    <t>Jianjiang</t>
  </si>
  <si>
    <t>Zhong Sheng Jian</t>
  </si>
  <si>
    <t>Sheng Jian</t>
  </si>
  <si>
    <t>Zhou Chengjian</t>
  </si>
  <si>
    <t>Chengjian</t>
  </si>
  <si>
    <t>Boris Zingarevich</t>
  </si>
  <si>
    <t>Zingarevich</t>
  </si>
  <si>
    <t>A. Jayson Adair</t>
  </si>
  <si>
    <t>Adair</t>
  </si>
  <si>
    <t>A. Jayson</t>
  </si>
  <si>
    <t>Soegiarto Adikoesoemo</t>
  </si>
  <si>
    <t>Adikoesoemo</t>
  </si>
  <si>
    <t>Soegiarto</t>
  </si>
  <si>
    <t>Rajendra Agarwal</t>
  </si>
  <si>
    <t>Agarwal</t>
  </si>
  <si>
    <t>Rajendra</t>
  </si>
  <si>
    <t>Chirayu Amin</t>
  </si>
  <si>
    <t>Baroda</t>
  </si>
  <si>
    <t>Amin</t>
  </si>
  <si>
    <t>Chirayu</t>
  </si>
  <si>
    <t>Anant Asavabhokhin</t>
  </si>
  <si>
    <t>Asavabhokhin</t>
  </si>
  <si>
    <t>Anant</t>
  </si>
  <si>
    <t>Roman Avdeev</t>
  </si>
  <si>
    <t>Banking, development</t>
  </si>
  <si>
    <t>Avdeev</t>
  </si>
  <si>
    <t>Ziv Aviram</t>
  </si>
  <si>
    <t>Mevaseret Zion</t>
  </si>
  <si>
    <t>Aviram</t>
  </si>
  <si>
    <t>Ziv</t>
  </si>
  <si>
    <t>Sachin Bansal</t>
  </si>
  <si>
    <t>Sachin</t>
  </si>
  <si>
    <t>Kiki Barki</t>
  </si>
  <si>
    <t>Barki</t>
  </si>
  <si>
    <t>Kiki</t>
  </si>
  <si>
    <t>Elena Baturina</t>
  </si>
  <si>
    <t>Baturina</t>
  </si>
  <si>
    <t>Elena</t>
  </si>
  <si>
    <t>Banwari Lal Bawri</t>
  </si>
  <si>
    <t>Banwari Lal</t>
  </si>
  <si>
    <t>Othman Benjelloun &amp; family</t>
  </si>
  <si>
    <t>Benjelloun</t>
  </si>
  <si>
    <t>Othman</t>
  </si>
  <si>
    <t>Hari Bhartia</t>
  </si>
  <si>
    <t>Bhartia</t>
  </si>
  <si>
    <t>Hari</t>
  </si>
  <si>
    <t>Shyam Bhartia</t>
  </si>
  <si>
    <t>Pharmaceuticals, food</t>
  </si>
  <si>
    <t>Shyam</t>
  </si>
  <si>
    <t>Stewart Butterfield</t>
  </si>
  <si>
    <t>Aspen</t>
  </si>
  <si>
    <t>Messaging software</t>
  </si>
  <si>
    <t>Slack</t>
  </si>
  <si>
    <t>Butterfield</t>
  </si>
  <si>
    <t>Cai Mingtong</t>
  </si>
  <si>
    <t>Mingtong</t>
  </si>
  <si>
    <t>Anthony Casalena</t>
  </si>
  <si>
    <t>Monkton</t>
  </si>
  <si>
    <t>Casalena</t>
  </si>
  <si>
    <t>Chang Jianming &amp; family</t>
  </si>
  <si>
    <t>Industrial equipment</t>
  </si>
  <si>
    <t>Jianming</t>
  </si>
  <si>
    <t>Richard Chang</t>
  </si>
  <si>
    <t>Real estate, electronics</t>
  </si>
  <si>
    <t>Chen Xuehua</t>
  </si>
  <si>
    <t>Tongxiang</t>
  </si>
  <si>
    <t>Minerals processing</t>
  </si>
  <si>
    <t>Xuehua</t>
  </si>
  <si>
    <t>Chen Yin</t>
  </si>
  <si>
    <t>Power tools</t>
  </si>
  <si>
    <t>Chin Jong Hwa</t>
  </si>
  <si>
    <t>Chin</t>
  </si>
  <si>
    <t>Jong Hwa</t>
  </si>
  <si>
    <t>R. Marcelo Claure</t>
  </si>
  <si>
    <t>Cell phone distribution</t>
  </si>
  <si>
    <t>Claure</t>
  </si>
  <si>
    <t>R. Marcelo</t>
  </si>
  <si>
    <t>Alberto Cortina</t>
  </si>
  <si>
    <t>Cortina</t>
  </si>
  <si>
    <t>Eduardo Costantini</t>
  </si>
  <si>
    <t>Costantini</t>
  </si>
  <si>
    <t>Wenjun Dai</t>
  </si>
  <si>
    <t>Dai</t>
  </si>
  <si>
    <t>Wenjun</t>
  </si>
  <si>
    <t>Anand Deshpande</t>
  </si>
  <si>
    <t>Deshpande</t>
  </si>
  <si>
    <t>Aydin Dogan</t>
  </si>
  <si>
    <t>Dogan</t>
  </si>
  <si>
    <t>Aydin</t>
  </si>
  <si>
    <t>Annalisa Doris</t>
  </si>
  <si>
    <t>Segrate</t>
  </si>
  <si>
    <t>Annalisa</t>
  </si>
  <si>
    <t>Massimo Doris</t>
  </si>
  <si>
    <t>Weimin Du</t>
  </si>
  <si>
    <t>Weimin</t>
  </si>
  <si>
    <t>Timothy Dunn &amp; family</t>
  </si>
  <si>
    <t>Dunn</t>
  </si>
  <si>
    <t>Keiko Erikawa</t>
  </si>
  <si>
    <t>Yokohama City</t>
  </si>
  <si>
    <t>Erikawa</t>
  </si>
  <si>
    <t>Keiko</t>
  </si>
  <si>
    <t>Yoichi Erikawa</t>
  </si>
  <si>
    <t>Yoichi</t>
  </si>
  <si>
    <t>Philip Fayer</t>
  </si>
  <si>
    <t>Online payments</t>
  </si>
  <si>
    <t>Fayer</t>
  </si>
  <si>
    <t>Marvy Finger</t>
  </si>
  <si>
    <t>Finger</t>
  </si>
  <si>
    <t>Marvy</t>
  </si>
  <si>
    <t>Simona Giorgetta</t>
  </si>
  <si>
    <t>Chemical products</t>
  </si>
  <si>
    <t>Giorgetta</t>
  </si>
  <si>
    <t>Simona</t>
  </si>
  <si>
    <t>Joel Greenberg</t>
  </si>
  <si>
    <t>Greenberg</t>
  </si>
  <si>
    <t>Joel</t>
  </si>
  <si>
    <t>He Zhiping</t>
  </si>
  <si>
    <t>Heikki Herlin</t>
  </si>
  <si>
    <t>Hoi Kin Hong</t>
  </si>
  <si>
    <t>Macau</t>
  </si>
  <si>
    <t>Hoi</t>
  </si>
  <si>
    <t>Kin Hong</t>
  </si>
  <si>
    <t>Lillyn Teh Li Hua</t>
  </si>
  <si>
    <t>Lillyn Teh Li</t>
  </si>
  <si>
    <t>Gregg Hymowitz</t>
  </si>
  <si>
    <t>Asset management</t>
  </si>
  <si>
    <t>Hymowitz</t>
  </si>
  <si>
    <t>Gregg</t>
  </si>
  <si>
    <t>Mitchell Jacobson</t>
  </si>
  <si>
    <t>Locust Valley</t>
  </si>
  <si>
    <t>Jacobson</t>
  </si>
  <si>
    <t>Anurang Jain</t>
  </si>
  <si>
    <t>Aurangabad</t>
  </si>
  <si>
    <t>Anurang</t>
  </si>
  <si>
    <t>Jiang Guiting &amp; family</t>
  </si>
  <si>
    <t>Dezhou</t>
  </si>
  <si>
    <t>Guiting</t>
  </si>
  <si>
    <t>Jin Xin</t>
  </si>
  <si>
    <t>Fuxin</t>
  </si>
  <si>
    <t>Conni Jonsson</t>
  </si>
  <si>
    <t>Jonsson</t>
  </si>
  <si>
    <t>Conni</t>
  </si>
  <si>
    <t>George Joseph</t>
  </si>
  <si>
    <t>Laurent Junique</t>
  </si>
  <si>
    <t>Junique</t>
  </si>
  <si>
    <t>Zbigniew Juroszek &amp; family</t>
  </si>
  <si>
    <t>Cieszyn</t>
  </si>
  <si>
    <t>Real estate, gambling</t>
  </si>
  <si>
    <t>Juroszek</t>
  </si>
  <si>
    <t>Zbigniew</t>
  </si>
  <si>
    <t>Alexander Karp</t>
  </si>
  <si>
    <t>Software firm</t>
  </si>
  <si>
    <t>Palantir Technologies</t>
  </si>
  <si>
    <t>Karp</t>
  </si>
  <si>
    <t>Joe Kiani</t>
  </si>
  <si>
    <t>Masimo</t>
  </si>
  <si>
    <t>Kiani</t>
  </si>
  <si>
    <t>Seth Klarman</t>
  </si>
  <si>
    <t>Baupost Group</t>
  </si>
  <si>
    <t>Klarman</t>
  </si>
  <si>
    <t>Seth</t>
  </si>
  <si>
    <t>Kagemasa Kozuki</t>
  </si>
  <si>
    <t>Kozuki</t>
  </si>
  <si>
    <t>Kagemasa</t>
  </si>
  <si>
    <t>Michael Krasny</t>
  </si>
  <si>
    <t>Sawdust Investment Management Corp.</t>
  </si>
  <si>
    <t>Krasny</t>
  </si>
  <si>
    <t>Eduard Kucera</t>
  </si>
  <si>
    <t>Kucera</t>
  </si>
  <si>
    <t>Eduard</t>
  </si>
  <si>
    <t>Kristo Käärmann</t>
  </si>
  <si>
    <t>Payments, banking</t>
  </si>
  <si>
    <t>Estonia</t>
  </si>
  <si>
    <t>Wise</t>
  </si>
  <si>
    <t>Käärmann</t>
  </si>
  <si>
    <t>Kristo</t>
  </si>
  <si>
    <t>Gary Lauder</t>
  </si>
  <si>
    <t>Lee Hae-jin</t>
  </si>
  <si>
    <t>NAVER Corp.</t>
  </si>
  <si>
    <t>Hae-jin</t>
  </si>
  <si>
    <t>Art Levinson</t>
  </si>
  <si>
    <t>Genentech, Apple</t>
  </si>
  <si>
    <t>Levinson</t>
  </si>
  <si>
    <t>Li Denghai</t>
  </si>
  <si>
    <t>Laizhou</t>
  </si>
  <si>
    <t>Seed production</t>
  </si>
  <si>
    <t>Denghai</t>
  </si>
  <si>
    <t>Fengluan Li</t>
  </si>
  <si>
    <t>Ruzhou</t>
  </si>
  <si>
    <t>Steel, diversified</t>
  </si>
  <si>
    <t>Fengluan</t>
  </si>
  <si>
    <t>Li Yongqing</t>
  </si>
  <si>
    <t>Petro Firbe</t>
  </si>
  <si>
    <t>Yongqing</t>
  </si>
  <si>
    <t>Li Zhigang</t>
  </si>
  <si>
    <t>Liu Gexin &amp; family</t>
  </si>
  <si>
    <t>Gexin</t>
  </si>
  <si>
    <t>Itamar Locks &amp; family</t>
  </si>
  <si>
    <t>Locks</t>
  </si>
  <si>
    <t>Itamar</t>
  </si>
  <si>
    <t>Lu Hongyan</t>
  </si>
  <si>
    <t>Hongyan</t>
  </si>
  <si>
    <t>Lv Jianming</t>
  </si>
  <si>
    <t>Lv</t>
  </si>
  <si>
    <t>Blairo Maggi</t>
  </si>
  <si>
    <t>Cuiaba</t>
  </si>
  <si>
    <t>Blairo</t>
  </si>
  <si>
    <t>Yasseen Mansour</t>
  </si>
  <si>
    <t>Yasseen</t>
  </si>
  <si>
    <t>Charlwin Mao</t>
  </si>
  <si>
    <t>Charlwin</t>
  </si>
  <si>
    <t>George Marcus</t>
  </si>
  <si>
    <t>Yves-Loic Martin</t>
  </si>
  <si>
    <t>Yves-Loic</t>
  </si>
  <si>
    <t>Carsten Maschmeyer</t>
  </si>
  <si>
    <t>Finance services</t>
  </si>
  <si>
    <t>Maschmeyer</t>
  </si>
  <si>
    <t>Carsten</t>
  </si>
  <si>
    <t>Lillian Teh Li Ming</t>
  </si>
  <si>
    <t>Lillian Teh Li</t>
  </si>
  <si>
    <t>Martin Moller Nielsen</t>
  </si>
  <si>
    <t>Moller Nielsen</t>
  </si>
  <si>
    <t>Jahm Najafi</t>
  </si>
  <si>
    <t>Najafi</t>
  </si>
  <si>
    <t>Jahm</t>
  </si>
  <si>
    <t>Randal Nardone</t>
  </si>
  <si>
    <t>Investments, energy</t>
  </si>
  <si>
    <t>Nardone</t>
  </si>
  <si>
    <t>Randal</t>
  </si>
  <si>
    <t>Nguyen Dang Quang</t>
  </si>
  <si>
    <t>Dang Quang</t>
  </si>
  <si>
    <t>Kazuo Okada</t>
  </si>
  <si>
    <t>Okada</t>
  </si>
  <si>
    <t>Kazuo</t>
  </si>
  <si>
    <t>John Oyler</t>
  </si>
  <si>
    <t>Oyler</t>
  </si>
  <si>
    <t>William Teh Lee Pang</t>
  </si>
  <si>
    <t>William Teh Lee</t>
  </si>
  <si>
    <t>George Pedersen &amp; family</t>
  </si>
  <si>
    <t>Defense contractor</t>
  </si>
  <si>
    <t>Pedersen</t>
  </si>
  <si>
    <t>Qu Miranda</t>
  </si>
  <si>
    <t>Qu</t>
  </si>
  <si>
    <t>Miranda</t>
  </si>
  <si>
    <t>Jupally Rameshwar Rao</t>
  </si>
  <si>
    <t>Rameshwar Rao</t>
  </si>
  <si>
    <t>Jupally</t>
  </si>
  <si>
    <t>G. M. Rao</t>
  </si>
  <si>
    <t>Rao</t>
  </si>
  <si>
    <t>G. M.</t>
  </si>
  <si>
    <t>P.V. Ramprasad Reddy</t>
  </si>
  <si>
    <t>P.V. Ramprasad</t>
  </si>
  <si>
    <t>Satish Reddy</t>
  </si>
  <si>
    <t>Satish</t>
  </si>
  <si>
    <t>Fernando Roig</t>
  </si>
  <si>
    <t>Igor Rotenberg</t>
  </si>
  <si>
    <t>Seifeddin Rustamov</t>
  </si>
  <si>
    <t>Rustamov</t>
  </si>
  <si>
    <t>Seifeddin</t>
  </si>
  <si>
    <t>Deniz Sahenk</t>
  </si>
  <si>
    <t>Deniz</t>
  </si>
  <si>
    <t>Nobutada Saji</t>
  </si>
  <si>
    <t>Saji</t>
  </si>
  <si>
    <t>Nobutada</t>
  </si>
  <si>
    <t>Hajime Satomi</t>
  </si>
  <si>
    <t>Video games, pachinko</t>
  </si>
  <si>
    <t>Satomi</t>
  </si>
  <si>
    <t>Hajime</t>
  </si>
  <si>
    <t>James Scapa</t>
  </si>
  <si>
    <t>Scapa</t>
  </si>
  <si>
    <t>Stephan Schnabel</t>
  </si>
  <si>
    <t>Devi Shetty</t>
  </si>
  <si>
    <t>Shetty</t>
  </si>
  <si>
    <t>Devi</t>
  </si>
  <si>
    <t>Albert Shigaboutdinov</t>
  </si>
  <si>
    <t>Shigaboutdinov</t>
  </si>
  <si>
    <t>Diana Teh Li Shing</t>
  </si>
  <si>
    <t>Shing</t>
  </si>
  <si>
    <t>Diana Teh Li</t>
  </si>
  <si>
    <t>Denis Shtengelov</t>
  </si>
  <si>
    <t>Food, retail</t>
  </si>
  <si>
    <t>Shtengelov</t>
  </si>
  <si>
    <t>Fei Song</t>
  </si>
  <si>
    <t>Fei</t>
  </si>
  <si>
    <t>Hal Steinbrenner</t>
  </si>
  <si>
    <t>Steinbrenner</t>
  </si>
  <si>
    <t>Jessica Steinbrenner</t>
  </si>
  <si>
    <t>Jessica</t>
  </si>
  <si>
    <t>Jennifer Steinbrenner Swindal</t>
  </si>
  <si>
    <t>Steinbrenner Swindal</t>
  </si>
  <si>
    <t>Konstantin Strukov &amp; family</t>
  </si>
  <si>
    <t>Chelyabinsk</t>
  </si>
  <si>
    <t>Gold, coal mining</t>
  </si>
  <si>
    <t>Strukov</t>
  </si>
  <si>
    <t>Konstantin</t>
  </si>
  <si>
    <t>Rustem Sulteev</t>
  </si>
  <si>
    <t>Sulteev</t>
  </si>
  <si>
    <t>Rustem</t>
  </si>
  <si>
    <t>Clemens Toennies</t>
  </si>
  <si>
    <t>Rheda-Wiedenbrück</t>
  </si>
  <si>
    <t>Toennies</t>
  </si>
  <si>
    <t>Clemens</t>
  </si>
  <si>
    <t>Robert Toennies</t>
  </si>
  <si>
    <t>John Van Lieshout</t>
  </si>
  <si>
    <t>Van Lieshout</t>
  </si>
  <si>
    <t>Pongsak Viddayakorn</t>
  </si>
  <si>
    <t>Viddayakorn</t>
  </si>
  <si>
    <t>Pongsak</t>
  </si>
  <si>
    <t>Wang Jianguo</t>
  </si>
  <si>
    <t>Jianguo</t>
  </si>
  <si>
    <t>Junjin Wang</t>
  </si>
  <si>
    <t>Junjin</t>
  </si>
  <si>
    <t>Wang Mingwang</t>
  </si>
  <si>
    <t>Mingwang</t>
  </si>
  <si>
    <t>Wei Lidong &amp; family</t>
  </si>
  <si>
    <t>Lidong</t>
  </si>
  <si>
    <t>Myron Wentz</t>
  </si>
  <si>
    <t>Health products</t>
  </si>
  <si>
    <t>St. Kitts and Nevis</t>
  </si>
  <si>
    <t>Wentz</t>
  </si>
  <si>
    <t>Myron</t>
  </si>
  <si>
    <t>Wu Xiaoge</t>
  </si>
  <si>
    <t>Xiaoge</t>
  </si>
  <si>
    <t>Wu Xushun &amp; family</t>
  </si>
  <si>
    <t>Wuhu</t>
  </si>
  <si>
    <t>Xushun</t>
  </si>
  <si>
    <t>Xiong Xiaochuan</t>
  </si>
  <si>
    <t>Xiaochuan</t>
  </si>
  <si>
    <t>Xu Shaochun</t>
  </si>
  <si>
    <t>Shaochun</t>
  </si>
  <si>
    <t>Yan Jane &amp; family</t>
  </si>
  <si>
    <t>Zeng Chaoyi</t>
  </si>
  <si>
    <t>Chaoyi</t>
  </si>
  <si>
    <t>Peng Zhao</t>
  </si>
  <si>
    <t>Online recruitment</t>
  </si>
  <si>
    <t>Peng</t>
  </si>
  <si>
    <t>Zhao Tongtong</t>
  </si>
  <si>
    <t>Tongtong</t>
  </si>
  <si>
    <t>Kostyantin Zhevago</t>
  </si>
  <si>
    <t>Zhevago</t>
  </si>
  <si>
    <t>Kostyantin</t>
  </si>
  <si>
    <t>Zong Yanmin</t>
  </si>
  <si>
    <t>Jinan</t>
  </si>
  <si>
    <t>Semiconductor materials</t>
  </si>
  <si>
    <t>Yanmin</t>
  </si>
  <si>
    <t>Sanjay Agarwal</t>
  </si>
  <si>
    <t>Jaipur</t>
  </si>
  <si>
    <t>Sanjay</t>
  </si>
  <si>
    <t>Hamad bin Jassim bin Jaber Al Thani</t>
  </si>
  <si>
    <t>Hamad bin Jassim bin Jaber</t>
  </si>
  <si>
    <t>Joao Alves de Queiroz Filho</t>
  </si>
  <si>
    <t>São Paulo</t>
  </si>
  <si>
    <t>Alves de Queiroz Filho</t>
  </si>
  <si>
    <t>Jose Maria Aristrain</t>
  </si>
  <si>
    <t>Aristrain</t>
  </si>
  <si>
    <t>Jose Maria</t>
  </si>
  <si>
    <t>Michael Arougheti</t>
  </si>
  <si>
    <t>Nyack</t>
  </si>
  <si>
    <t>Arougheti</t>
  </si>
  <si>
    <t>Tope Awotona</t>
  </si>
  <si>
    <t>Calendly</t>
  </si>
  <si>
    <t>Awotona</t>
  </si>
  <si>
    <t>Tope</t>
  </si>
  <si>
    <t>Mehmet Aydinlar</t>
  </si>
  <si>
    <t>Aydinlar</t>
  </si>
  <si>
    <t>Mehmet</t>
  </si>
  <si>
    <t>Danna Azrieli</t>
  </si>
  <si>
    <t>Azrieli</t>
  </si>
  <si>
    <t>Danna</t>
  </si>
  <si>
    <t>Naomi Azrieli</t>
  </si>
  <si>
    <t>Naomi</t>
  </si>
  <si>
    <t>Sharon Azrieli</t>
  </si>
  <si>
    <t>Sharon</t>
  </si>
  <si>
    <t>Bai Houshan</t>
  </si>
  <si>
    <t>Lithium battery</t>
  </si>
  <si>
    <t>Houshan</t>
  </si>
  <si>
    <t>Thomas Bailey</t>
  </si>
  <si>
    <t>Bailey</t>
  </si>
  <si>
    <t>Bernhard Braun-Luedicke</t>
  </si>
  <si>
    <t>Braun-Luedicke</t>
  </si>
  <si>
    <t>Bernhard</t>
  </si>
  <si>
    <t>Eva Maria Braun-Luedicke</t>
  </si>
  <si>
    <t>Friederike Braun-Luedicke</t>
  </si>
  <si>
    <t>Friederike</t>
  </si>
  <si>
    <t>Jeffrey Cheah</t>
  </si>
  <si>
    <t>Property, healthcare</t>
  </si>
  <si>
    <t>Cheah</t>
  </si>
  <si>
    <t>Chen Xianbao &amp; family</t>
  </si>
  <si>
    <t>Xianbao</t>
  </si>
  <si>
    <t>Cheng Xianfeng</t>
  </si>
  <si>
    <t>Xianfeng</t>
  </si>
  <si>
    <t>Chung Yong-jin</t>
  </si>
  <si>
    <t>Shinsegae</t>
  </si>
  <si>
    <t>Yong-jin</t>
  </si>
  <si>
    <t>Darwin Deason</t>
  </si>
  <si>
    <t>Deason</t>
  </si>
  <si>
    <t>Darwin</t>
  </si>
  <si>
    <t>Diego Della Valle</t>
  </si>
  <si>
    <t>Sant'' Elpidio A Mare</t>
  </si>
  <si>
    <t>Della Valle</t>
  </si>
  <si>
    <t>Diego</t>
  </si>
  <si>
    <t>Ashwin Desai</t>
  </si>
  <si>
    <t>Surat</t>
  </si>
  <si>
    <t>Specialty chemicals</t>
  </si>
  <si>
    <t>Richard Desmond</t>
  </si>
  <si>
    <t>Ding Shui Po</t>
  </si>
  <si>
    <t>Sneakers, sportswear</t>
  </si>
  <si>
    <t>Shui Po</t>
  </si>
  <si>
    <t>Sefik Yilmaz Dizdar</t>
  </si>
  <si>
    <t>Dizdar</t>
  </si>
  <si>
    <t>Sefik Yilmaz</t>
  </si>
  <si>
    <t>Mathias Doepfner</t>
  </si>
  <si>
    <t>Potsdam</t>
  </si>
  <si>
    <t>Doepfner</t>
  </si>
  <si>
    <t>Mathias</t>
  </si>
  <si>
    <t>Farhad Ebrahimi</t>
  </si>
  <si>
    <t>Ebrahimi</t>
  </si>
  <si>
    <t>Jose Roberto Ermirio de Moraes</t>
  </si>
  <si>
    <t>Ermirio de Moraes</t>
  </si>
  <si>
    <t>Jose Ermirio de Moraes Neto</t>
  </si>
  <si>
    <t>Ermirio de Moraes Neto</t>
  </si>
  <si>
    <t>Jose</t>
  </si>
  <si>
    <t>Fang Hongbo</t>
  </si>
  <si>
    <t>Shunde</t>
  </si>
  <si>
    <t>Hongbo</t>
  </si>
  <si>
    <t>David Feffer</t>
  </si>
  <si>
    <t>Pulp and paper</t>
  </si>
  <si>
    <t>Feffer</t>
  </si>
  <si>
    <t>Zsolt Felcsuti</t>
  </si>
  <si>
    <t>Felcsuti</t>
  </si>
  <si>
    <t>Zsolt</t>
  </si>
  <si>
    <t>Ben Francis</t>
  </si>
  <si>
    <t>Fitness clothing</t>
  </si>
  <si>
    <t>Gary Friedman</t>
  </si>
  <si>
    <t>Belvedere</t>
  </si>
  <si>
    <t>Furniture retail</t>
  </si>
  <si>
    <t>Friedman</t>
  </si>
  <si>
    <t>Dan Gertler</t>
  </si>
  <si>
    <t>Bnei Brak</t>
  </si>
  <si>
    <t>Gertler</t>
  </si>
  <si>
    <t>Balkrishan Goenka</t>
  </si>
  <si>
    <t>Balkrishan</t>
  </si>
  <si>
    <t>Lawrence Golub</t>
  </si>
  <si>
    <t>Golub</t>
  </si>
  <si>
    <t>Saroj Rani Gupta</t>
  </si>
  <si>
    <t>Steel tubes</t>
  </si>
  <si>
    <t>Saroj Rani</t>
  </si>
  <si>
    <t>Anthony Hall</t>
  </si>
  <si>
    <t>Hall</t>
  </si>
  <si>
    <t>Fahed Hariri</t>
  </si>
  <si>
    <t>Fahed</t>
  </si>
  <si>
    <t>Richard Hayne</t>
  </si>
  <si>
    <t>Urban Outfitters</t>
  </si>
  <si>
    <t>Urban Outfitters Inc.</t>
  </si>
  <si>
    <t>Hayne</t>
  </si>
  <si>
    <t>Chairman, President &amp; Chief Executive Officer</t>
  </si>
  <si>
    <t>Michael Heine</t>
  </si>
  <si>
    <t>Orion Hindawi</t>
  </si>
  <si>
    <t>Tanium</t>
  </si>
  <si>
    <t>Hindawi</t>
  </si>
  <si>
    <t>Orion</t>
  </si>
  <si>
    <t>Lawrence Ho</t>
  </si>
  <si>
    <t>Huang Guanlin</t>
  </si>
  <si>
    <t>Guanlin</t>
  </si>
  <si>
    <t>Sam Hupert</t>
  </si>
  <si>
    <t>Hupert</t>
  </si>
  <si>
    <t>Mohammed Ibrahim</t>
  </si>
  <si>
    <t>Communications</t>
  </si>
  <si>
    <t>Mo Ibrahim Foundation</t>
  </si>
  <si>
    <t>Shirley Kao</t>
  </si>
  <si>
    <t>Food &amp; beverage retailing</t>
  </si>
  <si>
    <t>Shirley</t>
  </si>
  <si>
    <t>David Kaplan</t>
  </si>
  <si>
    <t>Kaplan</t>
  </si>
  <si>
    <t>Kim Kardashian</t>
  </si>
  <si>
    <t>Hidden Hills</t>
  </si>
  <si>
    <t>Shapewear, cosmetics, reality TV</t>
  </si>
  <si>
    <t>Kardashian</t>
  </si>
  <si>
    <t>Personality</t>
  </si>
  <si>
    <t>Ke Guihua</t>
  </si>
  <si>
    <t>Guihua</t>
  </si>
  <si>
    <t>Ke Yunfeng &amp; family</t>
  </si>
  <si>
    <t>Yunfeng</t>
  </si>
  <si>
    <t>Alexander Klyachin</t>
  </si>
  <si>
    <t>Klyachin</t>
  </si>
  <si>
    <t>Christine Knauf</t>
  </si>
  <si>
    <t>Knauf</t>
  </si>
  <si>
    <t>Christine</t>
  </si>
  <si>
    <t>Karl Knauf</t>
  </si>
  <si>
    <t>Iphofen</t>
  </si>
  <si>
    <t>Suresh Krishna</t>
  </si>
  <si>
    <t>Krishna</t>
  </si>
  <si>
    <t>Suresh</t>
  </si>
  <si>
    <t>Guy Laliberté</t>
  </si>
  <si>
    <t>Cirque du Soleil</t>
  </si>
  <si>
    <t>Laliberté</t>
  </si>
  <si>
    <t>Guy</t>
  </si>
  <si>
    <t>Lee Su-jin</t>
  </si>
  <si>
    <t>Hospitality</t>
  </si>
  <si>
    <t>Su-jin</t>
  </si>
  <si>
    <t>Li Guoqing</t>
  </si>
  <si>
    <t>Petro Fibre</t>
  </si>
  <si>
    <t>Guoqing</t>
  </si>
  <si>
    <t>Li Ruiqiang</t>
  </si>
  <si>
    <t>Medical services</t>
  </si>
  <si>
    <t>Ruiqiang</t>
  </si>
  <si>
    <t>Zhen Li &amp; family</t>
  </si>
  <si>
    <t>Zhen</t>
  </si>
  <si>
    <t>Guangwei Liang</t>
  </si>
  <si>
    <t>Guangwei</t>
  </si>
  <si>
    <t>Liu Ming Hui</t>
  </si>
  <si>
    <t>Ming Hui</t>
  </si>
  <si>
    <t>Frederic Luddy</t>
  </si>
  <si>
    <t>ServiceNow</t>
  </si>
  <si>
    <t>Luddy</t>
  </si>
  <si>
    <t>Frederic</t>
  </si>
  <si>
    <t>Founder and Chief Product Officer</t>
  </si>
  <si>
    <t>Cargill MacMillan, III.</t>
  </si>
  <si>
    <t>Boulder</t>
  </si>
  <si>
    <t>John MacMillan</t>
  </si>
  <si>
    <t>Plymouth</t>
  </si>
  <si>
    <t>Martha MacMillan</t>
  </si>
  <si>
    <t>Orono</t>
  </si>
  <si>
    <t>William MacMillan</t>
  </si>
  <si>
    <t>Englewood</t>
  </si>
  <si>
    <t>Keshub Mahindra</t>
  </si>
  <si>
    <t>Keshub</t>
  </si>
  <si>
    <t>Mao Zhongwu</t>
  </si>
  <si>
    <t>Zhongwu</t>
  </si>
  <si>
    <t>Jorge Mas</t>
  </si>
  <si>
    <t>Mas</t>
  </si>
  <si>
    <t>Lorinc Meszaros</t>
  </si>
  <si>
    <t>Felcsút</t>
  </si>
  <si>
    <t>Meszaros</t>
  </si>
  <si>
    <t>Lorinc</t>
  </si>
  <si>
    <t>Jeffrey Michael &amp; family</t>
  </si>
  <si>
    <t>Minnetonka</t>
  </si>
  <si>
    <t>Data management</t>
  </si>
  <si>
    <t>Alan Miller &amp; family</t>
  </si>
  <si>
    <t>Lower Merion</t>
  </si>
  <si>
    <t>Ulrich Mommert &amp; family</t>
  </si>
  <si>
    <t>Lighting</t>
  </si>
  <si>
    <t>Mommert</t>
  </si>
  <si>
    <t>Ulrich</t>
  </si>
  <si>
    <t>Neide Helena de Moraes</t>
  </si>
  <si>
    <t>Moraes</t>
  </si>
  <si>
    <t>Neide Helena de</t>
  </si>
  <si>
    <t>Scott Nuttall</t>
  </si>
  <si>
    <t>Nuttall</t>
  </si>
  <si>
    <t>Kailashchandra Nuwal</t>
  </si>
  <si>
    <t>Kailashchandra</t>
  </si>
  <si>
    <t>Axel Oberwelland &amp; family</t>
  </si>
  <si>
    <t>Jonathan Oringer</t>
  </si>
  <si>
    <t>Stock photos</t>
  </si>
  <si>
    <t>Oringer</t>
  </si>
  <si>
    <t>Vitaly Orlov</t>
  </si>
  <si>
    <t>Murmansk</t>
  </si>
  <si>
    <t>Fisheries</t>
  </si>
  <si>
    <t>Orlov</t>
  </si>
  <si>
    <t>Vitaly</t>
  </si>
  <si>
    <t>Jose Isaac Peres &amp; family</t>
  </si>
  <si>
    <t>Peres</t>
  </si>
  <si>
    <t>Jose Isaac</t>
  </si>
  <si>
    <t>Markus Persson</t>
  </si>
  <si>
    <t>Computer games</t>
  </si>
  <si>
    <t>Mark Pincus</t>
  </si>
  <si>
    <t>Zynga Inc</t>
  </si>
  <si>
    <t>Pincus</t>
  </si>
  <si>
    <t>Murdaya Poo</t>
  </si>
  <si>
    <t>Poo</t>
  </si>
  <si>
    <t>Murdaya</t>
  </si>
  <si>
    <t>Forrest Preston</t>
  </si>
  <si>
    <t>Cleveland</t>
  </si>
  <si>
    <t>Preston</t>
  </si>
  <si>
    <t>Qian Ying</t>
  </si>
  <si>
    <t>Jimmy Rane</t>
  </si>
  <si>
    <t>Abbeville</t>
  </si>
  <si>
    <t>Lumber</t>
  </si>
  <si>
    <t>Rane</t>
  </si>
  <si>
    <t>Alabama</t>
  </si>
  <si>
    <t>Andrei Rappoport</t>
  </si>
  <si>
    <t>Rappoport</t>
  </si>
  <si>
    <t>Hugo Ribeiro &amp; family</t>
  </si>
  <si>
    <t>Ribeiro</t>
  </si>
  <si>
    <t>Hugo</t>
  </si>
  <si>
    <t>Bennett Rosenthal</t>
  </si>
  <si>
    <t>Rosenthal</t>
  </si>
  <si>
    <t>Atul Ruia</t>
  </si>
  <si>
    <t>Ruia</t>
  </si>
  <si>
    <t>Atul</t>
  </si>
  <si>
    <t>Thomas Sandell</t>
  </si>
  <si>
    <t>Sandell Asset Management</t>
  </si>
  <si>
    <t>Sandell</t>
  </si>
  <si>
    <t>Francesco Saputo</t>
  </si>
  <si>
    <t>Francesco</t>
  </si>
  <si>
    <t>Dhruv Sawhney</t>
  </si>
  <si>
    <t>Engineering, sugar</t>
  </si>
  <si>
    <t>Sawhney</t>
  </si>
  <si>
    <t>Dhruv</t>
  </si>
  <si>
    <t>Gerald Schwartz</t>
  </si>
  <si>
    <t>Antonio Luiz Seabra</t>
  </si>
  <si>
    <t>Seabra</t>
  </si>
  <si>
    <t>Antonio Luiz</t>
  </si>
  <si>
    <t>Eric Ya Shen</t>
  </si>
  <si>
    <t>Online apparel retail</t>
  </si>
  <si>
    <t>Eric Ya</t>
  </si>
  <si>
    <t>Sytse 'Sid' Sijbrandij</t>
  </si>
  <si>
    <t>Sijbrandij</t>
  </si>
  <si>
    <t>Sytse 'Sid'</t>
  </si>
  <si>
    <t>Alexander Sixt</t>
  </si>
  <si>
    <t>Car rentals</t>
  </si>
  <si>
    <t>Sixt</t>
  </si>
  <si>
    <t>Konstantin Sixt</t>
  </si>
  <si>
    <t>Edwin Soeryadjaya</t>
  </si>
  <si>
    <t>Coal, investments</t>
  </si>
  <si>
    <t>Soeryadjaya</t>
  </si>
  <si>
    <t>Abhay Soi</t>
  </si>
  <si>
    <t>Soi</t>
  </si>
  <si>
    <t>Mike Speiser</t>
  </si>
  <si>
    <t>Sutter Hill Ventures</t>
  </si>
  <si>
    <t>Speiser</t>
  </si>
  <si>
    <t>Managing Director</t>
  </si>
  <si>
    <t>Marco Squinzi</t>
  </si>
  <si>
    <t>Squinzi</t>
  </si>
  <si>
    <t>Marco</t>
  </si>
  <si>
    <t>Veronica Squinzi</t>
  </si>
  <si>
    <t>Veronica</t>
  </si>
  <si>
    <t>Michael Steinhardt</t>
  </si>
  <si>
    <t>Mount Kisco</t>
  </si>
  <si>
    <t>Steinhardt</t>
  </si>
  <si>
    <t>Ion Stoica</t>
  </si>
  <si>
    <t>Stoica</t>
  </si>
  <si>
    <t>Eddy Sugianto</t>
  </si>
  <si>
    <t>Sugianto</t>
  </si>
  <si>
    <t>Eddy</t>
  </si>
  <si>
    <t>Luc Tack</t>
  </si>
  <si>
    <t>Deinze</t>
  </si>
  <si>
    <t>Textile, chemicals</t>
  </si>
  <si>
    <t>Tack</t>
  </si>
  <si>
    <t>Luc</t>
  </si>
  <si>
    <t>Tony Tan Caktiong</t>
  </si>
  <si>
    <t>Tan Caktiong</t>
  </si>
  <si>
    <t>Xiuguo Tang</t>
  </si>
  <si>
    <t>Xiuguo</t>
  </si>
  <si>
    <t>Sam Tarascio</t>
  </si>
  <si>
    <t>Tarascio</t>
  </si>
  <si>
    <t>Lina Tombolato</t>
  </si>
  <si>
    <t>Tombolo</t>
  </si>
  <si>
    <t>Tombolato</t>
  </si>
  <si>
    <t>Lina</t>
  </si>
  <si>
    <t>Ching Bor Tung</t>
  </si>
  <si>
    <t>Ching Bor</t>
  </si>
  <si>
    <t>Joop van den Ende</t>
  </si>
  <si>
    <t>Baarn</t>
  </si>
  <si>
    <t>van den Ende</t>
  </si>
  <si>
    <t>Joop</t>
  </si>
  <si>
    <t>Ruben Vardanyan &amp; family</t>
  </si>
  <si>
    <t>Armenia</t>
  </si>
  <si>
    <t>Erevan</t>
  </si>
  <si>
    <t>Vardanyan</t>
  </si>
  <si>
    <t>Ruben</t>
  </si>
  <si>
    <t>Sandro Veronesi &amp; family</t>
  </si>
  <si>
    <t>Veronesi</t>
  </si>
  <si>
    <t>Sandro</t>
  </si>
  <si>
    <t>Thongma Vijitpongpun</t>
  </si>
  <si>
    <t>Vijitpongpun</t>
  </si>
  <si>
    <t>Thongma</t>
  </si>
  <si>
    <t>Thomas von Koch</t>
  </si>
  <si>
    <t>von Koch</t>
  </si>
  <si>
    <t>Wang Fuji</t>
  </si>
  <si>
    <t>Zhangzhou</t>
  </si>
  <si>
    <t>Fuji</t>
  </si>
  <si>
    <t>Wang Shih-Chung</t>
  </si>
  <si>
    <t>Pneumatic equipments</t>
  </si>
  <si>
    <t>Shih-Chung</t>
  </si>
  <si>
    <t>Wang Xiaoshen</t>
  </si>
  <si>
    <t>Urumchi</t>
  </si>
  <si>
    <t>Xiaoshen</t>
  </si>
  <si>
    <t>J. Wayne Weaver</t>
  </si>
  <si>
    <t>Jacksonville</t>
  </si>
  <si>
    <t>Weaver</t>
  </si>
  <si>
    <t>J. Wayne</t>
  </si>
  <si>
    <t>Drorit Wertheim</t>
  </si>
  <si>
    <t>Bnei Atarot</t>
  </si>
  <si>
    <t>Coca Cola Israel</t>
  </si>
  <si>
    <t>Drorit</t>
  </si>
  <si>
    <t>Cameron Winklevoss</t>
  </si>
  <si>
    <t>Winklevoss</t>
  </si>
  <si>
    <t>Tyler Winklevoss</t>
  </si>
  <si>
    <t>Tyler</t>
  </si>
  <si>
    <t>Wu Chung-yi</t>
  </si>
  <si>
    <t>Chang Hwa County</t>
  </si>
  <si>
    <t>Chung-yi</t>
  </si>
  <si>
    <t>Eugene Wu</t>
  </si>
  <si>
    <t>Wu Yonghua</t>
  </si>
  <si>
    <t>Yonghua</t>
  </si>
  <si>
    <t>Xia Xinde</t>
  </si>
  <si>
    <t>Xinde</t>
  </si>
  <si>
    <t>Wenbo Xiang</t>
  </si>
  <si>
    <t>Wenbo</t>
  </si>
  <si>
    <t>Xu Jin</t>
  </si>
  <si>
    <t>Huaibei city</t>
  </si>
  <si>
    <t>Xu Shijun &amp; family</t>
  </si>
  <si>
    <t>Nantong</t>
  </si>
  <si>
    <t>Shijun</t>
  </si>
  <si>
    <t>Wanmao Xu</t>
  </si>
  <si>
    <t>Wanmao</t>
  </si>
  <si>
    <t>Xu Yuejuan</t>
  </si>
  <si>
    <t>Yuejuan</t>
  </si>
  <si>
    <t>Vadim Yakunin</t>
  </si>
  <si>
    <t>Pharmacy</t>
  </si>
  <si>
    <t>Yakunin</t>
  </si>
  <si>
    <t>Yang Yunyun</t>
  </si>
  <si>
    <t>Yunyun</t>
  </si>
  <si>
    <t>Matei Zaharia</t>
  </si>
  <si>
    <t>Zaharia</t>
  </si>
  <si>
    <t>Matei</t>
  </si>
  <si>
    <t>Zan Shengda</t>
  </si>
  <si>
    <t>Zan</t>
  </si>
  <si>
    <t>Shengda</t>
  </si>
  <si>
    <t>Zhang Xuezheng</t>
  </si>
  <si>
    <t>Xuezheng</t>
  </si>
  <si>
    <t>Zhang Yin</t>
  </si>
  <si>
    <t>Paper manufacturing</t>
  </si>
  <si>
    <t>Ning Zhao</t>
  </si>
  <si>
    <t>Zhou Wen &amp; family</t>
  </si>
  <si>
    <t>Zhu Xingliang</t>
  </si>
  <si>
    <t>Xingliang</t>
  </si>
  <si>
    <t>Hari Krishan Agarwal</t>
  </si>
  <si>
    <t>Sports shoes</t>
  </si>
  <si>
    <t>Hari Krishan</t>
  </si>
  <si>
    <t>Farkhad Akhmedov</t>
  </si>
  <si>
    <t>Akhmedov</t>
  </si>
  <si>
    <t>Farkhad</t>
  </si>
  <si>
    <t>Prem Kumar Arora</t>
  </si>
  <si>
    <t>Arora</t>
  </si>
  <si>
    <t>Prem Kumar</t>
  </si>
  <si>
    <t>Joseph Bae</t>
  </si>
  <si>
    <t>Bae</t>
  </si>
  <si>
    <t>Abigail Bennett</t>
  </si>
  <si>
    <t>Rochester</t>
  </si>
  <si>
    <t>Sara Blakely</t>
  </si>
  <si>
    <t>Spanx</t>
  </si>
  <si>
    <t>Blakely</t>
  </si>
  <si>
    <t>Sara</t>
  </si>
  <si>
    <t>Lloyd Blankfein</t>
  </si>
  <si>
    <t>Goldman Sachs Group</t>
  </si>
  <si>
    <t>Blankfein</t>
  </si>
  <si>
    <t>Lloyd</t>
  </si>
  <si>
    <t>Henadiy Boholyubov</t>
  </si>
  <si>
    <t>Dnipro</t>
  </si>
  <si>
    <t>Boholyubov</t>
  </si>
  <si>
    <t>Henadiy</t>
  </si>
  <si>
    <t>Stephane Bonvin</t>
  </si>
  <si>
    <t>Lens</t>
  </si>
  <si>
    <t>Bonvin</t>
  </si>
  <si>
    <t>Stephane</t>
  </si>
  <si>
    <t>Oleg Boyko</t>
  </si>
  <si>
    <t>Lipperswil</t>
  </si>
  <si>
    <t>Boyko</t>
  </si>
  <si>
    <t>Ryan Breslow</t>
  </si>
  <si>
    <t>E-commerce software</t>
  </si>
  <si>
    <t>Bolt</t>
  </si>
  <si>
    <t>Breslow</t>
  </si>
  <si>
    <t>Thomas Bruch</t>
  </si>
  <si>
    <t>St. Wendel</t>
  </si>
  <si>
    <t>Bruch</t>
  </si>
  <si>
    <t>Marina Budiman</t>
  </si>
  <si>
    <t>Budiman</t>
  </si>
  <si>
    <t>Pradip Burman</t>
  </si>
  <si>
    <t>Pradip</t>
  </si>
  <si>
    <t>Cai Hongbin</t>
  </si>
  <si>
    <t>Hongbin</t>
  </si>
  <si>
    <t>Cao Kejian</t>
  </si>
  <si>
    <t>Quzhou</t>
  </si>
  <si>
    <t>Air compressors</t>
  </si>
  <si>
    <t>Kejian</t>
  </si>
  <si>
    <t>Giuliana Caprotti</t>
  </si>
  <si>
    <t>Caprotti</t>
  </si>
  <si>
    <t>Marina Caprotti</t>
  </si>
  <si>
    <t>Chang Jing</t>
  </si>
  <si>
    <t>Jing</t>
  </si>
  <si>
    <t>Chen Baohua</t>
  </si>
  <si>
    <t>Linhai</t>
  </si>
  <si>
    <t>Baohua</t>
  </si>
  <si>
    <t>Gang Chen</t>
  </si>
  <si>
    <t>Solar energy</t>
  </si>
  <si>
    <t>Liying Chen</t>
  </si>
  <si>
    <t>Liying</t>
  </si>
  <si>
    <t>Tony Chen</t>
  </si>
  <si>
    <t>Chen Xueling</t>
  </si>
  <si>
    <t>Xueling</t>
  </si>
  <si>
    <t>Cheng Lili</t>
  </si>
  <si>
    <t>Poultry breeding</t>
  </si>
  <si>
    <t>Cho Jyh-jer</t>
  </si>
  <si>
    <t>Jyh-jer</t>
  </si>
  <si>
    <t>Weili Dai</t>
  </si>
  <si>
    <t>Marvell Technology Group Ltd.</t>
  </si>
  <si>
    <t>Weili</t>
  </si>
  <si>
    <t>Cofounder-President</t>
  </si>
  <si>
    <t>Carmen Daurella Aguilera</t>
  </si>
  <si>
    <t>Daurella Aguilera</t>
  </si>
  <si>
    <t>Deng Yingzhong</t>
  </si>
  <si>
    <t>Yingzhong</t>
  </si>
  <si>
    <t>Shlomo Eliahu</t>
  </si>
  <si>
    <t>Eliahu</t>
  </si>
  <si>
    <t>Henry Engelhardt</t>
  </si>
  <si>
    <t>Cardiff</t>
  </si>
  <si>
    <t xml:space="preserve">Admiral Group </t>
  </si>
  <si>
    <t>Engelhardt</t>
  </si>
  <si>
    <t>Gabriel Escarrer</t>
  </si>
  <si>
    <t>Palma de Majorca</t>
  </si>
  <si>
    <t>Escarrer</t>
  </si>
  <si>
    <t>Gabriel</t>
  </si>
  <si>
    <t>Daniel Feffer</t>
  </si>
  <si>
    <t>Ruben Feffer</t>
  </si>
  <si>
    <t>Gleb Fetisov</t>
  </si>
  <si>
    <t>Fetisov</t>
  </si>
  <si>
    <t>Gleb</t>
  </si>
  <si>
    <t>Paul Fireman</t>
  </si>
  <si>
    <t>Reebok</t>
  </si>
  <si>
    <t>Fireman</t>
  </si>
  <si>
    <t>Robert Fisher</t>
  </si>
  <si>
    <t>Chairman of the Board</t>
  </si>
  <si>
    <t>Bernd Freier</t>
  </si>
  <si>
    <t>Rottendorf</t>
  </si>
  <si>
    <t>Freier</t>
  </si>
  <si>
    <t>Bernd</t>
  </si>
  <si>
    <t>Donald Friese</t>
  </si>
  <si>
    <t>Friese</t>
  </si>
  <si>
    <t>Gan Zhongru</t>
  </si>
  <si>
    <t>Gan</t>
  </si>
  <si>
    <t>Zhongru</t>
  </si>
  <si>
    <t>Rahul Gautam</t>
  </si>
  <si>
    <t>Mattresses</t>
  </si>
  <si>
    <t>David Golub</t>
  </si>
  <si>
    <t>Pavel Golubkov</t>
  </si>
  <si>
    <t>Building, development</t>
  </si>
  <si>
    <t>Golubkov</t>
  </si>
  <si>
    <t>Cristina Green</t>
  </si>
  <si>
    <t>Cristina</t>
  </si>
  <si>
    <t>Philip Green</t>
  </si>
  <si>
    <t>Said Gutseriev</t>
  </si>
  <si>
    <t>Said</t>
  </si>
  <si>
    <t>Polys Haji-Ioannou</t>
  </si>
  <si>
    <t>EasyJet</t>
  </si>
  <si>
    <t>Haji-Ioannou</t>
  </si>
  <si>
    <t>Polys</t>
  </si>
  <si>
    <t>He Zuxun</t>
  </si>
  <si>
    <t>Zuxun</t>
  </si>
  <si>
    <t>Christian Herz</t>
  </si>
  <si>
    <t>Michaela Herz</t>
  </si>
  <si>
    <t>Michaela</t>
  </si>
  <si>
    <t>David Hindawi</t>
  </si>
  <si>
    <t>Huang Shan</t>
  </si>
  <si>
    <t>Shan</t>
  </si>
  <si>
    <t>Huang Xiaofen &amp; family</t>
  </si>
  <si>
    <t>Printed circuit boards</t>
  </si>
  <si>
    <t>Xiaofen</t>
  </si>
  <si>
    <t>Hiroshi Ishibashi</t>
  </si>
  <si>
    <t>Ishibashi</t>
  </si>
  <si>
    <t>Masayuki Ishihara</t>
  </si>
  <si>
    <t>Pachinko machines</t>
  </si>
  <si>
    <t>Ishihara</t>
  </si>
  <si>
    <t>Masayuki</t>
  </si>
  <si>
    <t>Chatchai Kaewbootta</t>
  </si>
  <si>
    <t>Kaewbootta</t>
  </si>
  <si>
    <t>Chatchai</t>
  </si>
  <si>
    <t>Nikhil Kamath</t>
  </si>
  <si>
    <t>Nikhil</t>
  </si>
  <si>
    <t>Jonas Kamprad</t>
  </si>
  <si>
    <t>IKEA</t>
  </si>
  <si>
    <t>Kamprad</t>
  </si>
  <si>
    <t>Jonas</t>
  </si>
  <si>
    <t>Mathias Kamprad</t>
  </si>
  <si>
    <t>Peter Kamprad</t>
  </si>
  <si>
    <t>Tervuren</t>
  </si>
  <si>
    <t>Fumio Kaneko</t>
  </si>
  <si>
    <t>Waste management</t>
  </si>
  <si>
    <t>Kaneko</t>
  </si>
  <si>
    <t>Fumio</t>
  </si>
  <si>
    <t>Sunjay Kapur</t>
  </si>
  <si>
    <t>Kapur</t>
  </si>
  <si>
    <t>Sunjay</t>
  </si>
  <si>
    <t>Ali Metin Kazanci</t>
  </si>
  <si>
    <t>Ali Metin</t>
  </si>
  <si>
    <t>Kangbao Ke &amp; family</t>
  </si>
  <si>
    <t>Kangbao</t>
  </si>
  <si>
    <t>Carsten Koerl</t>
  </si>
  <si>
    <t>Sports data</t>
  </si>
  <si>
    <t>Koerl</t>
  </si>
  <si>
    <t>Koo Bon-sik</t>
  </si>
  <si>
    <t>Heesung</t>
  </si>
  <si>
    <t>Bon-sik</t>
  </si>
  <si>
    <t>Andrei Kosogov</t>
  </si>
  <si>
    <t>Kosogov</t>
  </si>
  <si>
    <t>Yogesh Kothari</t>
  </si>
  <si>
    <t>Yogesh</t>
  </si>
  <si>
    <t>Arvind Lal</t>
  </si>
  <si>
    <t>Medical diagnostics</t>
  </si>
  <si>
    <t>Manuel Lao Hernández</t>
  </si>
  <si>
    <t>Matadepera</t>
  </si>
  <si>
    <t>Lao Hernández</t>
  </si>
  <si>
    <t>Lee Joong-keun</t>
  </si>
  <si>
    <t>Construction, real estate</t>
  </si>
  <si>
    <t>Booyoung Group</t>
  </si>
  <si>
    <t>Joong-keun</t>
  </si>
  <si>
    <t>Nancy Lerner</t>
  </si>
  <si>
    <t>Nancy</t>
  </si>
  <si>
    <t>Norma Lerner</t>
  </si>
  <si>
    <t>Norma</t>
  </si>
  <si>
    <t>Randolph Lerner</t>
  </si>
  <si>
    <t>Randolph</t>
  </si>
  <si>
    <t>Lin Zhijun</t>
  </si>
  <si>
    <t>Zhijun</t>
  </si>
  <si>
    <t>Lin Zhixiong &amp; family</t>
  </si>
  <si>
    <t>Zhixiong</t>
  </si>
  <si>
    <t>Jeffrey Lorberbaum</t>
  </si>
  <si>
    <t>Chattanooga</t>
  </si>
  <si>
    <t>Flooring</t>
  </si>
  <si>
    <t>Lorberbaum</t>
  </si>
  <si>
    <t>Lu Rongfu</t>
  </si>
  <si>
    <t>Telecommunication</t>
  </si>
  <si>
    <t>Rongfu</t>
  </si>
  <si>
    <t>Lyu Yixiong</t>
  </si>
  <si>
    <t>Lyu</t>
  </si>
  <si>
    <t>Yixiong</t>
  </si>
  <si>
    <t>Soichiro Minami</t>
  </si>
  <si>
    <t>Internet and software</t>
  </si>
  <si>
    <t>Minami</t>
  </si>
  <si>
    <t>Soichiro</t>
  </si>
  <si>
    <t>Pawan Munjal</t>
  </si>
  <si>
    <t>Two wheelers</t>
  </si>
  <si>
    <t>Munjal</t>
  </si>
  <si>
    <t>Pawan</t>
  </si>
  <si>
    <t>Renu Munjal</t>
  </si>
  <si>
    <t>Renu</t>
  </si>
  <si>
    <t>Suman Munjal</t>
  </si>
  <si>
    <t>Suman</t>
  </si>
  <si>
    <t>Dmitry Nikolaev</t>
  </si>
  <si>
    <t>Kemerovo</t>
  </si>
  <si>
    <t>Nikolaev</t>
  </si>
  <si>
    <t xml:space="preserve">Dmitry </t>
  </si>
  <si>
    <t>Sjamsul Nursalim</t>
  </si>
  <si>
    <t>Tires, retail</t>
  </si>
  <si>
    <t>Nursalim</t>
  </si>
  <si>
    <t>Sjamsul</t>
  </si>
  <si>
    <t>Adrian Paval</t>
  </si>
  <si>
    <t>Adrian</t>
  </si>
  <si>
    <t>Antonio Percassi</t>
  </si>
  <si>
    <t>Real estate, diversified</t>
  </si>
  <si>
    <t>Percassi</t>
  </si>
  <si>
    <t>Kevin Plank</t>
  </si>
  <si>
    <t>Lutherville-Timonium</t>
  </si>
  <si>
    <t>Under Armour</t>
  </si>
  <si>
    <t>Plank</t>
  </si>
  <si>
    <t>G.V. Prasad</t>
  </si>
  <si>
    <t>Prasad</t>
  </si>
  <si>
    <t>G.V.</t>
  </si>
  <si>
    <t>Pu Zhongjie &amp; family</t>
  </si>
  <si>
    <t>Pu</t>
  </si>
  <si>
    <t>Zhongjie</t>
  </si>
  <si>
    <t>Rao Wei &amp; family</t>
  </si>
  <si>
    <t>Helena Revoredo</t>
  </si>
  <si>
    <t>Security services</t>
  </si>
  <si>
    <t>Revoredo</t>
  </si>
  <si>
    <t>Helena</t>
  </si>
  <si>
    <t>Matthew Roszak</t>
  </si>
  <si>
    <t>Roszak</t>
  </si>
  <si>
    <t>Paul Sciarra</t>
  </si>
  <si>
    <t>Sciarra</t>
  </si>
  <si>
    <t>Rajesh Sharma</t>
  </si>
  <si>
    <t>Sharma</t>
  </si>
  <si>
    <t>Rajesh</t>
  </si>
  <si>
    <t>Dean Solon</t>
  </si>
  <si>
    <t>Gallatin</t>
  </si>
  <si>
    <t>Solar systems</t>
  </si>
  <si>
    <t>Solon</t>
  </si>
  <si>
    <t>Dean</t>
  </si>
  <si>
    <t>Michael Spencer</t>
  </si>
  <si>
    <t>London, Suffolk</t>
  </si>
  <si>
    <t>Stock exchange</t>
  </si>
  <si>
    <t>Spencer</t>
  </si>
  <si>
    <t>Joseph Steinberg</t>
  </si>
  <si>
    <t>Steinberg</t>
  </si>
  <si>
    <t>Zachary Stern</t>
  </si>
  <si>
    <t>Zachary</t>
  </si>
  <si>
    <t>Manny Stul</t>
  </si>
  <si>
    <t>Stul</t>
  </si>
  <si>
    <t>Manny</t>
  </si>
  <si>
    <t>Sun Hongjun</t>
  </si>
  <si>
    <t>Hongjun</t>
  </si>
  <si>
    <t>Sun Weijie</t>
  </si>
  <si>
    <t>Oilfield equipment</t>
  </si>
  <si>
    <t>Weijie</t>
  </si>
  <si>
    <t>Sehat Sutardja</t>
  </si>
  <si>
    <t>Sutardja</t>
  </si>
  <si>
    <t>Sehat</t>
  </si>
  <si>
    <t>Min-Liang Tan</t>
  </si>
  <si>
    <t>gaming</t>
  </si>
  <si>
    <t>Min-Liang</t>
  </si>
  <si>
    <t>Tan Yu Yeh</t>
  </si>
  <si>
    <t>Selangor</t>
  </si>
  <si>
    <t>Yu Yeh</t>
  </si>
  <si>
    <t>Tang Aoqi &amp; family</t>
  </si>
  <si>
    <t>Aoqi</t>
  </si>
  <si>
    <t>Vonnarat Tangkaravakoon</t>
  </si>
  <si>
    <t>Wire &amp; cables, paints</t>
  </si>
  <si>
    <t>Vonnarat</t>
  </si>
  <si>
    <t>Tsao Ter-fung</t>
  </si>
  <si>
    <t>Tsao</t>
  </si>
  <si>
    <t>Ter-fung</t>
  </si>
  <si>
    <t>Tung Ching Sai</t>
  </si>
  <si>
    <t>Ching Sai</t>
  </si>
  <si>
    <t>Arkady Volozh</t>
  </si>
  <si>
    <t>Search engine</t>
  </si>
  <si>
    <t>Volozh</t>
  </si>
  <si>
    <t>Peter-Alexander Wacker</t>
  </si>
  <si>
    <t>Starnberg</t>
  </si>
  <si>
    <t>Wacker</t>
  </si>
  <si>
    <t>Peter-Alexander</t>
  </si>
  <si>
    <t>Wan Long</t>
  </si>
  <si>
    <t>Luohe</t>
  </si>
  <si>
    <t>Wan</t>
  </si>
  <si>
    <t>Wang Han</t>
  </si>
  <si>
    <t>Han</t>
  </si>
  <si>
    <t>Lars Wingefors</t>
  </si>
  <si>
    <t>Karlstad</t>
  </si>
  <si>
    <t>Wingefors</t>
  </si>
  <si>
    <t>Lars</t>
  </si>
  <si>
    <t>Allan Wong</t>
  </si>
  <si>
    <t>Allan</t>
  </si>
  <si>
    <t>Tiger Woods</t>
  </si>
  <si>
    <t>Jupiter Island</t>
  </si>
  <si>
    <t>Golf</t>
  </si>
  <si>
    <t>PGA</t>
  </si>
  <si>
    <t>Woods</t>
  </si>
  <si>
    <t>Tiger</t>
  </si>
  <si>
    <t>Horst Wortmann</t>
  </si>
  <si>
    <t>Detmold</t>
  </si>
  <si>
    <t>Wortmann</t>
  </si>
  <si>
    <t>Wu Kaiting</t>
  </si>
  <si>
    <t>Kaiting</t>
  </si>
  <si>
    <t>Wu Li-gann</t>
  </si>
  <si>
    <t>Kaohsiung</t>
  </si>
  <si>
    <t>Li-gann</t>
  </si>
  <si>
    <t>Wu Xiangdong</t>
  </si>
  <si>
    <t>Consumer</t>
  </si>
  <si>
    <t>Xiu Laigui</t>
  </si>
  <si>
    <t>Xiu</t>
  </si>
  <si>
    <t>Laigui</t>
  </si>
  <si>
    <t>Xu Jiangnan</t>
  </si>
  <si>
    <t>Leping</t>
  </si>
  <si>
    <t>Vitamins</t>
  </si>
  <si>
    <t>Jiangnan</t>
  </si>
  <si>
    <t>Xue Jiping</t>
  </si>
  <si>
    <t>Cable</t>
  </si>
  <si>
    <t>Jiping</t>
  </si>
  <si>
    <t>Yao Hsiao Tung</t>
  </si>
  <si>
    <t>Hsiao Tung</t>
  </si>
  <si>
    <t>Ye Qiongjiu</t>
  </si>
  <si>
    <t>Qiongjiu</t>
  </si>
  <si>
    <t>Yanqiao Ye</t>
  </si>
  <si>
    <t>Yanqiao</t>
  </si>
  <si>
    <t>Yeh Kuo-I</t>
  </si>
  <si>
    <t>Yeh</t>
  </si>
  <si>
    <t>Kuo-I</t>
  </si>
  <si>
    <t>Yu Faxiang</t>
  </si>
  <si>
    <t>Tourism, cultural industry</t>
  </si>
  <si>
    <t>Faxiang</t>
  </si>
  <si>
    <t>Zeng Chaolin</t>
  </si>
  <si>
    <t>Yongzhou</t>
  </si>
  <si>
    <t>Aluminium</t>
  </si>
  <si>
    <t>Chaolin</t>
  </si>
  <si>
    <t>Kapeng Zhang</t>
  </si>
  <si>
    <t>Kapeng</t>
  </si>
  <si>
    <t>Zhang Xuansong</t>
  </si>
  <si>
    <t>Xuansong</t>
  </si>
  <si>
    <t>Zhang Xuewu</t>
  </si>
  <si>
    <t>Xuewu</t>
  </si>
  <si>
    <t>Zhu Yiming</t>
  </si>
  <si>
    <t>Zhu Zhaojiang</t>
  </si>
  <si>
    <t>Zhaojiang</t>
  </si>
  <si>
    <t>Zhuo Jun</t>
  </si>
  <si>
    <t>Zhuo</t>
  </si>
  <si>
    <t>Manohar Lal Agarwal</t>
  </si>
  <si>
    <t>Manohar Lal</t>
  </si>
  <si>
    <t>Christian Angermayer</t>
  </si>
  <si>
    <t>Angermayer</t>
  </si>
  <si>
    <t>Ryuji Arai</t>
  </si>
  <si>
    <t>Ryuji</t>
  </si>
  <si>
    <t>Anna Maria Braun</t>
  </si>
  <si>
    <t>Anna Maria</t>
  </si>
  <si>
    <t>Johanna Braun</t>
  </si>
  <si>
    <t>Johanna</t>
  </si>
  <si>
    <t>Karl Friedrich Braun</t>
  </si>
  <si>
    <t>Karl Friedrich</t>
  </si>
  <si>
    <t>Ludwig Theodor Braun</t>
  </si>
  <si>
    <t>Ludwig Theodor</t>
  </si>
  <si>
    <t>Ana Maria Brescia Cafferata</t>
  </si>
  <si>
    <t>Mining, banking</t>
  </si>
  <si>
    <t>Brescia Cafferata</t>
  </si>
  <si>
    <t>Ana Maria</t>
  </si>
  <si>
    <t>Jimmy Buffett</t>
  </si>
  <si>
    <t>Entertainment, Margaritaville</t>
  </si>
  <si>
    <t>Hideyuki Busujima</t>
  </si>
  <si>
    <t>Busujima</t>
  </si>
  <si>
    <t>Hideyuki</t>
  </si>
  <si>
    <t>Edouard Carmignac</t>
  </si>
  <si>
    <t>Carmignac</t>
  </si>
  <si>
    <t>Edouard</t>
  </si>
  <si>
    <t>Chang Kuo-Ming</t>
  </si>
  <si>
    <t>Kuo-Ming</t>
  </si>
  <si>
    <t>Chen Jiancheng</t>
  </si>
  <si>
    <t>Jiancheng</t>
  </si>
  <si>
    <t>Rui Chen</t>
  </si>
  <si>
    <t>Online entertainment</t>
  </si>
  <si>
    <t>Chen Shiliang</t>
  </si>
  <si>
    <t>Polyester</t>
  </si>
  <si>
    <t>Shiliang</t>
  </si>
  <si>
    <t>Tianqiao Chen</t>
  </si>
  <si>
    <t>Tianqiao</t>
  </si>
  <si>
    <t>Yuantai Chen</t>
  </si>
  <si>
    <t>Yuantai</t>
  </si>
  <si>
    <t>Cheng Antares</t>
  </si>
  <si>
    <t>Antares</t>
  </si>
  <si>
    <t>Kochouseph Chittilappilly</t>
  </si>
  <si>
    <t>Kochi</t>
  </si>
  <si>
    <t>Electrical appliances</t>
  </si>
  <si>
    <t>Chittilappilly</t>
  </si>
  <si>
    <t>Kochouseph</t>
  </si>
  <si>
    <t>John Christodoulou</t>
  </si>
  <si>
    <t>Christodoulou</t>
  </si>
  <si>
    <t>Pollyanna Chu</t>
  </si>
  <si>
    <t>Financial services, property</t>
  </si>
  <si>
    <t>Pollyanna</t>
  </si>
  <si>
    <t>Turgay Ciner</t>
  </si>
  <si>
    <t>Ciner</t>
  </si>
  <si>
    <t>Turgay</t>
  </si>
  <si>
    <t>Benoit Dageville</t>
  </si>
  <si>
    <t>San Carlos</t>
  </si>
  <si>
    <t>Dageville</t>
  </si>
  <si>
    <t>Benoit</t>
  </si>
  <si>
    <t>Mark Dixon</t>
  </si>
  <si>
    <t>Office real estate</t>
  </si>
  <si>
    <t>Dixon</t>
  </si>
  <si>
    <t>Du Yulin &amp; family</t>
  </si>
  <si>
    <t>Yulin</t>
  </si>
  <si>
    <t>Feng Yuxia</t>
  </si>
  <si>
    <t>Yuxia</t>
  </si>
  <si>
    <t>Benedicte Find</t>
  </si>
  <si>
    <t>Copenhagen</t>
  </si>
  <si>
    <t>Find</t>
  </si>
  <si>
    <t>Benedicte</t>
  </si>
  <si>
    <t>William Fisher</t>
  </si>
  <si>
    <t>Gao Yunfeng</t>
  </si>
  <si>
    <t>Industrial lasers</t>
  </si>
  <si>
    <t>Jianming Geng</t>
  </si>
  <si>
    <t>Geng</t>
  </si>
  <si>
    <t>Sven Hagströmer</t>
  </si>
  <si>
    <t>Hagströmer</t>
  </si>
  <si>
    <t>Sven</t>
  </si>
  <si>
    <t>Clelia Haji-Ioannou</t>
  </si>
  <si>
    <t>Clelia</t>
  </si>
  <si>
    <t>Stelios Haji-Ioannou</t>
  </si>
  <si>
    <t>Stelios</t>
  </si>
  <si>
    <t>Hang Hong</t>
  </si>
  <si>
    <t>He Yamin &amp; family</t>
  </si>
  <si>
    <t>Yamin</t>
  </si>
  <si>
    <t>Ghan Djoe Hiang</t>
  </si>
  <si>
    <t>Hiang</t>
  </si>
  <si>
    <t>Ghan Djoe</t>
  </si>
  <si>
    <t>Hong Feng</t>
  </si>
  <si>
    <t>Hong Seok-joh</t>
  </si>
  <si>
    <t>BGF Co. Ltd.</t>
  </si>
  <si>
    <t>Seok-joh</t>
  </si>
  <si>
    <t>Hu Gengxi &amp; family</t>
  </si>
  <si>
    <t>Bio-Pharma</t>
  </si>
  <si>
    <t>Gengxi</t>
  </si>
  <si>
    <t>Danilo Iervolino</t>
  </si>
  <si>
    <t>Online universities</t>
  </si>
  <si>
    <t>Iervolino</t>
  </si>
  <si>
    <t>Danilo</t>
  </si>
  <si>
    <t>Hedda im Brahm-Droege</t>
  </si>
  <si>
    <t>im Brahm-Droege</t>
  </si>
  <si>
    <t>Hedda</t>
  </si>
  <si>
    <t>Inder Jaisinghani</t>
  </si>
  <si>
    <t>Cables &amp; wires</t>
  </si>
  <si>
    <t>Jaisinghani</t>
  </si>
  <si>
    <t xml:space="preserve">Inder </t>
  </si>
  <si>
    <t>LeBron James</t>
  </si>
  <si>
    <t>Basketball</t>
  </si>
  <si>
    <t>NBA</t>
  </si>
  <si>
    <t>LeBron</t>
  </si>
  <si>
    <t>Johan Johannson</t>
  </si>
  <si>
    <t>Grocery stores</t>
  </si>
  <si>
    <t>Johannson</t>
  </si>
  <si>
    <t>Johan</t>
  </si>
  <si>
    <t>Morris Kahn</t>
  </si>
  <si>
    <t>Beit Yanay</t>
  </si>
  <si>
    <t>Kahn</t>
  </si>
  <si>
    <t>Ashok Kajaria</t>
  </si>
  <si>
    <t>Tiles</t>
  </si>
  <si>
    <t>Kajaria</t>
  </si>
  <si>
    <t>Ashok</t>
  </si>
  <si>
    <t>Marcelo Kalim</t>
  </si>
  <si>
    <t>Kalim</t>
  </si>
  <si>
    <t>Marcelo</t>
  </si>
  <si>
    <t>Ken Kendrick</t>
  </si>
  <si>
    <t>Banking, sports team</t>
  </si>
  <si>
    <t>Kendrick</t>
  </si>
  <si>
    <t>Brad Keywell</t>
  </si>
  <si>
    <t>Keywell</t>
  </si>
  <si>
    <t>Muhammed Aziz Khan</t>
  </si>
  <si>
    <t>Power</t>
  </si>
  <si>
    <t>Bangladesh</t>
  </si>
  <si>
    <t>Muhammed Aziz</t>
  </si>
  <si>
    <t>Kim Jung-woong</t>
  </si>
  <si>
    <t>Jung-woong</t>
  </si>
  <si>
    <t>Ihor Kolomoyskyy</t>
  </si>
  <si>
    <t>Kolomoyskyy</t>
  </si>
  <si>
    <t>Ihor</t>
  </si>
  <si>
    <t>Kong Jian Min</t>
  </si>
  <si>
    <t>Jian Min</t>
  </si>
  <si>
    <t>Koo Bon-neung</t>
  </si>
  <si>
    <t>Heesung Electronics</t>
  </si>
  <si>
    <t>Bon-neung</t>
  </si>
  <si>
    <t>Michael Kum</t>
  </si>
  <si>
    <t>Kum</t>
  </si>
  <si>
    <t>Richard Kurtz</t>
  </si>
  <si>
    <t>Lev Kvetnoi</t>
  </si>
  <si>
    <t>Kvetnoi</t>
  </si>
  <si>
    <t>Lev</t>
  </si>
  <si>
    <t>Michiel Le Roux</t>
  </si>
  <si>
    <t>Stellenbosch</t>
  </si>
  <si>
    <t>Le Roux</t>
  </si>
  <si>
    <t>Michiel</t>
  </si>
  <si>
    <t>Li Wanqiang</t>
  </si>
  <si>
    <t>Wanqiang</t>
  </si>
  <si>
    <t>Liu Baolin</t>
  </si>
  <si>
    <t>Baolin</t>
  </si>
  <si>
    <t>Loo Choon Yong</t>
  </si>
  <si>
    <t>Loo</t>
  </si>
  <si>
    <t>Choon Yong</t>
  </si>
  <si>
    <t>Lu Yonghua &amp; family</t>
  </si>
  <si>
    <t>Ma Xiuhui</t>
  </si>
  <si>
    <t>LED lighting</t>
  </si>
  <si>
    <t>Xiuhui</t>
  </si>
  <si>
    <t>Apoorva Mehta</t>
  </si>
  <si>
    <t>Grocery delivery service</t>
  </si>
  <si>
    <t>Instacart</t>
  </si>
  <si>
    <t>Apoorva</t>
  </si>
  <si>
    <t>Gabriella Meister</t>
  </si>
  <si>
    <t>Landsberg am Lech</t>
  </si>
  <si>
    <t>Meister</t>
  </si>
  <si>
    <t>Gabriella</t>
  </si>
  <si>
    <t>Ulrike Meister</t>
  </si>
  <si>
    <t>Landsberg</t>
  </si>
  <si>
    <t>Andrei Molchanov</t>
  </si>
  <si>
    <t>Molchanov</t>
  </si>
  <si>
    <t>Fulvio Montipò &amp; family</t>
  </si>
  <si>
    <t>Reggio Emilia</t>
  </si>
  <si>
    <t>Hydraulic pumps</t>
  </si>
  <si>
    <t>Montipò</t>
  </si>
  <si>
    <t>Fulvio</t>
  </si>
  <si>
    <t>Stanley Motta</t>
  </si>
  <si>
    <t>Panama</t>
  </si>
  <si>
    <t>Motta</t>
  </si>
  <si>
    <t>Tyler Perry</t>
  </si>
  <si>
    <t>Movies, television</t>
  </si>
  <si>
    <t>Television</t>
  </si>
  <si>
    <t>Perry</t>
  </si>
  <si>
    <t>Réal Plourde</t>
  </si>
  <si>
    <t>Plourde</t>
  </si>
  <si>
    <t>Réal</t>
  </si>
  <si>
    <t>Vera Rechulski Santo Domingo</t>
  </si>
  <si>
    <t>Rechulski Santo Domingo</t>
  </si>
  <si>
    <t>Vera</t>
  </si>
  <si>
    <t>George Sakellaris</t>
  </si>
  <si>
    <t>Sakellaris</t>
  </si>
  <si>
    <t>Eddy Kusnadi Sariaatmadja</t>
  </si>
  <si>
    <t>Media, tech</t>
  </si>
  <si>
    <t>Sariaatmadja</t>
  </si>
  <si>
    <t>Eddy Kusnadi</t>
  </si>
  <si>
    <t>Neerja Sethi</t>
  </si>
  <si>
    <t>IT consulting, outsourcing</t>
  </si>
  <si>
    <t>Sethi</t>
  </si>
  <si>
    <t>Neerja</t>
  </si>
  <si>
    <t>Scott Smith</t>
  </si>
  <si>
    <t>Petter Stordalen &amp; family</t>
  </si>
  <si>
    <t>Stordalen</t>
  </si>
  <si>
    <t>Petter</t>
  </si>
  <si>
    <t>Ivan Streshinsky</t>
  </si>
  <si>
    <t>Metals, telecom</t>
  </si>
  <si>
    <t>Streshinsky</t>
  </si>
  <si>
    <t>Sergei Sudarikov</t>
  </si>
  <si>
    <t>Finance, development</t>
  </si>
  <si>
    <t>Sudarikov</t>
  </si>
  <si>
    <t>Wijono Tanoko</t>
  </si>
  <si>
    <t>Wijono</t>
  </si>
  <si>
    <t>Haryanto Tjiptodihardjo</t>
  </si>
  <si>
    <t>Tjiptodihardjo</t>
  </si>
  <si>
    <t>Haryanto</t>
  </si>
  <si>
    <t>David Tran &amp; family</t>
  </si>
  <si>
    <t>Arcadia</t>
  </si>
  <si>
    <t>Hot sauce</t>
  </si>
  <si>
    <t>Kenzo Tsujimoto</t>
  </si>
  <si>
    <t>Tsujimoto</t>
  </si>
  <si>
    <t>Kenzo</t>
  </si>
  <si>
    <t>Murat Vargi</t>
  </si>
  <si>
    <t>Vargi</t>
  </si>
  <si>
    <t>Shigefumi Wada</t>
  </si>
  <si>
    <t>Nakano, Tokyo</t>
  </si>
  <si>
    <t>Wada</t>
  </si>
  <si>
    <t>Shigefumi</t>
  </si>
  <si>
    <t>Wan Feng &amp; family</t>
  </si>
  <si>
    <t>Wang Jianfeng &amp; family</t>
  </si>
  <si>
    <t>Jianfeng</t>
  </si>
  <si>
    <t>Masaru Wasami</t>
  </si>
  <si>
    <t>Wasami</t>
  </si>
  <si>
    <t>Masaru</t>
  </si>
  <si>
    <t>V. Prem Watsa</t>
  </si>
  <si>
    <t>Watsa</t>
  </si>
  <si>
    <t>V. Prem</t>
  </si>
  <si>
    <t>Wen Pengcheng &amp; family</t>
  </si>
  <si>
    <t>Yunfu</t>
  </si>
  <si>
    <t>Pengcheng</t>
  </si>
  <si>
    <t>Toto Wolff</t>
  </si>
  <si>
    <t>Wolff</t>
  </si>
  <si>
    <t>Toto</t>
  </si>
  <si>
    <t>Franziska Wuerbser</t>
  </si>
  <si>
    <t>Wuerbser</t>
  </si>
  <si>
    <t>Franziska</t>
  </si>
  <si>
    <t>Xie Bingzheng &amp; family</t>
  </si>
  <si>
    <t>Bingzheng</t>
  </si>
  <si>
    <t>Xu Gang</t>
  </si>
  <si>
    <t>Yan Junxu</t>
  </si>
  <si>
    <t>Taicang</t>
  </si>
  <si>
    <t>Junxu</t>
  </si>
  <si>
    <t>Yi Xianzhong &amp; family</t>
  </si>
  <si>
    <t>Xianzhong</t>
  </si>
  <si>
    <t>Yu Rong</t>
  </si>
  <si>
    <t>Health clinics</t>
  </si>
  <si>
    <t>Rong</t>
  </si>
  <si>
    <t>Richard Yuengling, Jr.</t>
  </si>
  <si>
    <t>Pottsville</t>
  </si>
  <si>
    <t>Yuengling</t>
  </si>
  <si>
    <t>Zhang Gongyun</t>
  </si>
  <si>
    <t>Gaomi</t>
  </si>
  <si>
    <t>Tyre manufacturing machinery</t>
  </si>
  <si>
    <t>Gongyun</t>
  </si>
  <si>
    <t>Zhang Guiping &amp; family</t>
  </si>
  <si>
    <t>Guiping</t>
  </si>
  <si>
    <t>Inigo Zobel</t>
  </si>
  <si>
    <t>Makati</t>
  </si>
  <si>
    <t>Zobel</t>
  </si>
  <si>
    <t>Inigo</t>
  </si>
  <si>
    <t>Net Worth</t>
  </si>
  <si>
    <t>Name</t>
  </si>
  <si>
    <t>last Name</t>
  </si>
  <si>
    <t>first Name</t>
  </si>
  <si>
    <t>residence State Region</t>
  </si>
  <si>
    <t>birth Year</t>
  </si>
  <si>
    <t>Male</t>
  </si>
  <si>
    <t>Female</t>
  </si>
  <si>
    <t>Rank</t>
  </si>
  <si>
    <t>AVERAGE NET WORTH</t>
  </si>
  <si>
    <t>AVERAGE AGE</t>
  </si>
  <si>
    <t>TOTAL BILLONAIRES</t>
  </si>
  <si>
    <t>TOTAL NET WORTH</t>
  </si>
  <si>
    <t>Sum of Net Worth</t>
  </si>
  <si>
    <t>Row Labels</t>
  </si>
  <si>
    <t>(blank)</t>
  </si>
  <si>
    <t>Grand Total</t>
  </si>
  <si>
    <t>MODE AGE OF BILLONIARES</t>
  </si>
  <si>
    <t>TRUE</t>
  </si>
  <si>
    <t>Names</t>
  </si>
  <si>
    <t>Age</t>
  </si>
  <si>
    <t>Gender</t>
  </si>
  <si>
    <t>Country</t>
  </si>
  <si>
    <t>Industries</t>
  </si>
  <si>
    <t>Source</t>
  </si>
  <si>
    <t>Self made</t>
  </si>
  <si>
    <t>Group1</t>
  </si>
  <si>
    <t xml:space="preserve">apart from net worth by age, </t>
  </si>
  <si>
    <t>FALSE</t>
  </si>
  <si>
    <t>Max of Rank</t>
  </si>
  <si>
    <t>RANK</t>
  </si>
  <si>
    <t>No of billonaires</t>
  </si>
  <si>
    <t>Total Net Worth</t>
  </si>
  <si>
    <t>Avg Net Worth</t>
  </si>
  <si>
    <t>Average of Net Worth</t>
  </si>
  <si>
    <t>Avg Age</t>
  </si>
  <si>
    <t>Average of age</t>
  </si>
  <si>
    <t>Max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</si>
</sst>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409]#,##0"/>
    <numFmt numFmtId="166" formatCode="[$-F800]dddd\,\ mmmm\ dd\,\ yyyy"/>
    <numFmt numFmtId="167" formatCode="[$-809]dd\ mmmm\ yyyy;@"/>
    <numFmt numFmtId="168" formatCode="0.0"/>
    <numFmt numFmtId="169" formatCode="#,##0.0"/>
    <numFmt numFmtId="170" formatCode="[$$-1009]#,##0"/>
    <numFmt numFmtId="171" formatCode="[$$-1009]#,##0.00"/>
    <numFmt numFmtId="172"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22" fontId="0" fillId="0" borderId="0" xfId="0" applyNumberFormat="1"/>
    <xf numFmtId="164" fontId="0" fillId="0" borderId="0" xfId="0" applyNumberFormat="1"/>
    <xf numFmtId="0" fontId="18" fillId="0" borderId="0" xfId="0" applyFont="1"/>
    <xf numFmtId="0" fontId="19" fillId="0" borderId="0" xfId="0" applyFont="1"/>
    <xf numFmtId="165" fontId="18" fillId="0" borderId="0" xfId="0" applyNumberFormat="1" applyFont="1"/>
    <xf numFmtId="165" fontId="0" fillId="0" borderId="0" xfId="0" applyNumberFormat="1"/>
    <xf numFmtId="166" fontId="18" fillId="0" borderId="0" xfId="0" applyNumberFormat="1" applyFont="1"/>
    <xf numFmtId="166" fontId="0" fillId="0" borderId="0" xfId="0" applyNumberFormat="1"/>
    <xf numFmtId="167" fontId="18" fillId="0" borderId="0" xfId="0" applyNumberFormat="1" applyFont="1"/>
    <xf numFmtId="167" fontId="0" fillId="0" borderId="0" xfId="0" applyNumberFormat="1"/>
    <xf numFmtId="168" fontId="18" fillId="0" borderId="0" xfId="0" applyNumberFormat="1" applyFont="1"/>
    <xf numFmtId="168" fontId="0" fillId="0" borderId="0" xfId="0" applyNumberFormat="1"/>
    <xf numFmtId="169" fontId="18" fillId="0" borderId="0" xfId="0" applyNumberFormat="1" applyFont="1"/>
    <xf numFmtId="169" fontId="0" fillId="0" borderId="0" xfId="0" applyNumberFormat="1"/>
    <xf numFmtId="0" fontId="16" fillId="0" borderId="0" xfId="0" applyFon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3" fontId="0" fillId="0" borderId="0" xfId="0" applyNumberFormat="1"/>
    <xf numFmtId="0" fontId="0" fillId="0" borderId="0" xfId="0" applyAlignment="1">
      <alignment horizontal="left" indent="2"/>
    </xf>
    <xf numFmtId="0" fontId="0" fillId="0" borderId="0" xfId="0" applyAlignment="1">
      <alignment horizontal="left" indent="3"/>
    </xf>
    <xf numFmtId="1" fontId="0" fillId="0" borderId="0" xfId="0" applyNumberFormat="1" applyAlignment="1">
      <alignment horizontal="left" indent="1"/>
    </xf>
    <xf numFmtId="0" fontId="0" fillId="33" borderId="0" xfId="0" applyFill="1"/>
    <xf numFmtId="170" fontId="0" fillId="0" borderId="0" xfId="0" applyNumberFormat="1"/>
    <xf numFmtId="17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70" formatCode="[$$-1009]#,##0"/>
    </dxf>
    <dxf>
      <numFmt numFmtId="1"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170" formatCode="[$$-1009]#,##0"/>
    </dxf>
    <dxf>
      <numFmt numFmtId="173" formatCode="&quot;£&quot;#,##0.00"/>
    </dxf>
    <dxf>
      <numFmt numFmtId="3" formatCode="#,##0"/>
    </dxf>
    <dxf>
      <numFmt numFmtId="3" formatCode="#,##0"/>
    </dxf>
    <dxf>
      <numFmt numFmtId="3" formatCode="#,##0"/>
    </dxf>
    <dxf>
      <numFmt numFmtId="170" formatCode="[$$-1009]#,##0"/>
    </dxf>
    <dxf>
      <numFmt numFmtId="172" formatCode="&quot;£&quot;#,##0"/>
    </dxf>
    <dxf>
      <numFmt numFmtId="172" formatCode="&quot;£&quot;#,##0"/>
    </dxf>
    <dxf>
      <numFmt numFmtId="170" formatCode="[$$-1009]#,##0"/>
    </dxf>
    <dxf>
      <numFmt numFmtId="3" formatCode="#,##0"/>
    </dxf>
    <dxf>
      <numFmt numFmtId="3" formatCode="#,##0"/>
    </dxf>
    <dxf>
      <numFmt numFmtId="169" formatCode="#,##0.0"/>
    </dxf>
    <dxf>
      <numFmt numFmtId="169" formatCode="#,##0.0"/>
    </dxf>
    <dxf>
      <numFmt numFmtId="3" formatCode="#,##0"/>
    </dxf>
    <dxf>
      <numFmt numFmtId="170" formatCode="[$$-1009]#,##0"/>
    </dxf>
    <dxf>
      <numFmt numFmtId="173" formatCode="&quot;£&quot;#,##0.00"/>
    </dxf>
    <dxf>
      <numFmt numFmtId="3" formatCode="#,##0"/>
    </dxf>
    <dxf>
      <numFmt numFmtId="170" formatCode="[$$-1009]#,##0"/>
    </dxf>
    <dxf>
      <numFmt numFmtId="173" formatCode="&quot;£&quot;#,##0.00"/>
    </dxf>
    <dxf>
      <numFmt numFmtId="3" formatCode="#,##0"/>
    </dxf>
    <dxf>
      <numFmt numFmtId="3" formatCode="#,##0"/>
    </dxf>
    <dxf>
      <numFmt numFmtId="3" formatCode="#,##0"/>
    </dxf>
    <dxf>
      <numFmt numFmtId="3" formatCode="#,##0"/>
    </dxf>
    <dxf>
      <numFmt numFmtId="3" formatCode="#,##0"/>
    </dxf>
    <dxf>
      <numFmt numFmtId="170" formatCode="[$$-1009]#,##0"/>
    </dxf>
    <dxf>
      <numFmt numFmtId="170" formatCode="[$$-1009]#,##0"/>
    </dxf>
    <dxf>
      <numFmt numFmtId="170" formatCode="[$$-1009]#,##0"/>
    </dxf>
    <dxf>
      <numFmt numFmtId="171" formatCode="[$$-1009]#,##0.00"/>
    </dxf>
    <dxf>
      <numFmt numFmtId="173" formatCode="&quot;£&quot;#,##0.00"/>
    </dxf>
    <dxf>
      <numFmt numFmtId="3" formatCode="#,##0"/>
    </dxf>
    <dxf>
      <numFmt numFmtId="3" formatCode="#,##0"/>
    </dxf>
    <dxf>
      <numFmt numFmtId="164" formatCode="&quot;$&quot;#,##0_);[Red]\(&quot;$&quot;#,##0\)"/>
    </dxf>
    <dxf>
      <numFmt numFmtId="174" formatCode="m/d/yyyy\ h:mm"/>
    </dxf>
    <dxf>
      <numFmt numFmtId="174" formatCode="m/d/yyyy\ h:mm"/>
    </dxf>
    <dxf>
      <font>
        <strike val="0"/>
        <outline val="0"/>
        <shadow val="0"/>
        <u val="none"/>
        <vertAlign val="baseline"/>
        <sz val="12"/>
        <color theme="1"/>
        <name val="Calibri"/>
        <family val="2"/>
        <scheme val="minor"/>
      </font>
    </dxf>
  </dxfs>
  <tableStyles count="0" defaultTableStyle="TableStyleMedium2" defaultPivotStyle="PivotStyleLight16"/>
  <colors>
    <mruColors>
      <color rgb="FFF5BF0C"/>
      <color rgb="FFFAF9F6"/>
      <color rgb="FF8E1616"/>
      <color rgb="FF000000"/>
      <color rgb="FF4E8397"/>
      <color rgb="FFD5CABD"/>
      <color rgb="FF5039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WORTH BY NAME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55"/>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1"/>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8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AD-4977-A029-A5C8E21BED4C}"/>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EAD-4977-A029-A5C8E21BED4C}"/>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AD-4977-A029-A5C8E21BED4C}"/>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EAD-4977-A029-A5C8E21BED4C}"/>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AD-4977-A029-A5C8E21BED4C}"/>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EAD-4977-A029-A5C8E21BED4C}"/>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AD-4977-A029-A5C8E21BED4C}"/>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EAD-4977-A029-A5C8E21BED4C}"/>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AD-4977-A029-A5C8E21BED4C}"/>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1EAD-4977-A029-A5C8E21BED4C}"/>
              </c:ext>
            </c:extLst>
          </c:dPt>
          <c:dLbls>
            <c:dLbl>
              <c:idx val="0"/>
              <c:layout>
                <c:manualLayout>
                  <c:x val="-0.10277777777777783"/>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AD-4977-A029-A5C8E21BED4C}"/>
                </c:ext>
              </c:extLst>
            </c:dLbl>
            <c:dLbl>
              <c:idx val="1"/>
              <c:layout>
                <c:manualLayout>
                  <c:x val="-9.166666666666666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AD-4977-A029-A5C8E21BED4C}"/>
                </c:ext>
              </c:extLst>
            </c:dLbl>
            <c:dLbl>
              <c:idx val="2"/>
              <c:layout>
                <c:manualLayout>
                  <c:x val="-0.1055555555555555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AD-4977-A029-A5C8E21BED4C}"/>
                </c:ext>
              </c:extLst>
            </c:dLbl>
            <c:dLbl>
              <c:idx val="3"/>
              <c:layout>
                <c:manualLayout>
                  <c:x val="-0.1000000000000001"/>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AD-4977-A029-A5C8E21BED4C}"/>
                </c:ext>
              </c:extLst>
            </c:dLbl>
            <c:dLbl>
              <c:idx val="4"/>
              <c:layout>
                <c:manualLayout>
                  <c:x val="-0.1166666666666666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AD-4977-A029-A5C8E21BED4C}"/>
                </c:ext>
              </c:extLst>
            </c:dLbl>
            <c:dLbl>
              <c:idx val="5"/>
              <c:layout>
                <c:manualLayout>
                  <c:x val="-0.10277777777777788"/>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AD-4977-A029-A5C8E21BED4C}"/>
                </c:ext>
              </c:extLst>
            </c:dLbl>
            <c:dLbl>
              <c:idx val="6"/>
              <c:layout>
                <c:manualLayout>
                  <c:x val="-0.11944444444444455"/>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AD-4977-A029-A5C8E21BED4C}"/>
                </c:ext>
              </c:extLst>
            </c:dLbl>
            <c:dLbl>
              <c:idx val="7"/>
              <c:layout>
                <c:manualLayout>
                  <c:x val="-0.11666666666666667"/>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AD-4977-A029-A5C8E21BED4C}"/>
                </c:ext>
              </c:extLst>
            </c:dLbl>
            <c:dLbl>
              <c:idx val="8"/>
              <c:layout>
                <c:manualLayout>
                  <c:x val="-0.111111111111111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AD-4977-A029-A5C8E21BED4C}"/>
                </c:ext>
              </c:extLst>
            </c:dLbl>
            <c:dLbl>
              <c:idx val="9"/>
              <c:layout>
                <c:manualLayout>
                  <c:x val="-0.10833333333333323"/>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AD-4977-A029-A5C8E21BED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Table'!$A$2:$A$12</c:f>
              <c:strCache>
                <c:ptCount val="10"/>
                <c:pt idx="0">
                  <c:v>Steve Ballmer</c:v>
                </c:pt>
                <c:pt idx="1">
                  <c:v>Mukesh Ambani</c:v>
                </c:pt>
                <c:pt idx="2">
                  <c:v>Carlos Slim Helu &amp; family</c:v>
                </c:pt>
                <c:pt idx="3">
                  <c:v>Michael Bloomberg</c:v>
                </c:pt>
                <c:pt idx="4">
                  <c:v>Bill Gates</c:v>
                </c:pt>
                <c:pt idx="5">
                  <c:v>Warren Buffett</c:v>
                </c:pt>
                <c:pt idx="6">
                  <c:v>Larry Ellison</c:v>
                </c:pt>
                <c:pt idx="7">
                  <c:v>Jeff Bezos</c:v>
                </c:pt>
                <c:pt idx="8">
                  <c:v>Elon Musk</c:v>
                </c:pt>
                <c:pt idx="9">
                  <c:v>Bernard Arnault &amp; family</c:v>
                </c:pt>
              </c:strCache>
            </c:strRef>
          </c:cat>
          <c:val>
            <c:numRef>
              <c:f>'Pivot Table'!$B$2:$B$12</c:f>
              <c:numCache>
                <c:formatCode>[$$-1009]#,##0</c:formatCode>
                <c:ptCount val="10"/>
                <c:pt idx="0">
                  <c:v>80700</c:v>
                </c:pt>
                <c:pt idx="1">
                  <c:v>83400</c:v>
                </c:pt>
                <c:pt idx="2">
                  <c:v>93000</c:v>
                </c:pt>
                <c:pt idx="3">
                  <c:v>94500</c:v>
                </c:pt>
                <c:pt idx="4">
                  <c:v>104000</c:v>
                </c:pt>
                <c:pt idx="5">
                  <c:v>106000</c:v>
                </c:pt>
                <c:pt idx="6">
                  <c:v>107000</c:v>
                </c:pt>
                <c:pt idx="7">
                  <c:v>114000</c:v>
                </c:pt>
                <c:pt idx="8">
                  <c:v>180000</c:v>
                </c:pt>
                <c:pt idx="9">
                  <c:v>211000</c:v>
                </c:pt>
              </c:numCache>
            </c:numRef>
          </c:val>
          <c:extLst>
            <c:ext xmlns:c16="http://schemas.microsoft.com/office/drawing/2014/chart" uri="{C3380CC4-5D6E-409C-BE32-E72D297353CC}">
              <c16:uniqueId val="{00000000-CFDD-4D05-94BC-408A2F22E471}"/>
            </c:ext>
          </c:extLst>
        </c:ser>
        <c:dLbls>
          <c:dLblPos val="outEnd"/>
          <c:showLegendKey val="0"/>
          <c:showVal val="1"/>
          <c:showCatName val="0"/>
          <c:showSerName val="0"/>
          <c:showPercent val="0"/>
          <c:showBubbleSize val="0"/>
        </c:dLbls>
        <c:gapWidth val="55"/>
        <c:overlap val="-20"/>
        <c:axId val="1503454048"/>
        <c:axId val="1503458848"/>
      </c:barChart>
      <c:catAx>
        <c:axId val="15034540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3458848"/>
        <c:crosses val="autoZero"/>
        <c:auto val="1"/>
        <c:lblAlgn val="ctr"/>
        <c:lblOffset val="100"/>
        <c:noMultiLvlLbl val="0"/>
      </c:catAx>
      <c:valAx>
        <c:axId val="15034588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Net Worth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345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[Billionaires Statistics Dataset.xlsx]Pivot Table!PivotTable9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WORTH BY GENDER</a:t>
            </a:r>
          </a:p>
        </c:rich>
      </c:tx>
      <c:layout>
        <c:manualLayout>
          <c:xMode val="edge"/>
          <c:yMode val="edge"/>
          <c:x val="0.29250000000000004"/>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Table'!$J$1</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70-4401-B109-69874D93DD21}"/>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70-4401-B109-69874D93DD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Table'!$I$2:$I$4</c:f>
              <c:strCache>
                <c:ptCount val="2"/>
                <c:pt idx="0">
                  <c:v>Female</c:v>
                </c:pt>
                <c:pt idx="1">
                  <c:v>Male</c:v>
                </c:pt>
              </c:strCache>
            </c:strRef>
          </c:cat>
          <c:val>
            <c:numRef>
              <c:f>'Pivot Table'!$J$2:$J$4</c:f>
              <c:numCache>
                <c:formatCode>[$$-1009]#,##0</c:formatCode>
                <c:ptCount val="2"/>
                <c:pt idx="0">
                  <c:v>1540200</c:v>
                </c:pt>
                <c:pt idx="1">
                  <c:v>10666600</c:v>
                </c:pt>
              </c:numCache>
            </c:numRef>
          </c:val>
          <c:extLst>
            <c:ext xmlns:c16="http://schemas.microsoft.com/office/drawing/2014/chart" uri="{C3380CC4-5D6E-409C-BE32-E72D297353CC}">
              <c16:uniqueId val="{00000000-E041-4382-B67D-6ACF22B628C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Table!PivotTable10</c:name>
    <c:fmtId val="4"/>
  </c:pivotSource>
  <c:chart>
    <c:title>
      <c:tx>
        <c:rich>
          <a:bodyPr rot="0" spcFirstLastPara="1" vertOverflow="ellipsis" vert="horz" wrap="square" anchor="ctr" anchorCtr="1"/>
          <a:lstStyle/>
          <a:p>
            <a:pPr>
              <a:defRPr sz="1600" b="1" i="0" u="none" strike="noStrike" kern="1200" cap="all" spc="150" baseline="0">
                <a:solidFill>
                  <a:schemeClr val="bg1"/>
                </a:solidFill>
                <a:latin typeface="+mn-lt"/>
                <a:ea typeface="+mn-ea"/>
                <a:cs typeface="+mn-cs"/>
              </a:defRPr>
            </a:pPr>
            <a:r>
              <a:rPr lang="en-US" sz="1600">
                <a:solidFill>
                  <a:schemeClr val="bg1"/>
                </a:solidFill>
              </a:rPr>
              <a:t>NET</a:t>
            </a:r>
            <a:r>
              <a:rPr lang="en-US" sz="1600" baseline="0">
                <a:solidFill>
                  <a:schemeClr val="bg1"/>
                </a:solidFill>
              </a:rPr>
              <a:t> WORTH BY COUNTRY</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spPr>
          <a:solidFill>
            <a:schemeClr val="tx1">
              <a:lumMod val="65000"/>
              <a:lumOff val="35000"/>
            </a:schemeClr>
          </a:solid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tx1">
              <a:lumMod val="65000"/>
              <a:lumOff val="35000"/>
            </a:schemeClr>
          </a:solidFill>
          <a:ln w="19050">
            <a:solidFill>
              <a:schemeClr val="lt1"/>
            </a:solidFill>
          </a:ln>
          <a:effectLst>
            <a:innerShdw blurRad="114300">
              <a:schemeClr val="accent1"/>
            </a:innerShdw>
          </a:effectLst>
        </c:spPr>
        <c:dLbl>
          <c:idx val="0"/>
          <c:layout>
            <c:manualLayout>
              <c:x val="-0.136111111111111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tx1">
              <a:lumMod val="65000"/>
              <a:lumOff val="35000"/>
            </a:schemeClr>
          </a:solidFill>
          <a:ln w="19050">
            <a:solidFill>
              <a:schemeClr val="lt1"/>
            </a:solidFill>
          </a:ln>
          <a:effectLst>
            <a:innerShdw blurRad="114300">
              <a:schemeClr val="accent1"/>
            </a:innerShdw>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tx1">
              <a:lumMod val="65000"/>
              <a:lumOff val="35000"/>
            </a:schemeClr>
          </a:solidFill>
          <a:ln w="19050">
            <a:solidFill>
              <a:schemeClr val="lt1"/>
            </a:solidFill>
          </a:ln>
          <a:effectLst>
            <a:innerShdw blurRad="114300">
              <a:schemeClr val="accent1"/>
            </a:innerShdw>
          </a:effectLst>
        </c:spPr>
        <c:dLbl>
          <c:idx val="0"/>
          <c:layout>
            <c:manualLayout>
              <c:x val="2.7777777777777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tx1">
              <a:lumMod val="65000"/>
              <a:lumOff val="35000"/>
            </a:schemeClr>
          </a:solidFill>
          <a:ln w="19050">
            <a:solidFill>
              <a:schemeClr val="lt1"/>
            </a:solidFill>
          </a:ln>
          <a:effectLst>
            <a:innerShdw blurRad="114300">
              <a:schemeClr val="accent1"/>
            </a:innerShdw>
          </a:effectLst>
        </c:spPr>
      </c:pivotFmt>
      <c:pivotFmt>
        <c:idx val="86"/>
        <c:spPr>
          <a:solidFill>
            <a:schemeClr val="tx1">
              <a:lumMod val="65000"/>
              <a:lumOff val="35000"/>
            </a:schemeClr>
          </a:solidFill>
          <a:ln w="19050">
            <a:solidFill>
              <a:schemeClr val="lt1"/>
            </a:solidFill>
          </a:ln>
          <a:effectLst>
            <a:innerShdw blurRad="114300">
              <a:schemeClr val="accent1"/>
            </a:innerShdw>
          </a:effectLst>
        </c:spPr>
      </c:pivotFmt>
      <c:pivotFmt>
        <c:idx val="87"/>
        <c:spPr>
          <a:solidFill>
            <a:schemeClr val="tx1">
              <a:lumMod val="65000"/>
              <a:lumOff val="35000"/>
            </a:schemeClr>
          </a:solidFill>
          <a:ln w="19050">
            <a:solidFill>
              <a:schemeClr val="lt1"/>
            </a:solidFill>
          </a:ln>
          <a:effectLst>
            <a:innerShdw blurRad="114300">
              <a:schemeClr val="accent1"/>
            </a:innerShdw>
          </a:effectLst>
        </c:spPr>
      </c:pivotFmt>
      <c:pivotFmt>
        <c:idx val="88"/>
        <c:spPr>
          <a:solidFill>
            <a:schemeClr val="tx1">
              <a:lumMod val="65000"/>
              <a:lumOff val="35000"/>
            </a:schemeClr>
          </a:solidFill>
          <a:ln w="19050">
            <a:solidFill>
              <a:schemeClr val="lt1"/>
            </a:solidFill>
          </a:ln>
          <a:effectLst>
            <a:innerShdw blurRad="114300">
              <a:schemeClr val="accent1"/>
            </a:innerShdw>
          </a:effectLst>
        </c:spPr>
      </c:pivotFmt>
      <c:pivotFmt>
        <c:idx val="89"/>
        <c:spPr>
          <a:solidFill>
            <a:schemeClr val="tx1">
              <a:lumMod val="65000"/>
              <a:lumOff val="35000"/>
            </a:schemeClr>
          </a:solidFill>
          <a:ln w="19050">
            <a:solidFill>
              <a:schemeClr val="lt1"/>
            </a:solidFill>
          </a:ln>
          <a:effectLst>
            <a:innerShdw blurRad="114300">
              <a:schemeClr val="accent1"/>
            </a:innerShdw>
          </a:effectLst>
        </c:spPr>
      </c:pivotFmt>
      <c:pivotFmt>
        <c:idx val="90"/>
        <c:spPr>
          <a:solidFill>
            <a:schemeClr val="tx1">
              <a:lumMod val="65000"/>
              <a:lumOff val="35000"/>
            </a:schemeClr>
          </a:solidFill>
          <a:ln w="19050">
            <a:solidFill>
              <a:schemeClr val="lt1"/>
            </a:solidFill>
          </a:ln>
          <a:effectLst>
            <a:innerShdw blurRad="114300">
              <a:schemeClr val="accent1"/>
            </a:innerShdw>
          </a:effectLst>
        </c:spPr>
      </c:pivotFmt>
      <c:pivotFmt>
        <c:idx val="91"/>
        <c:spPr>
          <a:solidFill>
            <a:schemeClr val="tx1">
              <a:lumMod val="65000"/>
              <a:lumOff val="35000"/>
            </a:schemeClr>
          </a:solidFill>
          <a:ln w="19050">
            <a:solidFill>
              <a:schemeClr val="lt1"/>
            </a:solidFill>
          </a:ln>
          <a:effectLst>
            <a:innerShdw blurRad="114300">
              <a:schemeClr val="accent1"/>
            </a:innerShdw>
          </a:effectLst>
        </c:spPr>
      </c:pivotFmt>
      <c:pivotFmt>
        <c:idx val="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27231802274715661"/>
          <c:y val="0.17913574442314104"/>
          <c:w val="0.65766819772528429"/>
          <c:h val="0.65961613051549517"/>
        </c:manualLayout>
      </c:layout>
      <c:barChart>
        <c:barDir val="bar"/>
        <c:grouping val="clustered"/>
        <c:varyColors val="0"/>
        <c:ser>
          <c:idx val="0"/>
          <c:order val="0"/>
          <c:tx>
            <c:strRef>
              <c:f>'Pivot Table'!$M$1</c:f>
              <c:strCache>
                <c:ptCount val="1"/>
                <c:pt idx="0">
                  <c:v>Total</c:v>
                </c:pt>
              </c:strCache>
            </c:strRef>
          </c:tx>
          <c:spPr>
            <a:solidFill>
              <a:schemeClr val="tx1">
                <a:lumMod val="65000"/>
                <a:lumOff val="35000"/>
              </a:schemeClr>
            </a:solidFill>
            <a:ln w="19050">
              <a:solidFill>
                <a:schemeClr val="lt1"/>
              </a:solidFill>
            </a:ln>
            <a:effectLst>
              <a:innerShdw blurRad="114300">
                <a:schemeClr val="accent1"/>
              </a:innerShdw>
            </a:effectLst>
          </c:spPr>
          <c:invertIfNegative val="0"/>
          <c:dPt>
            <c:idx val="0"/>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1-35E3-4713-B59D-5B0E54B974B1}"/>
              </c:ext>
            </c:extLst>
          </c:dPt>
          <c:dPt>
            <c:idx val="1"/>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3-35E3-4713-B59D-5B0E54B974B1}"/>
              </c:ext>
            </c:extLst>
          </c:dPt>
          <c:dPt>
            <c:idx val="2"/>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5-35E3-4713-B59D-5B0E54B974B1}"/>
              </c:ext>
            </c:extLst>
          </c:dPt>
          <c:dPt>
            <c:idx val="3"/>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7-35E3-4713-B59D-5B0E54B974B1}"/>
              </c:ext>
            </c:extLst>
          </c:dPt>
          <c:dPt>
            <c:idx val="4"/>
            <c:invertIfNegative val="0"/>
            <c:bubble3D val="0"/>
            <c:extLst>
              <c:ext xmlns:c16="http://schemas.microsoft.com/office/drawing/2014/chart" uri="{C3380CC4-5D6E-409C-BE32-E72D297353CC}">
                <c16:uniqueId val="{00000009-35E3-4713-B59D-5B0E54B974B1}"/>
              </c:ext>
            </c:extLst>
          </c:dPt>
          <c:dPt>
            <c:idx val="5"/>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B-35E3-4713-B59D-5B0E54B974B1}"/>
              </c:ext>
            </c:extLst>
          </c:dPt>
          <c:dPt>
            <c:idx val="6"/>
            <c:invertIfNegative val="0"/>
            <c:bubble3D val="0"/>
            <c:extLst>
              <c:ext xmlns:c16="http://schemas.microsoft.com/office/drawing/2014/chart" uri="{C3380CC4-5D6E-409C-BE32-E72D297353CC}">
                <c16:uniqueId val="{0000000D-35E3-4713-B59D-5B0E54B974B1}"/>
              </c:ext>
            </c:extLst>
          </c:dPt>
          <c:dPt>
            <c:idx val="7"/>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F-35E3-4713-B59D-5B0E54B974B1}"/>
              </c:ext>
            </c:extLst>
          </c:dPt>
          <c:dPt>
            <c:idx val="8"/>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11-35E3-4713-B59D-5B0E54B974B1}"/>
              </c:ext>
            </c:extLst>
          </c:dPt>
          <c:dPt>
            <c:idx val="9"/>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13-35E3-4713-B59D-5B0E54B974B1}"/>
              </c:ext>
            </c:extLst>
          </c:dPt>
          <c:dPt>
            <c:idx val="10"/>
            <c:invertIfNegative val="0"/>
            <c:bubble3D val="0"/>
            <c:extLst>
              <c:ext xmlns:c16="http://schemas.microsoft.com/office/drawing/2014/chart" uri="{C3380CC4-5D6E-409C-BE32-E72D297353CC}">
                <c16:uniqueId val="{00000015-35E3-4713-B59D-5B0E54B974B1}"/>
              </c:ext>
            </c:extLst>
          </c:dPt>
          <c:dPt>
            <c:idx val="11"/>
            <c:invertIfNegative val="0"/>
            <c:bubble3D val="0"/>
            <c:extLst>
              <c:ext xmlns:c16="http://schemas.microsoft.com/office/drawing/2014/chart" uri="{C3380CC4-5D6E-409C-BE32-E72D297353CC}">
                <c16:uniqueId val="{00000017-35E3-4713-B59D-5B0E54B974B1}"/>
              </c:ext>
            </c:extLst>
          </c:dPt>
          <c:dPt>
            <c:idx val="12"/>
            <c:invertIfNegative val="0"/>
            <c:bubble3D val="0"/>
            <c:extLst>
              <c:ext xmlns:c16="http://schemas.microsoft.com/office/drawing/2014/chart" uri="{C3380CC4-5D6E-409C-BE32-E72D297353CC}">
                <c16:uniqueId val="{00000019-35E3-4713-B59D-5B0E54B974B1}"/>
              </c:ext>
            </c:extLst>
          </c:dPt>
          <c:dPt>
            <c:idx val="13"/>
            <c:invertIfNegative val="0"/>
            <c:bubble3D val="0"/>
            <c:extLst>
              <c:ext xmlns:c16="http://schemas.microsoft.com/office/drawing/2014/chart" uri="{C3380CC4-5D6E-409C-BE32-E72D297353CC}">
                <c16:uniqueId val="{0000001B-35E3-4713-B59D-5B0E54B974B1}"/>
              </c:ext>
            </c:extLst>
          </c:dPt>
          <c:dPt>
            <c:idx val="14"/>
            <c:invertIfNegative val="0"/>
            <c:bubble3D val="0"/>
            <c:extLst>
              <c:ext xmlns:c16="http://schemas.microsoft.com/office/drawing/2014/chart" uri="{C3380CC4-5D6E-409C-BE32-E72D297353CC}">
                <c16:uniqueId val="{0000001D-35E3-4713-B59D-5B0E54B974B1}"/>
              </c:ext>
            </c:extLst>
          </c:dPt>
          <c:dPt>
            <c:idx val="15"/>
            <c:invertIfNegative val="0"/>
            <c:bubble3D val="0"/>
            <c:extLst>
              <c:ext xmlns:c16="http://schemas.microsoft.com/office/drawing/2014/chart" uri="{C3380CC4-5D6E-409C-BE32-E72D297353CC}">
                <c16:uniqueId val="{0000001F-35E3-4713-B59D-5B0E54B974B1}"/>
              </c:ext>
            </c:extLst>
          </c:dPt>
          <c:dPt>
            <c:idx val="16"/>
            <c:invertIfNegative val="0"/>
            <c:bubble3D val="0"/>
            <c:extLst>
              <c:ext xmlns:c16="http://schemas.microsoft.com/office/drawing/2014/chart" uri="{C3380CC4-5D6E-409C-BE32-E72D297353CC}">
                <c16:uniqueId val="{00000021-35E3-4713-B59D-5B0E54B974B1}"/>
              </c:ext>
            </c:extLst>
          </c:dPt>
          <c:dPt>
            <c:idx val="17"/>
            <c:invertIfNegative val="0"/>
            <c:bubble3D val="0"/>
            <c:extLst>
              <c:ext xmlns:c16="http://schemas.microsoft.com/office/drawing/2014/chart" uri="{C3380CC4-5D6E-409C-BE32-E72D297353CC}">
                <c16:uniqueId val="{00000023-35E3-4713-B59D-5B0E54B974B1}"/>
              </c:ext>
            </c:extLst>
          </c:dPt>
          <c:dPt>
            <c:idx val="18"/>
            <c:invertIfNegative val="0"/>
            <c:bubble3D val="0"/>
            <c:extLst>
              <c:ext xmlns:c16="http://schemas.microsoft.com/office/drawing/2014/chart" uri="{C3380CC4-5D6E-409C-BE32-E72D297353CC}">
                <c16:uniqueId val="{00000025-35E3-4713-B59D-5B0E54B974B1}"/>
              </c:ext>
            </c:extLst>
          </c:dPt>
          <c:dPt>
            <c:idx val="19"/>
            <c:invertIfNegative val="0"/>
            <c:bubble3D val="0"/>
            <c:extLst>
              <c:ext xmlns:c16="http://schemas.microsoft.com/office/drawing/2014/chart" uri="{C3380CC4-5D6E-409C-BE32-E72D297353CC}">
                <c16:uniqueId val="{00000027-35E3-4713-B59D-5B0E54B974B1}"/>
              </c:ext>
            </c:extLst>
          </c:dPt>
          <c:dPt>
            <c:idx val="20"/>
            <c:invertIfNegative val="0"/>
            <c:bubble3D val="0"/>
            <c:extLst>
              <c:ext xmlns:c16="http://schemas.microsoft.com/office/drawing/2014/chart" uri="{C3380CC4-5D6E-409C-BE32-E72D297353CC}">
                <c16:uniqueId val="{00000029-35E3-4713-B59D-5B0E54B974B1}"/>
              </c:ext>
            </c:extLst>
          </c:dPt>
          <c:dPt>
            <c:idx val="21"/>
            <c:invertIfNegative val="0"/>
            <c:bubble3D val="0"/>
            <c:extLst>
              <c:ext xmlns:c16="http://schemas.microsoft.com/office/drawing/2014/chart" uri="{C3380CC4-5D6E-409C-BE32-E72D297353CC}">
                <c16:uniqueId val="{0000002B-35E3-4713-B59D-5B0E54B974B1}"/>
              </c:ext>
            </c:extLst>
          </c:dPt>
          <c:dPt>
            <c:idx val="22"/>
            <c:invertIfNegative val="0"/>
            <c:bubble3D val="0"/>
            <c:extLst>
              <c:ext xmlns:c16="http://schemas.microsoft.com/office/drawing/2014/chart" uri="{C3380CC4-5D6E-409C-BE32-E72D297353CC}">
                <c16:uniqueId val="{0000002D-35E3-4713-B59D-5B0E54B974B1}"/>
              </c:ext>
            </c:extLst>
          </c:dPt>
          <c:dPt>
            <c:idx val="23"/>
            <c:invertIfNegative val="0"/>
            <c:bubble3D val="0"/>
            <c:extLst>
              <c:ext xmlns:c16="http://schemas.microsoft.com/office/drawing/2014/chart" uri="{C3380CC4-5D6E-409C-BE32-E72D297353CC}">
                <c16:uniqueId val="{0000002F-35E3-4713-B59D-5B0E54B974B1}"/>
              </c:ext>
            </c:extLst>
          </c:dPt>
          <c:dPt>
            <c:idx val="24"/>
            <c:invertIfNegative val="0"/>
            <c:bubble3D val="0"/>
            <c:extLst>
              <c:ext xmlns:c16="http://schemas.microsoft.com/office/drawing/2014/chart" uri="{C3380CC4-5D6E-409C-BE32-E72D297353CC}">
                <c16:uniqueId val="{00000031-35E3-4713-B59D-5B0E54B974B1}"/>
              </c:ext>
            </c:extLst>
          </c:dPt>
          <c:dPt>
            <c:idx val="25"/>
            <c:invertIfNegative val="0"/>
            <c:bubble3D val="0"/>
            <c:extLst>
              <c:ext xmlns:c16="http://schemas.microsoft.com/office/drawing/2014/chart" uri="{C3380CC4-5D6E-409C-BE32-E72D297353CC}">
                <c16:uniqueId val="{00000033-35E3-4713-B59D-5B0E54B974B1}"/>
              </c:ext>
            </c:extLst>
          </c:dPt>
          <c:dPt>
            <c:idx val="26"/>
            <c:invertIfNegative val="0"/>
            <c:bubble3D val="0"/>
            <c:extLst>
              <c:ext xmlns:c16="http://schemas.microsoft.com/office/drawing/2014/chart" uri="{C3380CC4-5D6E-409C-BE32-E72D297353CC}">
                <c16:uniqueId val="{00000035-35E3-4713-B59D-5B0E54B974B1}"/>
              </c:ext>
            </c:extLst>
          </c:dPt>
          <c:dPt>
            <c:idx val="27"/>
            <c:invertIfNegative val="0"/>
            <c:bubble3D val="0"/>
            <c:extLst>
              <c:ext xmlns:c16="http://schemas.microsoft.com/office/drawing/2014/chart" uri="{C3380CC4-5D6E-409C-BE32-E72D297353CC}">
                <c16:uniqueId val="{00000037-35E3-4713-B59D-5B0E54B974B1}"/>
              </c:ext>
            </c:extLst>
          </c:dPt>
          <c:dPt>
            <c:idx val="28"/>
            <c:invertIfNegative val="0"/>
            <c:bubble3D val="0"/>
            <c:extLst>
              <c:ext xmlns:c16="http://schemas.microsoft.com/office/drawing/2014/chart" uri="{C3380CC4-5D6E-409C-BE32-E72D297353CC}">
                <c16:uniqueId val="{00000039-35E3-4713-B59D-5B0E54B974B1}"/>
              </c:ext>
            </c:extLst>
          </c:dPt>
          <c:dPt>
            <c:idx val="29"/>
            <c:invertIfNegative val="0"/>
            <c:bubble3D val="0"/>
            <c:extLst>
              <c:ext xmlns:c16="http://schemas.microsoft.com/office/drawing/2014/chart" uri="{C3380CC4-5D6E-409C-BE32-E72D297353CC}">
                <c16:uniqueId val="{0000003B-35E3-4713-B59D-5B0E54B974B1}"/>
              </c:ext>
            </c:extLst>
          </c:dPt>
          <c:dPt>
            <c:idx val="30"/>
            <c:invertIfNegative val="0"/>
            <c:bubble3D val="0"/>
            <c:extLst>
              <c:ext xmlns:c16="http://schemas.microsoft.com/office/drawing/2014/chart" uri="{C3380CC4-5D6E-409C-BE32-E72D297353CC}">
                <c16:uniqueId val="{0000003D-35E3-4713-B59D-5B0E54B974B1}"/>
              </c:ext>
            </c:extLst>
          </c:dPt>
          <c:dPt>
            <c:idx val="31"/>
            <c:invertIfNegative val="0"/>
            <c:bubble3D val="0"/>
            <c:extLst>
              <c:ext xmlns:c16="http://schemas.microsoft.com/office/drawing/2014/chart" uri="{C3380CC4-5D6E-409C-BE32-E72D297353CC}">
                <c16:uniqueId val="{0000003F-35E3-4713-B59D-5B0E54B974B1}"/>
              </c:ext>
            </c:extLst>
          </c:dPt>
          <c:dPt>
            <c:idx val="32"/>
            <c:invertIfNegative val="0"/>
            <c:bubble3D val="0"/>
            <c:extLst>
              <c:ext xmlns:c16="http://schemas.microsoft.com/office/drawing/2014/chart" uri="{C3380CC4-5D6E-409C-BE32-E72D297353CC}">
                <c16:uniqueId val="{00000041-35E3-4713-B59D-5B0E54B974B1}"/>
              </c:ext>
            </c:extLst>
          </c:dPt>
          <c:dPt>
            <c:idx val="33"/>
            <c:invertIfNegative val="0"/>
            <c:bubble3D val="0"/>
            <c:extLst>
              <c:ext xmlns:c16="http://schemas.microsoft.com/office/drawing/2014/chart" uri="{C3380CC4-5D6E-409C-BE32-E72D297353CC}">
                <c16:uniqueId val="{00000043-35E3-4713-B59D-5B0E54B974B1}"/>
              </c:ext>
            </c:extLst>
          </c:dPt>
          <c:dPt>
            <c:idx val="34"/>
            <c:invertIfNegative val="0"/>
            <c:bubble3D val="0"/>
            <c:extLst>
              <c:ext xmlns:c16="http://schemas.microsoft.com/office/drawing/2014/chart" uri="{C3380CC4-5D6E-409C-BE32-E72D297353CC}">
                <c16:uniqueId val="{00000045-35E3-4713-B59D-5B0E54B974B1}"/>
              </c:ext>
            </c:extLst>
          </c:dPt>
          <c:dPt>
            <c:idx val="35"/>
            <c:invertIfNegative val="0"/>
            <c:bubble3D val="0"/>
            <c:extLst>
              <c:ext xmlns:c16="http://schemas.microsoft.com/office/drawing/2014/chart" uri="{C3380CC4-5D6E-409C-BE32-E72D297353CC}">
                <c16:uniqueId val="{00000047-35E3-4713-B59D-5B0E54B974B1}"/>
              </c:ext>
            </c:extLst>
          </c:dPt>
          <c:dPt>
            <c:idx val="36"/>
            <c:invertIfNegative val="0"/>
            <c:bubble3D val="0"/>
            <c:extLst>
              <c:ext xmlns:c16="http://schemas.microsoft.com/office/drawing/2014/chart" uri="{C3380CC4-5D6E-409C-BE32-E72D297353CC}">
                <c16:uniqueId val="{00000049-35E3-4713-B59D-5B0E54B974B1}"/>
              </c:ext>
            </c:extLst>
          </c:dPt>
          <c:dPt>
            <c:idx val="37"/>
            <c:invertIfNegative val="0"/>
            <c:bubble3D val="0"/>
            <c:extLst>
              <c:ext xmlns:c16="http://schemas.microsoft.com/office/drawing/2014/chart" uri="{C3380CC4-5D6E-409C-BE32-E72D297353CC}">
                <c16:uniqueId val="{0000004B-35E3-4713-B59D-5B0E54B974B1}"/>
              </c:ext>
            </c:extLst>
          </c:dPt>
          <c:dPt>
            <c:idx val="38"/>
            <c:invertIfNegative val="0"/>
            <c:bubble3D val="0"/>
            <c:extLst>
              <c:ext xmlns:c16="http://schemas.microsoft.com/office/drawing/2014/chart" uri="{C3380CC4-5D6E-409C-BE32-E72D297353CC}">
                <c16:uniqueId val="{0000004D-35E3-4713-B59D-5B0E54B974B1}"/>
              </c:ext>
            </c:extLst>
          </c:dPt>
          <c:dPt>
            <c:idx val="39"/>
            <c:invertIfNegative val="0"/>
            <c:bubble3D val="0"/>
            <c:extLst>
              <c:ext xmlns:c16="http://schemas.microsoft.com/office/drawing/2014/chart" uri="{C3380CC4-5D6E-409C-BE32-E72D297353CC}">
                <c16:uniqueId val="{0000004F-35E3-4713-B59D-5B0E54B974B1}"/>
              </c:ext>
            </c:extLst>
          </c:dPt>
          <c:dPt>
            <c:idx val="40"/>
            <c:invertIfNegative val="0"/>
            <c:bubble3D val="0"/>
            <c:extLst>
              <c:ext xmlns:c16="http://schemas.microsoft.com/office/drawing/2014/chart" uri="{C3380CC4-5D6E-409C-BE32-E72D297353CC}">
                <c16:uniqueId val="{00000051-35E3-4713-B59D-5B0E54B974B1}"/>
              </c:ext>
            </c:extLst>
          </c:dPt>
          <c:dPt>
            <c:idx val="41"/>
            <c:invertIfNegative val="0"/>
            <c:bubble3D val="0"/>
            <c:extLst>
              <c:ext xmlns:c16="http://schemas.microsoft.com/office/drawing/2014/chart" uri="{C3380CC4-5D6E-409C-BE32-E72D297353CC}">
                <c16:uniqueId val="{00000053-35E3-4713-B59D-5B0E54B974B1}"/>
              </c:ext>
            </c:extLst>
          </c:dPt>
          <c:dPt>
            <c:idx val="42"/>
            <c:invertIfNegative val="0"/>
            <c:bubble3D val="0"/>
            <c:extLst>
              <c:ext xmlns:c16="http://schemas.microsoft.com/office/drawing/2014/chart" uri="{C3380CC4-5D6E-409C-BE32-E72D297353CC}">
                <c16:uniqueId val="{00000055-35E3-4713-B59D-5B0E54B974B1}"/>
              </c:ext>
            </c:extLst>
          </c:dPt>
          <c:dPt>
            <c:idx val="43"/>
            <c:invertIfNegative val="0"/>
            <c:bubble3D val="0"/>
            <c:extLst>
              <c:ext xmlns:c16="http://schemas.microsoft.com/office/drawing/2014/chart" uri="{C3380CC4-5D6E-409C-BE32-E72D297353CC}">
                <c16:uniqueId val="{00000057-35E3-4713-B59D-5B0E54B974B1}"/>
              </c:ext>
            </c:extLst>
          </c:dPt>
          <c:dPt>
            <c:idx val="44"/>
            <c:invertIfNegative val="0"/>
            <c:bubble3D val="0"/>
            <c:extLst>
              <c:ext xmlns:c16="http://schemas.microsoft.com/office/drawing/2014/chart" uri="{C3380CC4-5D6E-409C-BE32-E72D297353CC}">
                <c16:uniqueId val="{00000059-35E3-4713-B59D-5B0E54B974B1}"/>
              </c:ext>
            </c:extLst>
          </c:dPt>
          <c:dPt>
            <c:idx val="45"/>
            <c:invertIfNegative val="0"/>
            <c:bubble3D val="0"/>
            <c:extLst>
              <c:ext xmlns:c16="http://schemas.microsoft.com/office/drawing/2014/chart" uri="{C3380CC4-5D6E-409C-BE32-E72D297353CC}">
                <c16:uniqueId val="{0000005B-35E3-4713-B59D-5B0E54B974B1}"/>
              </c:ext>
            </c:extLst>
          </c:dPt>
          <c:dPt>
            <c:idx val="46"/>
            <c:invertIfNegative val="0"/>
            <c:bubble3D val="0"/>
            <c:extLst>
              <c:ext xmlns:c16="http://schemas.microsoft.com/office/drawing/2014/chart" uri="{C3380CC4-5D6E-409C-BE32-E72D297353CC}">
                <c16:uniqueId val="{0000005D-35E3-4713-B59D-5B0E54B974B1}"/>
              </c:ext>
            </c:extLst>
          </c:dPt>
          <c:dPt>
            <c:idx val="47"/>
            <c:invertIfNegative val="0"/>
            <c:bubble3D val="0"/>
            <c:extLst>
              <c:ext xmlns:c16="http://schemas.microsoft.com/office/drawing/2014/chart" uri="{C3380CC4-5D6E-409C-BE32-E72D297353CC}">
                <c16:uniqueId val="{0000005F-35E3-4713-B59D-5B0E54B974B1}"/>
              </c:ext>
            </c:extLst>
          </c:dPt>
          <c:dPt>
            <c:idx val="48"/>
            <c:invertIfNegative val="0"/>
            <c:bubble3D val="0"/>
            <c:extLst>
              <c:ext xmlns:c16="http://schemas.microsoft.com/office/drawing/2014/chart" uri="{C3380CC4-5D6E-409C-BE32-E72D297353CC}">
                <c16:uniqueId val="{00000061-35E3-4713-B59D-5B0E54B974B1}"/>
              </c:ext>
            </c:extLst>
          </c:dPt>
          <c:dPt>
            <c:idx val="49"/>
            <c:invertIfNegative val="0"/>
            <c:bubble3D val="0"/>
            <c:extLst>
              <c:ext xmlns:c16="http://schemas.microsoft.com/office/drawing/2014/chart" uri="{C3380CC4-5D6E-409C-BE32-E72D297353CC}">
                <c16:uniqueId val="{00000063-35E3-4713-B59D-5B0E54B974B1}"/>
              </c:ext>
            </c:extLst>
          </c:dPt>
          <c:dPt>
            <c:idx val="50"/>
            <c:invertIfNegative val="0"/>
            <c:bubble3D val="0"/>
            <c:extLst>
              <c:ext xmlns:c16="http://schemas.microsoft.com/office/drawing/2014/chart" uri="{C3380CC4-5D6E-409C-BE32-E72D297353CC}">
                <c16:uniqueId val="{00000065-35E3-4713-B59D-5B0E54B974B1}"/>
              </c:ext>
            </c:extLst>
          </c:dPt>
          <c:dPt>
            <c:idx val="51"/>
            <c:invertIfNegative val="0"/>
            <c:bubble3D val="0"/>
            <c:extLst>
              <c:ext xmlns:c16="http://schemas.microsoft.com/office/drawing/2014/chart" uri="{C3380CC4-5D6E-409C-BE32-E72D297353CC}">
                <c16:uniqueId val="{00000067-35E3-4713-B59D-5B0E54B974B1}"/>
              </c:ext>
            </c:extLst>
          </c:dPt>
          <c:dPt>
            <c:idx val="52"/>
            <c:invertIfNegative val="0"/>
            <c:bubble3D val="0"/>
            <c:extLst>
              <c:ext xmlns:c16="http://schemas.microsoft.com/office/drawing/2014/chart" uri="{C3380CC4-5D6E-409C-BE32-E72D297353CC}">
                <c16:uniqueId val="{00000069-35E3-4713-B59D-5B0E54B974B1}"/>
              </c:ext>
            </c:extLst>
          </c:dPt>
          <c:dPt>
            <c:idx val="53"/>
            <c:invertIfNegative val="0"/>
            <c:bubble3D val="0"/>
            <c:extLst>
              <c:ext xmlns:c16="http://schemas.microsoft.com/office/drawing/2014/chart" uri="{C3380CC4-5D6E-409C-BE32-E72D297353CC}">
                <c16:uniqueId val="{0000006B-35E3-4713-B59D-5B0E54B974B1}"/>
              </c:ext>
            </c:extLst>
          </c:dPt>
          <c:dPt>
            <c:idx val="54"/>
            <c:invertIfNegative val="0"/>
            <c:bubble3D val="0"/>
            <c:extLst>
              <c:ext xmlns:c16="http://schemas.microsoft.com/office/drawing/2014/chart" uri="{C3380CC4-5D6E-409C-BE32-E72D297353CC}">
                <c16:uniqueId val="{0000006D-35E3-4713-B59D-5B0E54B974B1}"/>
              </c:ext>
            </c:extLst>
          </c:dPt>
          <c:dPt>
            <c:idx val="55"/>
            <c:invertIfNegative val="0"/>
            <c:bubble3D val="0"/>
            <c:extLst>
              <c:ext xmlns:c16="http://schemas.microsoft.com/office/drawing/2014/chart" uri="{C3380CC4-5D6E-409C-BE32-E72D297353CC}">
                <c16:uniqueId val="{0000006F-35E3-4713-B59D-5B0E54B974B1}"/>
              </c:ext>
            </c:extLst>
          </c:dPt>
          <c:dPt>
            <c:idx val="56"/>
            <c:invertIfNegative val="0"/>
            <c:bubble3D val="0"/>
            <c:extLst>
              <c:ext xmlns:c16="http://schemas.microsoft.com/office/drawing/2014/chart" uri="{C3380CC4-5D6E-409C-BE32-E72D297353CC}">
                <c16:uniqueId val="{00000071-35E3-4713-B59D-5B0E54B974B1}"/>
              </c:ext>
            </c:extLst>
          </c:dPt>
          <c:dPt>
            <c:idx val="57"/>
            <c:invertIfNegative val="0"/>
            <c:bubble3D val="0"/>
            <c:extLst>
              <c:ext xmlns:c16="http://schemas.microsoft.com/office/drawing/2014/chart" uri="{C3380CC4-5D6E-409C-BE32-E72D297353CC}">
                <c16:uniqueId val="{00000073-35E3-4713-B59D-5B0E54B974B1}"/>
              </c:ext>
            </c:extLst>
          </c:dPt>
          <c:dPt>
            <c:idx val="58"/>
            <c:invertIfNegative val="0"/>
            <c:bubble3D val="0"/>
            <c:extLst>
              <c:ext xmlns:c16="http://schemas.microsoft.com/office/drawing/2014/chart" uri="{C3380CC4-5D6E-409C-BE32-E72D297353CC}">
                <c16:uniqueId val="{00000075-35E3-4713-B59D-5B0E54B974B1}"/>
              </c:ext>
            </c:extLst>
          </c:dPt>
          <c:dPt>
            <c:idx val="59"/>
            <c:invertIfNegative val="0"/>
            <c:bubble3D val="0"/>
            <c:extLst>
              <c:ext xmlns:c16="http://schemas.microsoft.com/office/drawing/2014/chart" uri="{C3380CC4-5D6E-409C-BE32-E72D297353CC}">
                <c16:uniqueId val="{00000077-35E3-4713-B59D-5B0E54B974B1}"/>
              </c:ext>
            </c:extLst>
          </c:dPt>
          <c:dPt>
            <c:idx val="60"/>
            <c:invertIfNegative val="0"/>
            <c:bubble3D val="0"/>
            <c:extLst>
              <c:ext xmlns:c16="http://schemas.microsoft.com/office/drawing/2014/chart" uri="{C3380CC4-5D6E-409C-BE32-E72D297353CC}">
                <c16:uniqueId val="{00000079-35E3-4713-B59D-5B0E54B974B1}"/>
              </c:ext>
            </c:extLst>
          </c:dPt>
          <c:dPt>
            <c:idx val="61"/>
            <c:invertIfNegative val="0"/>
            <c:bubble3D val="0"/>
            <c:extLst>
              <c:ext xmlns:c16="http://schemas.microsoft.com/office/drawing/2014/chart" uri="{C3380CC4-5D6E-409C-BE32-E72D297353CC}">
                <c16:uniqueId val="{0000007B-35E3-4713-B59D-5B0E54B974B1}"/>
              </c:ext>
            </c:extLst>
          </c:dPt>
          <c:dPt>
            <c:idx val="62"/>
            <c:invertIfNegative val="0"/>
            <c:bubble3D val="0"/>
            <c:extLst>
              <c:ext xmlns:c16="http://schemas.microsoft.com/office/drawing/2014/chart" uri="{C3380CC4-5D6E-409C-BE32-E72D297353CC}">
                <c16:uniqueId val="{0000007D-35E3-4713-B59D-5B0E54B974B1}"/>
              </c:ext>
            </c:extLst>
          </c:dPt>
          <c:dPt>
            <c:idx val="63"/>
            <c:invertIfNegative val="0"/>
            <c:bubble3D val="0"/>
            <c:extLst>
              <c:ext xmlns:c16="http://schemas.microsoft.com/office/drawing/2014/chart" uri="{C3380CC4-5D6E-409C-BE32-E72D297353CC}">
                <c16:uniqueId val="{0000007F-35E3-4713-B59D-5B0E54B974B1}"/>
              </c:ext>
            </c:extLst>
          </c:dPt>
          <c:dPt>
            <c:idx val="64"/>
            <c:invertIfNegative val="0"/>
            <c:bubble3D val="0"/>
            <c:extLst>
              <c:ext xmlns:c16="http://schemas.microsoft.com/office/drawing/2014/chart" uri="{C3380CC4-5D6E-409C-BE32-E72D297353CC}">
                <c16:uniqueId val="{00000081-35E3-4713-B59D-5B0E54B974B1}"/>
              </c:ext>
            </c:extLst>
          </c:dPt>
          <c:dPt>
            <c:idx val="65"/>
            <c:invertIfNegative val="0"/>
            <c:bubble3D val="0"/>
            <c:extLst>
              <c:ext xmlns:c16="http://schemas.microsoft.com/office/drawing/2014/chart" uri="{C3380CC4-5D6E-409C-BE32-E72D297353CC}">
                <c16:uniqueId val="{00000083-35E3-4713-B59D-5B0E54B974B1}"/>
              </c:ext>
            </c:extLst>
          </c:dPt>
          <c:dPt>
            <c:idx val="66"/>
            <c:invertIfNegative val="0"/>
            <c:bubble3D val="0"/>
            <c:extLst>
              <c:ext xmlns:c16="http://schemas.microsoft.com/office/drawing/2014/chart" uri="{C3380CC4-5D6E-409C-BE32-E72D297353CC}">
                <c16:uniqueId val="{00000085-35E3-4713-B59D-5B0E54B974B1}"/>
              </c:ext>
            </c:extLst>
          </c:dPt>
          <c:dPt>
            <c:idx val="67"/>
            <c:invertIfNegative val="0"/>
            <c:bubble3D val="0"/>
            <c:extLst>
              <c:ext xmlns:c16="http://schemas.microsoft.com/office/drawing/2014/chart" uri="{C3380CC4-5D6E-409C-BE32-E72D297353CC}">
                <c16:uniqueId val="{00000087-35E3-4713-B59D-5B0E54B974B1}"/>
              </c:ext>
            </c:extLst>
          </c:dPt>
          <c:dPt>
            <c:idx val="68"/>
            <c:invertIfNegative val="0"/>
            <c:bubble3D val="0"/>
            <c:extLst>
              <c:ext xmlns:c16="http://schemas.microsoft.com/office/drawing/2014/chart" uri="{C3380CC4-5D6E-409C-BE32-E72D297353CC}">
                <c16:uniqueId val="{00000089-35E3-4713-B59D-5B0E54B974B1}"/>
              </c:ext>
            </c:extLst>
          </c:dPt>
          <c:dPt>
            <c:idx val="69"/>
            <c:invertIfNegative val="0"/>
            <c:bubble3D val="0"/>
            <c:extLst>
              <c:ext xmlns:c16="http://schemas.microsoft.com/office/drawing/2014/chart" uri="{C3380CC4-5D6E-409C-BE32-E72D297353CC}">
                <c16:uniqueId val="{0000008B-35E3-4713-B59D-5B0E54B974B1}"/>
              </c:ext>
            </c:extLst>
          </c:dPt>
          <c:dPt>
            <c:idx val="70"/>
            <c:invertIfNegative val="0"/>
            <c:bubble3D val="0"/>
            <c:extLst>
              <c:ext xmlns:c16="http://schemas.microsoft.com/office/drawing/2014/chart" uri="{C3380CC4-5D6E-409C-BE32-E72D297353CC}">
                <c16:uniqueId val="{0000008D-35E3-4713-B59D-5B0E54B974B1}"/>
              </c:ext>
            </c:extLst>
          </c:dPt>
          <c:dPt>
            <c:idx val="71"/>
            <c:invertIfNegative val="0"/>
            <c:bubble3D val="0"/>
            <c:extLst>
              <c:ext xmlns:c16="http://schemas.microsoft.com/office/drawing/2014/chart" uri="{C3380CC4-5D6E-409C-BE32-E72D297353CC}">
                <c16:uniqueId val="{0000008F-35E3-4713-B59D-5B0E54B974B1}"/>
              </c:ext>
            </c:extLst>
          </c:dPt>
          <c:dPt>
            <c:idx val="72"/>
            <c:invertIfNegative val="0"/>
            <c:bubble3D val="0"/>
            <c:extLst>
              <c:ext xmlns:c16="http://schemas.microsoft.com/office/drawing/2014/chart" uri="{C3380CC4-5D6E-409C-BE32-E72D297353CC}">
                <c16:uniqueId val="{00000091-35E3-4713-B59D-5B0E54B974B1}"/>
              </c:ext>
            </c:extLst>
          </c:dPt>
          <c:dPt>
            <c:idx val="73"/>
            <c:invertIfNegative val="0"/>
            <c:bubble3D val="0"/>
            <c:extLst>
              <c:ext xmlns:c16="http://schemas.microsoft.com/office/drawing/2014/chart" uri="{C3380CC4-5D6E-409C-BE32-E72D297353CC}">
                <c16:uniqueId val="{00000093-35E3-4713-B59D-5B0E54B974B1}"/>
              </c:ext>
            </c:extLst>
          </c:dPt>
          <c:dPt>
            <c:idx val="74"/>
            <c:invertIfNegative val="0"/>
            <c:bubble3D val="0"/>
            <c:extLst>
              <c:ext xmlns:c16="http://schemas.microsoft.com/office/drawing/2014/chart" uri="{C3380CC4-5D6E-409C-BE32-E72D297353CC}">
                <c16:uniqueId val="{00000095-35E3-4713-B59D-5B0E54B974B1}"/>
              </c:ext>
            </c:extLst>
          </c:dPt>
          <c:dPt>
            <c:idx val="75"/>
            <c:invertIfNegative val="0"/>
            <c:bubble3D val="0"/>
            <c:extLst>
              <c:ext xmlns:c16="http://schemas.microsoft.com/office/drawing/2014/chart" uri="{C3380CC4-5D6E-409C-BE32-E72D297353CC}">
                <c16:uniqueId val="{00000097-35E3-4713-B59D-5B0E54B974B1}"/>
              </c:ext>
            </c:extLst>
          </c:dPt>
          <c:dPt>
            <c:idx val="76"/>
            <c:invertIfNegative val="0"/>
            <c:bubble3D val="0"/>
            <c:extLst>
              <c:ext xmlns:c16="http://schemas.microsoft.com/office/drawing/2014/chart" uri="{C3380CC4-5D6E-409C-BE32-E72D297353CC}">
                <c16:uniqueId val="{00000099-35E3-4713-B59D-5B0E54B974B1}"/>
              </c:ext>
            </c:extLst>
          </c:dPt>
          <c:dPt>
            <c:idx val="77"/>
            <c:invertIfNegative val="0"/>
            <c:bubble3D val="0"/>
            <c:extLst>
              <c:ext xmlns:c16="http://schemas.microsoft.com/office/drawing/2014/chart" uri="{C3380CC4-5D6E-409C-BE32-E72D297353CC}">
                <c16:uniqueId val="{0000009B-35E3-4713-B59D-5B0E54B974B1}"/>
              </c:ext>
            </c:extLst>
          </c:dPt>
          <c:dPt>
            <c:idx val="78"/>
            <c:invertIfNegative val="0"/>
            <c:bubble3D val="0"/>
            <c:extLst>
              <c:ext xmlns:c16="http://schemas.microsoft.com/office/drawing/2014/chart" uri="{C3380CC4-5D6E-409C-BE32-E72D297353CC}">
                <c16:uniqueId val="{0000009D-35E3-4713-B59D-5B0E54B974B1}"/>
              </c:ext>
            </c:extLst>
          </c:dPt>
          <c:dLbls>
            <c:dLbl>
              <c:idx val="7"/>
              <c:layout>
                <c:manualLayout>
                  <c:x val="2.777777777777772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5E3-4713-B59D-5B0E54B974B1}"/>
                </c:ext>
              </c:extLst>
            </c:dLbl>
            <c:dLbl>
              <c:idx val="8"/>
              <c:layout>
                <c:manualLayout>
                  <c:x val="1.388888888888888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5E3-4713-B59D-5B0E54B974B1}"/>
                </c:ext>
              </c:extLst>
            </c:dLbl>
            <c:dLbl>
              <c:idx val="9"/>
              <c:layout>
                <c:manualLayout>
                  <c:x val="-0.1361111111111112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5E3-4713-B59D-5B0E54B974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Table'!$L$2:$L$12</c:f>
              <c:strCache>
                <c:ptCount val="10"/>
                <c:pt idx="0">
                  <c:v>Canada</c:v>
                </c:pt>
                <c:pt idx="1">
                  <c:v>Hong Kong</c:v>
                </c:pt>
                <c:pt idx="2">
                  <c:v>Russia</c:v>
                </c:pt>
                <c:pt idx="3">
                  <c:v>United Kingdom</c:v>
                </c:pt>
                <c:pt idx="4">
                  <c:v>Switzerland</c:v>
                </c:pt>
                <c:pt idx="5">
                  <c:v>Germany</c:v>
                </c:pt>
                <c:pt idx="6">
                  <c:v>France</c:v>
                </c:pt>
                <c:pt idx="7">
                  <c:v>India</c:v>
                </c:pt>
                <c:pt idx="8">
                  <c:v>China</c:v>
                </c:pt>
                <c:pt idx="9">
                  <c:v>United States</c:v>
                </c:pt>
              </c:strCache>
            </c:strRef>
          </c:cat>
          <c:val>
            <c:numRef>
              <c:f>'Pivot Table'!$M$2:$M$12</c:f>
              <c:numCache>
                <c:formatCode>[$$-1009]#,##0</c:formatCode>
                <c:ptCount val="10"/>
                <c:pt idx="0">
                  <c:v>173900</c:v>
                </c:pt>
                <c:pt idx="1">
                  <c:v>321500</c:v>
                </c:pt>
                <c:pt idx="2">
                  <c:v>351000</c:v>
                </c:pt>
                <c:pt idx="3">
                  <c:v>370700</c:v>
                </c:pt>
                <c:pt idx="4">
                  <c:v>409900</c:v>
                </c:pt>
                <c:pt idx="5">
                  <c:v>462100</c:v>
                </c:pt>
                <c:pt idx="6">
                  <c:v>499500</c:v>
                </c:pt>
                <c:pt idx="7">
                  <c:v>628700</c:v>
                </c:pt>
                <c:pt idx="8">
                  <c:v>1805500</c:v>
                </c:pt>
                <c:pt idx="9">
                  <c:v>4575100</c:v>
                </c:pt>
              </c:numCache>
            </c:numRef>
          </c:val>
          <c:extLst>
            <c:ext xmlns:c16="http://schemas.microsoft.com/office/drawing/2014/chart" uri="{C3380CC4-5D6E-409C-BE32-E72D297353CC}">
              <c16:uniqueId val="{0000009E-35E3-4713-B59D-5B0E54B974B1}"/>
            </c:ext>
          </c:extLst>
        </c:ser>
        <c:dLbls>
          <c:dLblPos val="outEnd"/>
          <c:showLegendKey val="0"/>
          <c:showVal val="1"/>
          <c:showCatName val="0"/>
          <c:showSerName val="0"/>
          <c:showPercent val="0"/>
          <c:showBubbleSize val="0"/>
        </c:dLbls>
        <c:gapWidth val="33"/>
        <c:axId val="979448207"/>
        <c:axId val="979437647"/>
      </c:barChart>
      <c:valAx>
        <c:axId val="9794376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GB">
                    <a:solidFill>
                      <a:schemeClr val="bg1"/>
                    </a:solidFill>
                  </a:rPr>
                  <a:t>Net</a:t>
                </a:r>
                <a:r>
                  <a:rPr lang="en-GB" baseline="0">
                    <a:solidFill>
                      <a:schemeClr val="bg1"/>
                    </a:solidFill>
                  </a:rPr>
                  <a:t> Worth</a:t>
                </a:r>
                <a:endParaRPr lang="en-GB">
                  <a:solidFill>
                    <a:schemeClr val="bg1"/>
                  </a:solidFill>
                </a:endParaRPr>
              </a:p>
            </c:rich>
          </c:tx>
          <c:layout>
            <c:manualLayout>
              <c:xMode val="edge"/>
              <c:yMode val="edge"/>
              <c:x val="0.51537423447069119"/>
              <c:y val="0.908505586822984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GB"/>
            </a:p>
          </c:txPr>
        </c:title>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448207"/>
        <c:crosses val="autoZero"/>
        <c:crossBetween val="between"/>
      </c:valAx>
      <c:catAx>
        <c:axId val="97944820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GB">
                    <a:solidFill>
                      <a:schemeClr val="bg1"/>
                    </a:solidFill>
                  </a:rPr>
                  <a:t> Country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4376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Table!PivotTable14</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bg1"/>
                </a:solidFill>
              </a:rPr>
              <a:t>NET</a:t>
            </a:r>
            <a:r>
              <a:rPr lang="en-US" sz="1600" b="1" baseline="0">
                <a:solidFill>
                  <a:schemeClr val="bg1"/>
                </a:solidFill>
              </a:rPr>
              <a:t> WORTH BY STATUS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3173806331786129E-3"/>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6586903165893064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Table'!$V$1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9065-4211-A126-3B53DDC7965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A07A-4C83-9A0F-B0AC3322F546}"/>
              </c:ext>
            </c:extLst>
          </c:dPt>
          <c:dLbls>
            <c:dLbl>
              <c:idx val="0"/>
              <c:layout>
                <c:manualLayout>
                  <c:x val="5.3173806331786129E-3"/>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65-4211-A126-3B53DDC79653}"/>
                </c:ext>
              </c:extLst>
            </c:dLbl>
            <c:dLbl>
              <c:idx val="1"/>
              <c:layout>
                <c:manualLayout>
                  <c:x val="2.6586903165893064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7A-4C83-9A0F-B0AC3322F5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Table'!$U$2:$U$4</c:f>
              <c:strCache>
                <c:ptCount val="2"/>
                <c:pt idx="0">
                  <c:v>FALSE</c:v>
                </c:pt>
                <c:pt idx="1">
                  <c:v>TRUE</c:v>
                </c:pt>
              </c:strCache>
            </c:strRef>
          </c:cat>
          <c:val>
            <c:numRef>
              <c:f>'Pivot Table'!$V$2:$V$4</c:f>
              <c:numCache>
                <c:formatCode>[$$-1009]#,##0</c:formatCode>
                <c:ptCount val="2"/>
                <c:pt idx="0">
                  <c:v>4115500</c:v>
                </c:pt>
                <c:pt idx="1">
                  <c:v>8091300</c:v>
                </c:pt>
              </c:numCache>
            </c:numRef>
          </c:val>
          <c:extLst>
            <c:ext xmlns:c16="http://schemas.microsoft.com/office/drawing/2014/chart" uri="{C3380CC4-5D6E-409C-BE32-E72D297353CC}">
              <c16:uniqueId val="{00000000-5A1C-445C-A8C2-9948D64FE38E}"/>
            </c:ext>
          </c:extLst>
        </c:ser>
        <c:dLbls>
          <c:showLegendKey val="0"/>
          <c:showVal val="0"/>
          <c:showCatName val="0"/>
          <c:showSerName val="0"/>
          <c:showPercent val="0"/>
          <c:showBubbleSize val="0"/>
        </c:dLbls>
        <c:gapWidth val="150"/>
        <c:axId val="1769079632"/>
        <c:axId val="1769063312"/>
      </c:barChart>
      <c:catAx>
        <c:axId val="1769079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chemeClr val="bg1"/>
                    </a:solidFill>
                  </a:rPr>
                  <a:t>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9063312"/>
        <c:crosses val="autoZero"/>
        <c:auto val="1"/>
        <c:lblAlgn val="ctr"/>
        <c:lblOffset val="100"/>
        <c:noMultiLvlLbl val="0"/>
      </c:catAx>
      <c:valAx>
        <c:axId val="1769063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Net</a:t>
                </a:r>
                <a:r>
                  <a:rPr lang="en-GB" baseline="0">
                    <a:solidFill>
                      <a:schemeClr val="bg1"/>
                    </a:solidFill>
                  </a:rPr>
                  <a:t> Worth</a:t>
                </a:r>
                <a:endParaRPr lang="en-GB">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GB"/>
            </a:p>
          </c:txPr>
        </c:title>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907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WORTH BY INDUSTRIES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1750790751014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7784113638874"/>
              <c:y val="-3.90256935038934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4136632907584"/>
              <c:y val="-3.90256935038934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41366329075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6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07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18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6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145899229251187"/>
              <c:y val="-7.805138700778688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18E-2"/>
              <c:y val="-4.25739756349488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058-42CF-9194-3C0AE94CF28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058-42CF-9194-3C0AE94CF28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058-42CF-9194-3C0AE94CF28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058-42CF-9194-3C0AE94CF289}"/>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58-42CF-9194-3C0AE94CF289}"/>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058-42CF-9194-3C0AE94CF289}"/>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058-42CF-9194-3C0AE94CF289}"/>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058-42CF-9194-3C0AE94CF289}"/>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058-42CF-9194-3C0AE94CF289}"/>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058-42CF-9194-3C0AE94CF289}"/>
              </c:ext>
            </c:extLst>
          </c:dPt>
          <c:dLbls>
            <c:dLbl>
              <c:idx val="0"/>
              <c:layout>
                <c:manualLayout>
                  <c:x val="-9.8922517485199118E-2"/>
                  <c:y val="-4.25739756349488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058-42CF-9194-3C0AE94CF289}"/>
                </c:ext>
              </c:extLst>
            </c:dLbl>
            <c:dLbl>
              <c:idx val="1"/>
              <c:layout>
                <c:manualLayout>
                  <c:x val="-0.10145899229251187"/>
                  <c:y val="-7.805138700778688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058-42CF-9194-3C0AE94CF289}"/>
                </c:ext>
              </c:extLst>
            </c:dLbl>
            <c:dLbl>
              <c:idx val="2"/>
              <c:layout>
                <c:manualLayout>
                  <c:x val="-9.892251748519916E-2"/>
                  <c:y val="4.2573975634947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58-42CF-9194-3C0AE94CF289}"/>
                </c:ext>
              </c:extLst>
            </c:dLbl>
            <c:dLbl>
              <c:idx val="3"/>
              <c:layout>
                <c:manualLayout>
                  <c:x val="-9.8922517485199118E-2"/>
                  <c:y val="4.2573975634947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58-42CF-9194-3C0AE94CF289}"/>
                </c:ext>
              </c:extLst>
            </c:dLbl>
            <c:dLbl>
              <c:idx val="4"/>
              <c:layout>
                <c:manualLayout>
                  <c:x val="-9.892251748519907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58-42CF-9194-3C0AE94CF289}"/>
                </c:ext>
              </c:extLst>
            </c:dLbl>
            <c:dLbl>
              <c:idx val="5"/>
              <c:layout>
                <c:manualLayout>
                  <c:x val="-9.892251748519916E-2"/>
                  <c:y val="4.2573975634947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58-42CF-9194-3C0AE94CF289}"/>
                </c:ext>
              </c:extLst>
            </c:dLbl>
            <c:dLbl>
              <c:idx val="6"/>
              <c:layout>
                <c:manualLayout>
                  <c:x val="-0.1141413663290758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58-42CF-9194-3C0AE94CF289}"/>
                </c:ext>
              </c:extLst>
            </c:dLbl>
            <c:dLbl>
              <c:idx val="7"/>
              <c:layout>
                <c:manualLayout>
                  <c:x val="-0.11414136632907584"/>
                  <c:y val="-3.902569350389344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58-42CF-9194-3C0AE94CF289}"/>
                </c:ext>
              </c:extLst>
            </c:dLbl>
            <c:dLbl>
              <c:idx val="8"/>
              <c:layout>
                <c:manualLayout>
                  <c:x val="-0.11667784113638874"/>
                  <c:y val="-3.902569350389344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58-42CF-9194-3C0AE94CF289}"/>
                </c:ext>
              </c:extLst>
            </c:dLbl>
            <c:dLbl>
              <c:idx val="9"/>
              <c:layout>
                <c:manualLayout>
                  <c:x val="-0.12175079075101415"/>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58-42CF-9194-3C0AE94CF2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Table'!$O$2:$O$12</c:f>
              <c:strCache>
                <c:ptCount val="10"/>
                <c:pt idx="0">
                  <c:v>Energy</c:v>
                </c:pt>
                <c:pt idx="1">
                  <c:v>Automotive</c:v>
                </c:pt>
                <c:pt idx="2">
                  <c:v>Healthcare</c:v>
                </c:pt>
                <c:pt idx="3">
                  <c:v>Real Estate</c:v>
                </c:pt>
                <c:pt idx="4">
                  <c:v>Diversified</c:v>
                </c:pt>
                <c:pt idx="5">
                  <c:v>Food &amp; Beverage</c:v>
                </c:pt>
                <c:pt idx="6">
                  <c:v>Manufacturing</c:v>
                </c:pt>
                <c:pt idx="7">
                  <c:v>Finance &amp; Investments</c:v>
                </c:pt>
                <c:pt idx="8">
                  <c:v>Fashion &amp; Retail</c:v>
                </c:pt>
                <c:pt idx="9">
                  <c:v>Technology</c:v>
                </c:pt>
              </c:strCache>
            </c:strRef>
          </c:cat>
          <c:val>
            <c:numRef>
              <c:f>'Pivot Table'!$P$2:$P$12</c:f>
              <c:numCache>
                <c:formatCode>[$$-1009]#,##0</c:formatCode>
                <c:ptCount val="10"/>
                <c:pt idx="0">
                  <c:v>453500</c:v>
                </c:pt>
                <c:pt idx="1">
                  <c:v>525300</c:v>
                </c:pt>
                <c:pt idx="2">
                  <c:v>643200</c:v>
                </c:pt>
                <c:pt idx="3">
                  <c:v>657400</c:v>
                </c:pt>
                <c:pt idx="4">
                  <c:v>905200</c:v>
                </c:pt>
                <c:pt idx="5">
                  <c:v>957200</c:v>
                </c:pt>
                <c:pt idx="6">
                  <c:v>1019000</c:v>
                </c:pt>
                <c:pt idx="7">
                  <c:v>1605100</c:v>
                </c:pt>
                <c:pt idx="8">
                  <c:v>1698800</c:v>
                </c:pt>
                <c:pt idx="9">
                  <c:v>1877900</c:v>
                </c:pt>
              </c:numCache>
            </c:numRef>
          </c:val>
          <c:extLst>
            <c:ext xmlns:c16="http://schemas.microsoft.com/office/drawing/2014/chart" uri="{C3380CC4-5D6E-409C-BE32-E72D297353CC}">
              <c16:uniqueId val="{00000000-118E-48D7-9E25-3D5F3716D31B}"/>
            </c:ext>
          </c:extLst>
        </c:ser>
        <c:dLbls>
          <c:dLblPos val="outEnd"/>
          <c:showLegendKey val="0"/>
          <c:showVal val="1"/>
          <c:showCatName val="0"/>
          <c:showSerName val="0"/>
          <c:showPercent val="0"/>
          <c:showBubbleSize val="0"/>
        </c:dLbls>
        <c:gapWidth val="30"/>
        <c:overlap val="4"/>
        <c:axId val="979408367"/>
        <c:axId val="979408847"/>
      </c:barChart>
      <c:catAx>
        <c:axId val="97940836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Industries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408847"/>
        <c:crosses val="autoZero"/>
        <c:auto val="1"/>
        <c:lblAlgn val="ctr"/>
        <c:lblOffset val="100"/>
        <c:noMultiLvlLbl val="0"/>
      </c:catAx>
      <c:valAx>
        <c:axId val="9794088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Net</a:t>
                </a:r>
                <a:r>
                  <a:rPr lang="en-GB" baseline="0"/>
                  <a:t> Worth</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40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NET</a:t>
            </a:r>
            <a:r>
              <a:rPr lang="en-US" baseline="0">
                <a:solidFill>
                  <a:schemeClr val="bg1"/>
                </a:solidFill>
              </a:rPr>
              <a:t> WORTH BY SOURCE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a:noFill/>
          </a:ln>
          <a:effectLst/>
        </c:spPr>
        <c:dLbl>
          <c:idx val="0"/>
          <c:layout>
            <c:manualLayout>
              <c:x val="-0.12085684649277248"/>
              <c:y val="-4.23280564356312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dLbl>
          <c:idx val="0"/>
          <c:layout>
            <c:manualLayout>
              <c:x val="-0.11011401569341493"/>
              <c:y val="-3.88002701752964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dLbl>
          <c:idx val="0"/>
          <c:layout>
            <c:manualLayout>
              <c:x val="-0.104742600293736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dLbl>
          <c:idx val="0"/>
          <c:layout>
            <c:manualLayout>
              <c:x val="-9.9371184894057288E-2"/>
              <c:y val="-7.760054035059283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dLbl>
          <c:idx val="0"/>
          <c:layout>
            <c:manualLayout>
              <c:x val="-0.112799723393254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a:noFill/>
          </a:ln>
          <a:effectLst/>
        </c:spPr>
        <c:dLbl>
          <c:idx val="0"/>
          <c:layout>
            <c:manualLayout>
              <c:x val="-0.110114015693414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0000"/>
              <a:lumOff val="40000"/>
            </a:schemeClr>
          </a:solidFill>
          <a:ln>
            <a:noFill/>
          </a:ln>
          <a:effectLst/>
        </c:spPr>
        <c:dLbl>
          <c:idx val="0"/>
          <c:layout>
            <c:manualLayout>
              <c:x val="-0.11011401569341489"/>
              <c:y val="7.760054035059283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60000"/>
              <a:lumOff val="40000"/>
            </a:schemeClr>
          </a:solidFill>
          <a:ln>
            <a:noFill/>
          </a:ln>
          <a:effectLst/>
        </c:spPr>
        <c:dLbl>
          <c:idx val="0"/>
          <c:layout>
            <c:manualLayout>
              <c:x val="-0.11279972339325427"/>
              <c:y val="-4.23280564356318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60000"/>
              <a:lumOff val="40000"/>
            </a:schemeClr>
          </a:solidFill>
          <a:ln>
            <a:noFill/>
          </a:ln>
          <a:effectLst/>
        </c:spPr>
        <c:dLbl>
          <c:idx val="0"/>
          <c:layout>
            <c:manualLayout>
              <c:x val="-9.66854771942178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60000"/>
              <a:lumOff val="40000"/>
            </a:schemeClr>
          </a:solidFill>
          <a:ln>
            <a:noFill/>
          </a:ln>
          <a:effectLst/>
        </c:spPr>
        <c:dLbl>
          <c:idx val="0"/>
          <c:layout>
            <c:manualLayout>
              <c:x val="-9.3999769494378521E-2"/>
              <c:y val="-4.23280564356310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0967478617434"/>
          <c:y val="0.15276195567619238"/>
          <c:w val="0.67239229942045808"/>
          <c:h val="0.65505466985115857"/>
        </c:manualLayout>
      </c:layout>
      <c:barChart>
        <c:barDir val="bar"/>
        <c:grouping val="clustered"/>
        <c:varyColors val="0"/>
        <c:ser>
          <c:idx val="0"/>
          <c:order val="0"/>
          <c:tx>
            <c:strRef>
              <c:f>'Pivot Table'!$S$1</c:f>
              <c:strCache>
                <c:ptCount val="1"/>
                <c:pt idx="0">
                  <c:v>Total</c:v>
                </c:pt>
              </c:strCache>
            </c:strRef>
          </c:tx>
          <c:spPr>
            <a:solidFill>
              <a:schemeClr val="tx2">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9-C9CD-4F72-9CB6-6331EEC97D29}"/>
              </c:ext>
            </c:extLst>
          </c:dPt>
          <c:dPt>
            <c:idx val="1"/>
            <c:invertIfNegative val="0"/>
            <c:bubble3D val="0"/>
            <c:extLst>
              <c:ext xmlns:c16="http://schemas.microsoft.com/office/drawing/2014/chart" uri="{C3380CC4-5D6E-409C-BE32-E72D297353CC}">
                <c16:uniqueId val="{00000008-C9CD-4F72-9CB6-6331EEC97D29}"/>
              </c:ext>
            </c:extLst>
          </c:dPt>
          <c:dPt>
            <c:idx val="2"/>
            <c:invertIfNegative val="0"/>
            <c:bubble3D val="0"/>
            <c:extLst>
              <c:ext xmlns:c16="http://schemas.microsoft.com/office/drawing/2014/chart" uri="{C3380CC4-5D6E-409C-BE32-E72D297353CC}">
                <c16:uniqueId val="{00000007-C9CD-4F72-9CB6-6331EEC97D29}"/>
              </c:ext>
            </c:extLst>
          </c:dPt>
          <c:dPt>
            <c:idx val="3"/>
            <c:invertIfNegative val="0"/>
            <c:bubble3D val="0"/>
            <c:extLst>
              <c:ext xmlns:c16="http://schemas.microsoft.com/office/drawing/2014/chart" uri="{C3380CC4-5D6E-409C-BE32-E72D297353CC}">
                <c16:uniqueId val="{00000006-C9CD-4F72-9CB6-6331EEC97D29}"/>
              </c:ext>
            </c:extLst>
          </c:dPt>
          <c:dPt>
            <c:idx val="4"/>
            <c:invertIfNegative val="0"/>
            <c:bubble3D val="0"/>
            <c:extLst>
              <c:ext xmlns:c16="http://schemas.microsoft.com/office/drawing/2014/chart" uri="{C3380CC4-5D6E-409C-BE32-E72D297353CC}">
                <c16:uniqueId val="{00000005-C9CD-4F72-9CB6-6331EEC97D29}"/>
              </c:ext>
            </c:extLst>
          </c:dPt>
          <c:dPt>
            <c:idx val="5"/>
            <c:invertIfNegative val="0"/>
            <c:bubble3D val="0"/>
            <c:extLst>
              <c:ext xmlns:c16="http://schemas.microsoft.com/office/drawing/2014/chart" uri="{C3380CC4-5D6E-409C-BE32-E72D297353CC}">
                <c16:uniqueId val="{00000004-C9CD-4F72-9CB6-6331EEC97D29}"/>
              </c:ext>
            </c:extLst>
          </c:dPt>
          <c:dPt>
            <c:idx val="6"/>
            <c:invertIfNegative val="0"/>
            <c:bubble3D val="0"/>
            <c:extLst>
              <c:ext xmlns:c16="http://schemas.microsoft.com/office/drawing/2014/chart" uri="{C3380CC4-5D6E-409C-BE32-E72D297353CC}">
                <c16:uniqueId val="{00000003-C9CD-4F72-9CB6-6331EEC97D29}"/>
              </c:ext>
            </c:extLst>
          </c:dPt>
          <c:dPt>
            <c:idx val="7"/>
            <c:invertIfNegative val="0"/>
            <c:bubble3D val="0"/>
            <c:extLst>
              <c:ext xmlns:c16="http://schemas.microsoft.com/office/drawing/2014/chart" uri="{C3380CC4-5D6E-409C-BE32-E72D297353CC}">
                <c16:uniqueId val="{00000002-C9CD-4F72-9CB6-6331EEC97D29}"/>
              </c:ext>
            </c:extLst>
          </c:dPt>
          <c:dPt>
            <c:idx val="8"/>
            <c:invertIfNegative val="0"/>
            <c:bubble3D val="0"/>
            <c:extLst>
              <c:ext xmlns:c16="http://schemas.microsoft.com/office/drawing/2014/chart" uri="{C3380CC4-5D6E-409C-BE32-E72D297353CC}">
                <c16:uniqueId val="{00000001-C9CD-4F72-9CB6-6331EEC97D29}"/>
              </c:ext>
            </c:extLst>
          </c:dPt>
          <c:dPt>
            <c:idx val="9"/>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0-C9CD-4F72-9CB6-6331EEC97D29}"/>
              </c:ext>
            </c:extLst>
          </c:dPt>
          <c:dLbls>
            <c:dLbl>
              <c:idx val="0"/>
              <c:layout>
                <c:manualLayout>
                  <c:x val="-9.3999769494378521E-2"/>
                  <c:y val="-4.23280564356310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9CD-4F72-9CB6-6331EEC97D29}"/>
                </c:ext>
              </c:extLst>
            </c:dLbl>
            <c:dLbl>
              <c:idx val="1"/>
              <c:layout>
                <c:manualLayout>
                  <c:x val="-9.668547719421789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CD-4F72-9CB6-6331EEC97D29}"/>
                </c:ext>
              </c:extLst>
            </c:dLbl>
            <c:dLbl>
              <c:idx val="2"/>
              <c:layout>
                <c:manualLayout>
                  <c:x val="-0.11279972339325427"/>
                  <c:y val="-4.23280564356318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CD-4F72-9CB6-6331EEC97D29}"/>
                </c:ext>
              </c:extLst>
            </c:dLbl>
            <c:dLbl>
              <c:idx val="3"/>
              <c:layout>
                <c:manualLayout>
                  <c:x val="-0.11011401569341489"/>
                  <c:y val="7.760054035059283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CD-4F72-9CB6-6331EEC97D29}"/>
                </c:ext>
              </c:extLst>
            </c:dLbl>
            <c:dLbl>
              <c:idx val="4"/>
              <c:layout>
                <c:manualLayout>
                  <c:x val="-0.1101140156934148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CD-4F72-9CB6-6331EEC97D29}"/>
                </c:ext>
              </c:extLst>
            </c:dLbl>
            <c:dLbl>
              <c:idx val="5"/>
              <c:layout>
                <c:manualLayout>
                  <c:x val="-0.1127997233932542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CD-4F72-9CB6-6331EEC97D29}"/>
                </c:ext>
              </c:extLst>
            </c:dLbl>
            <c:dLbl>
              <c:idx val="6"/>
              <c:layout>
                <c:manualLayout>
                  <c:x val="-9.9371184894057288E-2"/>
                  <c:y val="-7.760054035059283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CD-4F72-9CB6-6331EEC97D29}"/>
                </c:ext>
              </c:extLst>
            </c:dLbl>
            <c:dLbl>
              <c:idx val="7"/>
              <c:layout>
                <c:manualLayout>
                  <c:x val="-0.1047426002937360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CD-4F72-9CB6-6331EEC97D29}"/>
                </c:ext>
              </c:extLst>
            </c:dLbl>
            <c:dLbl>
              <c:idx val="8"/>
              <c:layout>
                <c:manualLayout>
                  <c:x val="-0.11011401569341493"/>
                  <c:y val="-3.880027017529641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CD-4F72-9CB6-6331EEC97D29}"/>
                </c:ext>
              </c:extLst>
            </c:dLbl>
            <c:dLbl>
              <c:idx val="9"/>
              <c:layout>
                <c:manualLayout>
                  <c:x val="-0.12085684649277248"/>
                  <c:y val="-4.23280564356312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CD-4F72-9CB6-6331EEC97D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Table'!$R$2:$R$12</c:f>
              <c:strCache>
                <c:ptCount val="10"/>
                <c:pt idx="0">
                  <c:v>Tesla, SpaceX</c:v>
                </c:pt>
                <c:pt idx="1">
                  <c:v>Google</c:v>
                </c:pt>
                <c:pt idx="2">
                  <c:v>Microsoft</c:v>
                </c:pt>
                <c:pt idx="3">
                  <c:v>LVMH</c:v>
                </c:pt>
                <c:pt idx="4">
                  <c:v>Walmart</c:v>
                </c:pt>
                <c:pt idx="5">
                  <c:v>Pharmaceuticals</c:v>
                </c:pt>
                <c:pt idx="6">
                  <c:v>Hedge funds</c:v>
                </c:pt>
                <c:pt idx="7">
                  <c:v>Investments</c:v>
                </c:pt>
                <c:pt idx="8">
                  <c:v>Diversified</c:v>
                </c:pt>
                <c:pt idx="9">
                  <c:v>Real estate</c:v>
                </c:pt>
              </c:strCache>
            </c:strRef>
          </c:cat>
          <c:val>
            <c:numRef>
              <c:f>'Pivot Table'!$S$2:$S$12</c:f>
              <c:numCache>
                <c:formatCode>[$$-1009]#,##0</c:formatCode>
                <c:ptCount val="10"/>
                <c:pt idx="0">
                  <c:v>180000</c:v>
                </c:pt>
                <c:pt idx="1">
                  <c:v>189000</c:v>
                </c:pt>
                <c:pt idx="2">
                  <c:v>196400</c:v>
                </c:pt>
                <c:pt idx="3">
                  <c:v>211000</c:v>
                </c:pt>
                <c:pt idx="4">
                  <c:v>220900</c:v>
                </c:pt>
                <c:pt idx="5">
                  <c:v>254300</c:v>
                </c:pt>
                <c:pt idx="6">
                  <c:v>271300</c:v>
                </c:pt>
                <c:pt idx="7">
                  <c:v>345000</c:v>
                </c:pt>
                <c:pt idx="8">
                  <c:v>395100</c:v>
                </c:pt>
                <c:pt idx="9">
                  <c:v>549300</c:v>
                </c:pt>
              </c:numCache>
            </c:numRef>
          </c:val>
          <c:extLst>
            <c:ext xmlns:c16="http://schemas.microsoft.com/office/drawing/2014/chart" uri="{C3380CC4-5D6E-409C-BE32-E72D297353CC}">
              <c16:uniqueId val="{00000000-AE65-4C25-9683-07F989677341}"/>
            </c:ext>
          </c:extLst>
        </c:ser>
        <c:dLbls>
          <c:dLblPos val="outEnd"/>
          <c:showLegendKey val="0"/>
          <c:showVal val="1"/>
          <c:showCatName val="0"/>
          <c:showSerName val="0"/>
          <c:showPercent val="0"/>
          <c:showBubbleSize val="0"/>
        </c:dLbls>
        <c:gapWidth val="31"/>
        <c:axId val="979444847"/>
        <c:axId val="979458767"/>
      </c:barChart>
      <c:catAx>
        <c:axId val="979444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Source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458767"/>
        <c:crosses val="autoZero"/>
        <c:auto val="1"/>
        <c:lblAlgn val="ctr"/>
        <c:lblOffset val="100"/>
        <c:noMultiLvlLbl val="0"/>
      </c:catAx>
      <c:valAx>
        <c:axId val="979458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Net</a:t>
                </a:r>
                <a:r>
                  <a:rPr lang="en-GB" baseline="0">
                    <a:solidFill>
                      <a:schemeClr val="bg1"/>
                    </a:solidFill>
                  </a:rPr>
                  <a:t> Worth</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GB"/>
            </a:p>
          </c:txPr>
        </c:title>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44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Table!PivotTable19</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WORTH BY NAME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55"/>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1"/>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8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8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1"/>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55"/>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8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1"/>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8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55"/>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2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21-4C92-9C0F-521422B4B3B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21-4C92-9C0F-521422B4B3B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021-4C92-9C0F-521422B4B3B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021-4C92-9C0F-521422B4B3B9}"/>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021-4C92-9C0F-521422B4B3B9}"/>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021-4C92-9C0F-521422B4B3B9}"/>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021-4C92-9C0F-521422B4B3B9}"/>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021-4C92-9C0F-521422B4B3B9}"/>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021-4C92-9C0F-521422B4B3B9}"/>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021-4C92-9C0F-521422B4B3B9}"/>
              </c:ext>
            </c:extLst>
          </c:dPt>
          <c:dLbls>
            <c:dLbl>
              <c:idx val="0"/>
              <c:layout>
                <c:manualLayout>
                  <c:x val="-0.10277777777777783"/>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21-4C92-9C0F-521422B4B3B9}"/>
                </c:ext>
              </c:extLst>
            </c:dLbl>
            <c:dLbl>
              <c:idx val="1"/>
              <c:layout>
                <c:manualLayout>
                  <c:x val="-9.166666666666666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21-4C92-9C0F-521422B4B3B9}"/>
                </c:ext>
              </c:extLst>
            </c:dLbl>
            <c:dLbl>
              <c:idx val="2"/>
              <c:layout>
                <c:manualLayout>
                  <c:x val="-0.1055555555555555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21-4C92-9C0F-521422B4B3B9}"/>
                </c:ext>
              </c:extLst>
            </c:dLbl>
            <c:dLbl>
              <c:idx val="3"/>
              <c:layout>
                <c:manualLayout>
                  <c:x val="-0.1000000000000001"/>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21-4C92-9C0F-521422B4B3B9}"/>
                </c:ext>
              </c:extLst>
            </c:dLbl>
            <c:dLbl>
              <c:idx val="4"/>
              <c:layout>
                <c:manualLayout>
                  <c:x val="-0.1166666666666666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021-4C92-9C0F-521422B4B3B9}"/>
                </c:ext>
              </c:extLst>
            </c:dLbl>
            <c:dLbl>
              <c:idx val="5"/>
              <c:layout>
                <c:manualLayout>
                  <c:x val="-0.10277777777777788"/>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021-4C92-9C0F-521422B4B3B9}"/>
                </c:ext>
              </c:extLst>
            </c:dLbl>
            <c:dLbl>
              <c:idx val="6"/>
              <c:layout>
                <c:manualLayout>
                  <c:x val="-0.11944444444444455"/>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021-4C92-9C0F-521422B4B3B9}"/>
                </c:ext>
              </c:extLst>
            </c:dLbl>
            <c:dLbl>
              <c:idx val="7"/>
              <c:layout>
                <c:manualLayout>
                  <c:x val="-0.11666666666666667"/>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021-4C92-9C0F-521422B4B3B9}"/>
                </c:ext>
              </c:extLst>
            </c:dLbl>
            <c:dLbl>
              <c:idx val="8"/>
              <c:layout>
                <c:manualLayout>
                  <c:x val="-0.111111111111111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021-4C92-9C0F-521422B4B3B9}"/>
                </c:ext>
              </c:extLst>
            </c:dLbl>
            <c:dLbl>
              <c:idx val="9"/>
              <c:layout>
                <c:manualLayout>
                  <c:x val="-0.10833333333333323"/>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021-4C92-9C0F-521422B4B3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Table'!$A$2:$A$12</c:f>
              <c:strCache>
                <c:ptCount val="10"/>
                <c:pt idx="0">
                  <c:v>Steve Ballmer</c:v>
                </c:pt>
                <c:pt idx="1">
                  <c:v>Mukesh Ambani</c:v>
                </c:pt>
                <c:pt idx="2">
                  <c:v>Carlos Slim Helu &amp; family</c:v>
                </c:pt>
                <c:pt idx="3">
                  <c:v>Michael Bloomberg</c:v>
                </c:pt>
                <c:pt idx="4">
                  <c:v>Bill Gates</c:v>
                </c:pt>
                <c:pt idx="5">
                  <c:v>Warren Buffett</c:v>
                </c:pt>
                <c:pt idx="6">
                  <c:v>Larry Ellison</c:v>
                </c:pt>
                <c:pt idx="7">
                  <c:v>Jeff Bezos</c:v>
                </c:pt>
                <c:pt idx="8">
                  <c:v>Elon Musk</c:v>
                </c:pt>
                <c:pt idx="9">
                  <c:v>Bernard Arnault &amp; family</c:v>
                </c:pt>
              </c:strCache>
            </c:strRef>
          </c:cat>
          <c:val>
            <c:numRef>
              <c:f>'Pivot Table'!$B$2:$B$12</c:f>
              <c:numCache>
                <c:formatCode>[$$-1009]#,##0</c:formatCode>
                <c:ptCount val="10"/>
                <c:pt idx="0">
                  <c:v>80700</c:v>
                </c:pt>
                <c:pt idx="1">
                  <c:v>83400</c:v>
                </c:pt>
                <c:pt idx="2">
                  <c:v>93000</c:v>
                </c:pt>
                <c:pt idx="3">
                  <c:v>94500</c:v>
                </c:pt>
                <c:pt idx="4">
                  <c:v>104000</c:v>
                </c:pt>
                <c:pt idx="5">
                  <c:v>106000</c:v>
                </c:pt>
                <c:pt idx="6">
                  <c:v>107000</c:v>
                </c:pt>
                <c:pt idx="7">
                  <c:v>114000</c:v>
                </c:pt>
                <c:pt idx="8">
                  <c:v>180000</c:v>
                </c:pt>
                <c:pt idx="9">
                  <c:v>211000</c:v>
                </c:pt>
              </c:numCache>
            </c:numRef>
          </c:val>
          <c:extLst>
            <c:ext xmlns:c16="http://schemas.microsoft.com/office/drawing/2014/chart" uri="{C3380CC4-5D6E-409C-BE32-E72D297353CC}">
              <c16:uniqueId val="{00000014-D021-4C92-9C0F-521422B4B3B9}"/>
            </c:ext>
          </c:extLst>
        </c:ser>
        <c:dLbls>
          <c:dLblPos val="outEnd"/>
          <c:showLegendKey val="0"/>
          <c:showVal val="1"/>
          <c:showCatName val="0"/>
          <c:showSerName val="0"/>
          <c:showPercent val="0"/>
          <c:showBubbleSize val="0"/>
        </c:dLbls>
        <c:gapWidth val="55"/>
        <c:overlap val="-20"/>
        <c:axId val="1503454048"/>
        <c:axId val="1503458848"/>
      </c:barChart>
      <c:catAx>
        <c:axId val="15034540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3458848"/>
        <c:crosses val="autoZero"/>
        <c:auto val="1"/>
        <c:lblAlgn val="ctr"/>
        <c:lblOffset val="100"/>
        <c:noMultiLvlLbl val="0"/>
      </c:catAx>
      <c:valAx>
        <c:axId val="15034588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Net Worth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345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Table!PivotTable10</c:name>
    <c:fmtId val="17"/>
  </c:pivotSource>
  <c:chart>
    <c:title>
      <c:tx>
        <c:rich>
          <a:bodyPr rot="0" spcFirstLastPara="1" vertOverflow="ellipsis" vert="horz" wrap="square" anchor="ctr" anchorCtr="1"/>
          <a:lstStyle/>
          <a:p>
            <a:pPr>
              <a:defRPr sz="1600" b="1" i="0" u="none" strike="noStrike" kern="1200" cap="all" spc="150" baseline="0">
                <a:solidFill>
                  <a:schemeClr val="bg1"/>
                </a:solidFill>
                <a:latin typeface="+mn-lt"/>
                <a:ea typeface="+mn-ea"/>
                <a:cs typeface="+mn-cs"/>
              </a:defRPr>
            </a:pPr>
            <a:r>
              <a:rPr lang="en-US" sz="1600">
                <a:solidFill>
                  <a:schemeClr val="bg1"/>
                </a:solidFill>
              </a:rPr>
              <a:t>NET</a:t>
            </a:r>
            <a:r>
              <a:rPr lang="en-US" sz="1600" baseline="0">
                <a:solidFill>
                  <a:schemeClr val="bg1"/>
                </a:solidFill>
              </a:rPr>
              <a:t> WORTH BY COUNTRY</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spPr>
          <a:solidFill>
            <a:schemeClr val="tx1">
              <a:lumMod val="65000"/>
              <a:lumOff val="35000"/>
            </a:schemeClr>
          </a:solid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tx1">
              <a:lumMod val="65000"/>
              <a:lumOff val="35000"/>
            </a:schemeClr>
          </a:solidFill>
          <a:ln w="19050">
            <a:solidFill>
              <a:schemeClr val="lt1"/>
            </a:solidFill>
          </a:ln>
          <a:effectLst>
            <a:innerShdw blurRad="114300">
              <a:schemeClr val="accent1"/>
            </a:innerShdw>
          </a:effectLst>
        </c:spPr>
        <c:dLbl>
          <c:idx val="0"/>
          <c:layout>
            <c:manualLayout>
              <c:x val="-0.136111111111111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tx1">
              <a:lumMod val="65000"/>
              <a:lumOff val="35000"/>
            </a:schemeClr>
          </a:solidFill>
          <a:ln w="19050">
            <a:solidFill>
              <a:schemeClr val="lt1"/>
            </a:solidFill>
          </a:ln>
          <a:effectLst>
            <a:innerShdw blurRad="114300">
              <a:schemeClr val="accent1"/>
            </a:innerShdw>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tx1">
              <a:lumMod val="65000"/>
              <a:lumOff val="35000"/>
            </a:schemeClr>
          </a:solidFill>
          <a:ln w="19050">
            <a:solidFill>
              <a:schemeClr val="lt1"/>
            </a:solidFill>
          </a:ln>
          <a:effectLst>
            <a:innerShdw blurRad="114300">
              <a:schemeClr val="accent1"/>
            </a:innerShdw>
          </a:effectLst>
        </c:spPr>
        <c:dLbl>
          <c:idx val="0"/>
          <c:layout>
            <c:manualLayout>
              <c:x val="2.7777777777777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tx1">
              <a:lumMod val="65000"/>
              <a:lumOff val="35000"/>
            </a:schemeClr>
          </a:solidFill>
          <a:ln w="19050">
            <a:solidFill>
              <a:schemeClr val="lt1"/>
            </a:solidFill>
          </a:ln>
          <a:effectLst>
            <a:innerShdw blurRad="114300">
              <a:schemeClr val="accent1"/>
            </a:innerShdw>
          </a:effectLst>
        </c:spPr>
      </c:pivotFmt>
      <c:pivotFmt>
        <c:idx val="86"/>
        <c:spPr>
          <a:solidFill>
            <a:schemeClr val="tx1">
              <a:lumMod val="65000"/>
              <a:lumOff val="35000"/>
            </a:schemeClr>
          </a:solidFill>
          <a:ln w="19050">
            <a:solidFill>
              <a:schemeClr val="lt1"/>
            </a:solidFill>
          </a:ln>
          <a:effectLst>
            <a:innerShdw blurRad="114300">
              <a:schemeClr val="accent1"/>
            </a:innerShdw>
          </a:effectLst>
        </c:spPr>
      </c:pivotFmt>
      <c:pivotFmt>
        <c:idx val="87"/>
        <c:spPr>
          <a:solidFill>
            <a:schemeClr val="tx1">
              <a:lumMod val="65000"/>
              <a:lumOff val="35000"/>
            </a:schemeClr>
          </a:solidFill>
          <a:ln w="19050">
            <a:solidFill>
              <a:schemeClr val="lt1"/>
            </a:solidFill>
          </a:ln>
          <a:effectLst>
            <a:innerShdw blurRad="114300">
              <a:schemeClr val="accent1"/>
            </a:innerShdw>
          </a:effectLst>
        </c:spPr>
      </c:pivotFmt>
      <c:pivotFmt>
        <c:idx val="88"/>
        <c:spPr>
          <a:solidFill>
            <a:schemeClr val="tx1">
              <a:lumMod val="65000"/>
              <a:lumOff val="35000"/>
            </a:schemeClr>
          </a:solidFill>
          <a:ln w="19050">
            <a:solidFill>
              <a:schemeClr val="lt1"/>
            </a:solidFill>
          </a:ln>
          <a:effectLst>
            <a:innerShdw blurRad="114300">
              <a:schemeClr val="accent1"/>
            </a:innerShdw>
          </a:effectLst>
        </c:spPr>
      </c:pivotFmt>
      <c:pivotFmt>
        <c:idx val="89"/>
        <c:spPr>
          <a:solidFill>
            <a:schemeClr val="tx1">
              <a:lumMod val="65000"/>
              <a:lumOff val="35000"/>
            </a:schemeClr>
          </a:solidFill>
          <a:ln w="19050">
            <a:solidFill>
              <a:schemeClr val="lt1"/>
            </a:solidFill>
          </a:ln>
          <a:effectLst>
            <a:innerShdw blurRad="114300">
              <a:schemeClr val="accent1"/>
            </a:innerShdw>
          </a:effectLst>
        </c:spPr>
      </c:pivotFmt>
      <c:pivotFmt>
        <c:idx val="90"/>
        <c:spPr>
          <a:solidFill>
            <a:schemeClr val="tx1">
              <a:lumMod val="65000"/>
              <a:lumOff val="35000"/>
            </a:schemeClr>
          </a:solidFill>
          <a:ln w="19050">
            <a:solidFill>
              <a:schemeClr val="lt1"/>
            </a:solidFill>
          </a:ln>
          <a:effectLst>
            <a:innerShdw blurRad="114300">
              <a:schemeClr val="accent1"/>
            </a:innerShdw>
          </a:effectLst>
        </c:spPr>
      </c:pivotFmt>
      <c:pivotFmt>
        <c:idx val="91"/>
        <c:spPr>
          <a:solidFill>
            <a:schemeClr val="tx1">
              <a:lumMod val="65000"/>
              <a:lumOff val="35000"/>
            </a:schemeClr>
          </a:solidFill>
          <a:ln w="19050">
            <a:solidFill>
              <a:schemeClr val="lt1"/>
            </a:solidFill>
          </a:ln>
          <a:effectLst>
            <a:innerShdw blurRad="114300">
              <a:schemeClr val="accent1"/>
            </a:innerShdw>
          </a:effectLst>
        </c:spPr>
      </c:pivotFmt>
      <c:pivotFmt>
        <c:idx val="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1"/>
        <c:spPr>
          <a:solidFill>
            <a:schemeClr val="tx1">
              <a:lumMod val="65000"/>
              <a:lumOff val="35000"/>
            </a:schemeClr>
          </a:solid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tx1">
              <a:lumMod val="65000"/>
              <a:lumOff val="35000"/>
            </a:schemeClr>
          </a:solidFill>
          <a:ln w="19050">
            <a:solidFill>
              <a:schemeClr val="lt1"/>
            </a:solidFill>
          </a:ln>
          <a:effectLst>
            <a:innerShdw blurRad="114300">
              <a:schemeClr val="accent1"/>
            </a:innerShdw>
          </a:effectLst>
        </c:spPr>
      </c:pivotFmt>
      <c:pivotFmt>
        <c:idx val="163"/>
        <c:spPr>
          <a:solidFill>
            <a:schemeClr val="tx1">
              <a:lumMod val="65000"/>
              <a:lumOff val="35000"/>
            </a:schemeClr>
          </a:solidFill>
          <a:ln w="19050">
            <a:solidFill>
              <a:schemeClr val="lt1"/>
            </a:solidFill>
          </a:ln>
          <a:effectLst>
            <a:innerShdw blurRad="114300">
              <a:schemeClr val="accent1"/>
            </a:innerShdw>
          </a:effectLst>
        </c:spPr>
      </c:pivotFmt>
      <c:pivotFmt>
        <c:idx val="164"/>
        <c:spPr>
          <a:solidFill>
            <a:schemeClr val="tx1">
              <a:lumMod val="65000"/>
              <a:lumOff val="35000"/>
            </a:schemeClr>
          </a:solidFill>
          <a:ln w="19050">
            <a:solidFill>
              <a:schemeClr val="lt1"/>
            </a:solidFill>
          </a:ln>
          <a:effectLst>
            <a:innerShdw blurRad="114300">
              <a:schemeClr val="accent1"/>
            </a:innerShdw>
          </a:effectLst>
        </c:spPr>
      </c:pivotFmt>
      <c:pivotFmt>
        <c:idx val="165"/>
        <c:spPr>
          <a:solidFill>
            <a:schemeClr val="tx1">
              <a:lumMod val="65000"/>
              <a:lumOff val="35000"/>
            </a:schemeClr>
          </a:solidFill>
          <a:ln w="19050">
            <a:solidFill>
              <a:schemeClr val="lt1"/>
            </a:solidFill>
          </a:ln>
          <a:effectLst>
            <a:innerShdw blurRad="114300">
              <a:schemeClr val="accent1"/>
            </a:innerShdw>
          </a:effectLst>
        </c:spPr>
      </c:pivotFmt>
      <c:pivotFmt>
        <c:idx val="166"/>
        <c:spPr>
          <a:solidFill>
            <a:schemeClr val="tx1">
              <a:lumMod val="65000"/>
              <a:lumOff val="35000"/>
            </a:schemeClr>
          </a:solidFill>
          <a:ln w="19050">
            <a:solidFill>
              <a:schemeClr val="lt1"/>
            </a:solidFill>
          </a:ln>
          <a:effectLst>
            <a:innerShdw blurRad="114300">
              <a:schemeClr val="accent1"/>
            </a:innerShdw>
          </a:effectLst>
        </c:spPr>
      </c:pivotFmt>
      <c:pivotFmt>
        <c:idx val="167"/>
        <c:spPr>
          <a:solidFill>
            <a:schemeClr val="tx1">
              <a:lumMod val="65000"/>
              <a:lumOff val="35000"/>
            </a:schemeClr>
          </a:solidFill>
          <a:ln w="19050">
            <a:solidFill>
              <a:schemeClr val="lt1"/>
            </a:solidFill>
          </a:ln>
          <a:effectLst>
            <a:innerShdw blurRad="114300">
              <a:schemeClr val="accent1"/>
            </a:innerShdw>
          </a:effectLst>
        </c:spPr>
      </c:pivotFmt>
      <c:pivotFmt>
        <c:idx val="168"/>
        <c:spPr>
          <a:solidFill>
            <a:schemeClr val="tx1">
              <a:lumMod val="65000"/>
              <a:lumOff val="35000"/>
            </a:schemeClr>
          </a:solidFill>
          <a:ln w="19050">
            <a:solidFill>
              <a:schemeClr val="lt1"/>
            </a:solidFill>
          </a:ln>
          <a:effectLst>
            <a:innerShdw blurRad="114300">
              <a:schemeClr val="accent1"/>
            </a:innerShdw>
          </a:effectLst>
        </c:spPr>
      </c:pivotFmt>
      <c:pivotFmt>
        <c:idx val="169"/>
        <c:spPr>
          <a:solidFill>
            <a:schemeClr val="tx1">
              <a:lumMod val="65000"/>
              <a:lumOff val="35000"/>
            </a:schemeClr>
          </a:solidFill>
          <a:ln w="19050">
            <a:solidFill>
              <a:schemeClr val="lt1"/>
            </a:solidFill>
          </a:ln>
          <a:effectLst>
            <a:innerShdw blurRad="114300">
              <a:schemeClr val="accent1"/>
            </a:innerShdw>
          </a:effectLst>
        </c:spPr>
        <c:dLbl>
          <c:idx val="0"/>
          <c:layout>
            <c:manualLayout>
              <c:x val="2.7777777777777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tx1">
              <a:lumMod val="65000"/>
              <a:lumOff val="35000"/>
            </a:schemeClr>
          </a:solidFill>
          <a:ln w="19050">
            <a:solidFill>
              <a:schemeClr val="lt1"/>
            </a:solidFill>
          </a:ln>
          <a:effectLst>
            <a:innerShdw blurRad="114300">
              <a:schemeClr val="accent1"/>
            </a:innerShdw>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tx1">
              <a:lumMod val="65000"/>
              <a:lumOff val="35000"/>
            </a:schemeClr>
          </a:solidFill>
          <a:ln w="19050">
            <a:solidFill>
              <a:schemeClr val="lt1"/>
            </a:solidFill>
          </a:ln>
          <a:effectLst>
            <a:innerShdw blurRad="114300">
              <a:schemeClr val="accent1"/>
            </a:innerShdw>
          </a:effectLst>
        </c:spPr>
        <c:dLbl>
          <c:idx val="0"/>
          <c:layout>
            <c:manualLayout>
              <c:x val="-0.136111111111111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tx1">
              <a:lumMod val="65000"/>
              <a:lumOff val="35000"/>
            </a:schemeClr>
          </a:solid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tx1">
              <a:lumMod val="65000"/>
              <a:lumOff val="35000"/>
            </a:schemeClr>
          </a:solidFill>
          <a:ln w="19050">
            <a:solidFill>
              <a:schemeClr val="lt1"/>
            </a:solidFill>
          </a:ln>
          <a:effectLst>
            <a:innerShdw blurRad="114300">
              <a:schemeClr val="accent1"/>
            </a:innerShdw>
          </a:effectLst>
        </c:spPr>
      </c:pivotFmt>
      <c:pivotFmt>
        <c:idx val="174"/>
        <c:spPr>
          <a:solidFill>
            <a:schemeClr val="tx1">
              <a:lumMod val="65000"/>
              <a:lumOff val="35000"/>
            </a:schemeClr>
          </a:solidFill>
          <a:ln w="19050">
            <a:solidFill>
              <a:schemeClr val="lt1"/>
            </a:solidFill>
          </a:ln>
          <a:effectLst>
            <a:innerShdw blurRad="114300">
              <a:schemeClr val="accent1"/>
            </a:innerShdw>
          </a:effectLst>
        </c:spPr>
      </c:pivotFmt>
      <c:pivotFmt>
        <c:idx val="175"/>
        <c:spPr>
          <a:solidFill>
            <a:schemeClr val="tx1">
              <a:lumMod val="65000"/>
              <a:lumOff val="35000"/>
            </a:schemeClr>
          </a:solidFill>
          <a:ln w="19050">
            <a:solidFill>
              <a:schemeClr val="lt1"/>
            </a:solidFill>
          </a:ln>
          <a:effectLst>
            <a:innerShdw blurRad="114300">
              <a:schemeClr val="accent1"/>
            </a:innerShdw>
          </a:effectLst>
        </c:spPr>
      </c:pivotFmt>
      <c:pivotFmt>
        <c:idx val="176"/>
        <c:spPr>
          <a:solidFill>
            <a:schemeClr val="tx1">
              <a:lumMod val="65000"/>
              <a:lumOff val="35000"/>
            </a:schemeClr>
          </a:solidFill>
          <a:ln w="19050">
            <a:solidFill>
              <a:schemeClr val="lt1"/>
            </a:solidFill>
          </a:ln>
          <a:effectLst>
            <a:innerShdw blurRad="114300">
              <a:schemeClr val="accent1"/>
            </a:innerShdw>
          </a:effectLst>
        </c:spPr>
      </c:pivotFmt>
      <c:pivotFmt>
        <c:idx val="177"/>
        <c:spPr>
          <a:solidFill>
            <a:schemeClr val="tx1">
              <a:lumMod val="65000"/>
              <a:lumOff val="35000"/>
            </a:schemeClr>
          </a:solidFill>
          <a:ln w="19050">
            <a:solidFill>
              <a:schemeClr val="lt1"/>
            </a:solidFill>
          </a:ln>
          <a:effectLst>
            <a:innerShdw blurRad="114300">
              <a:schemeClr val="accent1"/>
            </a:innerShdw>
          </a:effectLst>
        </c:spPr>
      </c:pivotFmt>
      <c:pivotFmt>
        <c:idx val="178"/>
        <c:spPr>
          <a:solidFill>
            <a:schemeClr val="tx1">
              <a:lumMod val="65000"/>
              <a:lumOff val="35000"/>
            </a:schemeClr>
          </a:solidFill>
          <a:ln w="19050">
            <a:solidFill>
              <a:schemeClr val="lt1"/>
            </a:solidFill>
          </a:ln>
          <a:effectLst>
            <a:innerShdw blurRad="114300">
              <a:schemeClr val="accent1"/>
            </a:innerShdw>
          </a:effectLst>
        </c:spPr>
      </c:pivotFmt>
      <c:pivotFmt>
        <c:idx val="179"/>
        <c:spPr>
          <a:solidFill>
            <a:schemeClr val="tx1">
              <a:lumMod val="65000"/>
              <a:lumOff val="35000"/>
            </a:schemeClr>
          </a:solidFill>
          <a:ln w="19050">
            <a:solidFill>
              <a:schemeClr val="lt1"/>
            </a:solidFill>
          </a:ln>
          <a:effectLst>
            <a:innerShdw blurRad="114300">
              <a:schemeClr val="accent1"/>
            </a:innerShdw>
          </a:effectLst>
        </c:spPr>
      </c:pivotFmt>
      <c:pivotFmt>
        <c:idx val="180"/>
        <c:spPr>
          <a:solidFill>
            <a:schemeClr val="tx1">
              <a:lumMod val="65000"/>
              <a:lumOff val="35000"/>
            </a:schemeClr>
          </a:solidFill>
          <a:ln w="19050">
            <a:solidFill>
              <a:schemeClr val="lt1"/>
            </a:solidFill>
          </a:ln>
          <a:effectLst>
            <a:innerShdw blurRad="114300">
              <a:schemeClr val="accent1"/>
            </a:innerShdw>
          </a:effectLst>
        </c:spPr>
        <c:dLbl>
          <c:idx val="0"/>
          <c:layout>
            <c:manualLayout>
              <c:x val="2.7777777777777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tx1">
              <a:lumMod val="65000"/>
              <a:lumOff val="35000"/>
            </a:schemeClr>
          </a:solidFill>
          <a:ln w="19050">
            <a:solidFill>
              <a:schemeClr val="lt1"/>
            </a:solidFill>
          </a:ln>
          <a:effectLst>
            <a:innerShdw blurRad="114300">
              <a:schemeClr val="accent1"/>
            </a:innerShdw>
          </a:effectLst>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tx1">
              <a:lumMod val="65000"/>
              <a:lumOff val="35000"/>
            </a:schemeClr>
          </a:solidFill>
          <a:ln w="19050">
            <a:solidFill>
              <a:schemeClr val="lt1"/>
            </a:solidFill>
          </a:ln>
          <a:effectLst>
            <a:innerShdw blurRad="114300">
              <a:schemeClr val="accent1"/>
            </a:innerShdw>
          </a:effectLst>
        </c:spPr>
        <c:dLbl>
          <c:idx val="0"/>
          <c:layout>
            <c:manualLayout>
              <c:x val="-0.136111111111111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31802274715661"/>
          <c:y val="0.17913574442314104"/>
          <c:w val="0.65766819772528429"/>
          <c:h val="0.65961613051549517"/>
        </c:manualLayout>
      </c:layout>
      <c:barChart>
        <c:barDir val="bar"/>
        <c:grouping val="clustered"/>
        <c:varyColors val="0"/>
        <c:ser>
          <c:idx val="0"/>
          <c:order val="0"/>
          <c:tx>
            <c:strRef>
              <c:f>'Pivot Table'!$M$1</c:f>
              <c:strCache>
                <c:ptCount val="1"/>
                <c:pt idx="0">
                  <c:v>Total</c:v>
                </c:pt>
              </c:strCache>
            </c:strRef>
          </c:tx>
          <c:spPr>
            <a:solidFill>
              <a:schemeClr val="tx1">
                <a:lumMod val="65000"/>
                <a:lumOff val="35000"/>
              </a:schemeClr>
            </a:solidFill>
            <a:ln w="19050">
              <a:solidFill>
                <a:schemeClr val="lt1"/>
              </a:solidFill>
            </a:ln>
            <a:effectLst>
              <a:innerShdw blurRad="114300">
                <a:schemeClr val="accent1"/>
              </a:innerShdw>
            </a:effectLst>
          </c:spPr>
          <c:invertIfNegative val="0"/>
          <c:dPt>
            <c:idx val="0"/>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1-E6F3-4434-99E8-4C82BB30490D}"/>
              </c:ext>
            </c:extLst>
          </c:dPt>
          <c:dPt>
            <c:idx val="1"/>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3-E6F3-4434-99E8-4C82BB30490D}"/>
              </c:ext>
            </c:extLst>
          </c:dPt>
          <c:dPt>
            <c:idx val="2"/>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5-E6F3-4434-99E8-4C82BB30490D}"/>
              </c:ext>
            </c:extLst>
          </c:dPt>
          <c:dPt>
            <c:idx val="3"/>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7-E6F3-4434-99E8-4C82BB30490D}"/>
              </c:ext>
            </c:extLst>
          </c:dPt>
          <c:dPt>
            <c:idx val="4"/>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9-E6F3-4434-99E8-4C82BB30490D}"/>
              </c:ext>
            </c:extLst>
          </c:dPt>
          <c:dPt>
            <c:idx val="5"/>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B-E6F3-4434-99E8-4C82BB30490D}"/>
              </c:ext>
            </c:extLst>
          </c:dPt>
          <c:dPt>
            <c:idx val="6"/>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D-E6F3-4434-99E8-4C82BB30490D}"/>
              </c:ext>
            </c:extLst>
          </c:dPt>
          <c:dPt>
            <c:idx val="7"/>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0F-E6F3-4434-99E8-4C82BB30490D}"/>
              </c:ext>
            </c:extLst>
          </c:dPt>
          <c:dPt>
            <c:idx val="8"/>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11-E6F3-4434-99E8-4C82BB30490D}"/>
              </c:ext>
            </c:extLst>
          </c:dPt>
          <c:dPt>
            <c:idx val="9"/>
            <c:invertIfNegative val="0"/>
            <c:bubble3D val="0"/>
            <c:spPr>
              <a:solidFill>
                <a:schemeClr val="tx1">
                  <a:lumMod val="65000"/>
                  <a:lumOff val="35000"/>
                </a:schemeClr>
              </a:solidFill>
              <a:ln w="19050">
                <a:solidFill>
                  <a:schemeClr val="lt1"/>
                </a:solidFill>
              </a:ln>
              <a:effectLst>
                <a:innerShdw blurRad="114300">
                  <a:schemeClr val="accent1"/>
                </a:innerShdw>
              </a:effectLst>
            </c:spPr>
            <c:extLst>
              <c:ext xmlns:c16="http://schemas.microsoft.com/office/drawing/2014/chart" uri="{C3380CC4-5D6E-409C-BE32-E72D297353CC}">
                <c16:uniqueId val="{00000013-E6F3-4434-99E8-4C82BB30490D}"/>
              </c:ext>
            </c:extLst>
          </c:dPt>
          <c:dPt>
            <c:idx val="10"/>
            <c:invertIfNegative val="0"/>
            <c:bubble3D val="0"/>
            <c:extLst>
              <c:ext xmlns:c16="http://schemas.microsoft.com/office/drawing/2014/chart" uri="{C3380CC4-5D6E-409C-BE32-E72D297353CC}">
                <c16:uniqueId val="{00000014-E6F3-4434-99E8-4C82BB30490D}"/>
              </c:ext>
            </c:extLst>
          </c:dPt>
          <c:dPt>
            <c:idx val="11"/>
            <c:invertIfNegative val="0"/>
            <c:bubble3D val="0"/>
            <c:extLst>
              <c:ext xmlns:c16="http://schemas.microsoft.com/office/drawing/2014/chart" uri="{C3380CC4-5D6E-409C-BE32-E72D297353CC}">
                <c16:uniqueId val="{00000015-E6F3-4434-99E8-4C82BB30490D}"/>
              </c:ext>
            </c:extLst>
          </c:dPt>
          <c:dPt>
            <c:idx val="12"/>
            <c:invertIfNegative val="0"/>
            <c:bubble3D val="0"/>
            <c:extLst>
              <c:ext xmlns:c16="http://schemas.microsoft.com/office/drawing/2014/chart" uri="{C3380CC4-5D6E-409C-BE32-E72D297353CC}">
                <c16:uniqueId val="{00000016-E6F3-4434-99E8-4C82BB30490D}"/>
              </c:ext>
            </c:extLst>
          </c:dPt>
          <c:dPt>
            <c:idx val="13"/>
            <c:invertIfNegative val="0"/>
            <c:bubble3D val="0"/>
            <c:extLst>
              <c:ext xmlns:c16="http://schemas.microsoft.com/office/drawing/2014/chart" uri="{C3380CC4-5D6E-409C-BE32-E72D297353CC}">
                <c16:uniqueId val="{00000017-E6F3-4434-99E8-4C82BB30490D}"/>
              </c:ext>
            </c:extLst>
          </c:dPt>
          <c:dPt>
            <c:idx val="14"/>
            <c:invertIfNegative val="0"/>
            <c:bubble3D val="0"/>
            <c:extLst>
              <c:ext xmlns:c16="http://schemas.microsoft.com/office/drawing/2014/chart" uri="{C3380CC4-5D6E-409C-BE32-E72D297353CC}">
                <c16:uniqueId val="{00000018-E6F3-4434-99E8-4C82BB30490D}"/>
              </c:ext>
            </c:extLst>
          </c:dPt>
          <c:dPt>
            <c:idx val="15"/>
            <c:invertIfNegative val="0"/>
            <c:bubble3D val="0"/>
            <c:extLst>
              <c:ext xmlns:c16="http://schemas.microsoft.com/office/drawing/2014/chart" uri="{C3380CC4-5D6E-409C-BE32-E72D297353CC}">
                <c16:uniqueId val="{00000019-E6F3-4434-99E8-4C82BB30490D}"/>
              </c:ext>
            </c:extLst>
          </c:dPt>
          <c:dPt>
            <c:idx val="16"/>
            <c:invertIfNegative val="0"/>
            <c:bubble3D val="0"/>
            <c:extLst>
              <c:ext xmlns:c16="http://schemas.microsoft.com/office/drawing/2014/chart" uri="{C3380CC4-5D6E-409C-BE32-E72D297353CC}">
                <c16:uniqueId val="{0000001A-E6F3-4434-99E8-4C82BB30490D}"/>
              </c:ext>
            </c:extLst>
          </c:dPt>
          <c:dPt>
            <c:idx val="17"/>
            <c:invertIfNegative val="0"/>
            <c:bubble3D val="0"/>
            <c:extLst>
              <c:ext xmlns:c16="http://schemas.microsoft.com/office/drawing/2014/chart" uri="{C3380CC4-5D6E-409C-BE32-E72D297353CC}">
                <c16:uniqueId val="{0000001B-E6F3-4434-99E8-4C82BB30490D}"/>
              </c:ext>
            </c:extLst>
          </c:dPt>
          <c:dPt>
            <c:idx val="18"/>
            <c:invertIfNegative val="0"/>
            <c:bubble3D val="0"/>
            <c:extLst>
              <c:ext xmlns:c16="http://schemas.microsoft.com/office/drawing/2014/chart" uri="{C3380CC4-5D6E-409C-BE32-E72D297353CC}">
                <c16:uniqueId val="{0000001C-E6F3-4434-99E8-4C82BB30490D}"/>
              </c:ext>
            </c:extLst>
          </c:dPt>
          <c:dPt>
            <c:idx val="19"/>
            <c:invertIfNegative val="0"/>
            <c:bubble3D val="0"/>
            <c:extLst>
              <c:ext xmlns:c16="http://schemas.microsoft.com/office/drawing/2014/chart" uri="{C3380CC4-5D6E-409C-BE32-E72D297353CC}">
                <c16:uniqueId val="{0000001D-E6F3-4434-99E8-4C82BB30490D}"/>
              </c:ext>
            </c:extLst>
          </c:dPt>
          <c:dPt>
            <c:idx val="20"/>
            <c:invertIfNegative val="0"/>
            <c:bubble3D val="0"/>
            <c:extLst>
              <c:ext xmlns:c16="http://schemas.microsoft.com/office/drawing/2014/chart" uri="{C3380CC4-5D6E-409C-BE32-E72D297353CC}">
                <c16:uniqueId val="{0000001E-E6F3-4434-99E8-4C82BB30490D}"/>
              </c:ext>
            </c:extLst>
          </c:dPt>
          <c:dPt>
            <c:idx val="21"/>
            <c:invertIfNegative val="0"/>
            <c:bubble3D val="0"/>
            <c:extLst>
              <c:ext xmlns:c16="http://schemas.microsoft.com/office/drawing/2014/chart" uri="{C3380CC4-5D6E-409C-BE32-E72D297353CC}">
                <c16:uniqueId val="{0000001F-E6F3-4434-99E8-4C82BB30490D}"/>
              </c:ext>
            </c:extLst>
          </c:dPt>
          <c:dPt>
            <c:idx val="22"/>
            <c:invertIfNegative val="0"/>
            <c:bubble3D val="0"/>
            <c:extLst>
              <c:ext xmlns:c16="http://schemas.microsoft.com/office/drawing/2014/chart" uri="{C3380CC4-5D6E-409C-BE32-E72D297353CC}">
                <c16:uniqueId val="{00000020-E6F3-4434-99E8-4C82BB30490D}"/>
              </c:ext>
            </c:extLst>
          </c:dPt>
          <c:dPt>
            <c:idx val="23"/>
            <c:invertIfNegative val="0"/>
            <c:bubble3D val="0"/>
            <c:extLst>
              <c:ext xmlns:c16="http://schemas.microsoft.com/office/drawing/2014/chart" uri="{C3380CC4-5D6E-409C-BE32-E72D297353CC}">
                <c16:uniqueId val="{00000021-E6F3-4434-99E8-4C82BB30490D}"/>
              </c:ext>
            </c:extLst>
          </c:dPt>
          <c:dPt>
            <c:idx val="24"/>
            <c:invertIfNegative val="0"/>
            <c:bubble3D val="0"/>
            <c:extLst>
              <c:ext xmlns:c16="http://schemas.microsoft.com/office/drawing/2014/chart" uri="{C3380CC4-5D6E-409C-BE32-E72D297353CC}">
                <c16:uniqueId val="{00000022-E6F3-4434-99E8-4C82BB30490D}"/>
              </c:ext>
            </c:extLst>
          </c:dPt>
          <c:dPt>
            <c:idx val="25"/>
            <c:invertIfNegative val="0"/>
            <c:bubble3D val="0"/>
            <c:extLst>
              <c:ext xmlns:c16="http://schemas.microsoft.com/office/drawing/2014/chart" uri="{C3380CC4-5D6E-409C-BE32-E72D297353CC}">
                <c16:uniqueId val="{00000023-E6F3-4434-99E8-4C82BB30490D}"/>
              </c:ext>
            </c:extLst>
          </c:dPt>
          <c:dPt>
            <c:idx val="26"/>
            <c:invertIfNegative val="0"/>
            <c:bubble3D val="0"/>
            <c:extLst>
              <c:ext xmlns:c16="http://schemas.microsoft.com/office/drawing/2014/chart" uri="{C3380CC4-5D6E-409C-BE32-E72D297353CC}">
                <c16:uniqueId val="{00000024-E6F3-4434-99E8-4C82BB30490D}"/>
              </c:ext>
            </c:extLst>
          </c:dPt>
          <c:dPt>
            <c:idx val="27"/>
            <c:invertIfNegative val="0"/>
            <c:bubble3D val="0"/>
            <c:extLst>
              <c:ext xmlns:c16="http://schemas.microsoft.com/office/drawing/2014/chart" uri="{C3380CC4-5D6E-409C-BE32-E72D297353CC}">
                <c16:uniqueId val="{00000025-E6F3-4434-99E8-4C82BB30490D}"/>
              </c:ext>
            </c:extLst>
          </c:dPt>
          <c:dPt>
            <c:idx val="28"/>
            <c:invertIfNegative val="0"/>
            <c:bubble3D val="0"/>
            <c:extLst>
              <c:ext xmlns:c16="http://schemas.microsoft.com/office/drawing/2014/chart" uri="{C3380CC4-5D6E-409C-BE32-E72D297353CC}">
                <c16:uniqueId val="{00000026-E6F3-4434-99E8-4C82BB30490D}"/>
              </c:ext>
            </c:extLst>
          </c:dPt>
          <c:dPt>
            <c:idx val="29"/>
            <c:invertIfNegative val="0"/>
            <c:bubble3D val="0"/>
            <c:extLst>
              <c:ext xmlns:c16="http://schemas.microsoft.com/office/drawing/2014/chart" uri="{C3380CC4-5D6E-409C-BE32-E72D297353CC}">
                <c16:uniqueId val="{00000027-E6F3-4434-99E8-4C82BB30490D}"/>
              </c:ext>
            </c:extLst>
          </c:dPt>
          <c:dPt>
            <c:idx val="30"/>
            <c:invertIfNegative val="0"/>
            <c:bubble3D val="0"/>
            <c:extLst>
              <c:ext xmlns:c16="http://schemas.microsoft.com/office/drawing/2014/chart" uri="{C3380CC4-5D6E-409C-BE32-E72D297353CC}">
                <c16:uniqueId val="{00000028-E6F3-4434-99E8-4C82BB30490D}"/>
              </c:ext>
            </c:extLst>
          </c:dPt>
          <c:dPt>
            <c:idx val="31"/>
            <c:invertIfNegative val="0"/>
            <c:bubble3D val="0"/>
            <c:extLst>
              <c:ext xmlns:c16="http://schemas.microsoft.com/office/drawing/2014/chart" uri="{C3380CC4-5D6E-409C-BE32-E72D297353CC}">
                <c16:uniqueId val="{00000029-E6F3-4434-99E8-4C82BB30490D}"/>
              </c:ext>
            </c:extLst>
          </c:dPt>
          <c:dPt>
            <c:idx val="32"/>
            <c:invertIfNegative val="0"/>
            <c:bubble3D val="0"/>
            <c:extLst>
              <c:ext xmlns:c16="http://schemas.microsoft.com/office/drawing/2014/chart" uri="{C3380CC4-5D6E-409C-BE32-E72D297353CC}">
                <c16:uniqueId val="{0000002A-E6F3-4434-99E8-4C82BB30490D}"/>
              </c:ext>
            </c:extLst>
          </c:dPt>
          <c:dPt>
            <c:idx val="33"/>
            <c:invertIfNegative val="0"/>
            <c:bubble3D val="0"/>
            <c:extLst>
              <c:ext xmlns:c16="http://schemas.microsoft.com/office/drawing/2014/chart" uri="{C3380CC4-5D6E-409C-BE32-E72D297353CC}">
                <c16:uniqueId val="{0000002B-E6F3-4434-99E8-4C82BB30490D}"/>
              </c:ext>
            </c:extLst>
          </c:dPt>
          <c:dPt>
            <c:idx val="34"/>
            <c:invertIfNegative val="0"/>
            <c:bubble3D val="0"/>
            <c:extLst>
              <c:ext xmlns:c16="http://schemas.microsoft.com/office/drawing/2014/chart" uri="{C3380CC4-5D6E-409C-BE32-E72D297353CC}">
                <c16:uniqueId val="{0000002C-E6F3-4434-99E8-4C82BB30490D}"/>
              </c:ext>
            </c:extLst>
          </c:dPt>
          <c:dPt>
            <c:idx val="35"/>
            <c:invertIfNegative val="0"/>
            <c:bubble3D val="0"/>
            <c:extLst>
              <c:ext xmlns:c16="http://schemas.microsoft.com/office/drawing/2014/chart" uri="{C3380CC4-5D6E-409C-BE32-E72D297353CC}">
                <c16:uniqueId val="{0000002D-E6F3-4434-99E8-4C82BB30490D}"/>
              </c:ext>
            </c:extLst>
          </c:dPt>
          <c:dPt>
            <c:idx val="36"/>
            <c:invertIfNegative val="0"/>
            <c:bubble3D val="0"/>
            <c:extLst>
              <c:ext xmlns:c16="http://schemas.microsoft.com/office/drawing/2014/chart" uri="{C3380CC4-5D6E-409C-BE32-E72D297353CC}">
                <c16:uniqueId val="{0000002E-E6F3-4434-99E8-4C82BB30490D}"/>
              </c:ext>
            </c:extLst>
          </c:dPt>
          <c:dPt>
            <c:idx val="37"/>
            <c:invertIfNegative val="0"/>
            <c:bubble3D val="0"/>
            <c:extLst>
              <c:ext xmlns:c16="http://schemas.microsoft.com/office/drawing/2014/chart" uri="{C3380CC4-5D6E-409C-BE32-E72D297353CC}">
                <c16:uniqueId val="{0000002F-E6F3-4434-99E8-4C82BB30490D}"/>
              </c:ext>
            </c:extLst>
          </c:dPt>
          <c:dPt>
            <c:idx val="38"/>
            <c:invertIfNegative val="0"/>
            <c:bubble3D val="0"/>
            <c:extLst>
              <c:ext xmlns:c16="http://schemas.microsoft.com/office/drawing/2014/chart" uri="{C3380CC4-5D6E-409C-BE32-E72D297353CC}">
                <c16:uniqueId val="{00000030-E6F3-4434-99E8-4C82BB30490D}"/>
              </c:ext>
            </c:extLst>
          </c:dPt>
          <c:dPt>
            <c:idx val="39"/>
            <c:invertIfNegative val="0"/>
            <c:bubble3D val="0"/>
            <c:extLst>
              <c:ext xmlns:c16="http://schemas.microsoft.com/office/drawing/2014/chart" uri="{C3380CC4-5D6E-409C-BE32-E72D297353CC}">
                <c16:uniqueId val="{00000031-E6F3-4434-99E8-4C82BB30490D}"/>
              </c:ext>
            </c:extLst>
          </c:dPt>
          <c:dPt>
            <c:idx val="40"/>
            <c:invertIfNegative val="0"/>
            <c:bubble3D val="0"/>
            <c:extLst>
              <c:ext xmlns:c16="http://schemas.microsoft.com/office/drawing/2014/chart" uri="{C3380CC4-5D6E-409C-BE32-E72D297353CC}">
                <c16:uniqueId val="{00000032-E6F3-4434-99E8-4C82BB30490D}"/>
              </c:ext>
            </c:extLst>
          </c:dPt>
          <c:dPt>
            <c:idx val="41"/>
            <c:invertIfNegative val="0"/>
            <c:bubble3D val="0"/>
            <c:extLst>
              <c:ext xmlns:c16="http://schemas.microsoft.com/office/drawing/2014/chart" uri="{C3380CC4-5D6E-409C-BE32-E72D297353CC}">
                <c16:uniqueId val="{00000033-E6F3-4434-99E8-4C82BB30490D}"/>
              </c:ext>
            </c:extLst>
          </c:dPt>
          <c:dPt>
            <c:idx val="42"/>
            <c:invertIfNegative val="0"/>
            <c:bubble3D val="0"/>
            <c:extLst>
              <c:ext xmlns:c16="http://schemas.microsoft.com/office/drawing/2014/chart" uri="{C3380CC4-5D6E-409C-BE32-E72D297353CC}">
                <c16:uniqueId val="{00000034-E6F3-4434-99E8-4C82BB30490D}"/>
              </c:ext>
            </c:extLst>
          </c:dPt>
          <c:dPt>
            <c:idx val="43"/>
            <c:invertIfNegative val="0"/>
            <c:bubble3D val="0"/>
            <c:extLst>
              <c:ext xmlns:c16="http://schemas.microsoft.com/office/drawing/2014/chart" uri="{C3380CC4-5D6E-409C-BE32-E72D297353CC}">
                <c16:uniqueId val="{00000035-E6F3-4434-99E8-4C82BB30490D}"/>
              </c:ext>
            </c:extLst>
          </c:dPt>
          <c:dPt>
            <c:idx val="44"/>
            <c:invertIfNegative val="0"/>
            <c:bubble3D val="0"/>
            <c:extLst>
              <c:ext xmlns:c16="http://schemas.microsoft.com/office/drawing/2014/chart" uri="{C3380CC4-5D6E-409C-BE32-E72D297353CC}">
                <c16:uniqueId val="{00000036-E6F3-4434-99E8-4C82BB30490D}"/>
              </c:ext>
            </c:extLst>
          </c:dPt>
          <c:dPt>
            <c:idx val="45"/>
            <c:invertIfNegative val="0"/>
            <c:bubble3D val="0"/>
            <c:extLst>
              <c:ext xmlns:c16="http://schemas.microsoft.com/office/drawing/2014/chart" uri="{C3380CC4-5D6E-409C-BE32-E72D297353CC}">
                <c16:uniqueId val="{00000037-E6F3-4434-99E8-4C82BB30490D}"/>
              </c:ext>
            </c:extLst>
          </c:dPt>
          <c:dPt>
            <c:idx val="46"/>
            <c:invertIfNegative val="0"/>
            <c:bubble3D val="0"/>
            <c:extLst>
              <c:ext xmlns:c16="http://schemas.microsoft.com/office/drawing/2014/chart" uri="{C3380CC4-5D6E-409C-BE32-E72D297353CC}">
                <c16:uniqueId val="{00000038-E6F3-4434-99E8-4C82BB30490D}"/>
              </c:ext>
            </c:extLst>
          </c:dPt>
          <c:dPt>
            <c:idx val="47"/>
            <c:invertIfNegative val="0"/>
            <c:bubble3D val="0"/>
            <c:extLst>
              <c:ext xmlns:c16="http://schemas.microsoft.com/office/drawing/2014/chart" uri="{C3380CC4-5D6E-409C-BE32-E72D297353CC}">
                <c16:uniqueId val="{00000039-E6F3-4434-99E8-4C82BB30490D}"/>
              </c:ext>
            </c:extLst>
          </c:dPt>
          <c:dPt>
            <c:idx val="48"/>
            <c:invertIfNegative val="0"/>
            <c:bubble3D val="0"/>
            <c:extLst>
              <c:ext xmlns:c16="http://schemas.microsoft.com/office/drawing/2014/chart" uri="{C3380CC4-5D6E-409C-BE32-E72D297353CC}">
                <c16:uniqueId val="{0000003A-E6F3-4434-99E8-4C82BB30490D}"/>
              </c:ext>
            </c:extLst>
          </c:dPt>
          <c:dPt>
            <c:idx val="49"/>
            <c:invertIfNegative val="0"/>
            <c:bubble3D val="0"/>
            <c:extLst>
              <c:ext xmlns:c16="http://schemas.microsoft.com/office/drawing/2014/chart" uri="{C3380CC4-5D6E-409C-BE32-E72D297353CC}">
                <c16:uniqueId val="{0000003B-E6F3-4434-99E8-4C82BB30490D}"/>
              </c:ext>
            </c:extLst>
          </c:dPt>
          <c:dPt>
            <c:idx val="50"/>
            <c:invertIfNegative val="0"/>
            <c:bubble3D val="0"/>
            <c:extLst>
              <c:ext xmlns:c16="http://schemas.microsoft.com/office/drawing/2014/chart" uri="{C3380CC4-5D6E-409C-BE32-E72D297353CC}">
                <c16:uniqueId val="{0000003C-E6F3-4434-99E8-4C82BB30490D}"/>
              </c:ext>
            </c:extLst>
          </c:dPt>
          <c:dPt>
            <c:idx val="51"/>
            <c:invertIfNegative val="0"/>
            <c:bubble3D val="0"/>
            <c:extLst>
              <c:ext xmlns:c16="http://schemas.microsoft.com/office/drawing/2014/chart" uri="{C3380CC4-5D6E-409C-BE32-E72D297353CC}">
                <c16:uniqueId val="{0000003D-E6F3-4434-99E8-4C82BB30490D}"/>
              </c:ext>
            </c:extLst>
          </c:dPt>
          <c:dPt>
            <c:idx val="52"/>
            <c:invertIfNegative val="0"/>
            <c:bubble3D val="0"/>
            <c:extLst>
              <c:ext xmlns:c16="http://schemas.microsoft.com/office/drawing/2014/chart" uri="{C3380CC4-5D6E-409C-BE32-E72D297353CC}">
                <c16:uniqueId val="{0000003E-E6F3-4434-99E8-4C82BB30490D}"/>
              </c:ext>
            </c:extLst>
          </c:dPt>
          <c:dPt>
            <c:idx val="53"/>
            <c:invertIfNegative val="0"/>
            <c:bubble3D val="0"/>
            <c:extLst>
              <c:ext xmlns:c16="http://schemas.microsoft.com/office/drawing/2014/chart" uri="{C3380CC4-5D6E-409C-BE32-E72D297353CC}">
                <c16:uniqueId val="{0000003F-E6F3-4434-99E8-4C82BB30490D}"/>
              </c:ext>
            </c:extLst>
          </c:dPt>
          <c:dPt>
            <c:idx val="54"/>
            <c:invertIfNegative val="0"/>
            <c:bubble3D val="0"/>
            <c:extLst>
              <c:ext xmlns:c16="http://schemas.microsoft.com/office/drawing/2014/chart" uri="{C3380CC4-5D6E-409C-BE32-E72D297353CC}">
                <c16:uniqueId val="{00000040-E6F3-4434-99E8-4C82BB30490D}"/>
              </c:ext>
            </c:extLst>
          </c:dPt>
          <c:dPt>
            <c:idx val="55"/>
            <c:invertIfNegative val="0"/>
            <c:bubble3D val="0"/>
            <c:extLst>
              <c:ext xmlns:c16="http://schemas.microsoft.com/office/drawing/2014/chart" uri="{C3380CC4-5D6E-409C-BE32-E72D297353CC}">
                <c16:uniqueId val="{00000041-E6F3-4434-99E8-4C82BB30490D}"/>
              </c:ext>
            </c:extLst>
          </c:dPt>
          <c:dPt>
            <c:idx val="56"/>
            <c:invertIfNegative val="0"/>
            <c:bubble3D val="0"/>
            <c:extLst>
              <c:ext xmlns:c16="http://schemas.microsoft.com/office/drawing/2014/chart" uri="{C3380CC4-5D6E-409C-BE32-E72D297353CC}">
                <c16:uniqueId val="{00000042-E6F3-4434-99E8-4C82BB30490D}"/>
              </c:ext>
            </c:extLst>
          </c:dPt>
          <c:dPt>
            <c:idx val="57"/>
            <c:invertIfNegative val="0"/>
            <c:bubble3D val="0"/>
            <c:extLst>
              <c:ext xmlns:c16="http://schemas.microsoft.com/office/drawing/2014/chart" uri="{C3380CC4-5D6E-409C-BE32-E72D297353CC}">
                <c16:uniqueId val="{00000043-E6F3-4434-99E8-4C82BB30490D}"/>
              </c:ext>
            </c:extLst>
          </c:dPt>
          <c:dPt>
            <c:idx val="58"/>
            <c:invertIfNegative val="0"/>
            <c:bubble3D val="0"/>
            <c:extLst>
              <c:ext xmlns:c16="http://schemas.microsoft.com/office/drawing/2014/chart" uri="{C3380CC4-5D6E-409C-BE32-E72D297353CC}">
                <c16:uniqueId val="{00000044-E6F3-4434-99E8-4C82BB30490D}"/>
              </c:ext>
            </c:extLst>
          </c:dPt>
          <c:dPt>
            <c:idx val="59"/>
            <c:invertIfNegative val="0"/>
            <c:bubble3D val="0"/>
            <c:extLst>
              <c:ext xmlns:c16="http://schemas.microsoft.com/office/drawing/2014/chart" uri="{C3380CC4-5D6E-409C-BE32-E72D297353CC}">
                <c16:uniqueId val="{00000045-E6F3-4434-99E8-4C82BB30490D}"/>
              </c:ext>
            </c:extLst>
          </c:dPt>
          <c:dPt>
            <c:idx val="60"/>
            <c:invertIfNegative val="0"/>
            <c:bubble3D val="0"/>
            <c:extLst>
              <c:ext xmlns:c16="http://schemas.microsoft.com/office/drawing/2014/chart" uri="{C3380CC4-5D6E-409C-BE32-E72D297353CC}">
                <c16:uniqueId val="{00000046-E6F3-4434-99E8-4C82BB30490D}"/>
              </c:ext>
            </c:extLst>
          </c:dPt>
          <c:dPt>
            <c:idx val="61"/>
            <c:invertIfNegative val="0"/>
            <c:bubble3D val="0"/>
            <c:extLst>
              <c:ext xmlns:c16="http://schemas.microsoft.com/office/drawing/2014/chart" uri="{C3380CC4-5D6E-409C-BE32-E72D297353CC}">
                <c16:uniqueId val="{00000047-E6F3-4434-99E8-4C82BB30490D}"/>
              </c:ext>
            </c:extLst>
          </c:dPt>
          <c:dPt>
            <c:idx val="62"/>
            <c:invertIfNegative val="0"/>
            <c:bubble3D val="0"/>
            <c:extLst>
              <c:ext xmlns:c16="http://schemas.microsoft.com/office/drawing/2014/chart" uri="{C3380CC4-5D6E-409C-BE32-E72D297353CC}">
                <c16:uniqueId val="{00000048-E6F3-4434-99E8-4C82BB30490D}"/>
              </c:ext>
            </c:extLst>
          </c:dPt>
          <c:dPt>
            <c:idx val="63"/>
            <c:invertIfNegative val="0"/>
            <c:bubble3D val="0"/>
            <c:extLst>
              <c:ext xmlns:c16="http://schemas.microsoft.com/office/drawing/2014/chart" uri="{C3380CC4-5D6E-409C-BE32-E72D297353CC}">
                <c16:uniqueId val="{00000049-E6F3-4434-99E8-4C82BB30490D}"/>
              </c:ext>
            </c:extLst>
          </c:dPt>
          <c:dPt>
            <c:idx val="64"/>
            <c:invertIfNegative val="0"/>
            <c:bubble3D val="0"/>
            <c:extLst>
              <c:ext xmlns:c16="http://schemas.microsoft.com/office/drawing/2014/chart" uri="{C3380CC4-5D6E-409C-BE32-E72D297353CC}">
                <c16:uniqueId val="{0000004A-E6F3-4434-99E8-4C82BB30490D}"/>
              </c:ext>
            </c:extLst>
          </c:dPt>
          <c:dPt>
            <c:idx val="65"/>
            <c:invertIfNegative val="0"/>
            <c:bubble3D val="0"/>
            <c:extLst>
              <c:ext xmlns:c16="http://schemas.microsoft.com/office/drawing/2014/chart" uri="{C3380CC4-5D6E-409C-BE32-E72D297353CC}">
                <c16:uniqueId val="{0000004B-E6F3-4434-99E8-4C82BB30490D}"/>
              </c:ext>
            </c:extLst>
          </c:dPt>
          <c:dPt>
            <c:idx val="66"/>
            <c:invertIfNegative val="0"/>
            <c:bubble3D val="0"/>
            <c:extLst>
              <c:ext xmlns:c16="http://schemas.microsoft.com/office/drawing/2014/chart" uri="{C3380CC4-5D6E-409C-BE32-E72D297353CC}">
                <c16:uniqueId val="{0000004C-E6F3-4434-99E8-4C82BB30490D}"/>
              </c:ext>
            </c:extLst>
          </c:dPt>
          <c:dPt>
            <c:idx val="67"/>
            <c:invertIfNegative val="0"/>
            <c:bubble3D val="0"/>
            <c:extLst>
              <c:ext xmlns:c16="http://schemas.microsoft.com/office/drawing/2014/chart" uri="{C3380CC4-5D6E-409C-BE32-E72D297353CC}">
                <c16:uniqueId val="{0000004D-E6F3-4434-99E8-4C82BB30490D}"/>
              </c:ext>
            </c:extLst>
          </c:dPt>
          <c:dPt>
            <c:idx val="68"/>
            <c:invertIfNegative val="0"/>
            <c:bubble3D val="0"/>
            <c:extLst>
              <c:ext xmlns:c16="http://schemas.microsoft.com/office/drawing/2014/chart" uri="{C3380CC4-5D6E-409C-BE32-E72D297353CC}">
                <c16:uniqueId val="{0000004E-E6F3-4434-99E8-4C82BB30490D}"/>
              </c:ext>
            </c:extLst>
          </c:dPt>
          <c:dPt>
            <c:idx val="69"/>
            <c:invertIfNegative val="0"/>
            <c:bubble3D val="0"/>
            <c:extLst>
              <c:ext xmlns:c16="http://schemas.microsoft.com/office/drawing/2014/chart" uri="{C3380CC4-5D6E-409C-BE32-E72D297353CC}">
                <c16:uniqueId val="{0000004F-E6F3-4434-99E8-4C82BB30490D}"/>
              </c:ext>
            </c:extLst>
          </c:dPt>
          <c:dPt>
            <c:idx val="70"/>
            <c:invertIfNegative val="0"/>
            <c:bubble3D val="0"/>
            <c:extLst>
              <c:ext xmlns:c16="http://schemas.microsoft.com/office/drawing/2014/chart" uri="{C3380CC4-5D6E-409C-BE32-E72D297353CC}">
                <c16:uniqueId val="{00000050-E6F3-4434-99E8-4C82BB30490D}"/>
              </c:ext>
            </c:extLst>
          </c:dPt>
          <c:dPt>
            <c:idx val="71"/>
            <c:invertIfNegative val="0"/>
            <c:bubble3D val="0"/>
            <c:extLst>
              <c:ext xmlns:c16="http://schemas.microsoft.com/office/drawing/2014/chart" uri="{C3380CC4-5D6E-409C-BE32-E72D297353CC}">
                <c16:uniqueId val="{00000051-E6F3-4434-99E8-4C82BB30490D}"/>
              </c:ext>
            </c:extLst>
          </c:dPt>
          <c:dPt>
            <c:idx val="72"/>
            <c:invertIfNegative val="0"/>
            <c:bubble3D val="0"/>
            <c:extLst>
              <c:ext xmlns:c16="http://schemas.microsoft.com/office/drawing/2014/chart" uri="{C3380CC4-5D6E-409C-BE32-E72D297353CC}">
                <c16:uniqueId val="{00000052-E6F3-4434-99E8-4C82BB30490D}"/>
              </c:ext>
            </c:extLst>
          </c:dPt>
          <c:dPt>
            <c:idx val="73"/>
            <c:invertIfNegative val="0"/>
            <c:bubble3D val="0"/>
            <c:extLst>
              <c:ext xmlns:c16="http://schemas.microsoft.com/office/drawing/2014/chart" uri="{C3380CC4-5D6E-409C-BE32-E72D297353CC}">
                <c16:uniqueId val="{00000053-E6F3-4434-99E8-4C82BB30490D}"/>
              </c:ext>
            </c:extLst>
          </c:dPt>
          <c:dPt>
            <c:idx val="74"/>
            <c:invertIfNegative val="0"/>
            <c:bubble3D val="0"/>
            <c:extLst>
              <c:ext xmlns:c16="http://schemas.microsoft.com/office/drawing/2014/chart" uri="{C3380CC4-5D6E-409C-BE32-E72D297353CC}">
                <c16:uniqueId val="{00000054-E6F3-4434-99E8-4C82BB30490D}"/>
              </c:ext>
            </c:extLst>
          </c:dPt>
          <c:dPt>
            <c:idx val="75"/>
            <c:invertIfNegative val="0"/>
            <c:bubble3D val="0"/>
            <c:extLst>
              <c:ext xmlns:c16="http://schemas.microsoft.com/office/drawing/2014/chart" uri="{C3380CC4-5D6E-409C-BE32-E72D297353CC}">
                <c16:uniqueId val="{00000055-E6F3-4434-99E8-4C82BB30490D}"/>
              </c:ext>
            </c:extLst>
          </c:dPt>
          <c:dPt>
            <c:idx val="76"/>
            <c:invertIfNegative val="0"/>
            <c:bubble3D val="0"/>
            <c:extLst>
              <c:ext xmlns:c16="http://schemas.microsoft.com/office/drawing/2014/chart" uri="{C3380CC4-5D6E-409C-BE32-E72D297353CC}">
                <c16:uniqueId val="{00000056-E6F3-4434-99E8-4C82BB30490D}"/>
              </c:ext>
            </c:extLst>
          </c:dPt>
          <c:dPt>
            <c:idx val="77"/>
            <c:invertIfNegative val="0"/>
            <c:bubble3D val="0"/>
            <c:extLst>
              <c:ext xmlns:c16="http://schemas.microsoft.com/office/drawing/2014/chart" uri="{C3380CC4-5D6E-409C-BE32-E72D297353CC}">
                <c16:uniqueId val="{00000057-E6F3-4434-99E8-4C82BB30490D}"/>
              </c:ext>
            </c:extLst>
          </c:dPt>
          <c:dPt>
            <c:idx val="78"/>
            <c:invertIfNegative val="0"/>
            <c:bubble3D val="0"/>
            <c:extLst>
              <c:ext xmlns:c16="http://schemas.microsoft.com/office/drawing/2014/chart" uri="{C3380CC4-5D6E-409C-BE32-E72D297353CC}">
                <c16:uniqueId val="{00000058-E6F3-4434-99E8-4C82BB30490D}"/>
              </c:ext>
            </c:extLst>
          </c:dPt>
          <c:dLbls>
            <c:dLbl>
              <c:idx val="7"/>
              <c:layout>
                <c:manualLayout>
                  <c:x val="2.777777777777772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F3-4434-99E8-4C82BB30490D}"/>
                </c:ext>
              </c:extLst>
            </c:dLbl>
            <c:dLbl>
              <c:idx val="8"/>
              <c:layout>
                <c:manualLayout>
                  <c:x val="1.388888888888888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F3-4434-99E8-4C82BB30490D}"/>
                </c:ext>
              </c:extLst>
            </c:dLbl>
            <c:dLbl>
              <c:idx val="9"/>
              <c:layout>
                <c:manualLayout>
                  <c:x val="-0.1361111111111112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6F3-4434-99E8-4C82BB3049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Table'!$L$2:$L$12</c:f>
              <c:strCache>
                <c:ptCount val="10"/>
                <c:pt idx="0">
                  <c:v>Canada</c:v>
                </c:pt>
                <c:pt idx="1">
                  <c:v>Hong Kong</c:v>
                </c:pt>
                <c:pt idx="2">
                  <c:v>Russia</c:v>
                </c:pt>
                <c:pt idx="3">
                  <c:v>United Kingdom</c:v>
                </c:pt>
                <c:pt idx="4">
                  <c:v>Switzerland</c:v>
                </c:pt>
                <c:pt idx="5">
                  <c:v>Germany</c:v>
                </c:pt>
                <c:pt idx="6">
                  <c:v>France</c:v>
                </c:pt>
                <c:pt idx="7">
                  <c:v>India</c:v>
                </c:pt>
                <c:pt idx="8">
                  <c:v>China</c:v>
                </c:pt>
                <c:pt idx="9">
                  <c:v>United States</c:v>
                </c:pt>
              </c:strCache>
            </c:strRef>
          </c:cat>
          <c:val>
            <c:numRef>
              <c:f>'Pivot Table'!$M$2:$M$12</c:f>
              <c:numCache>
                <c:formatCode>[$$-1009]#,##0</c:formatCode>
                <c:ptCount val="10"/>
                <c:pt idx="0">
                  <c:v>173900</c:v>
                </c:pt>
                <c:pt idx="1">
                  <c:v>321500</c:v>
                </c:pt>
                <c:pt idx="2">
                  <c:v>351000</c:v>
                </c:pt>
                <c:pt idx="3">
                  <c:v>370700</c:v>
                </c:pt>
                <c:pt idx="4">
                  <c:v>409900</c:v>
                </c:pt>
                <c:pt idx="5">
                  <c:v>462100</c:v>
                </c:pt>
                <c:pt idx="6">
                  <c:v>499500</c:v>
                </c:pt>
                <c:pt idx="7">
                  <c:v>628700</c:v>
                </c:pt>
                <c:pt idx="8">
                  <c:v>1805500</c:v>
                </c:pt>
                <c:pt idx="9">
                  <c:v>4575100</c:v>
                </c:pt>
              </c:numCache>
            </c:numRef>
          </c:val>
          <c:extLst>
            <c:ext xmlns:c16="http://schemas.microsoft.com/office/drawing/2014/chart" uri="{C3380CC4-5D6E-409C-BE32-E72D297353CC}">
              <c16:uniqueId val="{00000059-E6F3-4434-99E8-4C82BB30490D}"/>
            </c:ext>
          </c:extLst>
        </c:ser>
        <c:dLbls>
          <c:dLblPos val="outEnd"/>
          <c:showLegendKey val="0"/>
          <c:showVal val="1"/>
          <c:showCatName val="0"/>
          <c:showSerName val="0"/>
          <c:showPercent val="0"/>
          <c:showBubbleSize val="0"/>
        </c:dLbls>
        <c:gapWidth val="33"/>
        <c:axId val="979448207"/>
        <c:axId val="979437647"/>
      </c:barChart>
      <c:valAx>
        <c:axId val="9794376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GB">
                    <a:solidFill>
                      <a:schemeClr val="bg1"/>
                    </a:solidFill>
                  </a:rPr>
                  <a:t>Net</a:t>
                </a:r>
                <a:r>
                  <a:rPr lang="en-GB" baseline="0">
                    <a:solidFill>
                      <a:schemeClr val="bg1"/>
                    </a:solidFill>
                  </a:rPr>
                  <a:t> Worth</a:t>
                </a:r>
                <a:endParaRPr lang="en-GB">
                  <a:solidFill>
                    <a:schemeClr val="bg1"/>
                  </a:solidFill>
                </a:endParaRPr>
              </a:p>
            </c:rich>
          </c:tx>
          <c:layout>
            <c:manualLayout>
              <c:xMode val="edge"/>
              <c:yMode val="edge"/>
              <c:x val="0.51537423447069119"/>
              <c:y val="0.908505586822984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GB"/>
            </a:p>
          </c:txPr>
        </c:title>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448207"/>
        <c:crosses val="autoZero"/>
        <c:crossBetween val="between"/>
      </c:valAx>
      <c:catAx>
        <c:axId val="97944820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GB">
                    <a:solidFill>
                      <a:schemeClr val="bg1"/>
                    </a:solidFill>
                  </a:rPr>
                  <a:t> Country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4376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Table!PivotTable14</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bg1"/>
                </a:solidFill>
              </a:rPr>
              <a:t>NET</a:t>
            </a:r>
            <a:r>
              <a:rPr lang="en-US" sz="1600" b="1" baseline="0">
                <a:solidFill>
                  <a:schemeClr val="bg1"/>
                </a:solidFill>
              </a:rPr>
              <a:t> WORTH BY STATUS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3173806331786129E-3"/>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6586903165893064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6586903165893064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6586903165893064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01662772140761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Table'!$V$1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784-4571-B283-BD1919E72F1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784-4571-B283-BD1919E72F14}"/>
              </c:ext>
            </c:extLst>
          </c:dPt>
          <c:dLbls>
            <c:dLbl>
              <c:idx val="0"/>
              <c:layout>
                <c:manualLayout>
                  <c:x val="0"/>
                  <c:y val="0.1016627721407617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84-4571-B283-BD1919E72F14}"/>
                </c:ext>
              </c:extLst>
            </c:dLbl>
            <c:dLbl>
              <c:idx val="1"/>
              <c:layout>
                <c:manualLayout>
                  <c:x val="2.6586903165893064E-3"/>
                  <c:y val="0.13888888888888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84-4571-B283-BD1919E72F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Table'!$U$2:$U$4</c:f>
              <c:strCache>
                <c:ptCount val="2"/>
                <c:pt idx="0">
                  <c:v>FALSE</c:v>
                </c:pt>
                <c:pt idx="1">
                  <c:v>TRUE</c:v>
                </c:pt>
              </c:strCache>
            </c:strRef>
          </c:cat>
          <c:val>
            <c:numRef>
              <c:f>'Pivot Table'!$V$2:$V$4</c:f>
              <c:numCache>
                <c:formatCode>[$$-1009]#,##0</c:formatCode>
                <c:ptCount val="2"/>
                <c:pt idx="0">
                  <c:v>4115500</c:v>
                </c:pt>
                <c:pt idx="1">
                  <c:v>8091300</c:v>
                </c:pt>
              </c:numCache>
            </c:numRef>
          </c:val>
          <c:extLst>
            <c:ext xmlns:c16="http://schemas.microsoft.com/office/drawing/2014/chart" uri="{C3380CC4-5D6E-409C-BE32-E72D297353CC}">
              <c16:uniqueId val="{00000002-E784-4571-B283-BD1919E72F14}"/>
            </c:ext>
          </c:extLst>
        </c:ser>
        <c:dLbls>
          <c:showLegendKey val="0"/>
          <c:showVal val="0"/>
          <c:showCatName val="0"/>
          <c:showSerName val="0"/>
          <c:showPercent val="0"/>
          <c:showBubbleSize val="0"/>
        </c:dLbls>
        <c:gapWidth val="150"/>
        <c:axId val="1769079632"/>
        <c:axId val="1769063312"/>
      </c:barChart>
      <c:catAx>
        <c:axId val="1769079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chemeClr val="bg1"/>
                    </a:solidFill>
                  </a:rPr>
                  <a:t>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9063312"/>
        <c:crosses val="autoZero"/>
        <c:auto val="1"/>
        <c:lblAlgn val="ctr"/>
        <c:lblOffset val="100"/>
        <c:noMultiLvlLbl val="0"/>
      </c:catAx>
      <c:valAx>
        <c:axId val="1769063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Net</a:t>
                </a:r>
                <a:r>
                  <a:rPr lang="en-GB" baseline="0">
                    <a:solidFill>
                      <a:schemeClr val="bg1"/>
                    </a:solidFill>
                  </a:rPr>
                  <a:t> Worth</a:t>
                </a:r>
                <a:endParaRPr lang="en-GB">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GB"/>
            </a:p>
          </c:txPr>
        </c:title>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907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WORTH BY INDUSTRIES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1750790751014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7784113638874"/>
              <c:y val="-3.90256935038934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4136632907584"/>
              <c:y val="-3.90256935038934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41366329075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6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07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18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6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145899229251187"/>
              <c:y val="-7.805138700778688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18E-2"/>
              <c:y val="-4.25739756349488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18E-2"/>
              <c:y val="-4.25739756349488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145899229251187"/>
              <c:y val="-7.805138700778688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6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18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07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6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41366329075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4136632907584"/>
              <c:y val="-3.90256935038934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7784113638874"/>
              <c:y val="-3.90256935038934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1750790751014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18E-2"/>
              <c:y val="-4.25739756349488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145899229251187"/>
              <c:y val="-7.805138700778688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6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18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07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92251748519916E-2"/>
              <c:y val="4.2573975634947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41366329075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4136632907584"/>
              <c:y val="-3.90256935038934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7784113638874"/>
              <c:y val="-3.90256935038934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41781649936558"/>
              <c:y val="2.118461010106036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54903599096828"/>
          <c:y val="0.18188743135470128"/>
          <c:w val="0.5760191010427399"/>
          <c:h val="0.62965204972057998"/>
        </c:manualLayout>
      </c:layout>
      <c:barChart>
        <c:barDir val="bar"/>
        <c:grouping val="clustered"/>
        <c:varyColors val="0"/>
        <c:ser>
          <c:idx val="0"/>
          <c:order val="0"/>
          <c:tx>
            <c:strRef>
              <c:f>'Pivot Table'!$P$1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11-4F56-B96E-E6B50D22FD3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11-4F56-B96E-E6B50D22FD3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11-4F56-B96E-E6B50D22FD3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511-4F56-B96E-E6B50D22FD39}"/>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511-4F56-B96E-E6B50D22FD39}"/>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511-4F56-B96E-E6B50D22FD39}"/>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511-4F56-B96E-E6B50D22FD39}"/>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511-4F56-B96E-E6B50D22FD39}"/>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511-4F56-B96E-E6B50D22FD39}"/>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511-4F56-B96E-E6B50D22FD39}"/>
              </c:ext>
            </c:extLst>
          </c:dPt>
          <c:dLbls>
            <c:dLbl>
              <c:idx val="0"/>
              <c:layout>
                <c:manualLayout>
                  <c:x val="-9.8922517485199118E-2"/>
                  <c:y val="-4.25739756349488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11-4F56-B96E-E6B50D22FD39}"/>
                </c:ext>
              </c:extLst>
            </c:dLbl>
            <c:dLbl>
              <c:idx val="1"/>
              <c:layout>
                <c:manualLayout>
                  <c:x val="-0.10145899229251187"/>
                  <c:y val="-7.805138700778688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11-4F56-B96E-E6B50D22FD39}"/>
                </c:ext>
              </c:extLst>
            </c:dLbl>
            <c:dLbl>
              <c:idx val="2"/>
              <c:layout>
                <c:manualLayout>
                  <c:x val="-9.892251748519916E-2"/>
                  <c:y val="4.2573975634947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11-4F56-B96E-E6B50D22FD39}"/>
                </c:ext>
              </c:extLst>
            </c:dLbl>
            <c:dLbl>
              <c:idx val="3"/>
              <c:layout>
                <c:manualLayout>
                  <c:x val="-9.8922517485199118E-2"/>
                  <c:y val="4.2573975634947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11-4F56-B96E-E6B50D22FD39}"/>
                </c:ext>
              </c:extLst>
            </c:dLbl>
            <c:dLbl>
              <c:idx val="4"/>
              <c:layout>
                <c:manualLayout>
                  <c:x val="-9.892251748519907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11-4F56-B96E-E6B50D22FD39}"/>
                </c:ext>
              </c:extLst>
            </c:dLbl>
            <c:dLbl>
              <c:idx val="5"/>
              <c:layout>
                <c:manualLayout>
                  <c:x val="-9.892251748519916E-2"/>
                  <c:y val="4.2573975634947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11-4F56-B96E-E6B50D22FD39}"/>
                </c:ext>
              </c:extLst>
            </c:dLbl>
            <c:dLbl>
              <c:idx val="6"/>
              <c:layout>
                <c:manualLayout>
                  <c:x val="-0.1141413663290758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511-4F56-B96E-E6B50D22FD39}"/>
                </c:ext>
              </c:extLst>
            </c:dLbl>
            <c:dLbl>
              <c:idx val="7"/>
              <c:layout>
                <c:manualLayout>
                  <c:x val="-0.11414136632907584"/>
                  <c:y val="-3.902569350389344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511-4F56-B96E-E6B50D22FD39}"/>
                </c:ext>
              </c:extLst>
            </c:dLbl>
            <c:dLbl>
              <c:idx val="8"/>
              <c:layout>
                <c:manualLayout>
                  <c:x val="-0.11667784113638874"/>
                  <c:y val="-3.902569350389344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511-4F56-B96E-E6B50D22FD39}"/>
                </c:ext>
              </c:extLst>
            </c:dLbl>
            <c:dLbl>
              <c:idx val="9"/>
              <c:layout>
                <c:manualLayout>
                  <c:x val="-0.13841781649936558"/>
                  <c:y val="2.118461010106036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511-4F56-B96E-E6B50D22FD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Table'!$O$2:$O$12</c:f>
              <c:strCache>
                <c:ptCount val="10"/>
                <c:pt idx="0">
                  <c:v>Energy</c:v>
                </c:pt>
                <c:pt idx="1">
                  <c:v>Automotive</c:v>
                </c:pt>
                <c:pt idx="2">
                  <c:v>Healthcare</c:v>
                </c:pt>
                <c:pt idx="3">
                  <c:v>Real Estate</c:v>
                </c:pt>
                <c:pt idx="4">
                  <c:v>Diversified</c:v>
                </c:pt>
                <c:pt idx="5">
                  <c:v>Food &amp; Beverage</c:v>
                </c:pt>
                <c:pt idx="6">
                  <c:v>Manufacturing</c:v>
                </c:pt>
                <c:pt idx="7">
                  <c:v>Finance &amp; Investments</c:v>
                </c:pt>
                <c:pt idx="8">
                  <c:v>Fashion &amp; Retail</c:v>
                </c:pt>
                <c:pt idx="9">
                  <c:v>Technology</c:v>
                </c:pt>
              </c:strCache>
            </c:strRef>
          </c:cat>
          <c:val>
            <c:numRef>
              <c:f>'Pivot Table'!$P$2:$P$12</c:f>
              <c:numCache>
                <c:formatCode>[$$-1009]#,##0</c:formatCode>
                <c:ptCount val="10"/>
                <c:pt idx="0">
                  <c:v>453500</c:v>
                </c:pt>
                <c:pt idx="1">
                  <c:v>525300</c:v>
                </c:pt>
                <c:pt idx="2">
                  <c:v>643200</c:v>
                </c:pt>
                <c:pt idx="3">
                  <c:v>657400</c:v>
                </c:pt>
                <c:pt idx="4">
                  <c:v>905200</c:v>
                </c:pt>
                <c:pt idx="5">
                  <c:v>957200</c:v>
                </c:pt>
                <c:pt idx="6">
                  <c:v>1019000</c:v>
                </c:pt>
                <c:pt idx="7">
                  <c:v>1605100</c:v>
                </c:pt>
                <c:pt idx="8">
                  <c:v>1698800</c:v>
                </c:pt>
                <c:pt idx="9">
                  <c:v>1877900</c:v>
                </c:pt>
              </c:numCache>
            </c:numRef>
          </c:val>
          <c:extLst>
            <c:ext xmlns:c16="http://schemas.microsoft.com/office/drawing/2014/chart" uri="{C3380CC4-5D6E-409C-BE32-E72D297353CC}">
              <c16:uniqueId val="{00000014-E511-4F56-B96E-E6B50D22FD39}"/>
            </c:ext>
          </c:extLst>
        </c:ser>
        <c:dLbls>
          <c:dLblPos val="outEnd"/>
          <c:showLegendKey val="0"/>
          <c:showVal val="1"/>
          <c:showCatName val="0"/>
          <c:showSerName val="0"/>
          <c:showPercent val="0"/>
          <c:showBubbleSize val="0"/>
        </c:dLbls>
        <c:gapWidth val="30"/>
        <c:overlap val="4"/>
        <c:axId val="979408367"/>
        <c:axId val="979408847"/>
      </c:barChart>
      <c:catAx>
        <c:axId val="97940836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Industries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408847"/>
        <c:crosses val="autoZero"/>
        <c:auto val="1"/>
        <c:lblAlgn val="ctr"/>
        <c:lblOffset val="100"/>
        <c:noMultiLvlLbl val="0"/>
      </c:catAx>
      <c:valAx>
        <c:axId val="9794088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Net</a:t>
                </a:r>
                <a:r>
                  <a:rPr lang="en-GB" baseline="0"/>
                  <a:t> Worth</a:t>
                </a:r>
                <a:endParaRPr lang="en-GB"/>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GB"/>
            </a:p>
          </c:txPr>
        </c:title>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40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Dataset.xlsx]Pivot Table!PivotTable12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NET</a:t>
            </a:r>
            <a:r>
              <a:rPr lang="en-US" baseline="0">
                <a:solidFill>
                  <a:schemeClr val="bg1"/>
                </a:solidFill>
              </a:rPr>
              <a:t> WORTH BY SOURCE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a:noFill/>
          </a:ln>
          <a:effectLst/>
        </c:spPr>
        <c:dLbl>
          <c:idx val="0"/>
          <c:layout>
            <c:manualLayout>
              <c:x val="-0.12085684649277248"/>
              <c:y val="-4.23280564356312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dLbl>
          <c:idx val="0"/>
          <c:layout>
            <c:manualLayout>
              <c:x val="-0.11011401569341493"/>
              <c:y val="-3.88002701752964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dLbl>
          <c:idx val="0"/>
          <c:layout>
            <c:manualLayout>
              <c:x val="-0.104742600293736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dLbl>
          <c:idx val="0"/>
          <c:layout>
            <c:manualLayout>
              <c:x val="-9.9371184894057288E-2"/>
              <c:y val="-7.760054035059283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dLbl>
          <c:idx val="0"/>
          <c:layout>
            <c:manualLayout>
              <c:x val="-0.112799723393254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a:noFill/>
          </a:ln>
          <a:effectLst/>
        </c:spPr>
        <c:dLbl>
          <c:idx val="0"/>
          <c:layout>
            <c:manualLayout>
              <c:x val="-0.110114015693414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0000"/>
              <a:lumOff val="40000"/>
            </a:schemeClr>
          </a:solidFill>
          <a:ln>
            <a:noFill/>
          </a:ln>
          <a:effectLst/>
        </c:spPr>
        <c:dLbl>
          <c:idx val="0"/>
          <c:layout>
            <c:manualLayout>
              <c:x val="-0.11011401569341489"/>
              <c:y val="7.760054035059283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60000"/>
              <a:lumOff val="40000"/>
            </a:schemeClr>
          </a:solidFill>
          <a:ln>
            <a:noFill/>
          </a:ln>
          <a:effectLst/>
        </c:spPr>
        <c:dLbl>
          <c:idx val="0"/>
          <c:layout>
            <c:manualLayout>
              <c:x val="-0.11279972339325427"/>
              <c:y val="-4.23280564356318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60000"/>
              <a:lumOff val="40000"/>
            </a:schemeClr>
          </a:solidFill>
          <a:ln>
            <a:noFill/>
          </a:ln>
          <a:effectLst/>
        </c:spPr>
        <c:dLbl>
          <c:idx val="0"/>
          <c:layout>
            <c:manualLayout>
              <c:x val="-9.66854771942178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60000"/>
              <a:lumOff val="40000"/>
            </a:schemeClr>
          </a:solidFill>
          <a:ln>
            <a:noFill/>
          </a:ln>
          <a:effectLst/>
        </c:spPr>
        <c:dLbl>
          <c:idx val="0"/>
          <c:layout>
            <c:manualLayout>
              <c:x val="-9.3999769494378521E-2"/>
              <c:y val="-4.23280564356310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60000"/>
              <a:lumOff val="40000"/>
            </a:schemeClr>
          </a:solidFill>
          <a:ln>
            <a:noFill/>
          </a:ln>
          <a:effectLst/>
        </c:spPr>
        <c:dLbl>
          <c:idx val="0"/>
          <c:layout>
            <c:manualLayout>
              <c:x val="-9.3999769494378521E-2"/>
              <c:y val="-4.23280564356310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60000"/>
              <a:lumOff val="40000"/>
            </a:schemeClr>
          </a:solidFill>
          <a:ln>
            <a:noFill/>
          </a:ln>
          <a:effectLst/>
        </c:spPr>
        <c:dLbl>
          <c:idx val="0"/>
          <c:layout>
            <c:manualLayout>
              <c:x val="-9.66854771942178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60000"/>
              <a:lumOff val="40000"/>
            </a:schemeClr>
          </a:solidFill>
          <a:ln>
            <a:noFill/>
          </a:ln>
          <a:effectLst/>
        </c:spPr>
        <c:dLbl>
          <c:idx val="0"/>
          <c:layout>
            <c:manualLayout>
              <c:x val="-0.11279972339325427"/>
              <c:y val="-4.23280564356318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60000"/>
              <a:lumOff val="40000"/>
            </a:schemeClr>
          </a:solidFill>
          <a:ln>
            <a:noFill/>
          </a:ln>
          <a:effectLst/>
        </c:spPr>
        <c:dLbl>
          <c:idx val="0"/>
          <c:layout>
            <c:manualLayout>
              <c:x val="-0.11011401569341489"/>
              <c:y val="7.760054035059283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60000"/>
              <a:lumOff val="40000"/>
            </a:schemeClr>
          </a:solidFill>
          <a:ln>
            <a:noFill/>
          </a:ln>
          <a:effectLst/>
        </c:spPr>
        <c:dLbl>
          <c:idx val="0"/>
          <c:layout>
            <c:manualLayout>
              <c:x val="-0.110114015693414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60000"/>
              <a:lumOff val="40000"/>
            </a:schemeClr>
          </a:solidFill>
          <a:ln>
            <a:noFill/>
          </a:ln>
          <a:effectLst/>
        </c:spPr>
        <c:dLbl>
          <c:idx val="0"/>
          <c:layout>
            <c:manualLayout>
              <c:x val="-0.112799723393254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60000"/>
              <a:lumOff val="40000"/>
            </a:schemeClr>
          </a:solidFill>
          <a:ln>
            <a:noFill/>
          </a:ln>
          <a:effectLst/>
        </c:spPr>
        <c:dLbl>
          <c:idx val="0"/>
          <c:layout>
            <c:manualLayout>
              <c:x val="-9.9371184894057288E-2"/>
              <c:y val="-7.760054035059283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60000"/>
              <a:lumOff val="40000"/>
            </a:schemeClr>
          </a:solidFill>
          <a:ln>
            <a:noFill/>
          </a:ln>
          <a:effectLst/>
        </c:spPr>
        <c:dLbl>
          <c:idx val="0"/>
          <c:layout>
            <c:manualLayout>
              <c:x val="-0.104742600293736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60000"/>
              <a:lumOff val="40000"/>
            </a:schemeClr>
          </a:solidFill>
          <a:ln>
            <a:noFill/>
          </a:ln>
          <a:effectLst/>
        </c:spPr>
        <c:dLbl>
          <c:idx val="0"/>
          <c:layout>
            <c:manualLayout>
              <c:x val="-0.11011401569341493"/>
              <c:y val="-3.88002701752964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60000"/>
              <a:lumOff val="40000"/>
            </a:schemeClr>
          </a:solidFill>
          <a:ln>
            <a:noFill/>
          </a:ln>
          <a:effectLst/>
        </c:spPr>
        <c:dLbl>
          <c:idx val="0"/>
          <c:layout>
            <c:manualLayout>
              <c:x val="-0.12085684649277248"/>
              <c:y val="-4.23280564356312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0000"/>
              <a:lumOff val="40000"/>
            </a:schemeClr>
          </a:solidFill>
          <a:ln>
            <a:noFill/>
          </a:ln>
          <a:effectLst/>
        </c:spPr>
        <c:dLbl>
          <c:idx val="0"/>
          <c:layout>
            <c:manualLayout>
              <c:x val="-9.3999769494378521E-2"/>
              <c:y val="-4.23280564356310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60000"/>
              <a:lumOff val="40000"/>
            </a:schemeClr>
          </a:solidFill>
          <a:ln>
            <a:noFill/>
          </a:ln>
          <a:effectLst/>
        </c:spPr>
        <c:dLbl>
          <c:idx val="0"/>
          <c:layout>
            <c:manualLayout>
              <c:x val="-9.66854771942178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60000"/>
              <a:lumOff val="40000"/>
            </a:schemeClr>
          </a:solidFill>
          <a:ln>
            <a:noFill/>
          </a:ln>
          <a:effectLst/>
        </c:spPr>
        <c:dLbl>
          <c:idx val="0"/>
          <c:layout>
            <c:manualLayout>
              <c:x val="-0.11279972339325427"/>
              <c:y val="-4.23280564356318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2">
              <a:lumMod val="60000"/>
              <a:lumOff val="40000"/>
            </a:schemeClr>
          </a:solidFill>
          <a:ln>
            <a:noFill/>
          </a:ln>
          <a:effectLst/>
        </c:spPr>
        <c:dLbl>
          <c:idx val="0"/>
          <c:layout>
            <c:manualLayout>
              <c:x val="-0.11011401569341489"/>
              <c:y val="7.760054035059283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60000"/>
              <a:lumOff val="40000"/>
            </a:schemeClr>
          </a:solidFill>
          <a:ln>
            <a:noFill/>
          </a:ln>
          <a:effectLst/>
        </c:spPr>
        <c:dLbl>
          <c:idx val="0"/>
          <c:layout>
            <c:manualLayout>
              <c:x val="-0.1101140156934148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lumMod val="60000"/>
              <a:lumOff val="40000"/>
            </a:schemeClr>
          </a:solidFill>
          <a:ln>
            <a:noFill/>
          </a:ln>
          <a:effectLst/>
        </c:spPr>
        <c:dLbl>
          <c:idx val="0"/>
          <c:layout>
            <c:manualLayout>
              <c:x val="-0.112799723393254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60000"/>
              <a:lumOff val="40000"/>
            </a:schemeClr>
          </a:solidFill>
          <a:ln>
            <a:noFill/>
          </a:ln>
          <a:effectLst/>
        </c:spPr>
        <c:dLbl>
          <c:idx val="0"/>
          <c:layout>
            <c:manualLayout>
              <c:x val="-9.9371184894057288E-2"/>
              <c:y val="-7.760054035059283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60000"/>
              <a:lumOff val="40000"/>
            </a:schemeClr>
          </a:solidFill>
          <a:ln>
            <a:noFill/>
          </a:ln>
          <a:effectLst/>
        </c:spPr>
        <c:dLbl>
          <c:idx val="0"/>
          <c:layout>
            <c:manualLayout>
              <c:x val="-0.104742600293736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lumMod val="60000"/>
              <a:lumOff val="40000"/>
            </a:schemeClr>
          </a:solidFill>
          <a:ln>
            <a:noFill/>
          </a:ln>
          <a:effectLst/>
        </c:spPr>
        <c:dLbl>
          <c:idx val="0"/>
          <c:layout>
            <c:manualLayout>
              <c:x val="-0.11011401569341493"/>
              <c:y val="-3.88002701752964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60000"/>
              <a:lumOff val="40000"/>
            </a:schemeClr>
          </a:solidFill>
          <a:ln>
            <a:noFill/>
          </a:ln>
          <a:effectLst/>
        </c:spPr>
        <c:dLbl>
          <c:idx val="0"/>
          <c:layout>
            <c:manualLayout>
              <c:x val="-0.12085684649277248"/>
              <c:y val="-4.23280564356312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0967478617434"/>
          <c:y val="0.15276195567619238"/>
          <c:w val="0.67239229942045808"/>
          <c:h val="0.65505466985115857"/>
        </c:manualLayout>
      </c:layout>
      <c:barChart>
        <c:barDir val="bar"/>
        <c:grouping val="clustered"/>
        <c:varyColors val="0"/>
        <c:ser>
          <c:idx val="0"/>
          <c:order val="0"/>
          <c:tx>
            <c:strRef>
              <c:f>'Pivot Table'!$S$1</c:f>
              <c:strCache>
                <c:ptCount val="1"/>
                <c:pt idx="0">
                  <c:v>Total</c:v>
                </c:pt>
              </c:strCache>
            </c:strRef>
          </c:tx>
          <c:spPr>
            <a:solidFill>
              <a:schemeClr val="tx2">
                <a:lumMod val="60000"/>
                <a:lumOff val="40000"/>
              </a:schemeClr>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759A-4AEB-937F-5109CF32244E}"/>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759A-4AEB-937F-5109CF32244E}"/>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759A-4AEB-937F-5109CF32244E}"/>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759A-4AEB-937F-5109CF32244E}"/>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9-759A-4AEB-937F-5109CF32244E}"/>
              </c:ext>
            </c:extLst>
          </c:dPt>
          <c:dPt>
            <c:idx val="5"/>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B-759A-4AEB-937F-5109CF32244E}"/>
              </c:ext>
            </c:extLst>
          </c:dPt>
          <c:dPt>
            <c:idx val="6"/>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D-759A-4AEB-937F-5109CF32244E}"/>
              </c:ext>
            </c:extLst>
          </c:dPt>
          <c:dPt>
            <c:idx val="7"/>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F-759A-4AEB-937F-5109CF32244E}"/>
              </c:ext>
            </c:extLst>
          </c:dPt>
          <c:dPt>
            <c:idx val="8"/>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1-759A-4AEB-937F-5109CF32244E}"/>
              </c:ext>
            </c:extLst>
          </c:dPt>
          <c:dPt>
            <c:idx val="9"/>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3-759A-4AEB-937F-5109CF32244E}"/>
              </c:ext>
            </c:extLst>
          </c:dPt>
          <c:dLbls>
            <c:dLbl>
              <c:idx val="0"/>
              <c:layout>
                <c:manualLayout>
                  <c:x val="-9.3999769494378521E-2"/>
                  <c:y val="-4.23280564356310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9A-4AEB-937F-5109CF32244E}"/>
                </c:ext>
              </c:extLst>
            </c:dLbl>
            <c:dLbl>
              <c:idx val="1"/>
              <c:layout>
                <c:manualLayout>
                  <c:x val="-9.668547719421789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9A-4AEB-937F-5109CF32244E}"/>
                </c:ext>
              </c:extLst>
            </c:dLbl>
            <c:dLbl>
              <c:idx val="2"/>
              <c:layout>
                <c:manualLayout>
                  <c:x val="-0.11279972339325427"/>
                  <c:y val="-4.23280564356318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9A-4AEB-937F-5109CF32244E}"/>
                </c:ext>
              </c:extLst>
            </c:dLbl>
            <c:dLbl>
              <c:idx val="3"/>
              <c:layout>
                <c:manualLayout>
                  <c:x val="-0.11011401569341489"/>
                  <c:y val="7.760054035059283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9A-4AEB-937F-5109CF32244E}"/>
                </c:ext>
              </c:extLst>
            </c:dLbl>
            <c:dLbl>
              <c:idx val="4"/>
              <c:layout>
                <c:manualLayout>
                  <c:x val="-0.1101140156934148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59A-4AEB-937F-5109CF32244E}"/>
                </c:ext>
              </c:extLst>
            </c:dLbl>
            <c:dLbl>
              <c:idx val="5"/>
              <c:layout>
                <c:manualLayout>
                  <c:x val="-0.1127997233932542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59A-4AEB-937F-5109CF32244E}"/>
                </c:ext>
              </c:extLst>
            </c:dLbl>
            <c:dLbl>
              <c:idx val="6"/>
              <c:layout>
                <c:manualLayout>
                  <c:x val="-9.9371184894057288E-2"/>
                  <c:y val="-7.760054035059283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59A-4AEB-937F-5109CF32244E}"/>
                </c:ext>
              </c:extLst>
            </c:dLbl>
            <c:dLbl>
              <c:idx val="7"/>
              <c:layout>
                <c:manualLayout>
                  <c:x val="-0.1047426002937360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59A-4AEB-937F-5109CF32244E}"/>
                </c:ext>
              </c:extLst>
            </c:dLbl>
            <c:dLbl>
              <c:idx val="8"/>
              <c:layout>
                <c:manualLayout>
                  <c:x val="-0.11011401569341493"/>
                  <c:y val="-3.880027017529641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59A-4AEB-937F-5109CF32244E}"/>
                </c:ext>
              </c:extLst>
            </c:dLbl>
            <c:dLbl>
              <c:idx val="9"/>
              <c:layout>
                <c:manualLayout>
                  <c:x val="-0.12085684649277248"/>
                  <c:y val="-4.23280564356312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59A-4AEB-937F-5109CF3224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Table'!$R$2:$R$12</c:f>
              <c:strCache>
                <c:ptCount val="10"/>
                <c:pt idx="0">
                  <c:v>Tesla, SpaceX</c:v>
                </c:pt>
                <c:pt idx="1">
                  <c:v>Google</c:v>
                </c:pt>
                <c:pt idx="2">
                  <c:v>Microsoft</c:v>
                </c:pt>
                <c:pt idx="3">
                  <c:v>LVMH</c:v>
                </c:pt>
                <c:pt idx="4">
                  <c:v>Walmart</c:v>
                </c:pt>
                <c:pt idx="5">
                  <c:v>Pharmaceuticals</c:v>
                </c:pt>
                <c:pt idx="6">
                  <c:v>Hedge funds</c:v>
                </c:pt>
                <c:pt idx="7">
                  <c:v>Investments</c:v>
                </c:pt>
                <c:pt idx="8">
                  <c:v>Diversified</c:v>
                </c:pt>
                <c:pt idx="9">
                  <c:v>Real estate</c:v>
                </c:pt>
              </c:strCache>
            </c:strRef>
          </c:cat>
          <c:val>
            <c:numRef>
              <c:f>'Pivot Table'!$S$2:$S$12</c:f>
              <c:numCache>
                <c:formatCode>[$$-1009]#,##0</c:formatCode>
                <c:ptCount val="10"/>
                <c:pt idx="0">
                  <c:v>180000</c:v>
                </c:pt>
                <c:pt idx="1">
                  <c:v>189000</c:v>
                </c:pt>
                <c:pt idx="2">
                  <c:v>196400</c:v>
                </c:pt>
                <c:pt idx="3">
                  <c:v>211000</c:v>
                </c:pt>
                <c:pt idx="4">
                  <c:v>220900</c:v>
                </c:pt>
                <c:pt idx="5">
                  <c:v>254300</c:v>
                </c:pt>
                <c:pt idx="6">
                  <c:v>271300</c:v>
                </c:pt>
                <c:pt idx="7">
                  <c:v>345000</c:v>
                </c:pt>
                <c:pt idx="8">
                  <c:v>395100</c:v>
                </c:pt>
                <c:pt idx="9">
                  <c:v>549300</c:v>
                </c:pt>
              </c:numCache>
            </c:numRef>
          </c:val>
          <c:extLst>
            <c:ext xmlns:c16="http://schemas.microsoft.com/office/drawing/2014/chart" uri="{C3380CC4-5D6E-409C-BE32-E72D297353CC}">
              <c16:uniqueId val="{00000014-759A-4AEB-937F-5109CF32244E}"/>
            </c:ext>
          </c:extLst>
        </c:ser>
        <c:dLbls>
          <c:dLblPos val="outEnd"/>
          <c:showLegendKey val="0"/>
          <c:showVal val="1"/>
          <c:showCatName val="0"/>
          <c:showSerName val="0"/>
          <c:showPercent val="0"/>
          <c:showBubbleSize val="0"/>
        </c:dLbls>
        <c:gapWidth val="31"/>
        <c:axId val="979444847"/>
        <c:axId val="979458767"/>
      </c:barChart>
      <c:catAx>
        <c:axId val="979444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Source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458767"/>
        <c:crosses val="autoZero"/>
        <c:auto val="1"/>
        <c:lblAlgn val="ctr"/>
        <c:lblOffset val="100"/>
        <c:noMultiLvlLbl val="0"/>
      </c:catAx>
      <c:valAx>
        <c:axId val="979458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Net</a:t>
                </a:r>
                <a:r>
                  <a:rPr lang="en-GB" baseline="0">
                    <a:solidFill>
                      <a:schemeClr val="bg1"/>
                    </a:solidFill>
                  </a:rPr>
                  <a:t> Worth</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GB"/>
            </a:p>
          </c:txPr>
        </c:title>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44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[Billionaires Statistics Dataset.xlsx]Pivot Table!PivotTable9</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rPr>
              <a:t>NET WORTH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Table'!$J$1</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3A-4F2C-84D8-3C7570CFE35A}"/>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3A-4F2C-84D8-3C7570CFE3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Table'!$I$2:$I$4</c:f>
              <c:strCache>
                <c:ptCount val="2"/>
                <c:pt idx="0">
                  <c:v>Female</c:v>
                </c:pt>
                <c:pt idx="1">
                  <c:v>Male</c:v>
                </c:pt>
              </c:strCache>
            </c:strRef>
          </c:cat>
          <c:val>
            <c:numRef>
              <c:f>'Pivot Table'!$J$2:$J$4</c:f>
              <c:numCache>
                <c:formatCode>[$$-1009]#,##0</c:formatCode>
                <c:ptCount val="2"/>
                <c:pt idx="0">
                  <c:v>1540200</c:v>
                </c:pt>
                <c:pt idx="1">
                  <c:v>10666600</c:v>
                </c:pt>
              </c:numCache>
            </c:numRef>
          </c:val>
          <c:extLst>
            <c:ext xmlns:c16="http://schemas.microsoft.com/office/drawing/2014/chart" uri="{C3380CC4-5D6E-409C-BE32-E72D297353CC}">
              <c16:uniqueId val="{00000004-293A-4F2C-84D8-3C7570CFE35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180975</xdr:colOff>
      <xdr:row>1</xdr:row>
      <xdr:rowOff>90488</xdr:rowOff>
    </xdr:from>
    <xdr:to>
      <xdr:col>7</xdr:col>
      <xdr:colOff>219075</xdr:colOff>
      <xdr:row>16</xdr:row>
      <xdr:rowOff>119063</xdr:rowOff>
    </xdr:to>
    <xdr:graphicFrame macro="">
      <xdr:nvGraphicFramePr>
        <xdr:cNvPr id="3" name="Chart 2">
          <a:extLst>
            <a:ext uri="{FF2B5EF4-FFF2-40B4-BE49-F238E27FC236}">
              <a16:creationId xmlns:a16="http://schemas.microsoft.com/office/drawing/2014/main" id="{DE59AC24-959B-421B-9D58-000B1A9D5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419101</xdr:colOff>
      <xdr:row>1</xdr:row>
      <xdr:rowOff>71440</xdr:rowOff>
    </xdr:from>
    <xdr:to>
      <xdr:col>23</xdr:col>
      <xdr:colOff>457201</xdr:colOff>
      <xdr:row>16</xdr:row>
      <xdr:rowOff>100015</xdr:rowOff>
    </xdr:to>
    <xdr:graphicFrame macro="">
      <xdr:nvGraphicFramePr>
        <xdr:cNvPr id="6" name="Chart 5">
          <a:extLst>
            <a:ext uri="{FF2B5EF4-FFF2-40B4-BE49-F238E27FC236}">
              <a16:creationId xmlns:a16="http://schemas.microsoft.com/office/drawing/2014/main" id="{A5BE87B5-0A6A-419A-9018-61CD9964B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323847</xdr:colOff>
      <xdr:row>20</xdr:row>
      <xdr:rowOff>33338</xdr:rowOff>
    </xdr:from>
    <xdr:to>
      <xdr:col>7</xdr:col>
      <xdr:colOff>361947</xdr:colOff>
      <xdr:row>37</xdr:row>
      <xdr:rowOff>42864</xdr:rowOff>
    </xdr:to>
    <xdr:graphicFrame macro="">
      <xdr:nvGraphicFramePr>
        <xdr:cNvPr id="7" name="Chart 6">
          <a:extLst>
            <a:ext uri="{FF2B5EF4-FFF2-40B4-BE49-F238E27FC236}">
              <a16:creationId xmlns:a16="http://schemas.microsoft.com/office/drawing/2014/main" id="{1F253E27-7FAC-4836-92ED-C02472E4D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423863</xdr:colOff>
      <xdr:row>1</xdr:row>
      <xdr:rowOff>71436</xdr:rowOff>
    </xdr:from>
    <xdr:to>
      <xdr:col>16</xdr:col>
      <xdr:colOff>19051</xdr:colOff>
      <xdr:row>16</xdr:row>
      <xdr:rowOff>100011</xdr:rowOff>
    </xdr:to>
    <xdr:graphicFrame macro="">
      <xdr:nvGraphicFramePr>
        <xdr:cNvPr id="8" name="Chart 7">
          <a:extLst>
            <a:ext uri="{FF2B5EF4-FFF2-40B4-BE49-F238E27FC236}">
              <a16:creationId xmlns:a16="http://schemas.microsoft.com/office/drawing/2014/main" id="{3C5CA567-B7E8-4EB7-B8A9-C52959F07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374676</xdr:colOff>
      <xdr:row>20</xdr:row>
      <xdr:rowOff>117345</xdr:rowOff>
    </xdr:from>
    <xdr:to>
      <xdr:col>16</xdr:col>
      <xdr:colOff>200025</xdr:colOff>
      <xdr:row>37</xdr:row>
      <xdr:rowOff>23813</xdr:rowOff>
    </xdr:to>
    <xdr:graphicFrame macro="">
      <xdr:nvGraphicFramePr>
        <xdr:cNvPr id="2" name="Chart 1">
          <a:extLst>
            <a:ext uri="{FF2B5EF4-FFF2-40B4-BE49-F238E27FC236}">
              <a16:creationId xmlns:a16="http://schemas.microsoft.com/office/drawing/2014/main" id="{9921B2D9-75FD-4F20-B999-065DA73AB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562403</xdr:colOff>
      <xdr:row>20</xdr:row>
      <xdr:rowOff>142877</xdr:rowOff>
    </xdr:from>
    <xdr:to>
      <xdr:col>24</xdr:col>
      <xdr:colOff>109538</xdr:colOff>
      <xdr:row>37</xdr:row>
      <xdr:rowOff>66676</xdr:rowOff>
    </xdr:to>
    <xdr:graphicFrame macro="">
      <xdr:nvGraphicFramePr>
        <xdr:cNvPr id="4" name="Chart 3">
          <a:extLst>
            <a:ext uri="{FF2B5EF4-FFF2-40B4-BE49-F238E27FC236}">
              <a16:creationId xmlns:a16="http://schemas.microsoft.com/office/drawing/2014/main" id="{EF0A2ACF-1356-4A54-B5C9-04C28228B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152901" cy="623889"/>
    <xdr:sp macro="" textlink="">
      <xdr:nvSpPr>
        <xdr:cNvPr id="3" name="TextBox 2">
          <a:extLst>
            <a:ext uri="{FF2B5EF4-FFF2-40B4-BE49-F238E27FC236}">
              <a16:creationId xmlns:a16="http://schemas.microsoft.com/office/drawing/2014/main" id="{52BA98DB-0079-B62E-BF59-7B9CFE2B906E}"/>
            </a:ext>
          </a:extLst>
        </xdr:cNvPr>
        <xdr:cNvSpPr txBox="1"/>
      </xdr:nvSpPr>
      <xdr:spPr>
        <a:xfrm>
          <a:off x="0" y="0"/>
          <a:ext cx="4152901" cy="62388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t>BILLONAIRES</a:t>
          </a:r>
          <a:r>
            <a:rPr lang="en-GB" sz="1800" b="1" baseline="0"/>
            <a:t> STATISTICS DASHBOARD</a:t>
          </a:r>
          <a:endParaRPr lang="en-GB" sz="1800" b="1"/>
        </a:p>
      </xdr:txBody>
    </xdr:sp>
    <xdr:clientData/>
  </xdr:oneCellAnchor>
  <xdr:twoCellAnchor>
    <xdr:from>
      <xdr:col>7</xdr:col>
      <xdr:colOff>129947</xdr:colOff>
      <xdr:row>0</xdr:row>
      <xdr:rowOff>11566</xdr:rowOff>
    </xdr:from>
    <xdr:to>
      <xdr:col>10</xdr:col>
      <xdr:colOff>340177</xdr:colOff>
      <xdr:row>4</xdr:row>
      <xdr:rowOff>161584</xdr:rowOff>
    </xdr:to>
    <xdr:sp macro="" textlink="">
      <xdr:nvSpPr>
        <xdr:cNvPr id="6" name="Rectangle 5">
          <a:extLst>
            <a:ext uri="{FF2B5EF4-FFF2-40B4-BE49-F238E27FC236}">
              <a16:creationId xmlns:a16="http://schemas.microsoft.com/office/drawing/2014/main" id="{29C08ED6-C043-DBF7-1EC0-D36E5E3145F3}"/>
            </a:ext>
          </a:extLst>
        </xdr:cNvPr>
        <xdr:cNvSpPr/>
      </xdr:nvSpPr>
      <xdr:spPr>
        <a:xfrm>
          <a:off x="4654323" y="11566"/>
          <a:ext cx="2149247" cy="884804"/>
        </a:xfrm>
        <a:prstGeom prst="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oneCellAnchor>
    <xdr:from>
      <xdr:col>7</xdr:col>
      <xdr:colOff>583745</xdr:colOff>
      <xdr:row>0</xdr:row>
      <xdr:rowOff>65995</xdr:rowOff>
    </xdr:from>
    <xdr:ext cx="1071563" cy="382190"/>
    <xdr:sp macro="" textlink="">
      <xdr:nvSpPr>
        <xdr:cNvPr id="5" name="TextBox 4">
          <a:extLst>
            <a:ext uri="{FF2B5EF4-FFF2-40B4-BE49-F238E27FC236}">
              <a16:creationId xmlns:a16="http://schemas.microsoft.com/office/drawing/2014/main" id="{3D2FD813-36DB-1548-92C6-5B1C508F079A}"/>
            </a:ext>
          </a:extLst>
        </xdr:cNvPr>
        <xdr:cNvSpPr txBox="1"/>
      </xdr:nvSpPr>
      <xdr:spPr>
        <a:xfrm>
          <a:off x="5108121" y="65995"/>
          <a:ext cx="1071563" cy="38219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RANK</a:t>
          </a:r>
        </a:p>
      </xdr:txBody>
    </xdr:sp>
    <xdr:clientData/>
  </xdr:oneCellAnchor>
  <xdr:twoCellAnchor>
    <xdr:from>
      <xdr:col>11</xdr:col>
      <xdr:colOff>90486</xdr:colOff>
      <xdr:row>0</xdr:row>
      <xdr:rowOff>20411</xdr:rowOff>
    </xdr:from>
    <xdr:to>
      <xdr:col>14</xdr:col>
      <xdr:colOff>497510</xdr:colOff>
      <xdr:row>4</xdr:row>
      <xdr:rowOff>121614</xdr:rowOff>
    </xdr:to>
    <xdr:grpSp>
      <xdr:nvGrpSpPr>
        <xdr:cNvPr id="13" name="Group 12">
          <a:extLst>
            <a:ext uri="{FF2B5EF4-FFF2-40B4-BE49-F238E27FC236}">
              <a16:creationId xmlns:a16="http://schemas.microsoft.com/office/drawing/2014/main" id="{ACE3677D-89A3-A14B-C778-3478861CA153}"/>
            </a:ext>
          </a:extLst>
        </xdr:cNvPr>
        <xdr:cNvGrpSpPr/>
      </xdr:nvGrpSpPr>
      <xdr:grpSpPr>
        <a:xfrm>
          <a:off x="7200219" y="20411"/>
          <a:ext cx="2346041" cy="835989"/>
          <a:chOff x="6448425" y="0"/>
          <a:chExt cx="1440000" cy="595312"/>
        </a:xfrm>
      </xdr:grpSpPr>
      <xdr:sp macro="" textlink="">
        <xdr:nvSpPr>
          <xdr:cNvPr id="14" name="Rectangle 13">
            <a:extLst>
              <a:ext uri="{FF2B5EF4-FFF2-40B4-BE49-F238E27FC236}">
                <a16:creationId xmlns:a16="http://schemas.microsoft.com/office/drawing/2014/main" id="{73266934-D20F-B31F-0009-AA8393066F55}"/>
              </a:ext>
            </a:extLst>
          </xdr:cNvPr>
          <xdr:cNvSpPr/>
        </xdr:nvSpPr>
        <xdr:spPr>
          <a:xfrm>
            <a:off x="6448425" y="0"/>
            <a:ext cx="1440000" cy="595312"/>
          </a:xfrm>
          <a:prstGeom prst="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15" name="TextBox 14">
            <a:extLst>
              <a:ext uri="{FF2B5EF4-FFF2-40B4-BE49-F238E27FC236}">
                <a16:creationId xmlns:a16="http://schemas.microsoft.com/office/drawing/2014/main" id="{2D983AA8-9B23-346C-F917-E2B9937ABB0B}"/>
              </a:ext>
            </a:extLst>
          </xdr:cNvPr>
          <xdr:cNvSpPr txBox="1"/>
        </xdr:nvSpPr>
        <xdr:spPr>
          <a:xfrm>
            <a:off x="6567487" y="38099"/>
            <a:ext cx="1071563" cy="27476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t>Total</a:t>
            </a:r>
            <a:r>
              <a:rPr lang="en-GB" sz="1800" b="1" baseline="0"/>
              <a:t> Net worth</a:t>
            </a:r>
            <a:endParaRPr lang="en-GB" sz="1800" b="1"/>
          </a:p>
        </xdr:txBody>
      </xdr:sp>
      <xdr:sp macro="" textlink="'Pivot Table'!J44">
        <xdr:nvSpPr>
          <xdr:cNvPr id="46" name="TextBox 45">
            <a:extLst>
              <a:ext uri="{FF2B5EF4-FFF2-40B4-BE49-F238E27FC236}">
                <a16:creationId xmlns:a16="http://schemas.microsoft.com/office/drawing/2014/main" id="{70707DA5-1F05-143C-0F84-E0A9471D086C}"/>
              </a:ext>
            </a:extLst>
          </xdr:cNvPr>
          <xdr:cNvSpPr txBox="1"/>
        </xdr:nvSpPr>
        <xdr:spPr>
          <a:xfrm>
            <a:off x="6635157" y="271010"/>
            <a:ext cx="1071563" cy="27476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D5ED451-ACD5-4AB0-A61A-33A7C270E311}" type="TxLink">
              <a:rPr lang="en-US" sz="2000" b="1" i="0" u="none" strike="noStrike">
                <a:solidFill>
                  <a:srgbClr val="000000"/>
                </a:solidFill>
                <a:latin typeface="Calibri"/>
                <a:ea typeface="Calibri"/>
                <a:cs typeface="Calibri"/>
              </a:rPr>
              <a:pPr algn="ctr"/>
              <a:t>$12,206,800</a:t>
            </a:fld>
            <a:endParaRPr lang="en-GB" sz="2000" b="1"/>
          </a:p>
        </xdr:txBody>
      </xdr:sp>
    </xdr:grpSp>
    <xdr:clientData/>
  </xdr:twoCellAnchor>
  <xdr:twoCellAnchor>
    <xdr:from>
      <xdr:col>15</xdr:col>
      <xdr:colOff>160053</xdr:colOff>
      <xdr:row>0</xdr:row>
      <xdr:rowOff>0</xdr:rowOff>
    </xdr:from>
    <xdr:to>
      <xdr:col>18</xdr:col>
      <xdr:colOff>501763</xdr:colOff>
      <xdr:row>4</xdr:row>
      <xdr:rowOff>113109</xdr:rowOff>
    </xdr:to>
    <xdr:grpSp>
      <xdr:nvGrpSpPr>
        <xdr:cNvPr id="16" name="Group 15">
          <a:extLst>
            <a:ext uri="{FF2B5EF4-FFF2-40B4-BE49-F238E27FC236}">
              <a16:creationId xmlns:a16="http://schemas.microsoft.com/office/drawing/2014/main" id="{76BA4F1E-0825-884E-1BB3-63265021B2AE}"/>
            </a:ext>
          </a:extLst>
        </xdr:cNvPr>
        <xdr:cNvGrpSpPr/>
      </xdr:nvGrpSpPr>
      <xdr:grpSpPr>
        <a:xfrm>
          <a:off x="9855143" y="0"/>
          <a:ext cx="2280727" cy="847895"/>
          <a:chOff x="6359276" y="0"/>
          <a:chExt cx="1440000" cy="595312"/>
        </a:xfrm>
      </xdr:grpSpPr>
      <xdr:sp macro="" textlink="">
        <xdr:nvSpPr>
          <xdr:cNvPr id="17" name="Rectangle 16">
            <a:extLst>
              <a:ext uri="{FF2B5EF4-FFF2-40B4-BE49-F238E27FC236}">
                <a16:creationId xmlns:a16="http://schemas.microsoft.com/office/drawing/2014/main" id="{3E96FA70-AC63-A412-D14F-4FE6E65CBE49}"/>
              </a:ext>
            </a:extLst>
          </xdr:cNvPr>
          <xdr:cNvSpPr/>
        </xdr:nvSpPr>
        <xdr:spPr>
          <a:xfrm>
            <a:off x="6359276" y="0"/>
            <a:ext cx="1440000" cy="595312"/>
          </a:xfrm>
          <a:prstGeom prst="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18" name="TextBox 17">
            <a:extLst>
              <a:ext uri="{FF2B5EF4-FFF2-40B4-BE49-F238E27FC236}">
                <a16:creationId xmlns:a16="http://schemas.microsoft.com/office/drawing/2014/main" id="{12430FC9-8814-E9A5-AD24-1F6E7FD1400E}"/>
              </a:ext>
            </a:extLst>
          </xdr:cNvPr>
          <xdr:cNvSpPr txBox="1"/>
        </xdr:nvSpPr>
        <xdr:spPr>
          <a:xfrm>
            <a:off x="6567487" y="38099"/>
            <a:ext cx="1071563" cy="24885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t>Avg</a:t>
            </a:r>
            <a:r>
              <a:rPr lang="en-GB" sz="1800" b="1" baseline="0"/>
              <a:t> Net Worth</a:t>
            </a:r>
            <a:endParaRPr lang="en-GB" sz="1800" b="1"/>
          </a:p>
        </xdr:txBody>
      </xdr:sp>
      <xdr:sp macro="" textlink="'Pivot Table'!J51">
        <xdr:nvSpPr>
          <xdr:cNvPr id="42" name="TextBox 41">
            <a:extLst>
              <a:ext uri="{FF2B5EF4-FFF2-40B4-BE49-F238E27FC236}">
                <a16:creationId xmlns:a16="http://schemas.microsoft.com/office/drawing/2014/main" id="{BDA09197-D15C-68CB-5AE9-11684AE949C1}"/>
              </a:ext>
            </a:extLst>
          </xdr:cNvPr>
          <xdr:cNvSpPr txBox="1"/>
        </xdr:nvSpPr>
        <xdr:spPr>
          <a:xfrm>
            <a:off x="6580973" y="327619"/>
            <a:ext cx="1071563" cy="24885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FB2BB85-778D-45E0-984E-CA11B447078B}" type="TxLink">
              <a:rPr lang="en-US" sz="2000" b="1" i="0" u="none" strike="noStrike">
                <a:solidFill>
                  <a:srgbClr val="000000"/>
                </a:solidFill>
                <a:latin typeface="Calibri"/>
                <a:ea typeface="Calibri"/>
                <a:cs typeface="Calibri"/>
              </a:rPr>
              <a:pPr algn="ctr"/>
              <a:t>$4,624</a:t>
            </a:fld>
            <a:endParaRPr lang="en-GB" sz="2000" b="1"/>
          </a:p>
        </xdr:txBody>
      </xdr:sp>
    </xdr:grpSp>
    <xdr:clientData/>
  </xdr:twoCellAnchor>
  <xdr:twoCellAnchor>
    <xdr:from>
      <xdr:col>6</xdr:col>
      <xdr:colOff>285745</xdr:colOff>
      <xdr:row>6</xdr:row>
      <xdr:rowOff>3913</xdr:rowOff>
    </xdr:from>
    <xdr:to>
      <xdr:col>28</xdr:col>
      <xdr:colOff>2469</xdr:colOff>
      <xdr:row>37</xdr:row>
      <xdr:rowOff>139329</xdr:rowOff>
    </xdr:to>
    <xdr:grpSp>
      <xdr:nvGrpSpPr>
        <xdr:cNvPr id="2" name="Group 1">
          <a:extLst>
            <a:ext uri="{FF2B5EF4-FFF2-40B4-BE49-F238E27FC236}">
              <a16:creationId xmlns:a16="http://schemas.microsoft.com/office/drawing/2014/main" id="{CC247FEB-FAF8-44D5-378D-62E801F00C1A}"/>
            </a:ext>
          </a:extLst>
        </xdr:cNvPr>
        <xdr:cNvGrpSpPr/>
      </xdr:nvGrpSpPr>
      <xdr:grpSpPr>
        <a:xfrm>
          <a:off x="4163781" y="1106092"/>
          <a:ext cx="13936188" cy="5830006"/>
          <a:chOff x="4277586" y="1244637"/>
          <a:chExt cx="14004224" cy="5770631"/>
        </a:xfrm>
      </xdr:grpSpPr>
      <xdr:graphicFrame macro="">
        <xdr:nvGraphicFramePr>
          <xdr:cNvPr id="26" name="Chart 25">
            <a:extLst>
              <a:ext uri="{FF2B5EF4-FFF2-40B4-BE49-F238E27FC236}">
                <a16:creationId xmlns:a16="http://schemas.microsoft.com/office/drawing/2014/main" id="{60A9D1D6-97C0-4ED6-9E9B-43AAABB04BF6}"/>
              </a:ext>
            </a:extLst>
          </xdr:cNvPr>
          <xdr:cNvGraphicFramePr>
            <a:graphicFrameLocks/>
          </xdr:cNvGraphicFramePr>
        </xdr:nvGraphicFramePr>
        <xdr:xfrm>
          <a:off x="4289498" y="1244637"/>
          <a:ext cx="4575790" cy="279787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7" name="Chart 26">
            <a:extLst>
              <a:ext uri="{FF2B5EF4-FFF2-40B4-BE49-F238E27FC236}">
                <a16:creationId xmlns:a16="http://schemas.microsoft.com/office/drawing/2014/main" id="{603ECC51-B9F7-4442-BAD8-0C0CA863FF8A}"/>
              </a:ext>
            </a:extLst>
          </xdr:cNvPr>
          <xdr:cNvGraphicFramePr>
            <a:graphicFrameLocks/>
          </xdr:cNvGraphicFramePr>
        </xdr:nvGraphicFramePr>
        <xdr:xfrm>
          <a:off x="4277586" y="4219762"/>
          <a:ext cx="4575789" cy="279550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8" name="Chart 27">
            <a:extLst>
              <a:ext uri="{FF2B5EF4-FFF2-40B4-BE49-F238E27FC236}">
                <a16:creationId xmlns:a16="http://schemas.microsoft.com/office/drawing/2014/main" id="{249CF9EA-570E-4BED-9B22-C954EB2E18AF}"/>
              </a:ext>
            </a:extLst>
          </xdr:cNvPr>
          <xdr:cNvGraphicFramePr>
            <a:graphicFrameLocks/>
          </xdr:cNvGraphicFramePr>
        </xdr:nvGraphicFramePr>
        <xdr:xfrm>
          <a:off x="9007991" y="1263687"/>
          <a:ext cx="4575787" cy="280025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9" name="Chart 28">
            <a:extLst>
              <a:ext uri="{FF2B5EF4-FFF2-40B4-BE49-F238E27FC236}">
                <a16:creationId xmlns:a16="http://schemas.microsoft.com/office/drawing/2014/main" id="{98442DD6-D9A6-49FF-9E56-152AF09E4CE6}"/>
              </a:ext>
            </a:extLst>
          </xdr:cNvPr>
          <xdr:cNvGraphicFramePr>
            <a:graphicFrameLocks/>
          </xdr:cNvGraphicFramePr>
        </xdr:nvGraphicFramePr>
        <xdr:xfrm>
          <a:off x="9060908" y="4173942"/>
          <a:ext cx="4575787" cy="279550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0" name="Chart 29">
            <a:extLst>
              <a:ext uri="{FF2B5EF4-FFF2-40B4-BE49-F238E27FC236}">
                <a16:creationId xmlns:a16="http://schemas.microsoft.com/office/drawing/2014/main" id="{9EB750F4-0ACF-4267-BFEB-C7DBFA4D99AD}"/>
              </a:ext>
            </a:extLst>
          </xdr:cNvPr>
          <xdr:cNvGraphicFramePr>
            <a:graphicFrameLocks/>
          </xdr:cNvGraphicFramePr>
        </xdr:nvGraphicFramePr>
        <xdr:xfrm>
          <a:off x="13706022" y="4192382"/>
          <a:ext cx="4575788" cy="279550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1" name="Chart 30">
            <a:extLst>
              <a:ext uri="{FF2B5EF4-FFF2-40B4-BE49-F238E27FC236}">
                <a16:creationId xmlns:a16="http://schemas.microsoft.com/office/drawing/2014/main" id="{FFB0B57A-3210-48DF-A11C-460428FC9A46}"/>
              </a:ext>
            </a:extLst>
          </xdr:cNvPr>
          <xdr:cNvGraphicFramePr>
            <a:graphicFrameLocks/>
          </xdr:cNvGraphicFramePr>
        </xdr:nvGraphicFramePr>
        <xdr:xfrm>
          <a:off x="13679741" y="1284791"/>
          <a:ext cx="4575788" cy="279550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5954</xdr:colOff>
      <xdr:row>19</xdr:row>
      <xdr:rowOff>166860</xdr:rowOff>
    </xdr:from>
    <xdr:to>
      <xdr:col>2</xdr:col>
      <xdr:colOff>536973</xdr:colOff>
      <xdr:row>26</xdr:row>
      <xdr:rowOff>32317</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5EAE5D24-702A-4F74-978C-3A4F7F60D10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954" y="3560141"/>
              <a:ext cx="1828800" cy="11156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29767</xdr:colOff>
      <xdr:row>4</xdr:row>
      <xdr:rowOff>15308</xdr:rowOff>
    </xdr:from>
    <xdr:to>
      <xdr:col>2</xdr:col>
      <xdr:colOff>558233</xdr:colOff>
      <xdr:row>18</xdr:row>
      <xdr:rowOff>39120</xdr:rowOff>
    </xdr:to>
    <mc:AlternateContent xmlns:mc="http://schemas.openxmlformats.org/markup-compatibility/2006" xmlns:a14="http://schemas.microsoft.com/office/drawing/2010/main">
      <mc:Choice Requires="a14">
        <xdr:graphicFrame macro="">
          <xdr:nvGraphicFramePr>
            <xdr:cNvPr id="39" name="industries 1">
              <a:extLst>
                <a:ext uri="{FF2B5EF4-FFF2-40B4-BE49-F238E27FC236}">
                  <a16:creationId xmlns:a16="http://schemas.microsoft.com/office/drawing/2014/main" id="{87A056A5-D38B-4DE7-95A6-078A348083B2}"/>
                </a:ext>
              </a:extLst>
            </xdr:cNvPr>
            <xdr:cNvGraphicFramePr/>
          </xdr:nvGraphicFramePr>
          <xdr:xfrm>
            <a:off x="0" y="0"/>
            <a:ext cx="0" cy="0"/>
          </xdr:xfrm>
          <a:graphic>
            <a:graphicData uri="http://schemas.microsoft.com/office/drawing/2010/slicer">
              <sle:slicer xmlns:sle="http://schemas.microsoft.com/office/drawing/2010/slicer" name="industries 1"/>
            </a:graphicData>
          </a:graphic>
        </xdr:graphicFrame>
      </mc:Choice>
      <mc:Fallback xmlns="">
        <xdr:sp macro="" textlink="">
          <xdr:nvSpPr>
            <xdr:cNvPr id="0" name=""/>
            <xdr:cNvSpPr>
              <a:spLocks noTextEdit="1"/>
            </xdr:cNvSpPr>
          </xdr:nvSpPr>
          <xdr:spPr>
            <a:xfrm>
              <a:off x="29767" y="750094"/>
              <a:ext cx="1821145" cy="25955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72288</xdr:colOff>
      <xdr:row>4</xdr:row>
      <xdr:rowOff>11907</xdr:rowOff>
    </xdr:from>
    <xdr:to>
      <xdr:col>5</xdr:col>
      <xdr:colOff>600755</xdr:colOff>
      <xdr:row>18</xdr:row>
      <xdr:rowOff>35719</xdr:rowOff>
    </xdr:to>
    <mc:AlternateContent xmlns:mc="http://schemas.openxmlformats.org/markup-compatibility/2006" xmlns:a14="http://schemas.microsoft.com/office/drawing/2010/main">
      <mc:Choice Requires="a14">
        <xdr:graphicFrame macro="">
          <xdr:nvGraphicFramePr>
            <xdr:cNvPr id="40" name="source">
              <a:extLst>
                <a:ext uri="{FF2B5EF4-FFF2-40B4-BE49-F238E27FC236}">
                  <a16:creationId xmlns:a16="http://schemas.microsoft.com/office/drawing/2014/main" id="{8EAE4218-8D99-4875-B5A0-5D9C06DC002C}"/>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2011307" y="746693"/>
              <a:ext cx="1821145" cy="25955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582214</xdr:colOff>
      <xdr:row>2</xdr:row>
      <xdr:rowOff>65314</xdr:rowOff>
    </xdr:from>
    <xdr:ext cx="1071563" cy="382190"/>
    <xdr:sp macro="" textlink="'Pivot Table'!J29">
      <xdr:nvSpPr>
        <xdr:cNvPr id="48" name="TextBox 47">
          <a:extLst>
            <a:ext uri="{FF2B5EF4-FFF2-40B4-BE49-F238E27FC236}">
              <a16:creationId xmlns:a16="http://schemas.microsoft.com/office/drawing/2014/main" id="{FEF72690-08C9-E567-AF39-9C6BEC67AB94}"/>
            </a:ext>
          </a:extLst>
        </xdr:cNvPr>
        <xdr:cNvSpPr txBox="1"/>
      </xdr:nvSpPr>
      <xdr:spPr>
        <a:xfrm>
          <a:off x="5106590" y="432707"/>
          <a:ext cx="1071563" cy="38219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A0D8732-A6B9-4BA6-AB54-C27A6D3373E9}" type="TxLink">
            <a:rPr lang="en-US" sz="2000" b="1" i="0" u="none" strike="noStrike">
              <a:solidFill>
                <a:srgbClr val="000000"/>
              </a:solidFill>
              <a:latin typeface="Calibri"/>
              <a:ea typeface="Calibri"/>
              <a:cs typeface="Calibri"/>
            </a:rPr>
            <a:pPr algn="ctr"/>
            <a:t>2540</a:t>
          </a:fld>
          <a:endParaRPr lang="en-GB" sz="2000" b="1"/>
        </a:p>
      </xdr:txBody>
    </xdr:sp>
    <xdr:clientData/>
  </xdr:oneCellAnchor>
  <xdr:twoCellAnchor>
    <xdr:from>
      <xdr:col>19</xdr:col>
      <xdr:colOff>375387</xdr:colOff>
      <xdr:row>0</xdr:row>
      <xdr:rowOff>0</xdr:rowOff>
    </xdr:from>
    <xdr:to>
      <xdr:col>23</xdr:col>
      <xdr:colOff>70757</xdr:colOff>
      <xdr:row>4</xdr:row>
      <xdr:rowOff>113109</xdr:rowOff>
    </xdr:to>
    <xdr:grpSp>
      <xdr:nvGrpSpPr>
        <xdr:cNvPr id="49" name="Group 48">
          <a:extLst>
            <a:ext uri="{FF2B5EF4-FFF2-40B4-BE49-F238E27FC236}">
              <a16:creationId xmlns:a16="http://schemas.microsoft.com/office/drawing/2014/main" id="{28EDA798-A417-3A52-5EC6-EA30FAA45F0F}"/>
            </a:ext>
          </a:extLst>
        </xdr:cNvPr>
        <xdr:cNvGrpSpPr/>
      </xdr:nvGrpSpPr>
      <xdr:grpSpPr>
        <a:xfrm>
          <a:off x="12655834" y="0"/>
          <a:ext cx="2280727" cy="847895"/>
          <a:chOff x="6359276" y="0"/>
          <a:chExt cx="1440000" cy="595312"/>
        </a:xfrm>
      </xdr:grpSpPr>
      <xdr:sp macro="" textlink="">
        <xdr:nvSpPr>
          <xdr:cNvPr id="50" name="Rectangle 49">
            <a:extLst>
              <a:ext uri="{FF2B5EF4-FFF2-40B4-BE49-F238E27FC236}">
                <a16:creationId xmlns:a16="http://schemas.microsoft.com/office/drawing/2014/main" id="{0BB741A9-CB55-5DD3-B43E-A898ECF78B58}"/>
              </a:ext>
            </a:extLst>
          </xdr:cNvPr>
          <xdr:cNvSpPr/>
        </xdr:nvSpPr>
        <xdr:spPr>
          <a:xfrm>
            <a:off x="6359276" y="0"/>
            <a:ext cx="1440000" cy="595312"/>
          </a:xfrm>
          <a:prstGeom prst="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51" name="TextBox 50">
            <a:extLst>
              <a:ext uri="{FF2B5EF4-FFF2-40B4-BE49-F238E27FC236}">
                <a16:creationId xmlns:a16="http://schemas.microsoft.com/office/drawing/2014/main" id="{8AB2D2D7-2E72-2146-335C-83B679631447}"/>
              </a:ext>
            </a:extLst>
          </xdr:cNvPr>
          <xdr:cNvSpPr txBox="1"/>
        </xdr:nvSpPr>
        <xdr:spPr>
          <a:xfrm>
            <a:off x="6567487" y="38099"/>
            <a:ext cx="1071563" cy="24885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Avg</a:t>
            </a:r>
            <a:r>
              <a:rPr lang="en-GB" sz="1800" b="1" baseline="0"/>
              <a:t> Age</a:t>
            </a:r>
            <a:endParaRPr lang="en-GB" sz="1800" b="1"/>
          </a:p>
        </xdr:txBody>
      </xdr:sp>
      <xdr:sp macro="" textlink="'Pivot Table'!J56">
        <xdr:nvSpPr>
          <xdr:cNvPr id="52" name="TextBox 51">
            <a:extLst>
              <a:ext uri="{FF2B5EF4-FFF2-40B4-BE49-F238E27FC236}">
                <a16:creationId xmlns:a16="http://schemas.microsoft.com/office/drawing/2014/main" id="{0D4A0FD9-E2ED-E418-BC32-8F72482A4CD5}"/>
              </a:ext>
            </a:extLst>
          </xdr:cNvPr>
          <xdr:cNvSpPr txBox="1"/>
        </xdr:nvSpPr>
        <xdr:spPr>
          <a:xfrm>
            <a:off x="6580973" y="327619"/>
            <a:ext cx="1071563" cy="24885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FD6E994-B45B-486B-9893-6F399300BDE4}" type="TxLink">
              <a:rPr lang="en-US" sz="2000" b="1" i="0" u="none" strike="noStrike">
                <a:solidFill>
                  <a:srgbClr val="000000"/>
                </a:solidFill>
                <a:latin typeface="Calibri"/>
                <a:ea typeface="Calibri"/>
                <a:cs typeface="Calibri"/>
              </a:rPr>
              <a:pPr algn="ctr"/>
              <a:t>65</a:t>
            </a:fld>
            <a:endParaRPr lang="en-GB" sz="20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yikemi" refreshedDate="45929.704937268521" createdVersion="8" refreshedVersion="8" minRefreshableVersion="3" recordCount="2640" xr:uid="{0C3CEE03-9236-42F0-A1B5-0B4069CF1284}">
  <cacheSource type="worksheet">
    <worksheetSource name="Table1"/>
  </cacheSource>
  <cacheFields count="31">
    <cacheField name="Rank" numFmtId="0">
      <sharedItems containsSemiMixedTypes="0" containsString="0" containsNumber="1" containsInteger="1" minValue="1" maxValue="2540" count="219">
        <n v="1"/>
        <n v="2"/>
        <n v="3"/>
        <n v="4"/>
        <n v="5"/>
        <n v="6"/>
        <n v="7"/>
        <n v="8"/>
        <n v="9"/>
        <n v="10"/>
        <n v="11"/>
        <n v="12"/>
        <n v="13"/>
        <n v="14"/>
        <n v="15"/>
        <n v="16"/>
        <n v="17"/>
        <n v="19"/>
        <n v="20"/>
        <n v="21"/>
        <n v="22"/>
        <n v="23"/>
        <n v="24"/>
        <n v="25"/>
        <n v="26"/>
        <n v="27"/>
        <n v="28"/>
        <n v="29"/>
        <n v="30"/>
        <n v="31"/>
        <n v="33"/>
        <n v="34"/>
        <n v="35"/>
        <n v="37"/>
        <n v="38"/>
        <n v="39"/>
        <n v="40"/>
        <n v="41"/>
        <n v="43"/>
        <n v="45"/>
        <n v="46"/>
        <n v="47"/>
        <n v="48"/>
        <n v="49"/>
        <n v="50"/>
        <n v="51"/>
        <n v="52"/>
        <n v="53"/>
        <n v="54"/>
        <n v="55"/>
        <n v="56"/>
        <n v="57"/>
        <n v="58"/>
        <n v="59"/>
        <n v="60"/>
        <n v="61"/>
        <n v="62"/>
        <n v="63"/>
        <n v="64"/>
        <n v="65"/>
        <n v="67"/>
        <n v="68"/>
        <n v="69"/>
        <n v="70"/>
        <n v="71"/>
        <n v="72"/>
        <n v="74"/>
        <n v="76"/>
        <n v="77"/>
        <n v="79"/>
        <n v="80"/>
        <n v="81"/>
        <n v="82"/>
        <n v="83"/>
        <n v="84"/>
        <n v="86"/>
        <n v="88"/>
        <n v="89"/>
        <n v="92"/>
        <n v="93"/>
        <n v="94"/>
        <n v="97"/>
        <n v="99"/>
        <n v="100"/>
        <n v="101"/>
        <n v="103"/>
        <n v="104"/>
        <n v="106"/>
        <n v="107"/>
        <n v="108"/>
        <n v="112"/>
        <n v="113"/>
        <n v="114"/>
        <n v="115"/>
        <n v="116"/>
        <n v="118"/>
        <n v="119"/>
        <n v="120"/>
        <n v="121"/>
        <n v="122"/>
        <n v="123"/>
        <n v="124"/>
        <n v="126"/>
        <n v="127"/>
        <n v="128"/>
        <n v="130"/>
        <n v="133"/>
        <n v="136"/>
        <n v="137"/>
        <n v="138"/>
        <n v="140"/>
        <n v="141"/>
        <n v="142"/>
        <n v="144"/>
        <n v="145"/>
        <n v="146"/>
        <n v="147"/>
        <n v="148"/>
        <n v="151"/>
        <n v="153"/>
        <n v="157"/>
        <n v="159"/>
        <n v="161"/>
        <n v="164"/>
        <n v="165"/>
        <n v="167"/>
        <n v="170"/>
        <n v="171"/>
        <n v="179"/>
        <n v="182"/>
        <n v="183"/>
        <n v="184"/>
        <n v="190"/>
        <n v="195"/>
        <n v="202"/>
        <n v="204"/>
        <n v="206"/>
        <n v="208"/>
        <n v="215"/>
        <n v="220"/>
        <n v="223"/>
        <n v="230"/>
        <n v="232"/>
        <n v="239"/>
        <n v="242"/>
        <n v="246"/>
        <n v="249"/>
        <n v="256"/>
        <n v="261"/>
        <n v="268"/>
        <n v="276"/>
        <n v="282"/>
        <n v="290"/>
        <n v="299"/>
        <n v="305"/>
        <n v="312"/>
        <n v="317"/>
        <n v="325"/>
        <n v="332"/>
        <n v="344"/>
        <n v="352"/>
        <n v="365"/>
        <n v="383"/>
        <n v="390"/>
        <n v="397"/>
        <n v="405"/>
        <n v="411"/>
        <n v="418"/>
        <n v="425"/>
        <n v="437"/>
        <n v="442"/>
        <n v="445"/>
        <n v="455"/>
        <n v="466"/>
        <n v="486"/>
        <n v="497"/>
        <n v="511"/>
        <n v="523"/>
        <n v="534"/>
        <n v="552"/>
        <n v="567"/>
        <n v="580"/>
        <n v="591"/>
        <n v="611"/>
        <n v="624"/>
        <n v="636"/>
        <n v="659"/>
        <n v="679"/>
        <n v="699"/>
        <n v="721"/>
        <n v="748"/>
        <n v="766"/>
        <n v="787"/>
        <n v="818"/>
        <n v="852"/>
        <n v="878"/>
        <n v="905"/>
        <n v="949"/>
        <n v="982"/>
        <n v="1027"/>
        <n v="1067"/>
        <n v="1104"/>
        <n v="1164"/>
        <n v="1217"/>
        <n v="1272"/>
        <n v="1312"/>
        <n v="1368"/>
        <n v="1434"/>
        <n v="1516"/>
        <n v="1575"/>
        <n v="1647"/>
        <n v="1725"/>
        <n v="1804"/>
        <n v="1905"/>
        <n v="2020"/>
        <n v="2133"/>
        <n v="2259"/>
        <n v="2405"/>
        <n v="2540"/>
      </sharedItems>
    </cacheField>
    <cacheField name="Net Worth" numFmtId="0">
      <sharedItems containsSemiMixedTypes="0" containsString="0" containsNumber="1" containsInteger="1" minValue="1000" maxValue="211000" count="219">
        <n v="211000"/>
        <n v="180000"/>
        <n v="114000"/>
        <n v="107000"/>
        <n v="106000"/>
        <n v="104000"/>
        <n v="94500"/>
        <n v="93000"/>
        <n v="83400"/>
        <n v="80700"/>
        <n v="80500"/>
        <n v="79200"/>
        <n v="77300"/>
        <n v="76000"/>
        <n v="68000"/>
        <n v="64400"/>
        <n v="59000"/>
        <n v="58800"/>
        <n v="57600"/>
        <n v="56700"/>
        <n v="54400"/>
        <n v="50100"/>
        <n v="47200"/>
        <n v="45100"/>
        <n v="45000"/>
        <n v="42900"/>
        <n v="40100"/>
        <n v="39100"/>
        <n v="38900"/>
        <n v="38300"/>
        <n v="38000"/>
        <n v="35300"/>
        <n v="35000"/>
        <n v="34700"/>
        <n v="33400"/>
        <n v="32600"/>
        <n v="32100"/>
        <n v="31600"/>
        <n v="31200"/>
        <n v="30200"/>
        <n v="29700"/>
        <n v="29500"/>
        <n v="28500"/>
        <n v="28100"/>
        <n v="27800"/>
        <n v="27400"/>
        <n v="27000"/>
        <n v="26700"/>
        <n v="26600"/>
        <n v="25600"/>
        <n v="25500"/>
        <n v="25300"/>
        <n v="25200"/>
        <n v="24600"/>
        <n v="24400"/>
        <n v="24200"/>
        <n v="23700"/>
        <n v="23500"/>
        <n v="23400"/>
        <n v="23100"/>
        <n v="22900"/>
        <n v="22600"/>
        <n v="22400"/>
        <n v="22100"/>
        <n v="22000"/>
        <n v="21600"/>
        <n v="21200"/>
        <n v="21100"/>
        <n v="21000"/>
        <n v="20900"/>
        <n v="20500"/>
        <n v="20200"/>
        <n v="19600"/>
        <n v="19100"/>
        <n v="19000"/>
        <n v="18900"/>
        <n v="18700"/>
        <n v="18500"/>
        <n v="18000"/>
        <n v="17700"/>
        <n v="17500"/>
        <n v="17400"/>
        <n v="17100"/>
        <n v="16700"/>
        <n v="16500"/>
        <n v="16300"/>
        <n v="16200"/>
        <n v="16000"/>
        <n v="15900"/>
        <n v="15800"/>
        <n v="15600"/>
        <n v="15500"/>
        <n v="15300"/>
        <n v="15200"/>
        <n v="14900"/>
        <n v="14800"/>
        <n v="14700"/>
        <n v="14600"/>
        <n v="14500"/>
        <n v="14400"/>
        <n v="14300"/>
        <n v="14200"/>
        <n v="14100"/>
        <n v="14000"/>
        <n v="13900"/>
        <n v="13700"/>
        <n v="13300"/>
        <n v="13200"/>
        <n v="13100"/>
        <n v="12900"/>
        <n v="12600"/>
        <n v="12300"/>
        <n v="12200"/>
        <n v="12100"/>
        <n v="12000"/>
        <n v="11800"/>
        <n v="11600"/>
        <n v="11500"/>
        <n v="11400"/>
        <n v="11300"/>
        <n v="11100"/>
        <n v="11000"/>
        <n v="10900"/>
        <n v="10700"/>
        <n v="10600"/>
        <n v="10500"/>
        <n v="10300"/>
        <n v="10200"/>
        <n v="10100"/>
        <n v="10000"/>
        <n v="9900"/>
        <n v="9800"/>
        <n v="9700"/>
        <n v="9600"/>
        <n v="9500"/>
        <n v="9400"/>
        <n v="9300"/>
        <n v="9200"/>
        <n v="9000"/>
        <n v="8900"/>
        <n v="8800"/>
        <n v="8700"/>
        <n v="8600"/>
        <n v="8500"/>
        <n v="8400"/>
        <n v="8300"/>
        <n v="8200"/>
        <n v="8100"/>
        <n v="8000"/>
        <n v="7900"/>
        <n v="7800"/>
        <n v="7700"/>
        <n v="7600"/>
        <n v="7500"/>
        <n v="7400"/>
        <n v="7300"/>
        <n v="7200"/>
        <n v="7100"/>
        <n v="7000"/>
        <n v="6900"/>
        <n v="6800"/>
        <n v="6700"/>
        <n v="6600"/>
        <n v="6500"/>
        <n v="6400"/>
        <n v="6300"/>
        <n v="6200"/>
        <n v="6100"/>
        <n v="6000"/>
        <n v="5900"/>
        <n v="5800"/>
        <n v="5700"/>
        <n v="5600"/>
        <n v="5500"/>
        <n v="5400"/>
        <n v="5300"/>
        <n v="5200"/>
        <n v="5100"/>
        <n v="5000"/>
        <n v="4900"/>
        <n v="4800"/>
        <n v="4700"/>
        <n v="4600"/>
        <n v="4500"/>
        <n v="4400"/>
        <n v="4300"/>
        <n v="4200"/>
        <n v="4100"/>
        <n v="4000"/>
        <n v="3900"/>
        <n v="3800"/>
        <n v="3700"/>
        <n v="3600"/>
        <n v="3500"/>
        <n v="3400"/>
        <n v="3300"/>
        <n v="3200"/>
        <n v="3100"/>
        <n v="3000"/>
        <n v="2900"/>
        <n v="2800"/>
        <n v="2700"/>
        <n v="2600"/>
        <n v="2500"/>
        <n v="2400"/>
        <n v="2300"/>
        <n v="2200"/>
        <n v="2100"/>
        <n v="2000"/>
        <n v="1900"/>
        <n v="1800"/>
        <n v="1700"/>
        <n v="1600"/>
        <n v="1500"/>
        <n v="1400"/>
        <n v="1300"/>
        <n v="1200"/>
        <n v="1100"/>
        <n v="1000"/>
      </sharedItems>
    </cacheField>
    <cacheField name="category" numFmtId="0">
      <sharedItems count="18">
        <s v="Fashion &amp; Retail"/>
        <s v="Automotive"/>
        <s v="Technology"/>
        <s v="Finance &amp; Investments"/>
        <s v="Media &amp; Entertainment"/>
        <s v="Telecom"/>
        <s v="Diversified"/>
        <s v="Food &amp; Beverage"/>
        <s v="Logistics"/>
        <s v="Gambling &amp; Casinos"/>
        <s v="Manufacturing"/>
        <s v="Real Estate"/>
        <s v="Metals &amp; Mining"/>
        <s v="Energy"/>
        <s v="Healthcare"/>
        <s v="Service"/>
        <s v="Construction &amp; Engineering"/>
        <s v="Sports"/>
      </sharedItems>
    </cacheField>
    <cacheField name="Name" numFmtId="0">
      <sharedItems count="2638">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Li Ka-shing"/>
        <s v="Ma Huateng"/>
        <s v="Miriam Adelson &amp; family"/>
        <s v="Ken Griffin"/>
        <s v="Mark Mateschitz"/>
        <s v="Robin Zeng"/>
        <s v="Tadashi Yanai &amp; family"/>
        <s v="Len Blavatnik"/>
        <s v="Alain Wertheimer"/>
        <s v="Gerard Wertheimer"/>
        <s v="Gianluigi Aponte"/>
        <s v="Rafaela Aponte-Diamant"/>
        <s v="Colin Zheng Huang"/>
        <s v="Reinhold Wuerth &amp; family"/>
        <s v="Lee Shau Kee"/>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Eyal Ofer"/>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Karl Albrecht Jr. &amp; family"/>
        <s v="Beate Heister"/>
        <s v="Jorge Paulo Lemann &amp; family"/>
        <s v="Peter Woo"/>
        <s v="Dilip Shanghvi"/>
        <s v="Robert Pera"/>
        <s v="Radhakishan Damani"/>
        <s v="Huang Shilin"/>
        <s v="Dhanin Chearavanont"/>
        <s v="David Green &amp; family"/>
        <s v="Charoen Sirivadhanabhakdi"/>
        <s v="Charlene de Carvalho-Heineken &amp; family"/>
        <s v="Xu Hang"/>
        <s v="Wei Jianjun &amp; family"/>
        <s v="Alisher Usmanov"/>
        <s v="Goh Cheng Liang"/>
        <s v="Kumar Birla"/>
        <s v="Aliko Dangote"/>
        <s v="Kwong Siu-hing"/>
        <s v="Idan Ofer"/>
        <s v="Chen Bang"/>
        <s v="Lui Che Woo"/>
        <s v="John Fredriksen"/>
        <s v="Diane Hendricks"/>
        <s v="Jan Koum"/>
        <s v="Jerry Jones"/>
        <s v="George Kaiser"/>
        <s v="Joseph Lau"/>
        <s v="Lu Xiangyang"/>
        <s v="Harry Triguboff"/>
        <s v="Uday Kotak"/>
        <s v="Stanley Kroenke"/>
        <s v="Mikhail Fridman"/>
        <s v="Sarath Ratanavadi"/>
        <s v="Dang Yanbao"/>
        <s v="Jiang Rensheng &amp; family"/>
        <s v="Shahid Khan"/>
        <s v="Laurene Powell Jobs &amp; family"/>
        <s v="Robert Kuok"/>
        <s v="Stephen Ross"/>
        <s v="Pavel Durov"/>
        <s v="Andreas Struengmann &amp; family"/>
        <s v="Thomas Struengmann &amp; family"/>
        <s v="Liu Hanyuan"/>
        <s v="Michael Rubin"/>
        <s v="Israel Englander"/>
        <s v="Viatcheslav Kantor"/>
        <s v="Anthony Pratt"/>
        <s v="Mikhail Prokhorov"/>
        <s v="Giorgio Armani"/>
        <s v="Johann Rupert &amp; family"/>
        <s v="Gong Hongjia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Stefano Pessina"/>
        <s v="Francine von Finck &amp; family"/>
        <s v="Francis Choi"/>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Eric Wittouck"/>
        <s v="Orlando Bravo"/>
        <s v="Ding Shizhong"/>
        <s v="Nancy Walton Laurie"/>
        <s v="Jay Y. Lee"/>
        <s v="Ramzi Musallam"/>
        <s v="David Shaw"/>
        <s v="Andrei Skoch &amp; family"/>
        <s v="Georg Stumpf"/>
        <s v="Rocco Commisso"/>
        <s v="Li Shuirong &amp; family"/>
        <s v="Lin Shu-hong"/>
        <s v="Qi Shi &amp; family"/>
        <s v="Yao Liangsong"/>
        <s v="Zhang Congyuan"/>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Joseph Tsai"/>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Terry Gou"/>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Law Kar Po"/>
        <s v="Rohiqa Cyrus Mistry"/>
        <s v="Shapoor Mistry"/>
        <s v="J. Christopher Reyes"/>
        <s v="Jude Reyes"/>
        <s v="Don Vultaggio &amp; family"/>
        <s v="Alejandro Bailleres Gual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Nathan Kirsh"/>
        <s v="Annette Lerner &amp; family"/>
        <s v="David Reuben"/>
        <s v="Simon Reuben"/>
        <s v="Radovan Vitek"/>
        <s v="Carl Bennet"/>
        <s v="Stephen Bisciotti"/>
        <s v="Stanley Druckenmiller"/>
        <s v="Jian Jun"/>
        <s v="Alexei Kuzmichev"/>
        <s v="Dmitry Rybolovlev &amp; family"/>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Michael Kadoorie"/>
        <s v="Sunil Mittal"/>
        <s v="Zhou Qunfei"/>
        <s v="Alexander Abramov"/>
        <s v="Rene Benko"/>
        <s v="Neil Bluhm"/>
        <s v="Alain Bouchard"/>
        <s v="Jay Chaudhry"/>
        <s v="Gopikishan Damani"/>
        <s v="Sumet Jiaravanon"/>
        <s v="Joe Lewis"/>
        <s v="Frank Lowy"/>
        <s v="Michael Milken"/>
        <s v="David Steward"/>
        <s v="Les Wexner &amp; family"/>
        <s v="Cai Kui"/>
        <s v="Jaran Chiaravanont"/>
        <s v="Andreas Halvorsen"/>
        <s v="Antony Ressler"/>
        <s v="Tsai Eng-meng"/>
        <s v="Josh Harris"/>
        <s v="Niels Peter Louis-Hansen"/>
        <s v="Patrick Soon-Shiong"/>
        <s v="Rinat Akhmetov"/>
        <s v="John Brown"/>
        <s v="Clive Calder"/>
        <s v="Arthur Irving"/>
        <s v="Fredrik Lundberg"/>
        <s v="Thomas Schmidheiny"/>
        <s v="Helmut Sohmen"/>
        <s v="Daniel Ziff"/>
        <s v="Dirk Ziff"/>
        <s v="Robert Ziff"/>
        <s v="Maria Angelicoussis"/>
        <s v="Ray Lee Hunt"/>
        <s v="Lai Meisong"/>
        <s v="Vikram Lal &amp; family"/>
        <s v="Ken Langone"/>
        <s v="Li Ge"/>
        <s v="Karen Pritzker"/>
        <s v="Robert Rowling"/>
        <s v="Teddy Sagi"/>
        <s v="Seo Jung-jin"/>
        <s v="Wu Jianshu"/>
        <s v="Micky Arison"/>
        <s v="James Chambers"/>
        <s v="Pierre Chen"/>
        <s v="John Collison"/>
        <s v="Patrick Collison"/>
        <s v="Archie Aldis Emmerson &amp; family"/>
        <s v="Piero Ferrari"/>
        <s v="Dan Friedkin"/>
        <s v="James Irving"/>
        <s v="Jiang Weiping &amp; family"/>
        <s v="Wolfgang Marguerre &amp; family"/>
        <s v="Ludwig Merckle"/>
        <s v="Mitchell Rales"/>
        <s v="Katharine Rayner"/>
        <s v="Jean Salata"/>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 v="Alexandre Behring"/>
        <s v="Cheng Xue"/>
        <s v="Robert Faith"/>
        <s v="Gao Dekang &amp; family"/>
        <s v="Micky Jagtiani"/>
        <s v="Ananda Krishnan"/>
        <s v="Barry Lam"/>
        <s v="Robert Rich, Jr."/>
        <s v="Mark Scheinberg"/>
        <s v="Charles Simonyi"/>
        <s v="Ty Warner"/>
        <s v="Sam Zell"/>
        <s v="Fang Wei"/>
        <s v="Rekha Jhunjhunwala"/>
        <s v="Charles B. Johnson"/>
        <s v="Kwon Hyuk-bin"/>
        <s v="Sami Mnaymneh"/>
        <s v="Kjell Inge Rokke"/>
        <s v="Tony Tamer"/>
        <s v="Tse Ping &amp; family"/>
        <s v="Romesh T. Wadhwani"/>
        <s v="Hansjoerg Wyss"/>
        <s v="Denise York &amp; family"/>
        <s v="Ron Baron"/>
        <s v="Robert Bass"/>
        <s v="Dona Bertarelli"/>
        <s v="Alexander Gerko"/>
        <s v="Martin Haefner"/>
        <s v="Robert Hale, Jr."/>
        <s v="Viktor Kharitonin"/>
        <s v="Kim Beom-su"/>
        <s v="Jane Lauder"/>
        <s v="Michel Leclercq &amp; family"/>
        <s v="George Lucas"/>
        <s v="Janice McNair"/>
        <s v="Ugur Sahin"/>
        <s v="Alexandra Schoerghuber &amp; family"/>
        <s v="Thomas Straumann"/>
        <s v="Murat Ulker"/>
        <s v="Chip Wilson"/>
        <s v="Zhu Yan &amp; family"/>
        <s v="Jim Davis &amp; family"/>
        <s v="Murali Divi &amp; family"/>
        <s v="Dagmar Dolby &amp; family"/>
        <s v="Marcos Galperin"/>
        <s v="Tom Golisano"/>
        <s v="Jonathan Gray"/>
        <s v="Bidzina Ivanishvili"/>
        <s v="Lim Hariyanto Wijaya Sarwono"/>
        <s v="Rudolf Maag"/>
        <s v="Emanuele (Lino) Saputo &amp; family"/>
        <s v="Mark Shoen"/>
        <s v="Dan Snyder"/>
        <s v="Chairul Tanjung"/>
        <s v="Kelcy Warren"/>
        <s v="Zhang Tao"/>
        <s v="Michael Ashley"/>
        <s v="Tomasz Biernacki"/>
        <s v="Bernard Broermann"/>
        <s v="Jimmy Haslam"/>
        <s v="H. Fisk Johnson"/>
        <s v="S. Curtis Johnson"/>
        <s v="Helen Johnson-Leipold"/>
        <s v="Vinod Khosla"/>
        <s v="Thai Lee"/>
        <s v="Winifred J. Marquart"/>
        <s v="Pankaj Patel"/>
        <s v="Horst Julius Pudwill"/>
        <s v="Yu Yong"/>
        <s v="Maria Fernanda Amorim &amp; family"/>
        <s v="Gayle Benson"/>
        <s v="Jason Chang"/>
        <s v="Ali Erdemoglu"/>
        <s v="Andre Esteves"/>
        <s v="Carlo Fidani"/>
        <s v="Hong Ra-hee"/>
        <s v="Li Gaiteng"/>
        <s v="Thomas Secunda"/>
        <s v="Zuowen Song"/>
        <s v="Tim Sweeney"/>
        <s v="Bert Beveridge"/>
        <s v="Mark Cuban"/>
        <s v="Charles Dolan &amp; family"/>
        <s v="Jack Dorsey"/>
        <s v="Fan Hongwei"/>
        <s v="Vladimir Kim"/>
        <s v="Andre Koo, Sr."/>
        <s v="Ronald Lauder"/>
        <s v="Li Chunan"/>
        <s v="Forrest Li"/>
        <s v="Richard Li"/>
        <s v="Doug Meijer &amp; family"/>
        <s v="Hank Meijer &amp; family"/>
        <s v="Mark Meijer &amp; family"/>
        <s v="Issad Rebrab &amp; family"/>
        <s v="Fred Smith"/>
        <s v="Barry Sternlicht"/>
        <s v="Maximilian Viessmann"/>
        <s v="Russ Weiner"/>
        <s v="Xue Min"/>
        <s v="Juan Domingo Beckmann Legorreta &amp; family"/>
        <s v="Dietmar Hopp &amp; family"/>
        <s v="Jiang Bin"/>
        <s v="Joseph Liemandt"/>
        <s v="Theo Mueller"/>
        <s v="N.R. Narayana Murthy"/>
        <s v="Odd Reitan &amp; family"/>
        <s v="Marc Rowan"/>
        <s v="Hussain Sajwani"/>
        <s v="David Velez &amp; family"/>
        <s v="Xu Jinfu"/>
        <s v="Samuel Yin"/>
        <s v="You Xiaoping &amp; family"/>
        <s v="Stéphane Bancel"/>
        <s v="Margot Birmingham Perot"/>
        <s v="Neal Blue &amp; family"/>
        <s v="Jim Davis"/>
        <s v="Rafael Del Pino"/>
        <s v="Peter Grogg"/>
        <s v="Christian Haub"/>
        <s v="Mangal Prabhat Lodha"/>
        <s v="Jeffrey Lurie &amp; family"/>
        <s v="Joe Mansueto"/>
        <s v="Qian Dongqi &amp; family"/>
        <s v="Mikhail Shelkov"/>
        <s v="Patrick Drahi"/>
        <s v="Behdad Eghbali"/>
        <s v="Juan Carlos Escotet"/>
        <s v="Jose E. Feliciano"/>
        <s v="Hu Kaijun"/>
        <s v="Johnelle Hunt"/>
        <s v="Marian Ilitch"/>
        <s v="Daryl Katz"/>
        <s v="Andrei Kozitsyn"/>
        <s v="Timur Kulibaev"/>
        <s v="Dinara Kulibaeva"/>
        <s v="Ian Livingstone"/>
        <s v="Richard Livingstone"/>
        <s v="Gwendolyn Sontheim Meyer"/>
        <s v="Jay Paul"/>
        <s v="Pham Nhat Vuong"/>
        <s v="Jon Stryker"/>
        <s v="Daniel Tsai"/>
        <s v="Richard Tsai"/>
        <s v="Frank Wang"/>
        <s v="Wang Junshi &amp; family"/>
        <s v="Wang Wenjing"/>
        <s v="Herbert Wertheim"/>
        <s v="Shari Arison"/>
        <s v="Pyotr Aven"/>
        <s v="Chan Laiwa &amp; family"/>
        <s v="Chen Hua"/>
        <s v="Thomas Hagen"/>
        <s v="Rupert Johnson, Jr."/>
        <s v="Dewi Kam"/>
        <s v="Min Kao &amp; family"/>
        <s v="Marc Ladreit de Lacharriere"/>
        <s v="Eric Lefkofsky"/>
        <s v="Lin Bin"/>
        <s v="Lin Li"/>
        <s v="Michael Moritz"/>
        <s v="Jean (Gigi) Pritzker"/>
        <s v="E. Joe Shoen"/>
        <s v="Jeff Skoll"/>
        <s v="Lynsi Snyder"/>
        <s v="Djoko Susanto"/>
        <s v="Tahir &amp; family"/>
        <s v="Peter Thiel"/>
        <s v="Andrej Babis"/>
        <s v="Danielle Bellon &amp; family"/>
        <s v="Hubert Burda"/>
        <s v="Nick Caporella"/>
        <s v="John Catsimatidis"/>
        <s v="Scott Cook"/>
        <s v="Luca Garavoglia"/>
        <s v="Antti Herlin"/>
        <s v="Hong Jie"/>
        <s v="Jeremy Jacobs, Sr. &amp; family"/>
        <s v="Igor Kesaev"/>
        <s v="Mary Alice Dorrance Malone"/>
        <s v="Joao Moreira Salles"/>
        <s v="Walther Moreira Salles Junior"/>
        <s v="Arturo Moreno"/>
        <s v="Peter Spuhler"/>
        <s v="Donald Sterling"/>
        <s v="Kerry Stokes"/>
        <s v="Ken Xie"/>
        <s v="Liangzhi Xie &amp; family"/>
        <s v="Sid Bass"/>
        <s v="Ben Chestnut"/>
        <s v="Elisabeth DeLuca &amp; family"/>
        <s v="Guangchang Guo"/>
        <s v="Vinod Rai Gupta"/>
        <s v="John Henry"/>
        <s v="Travis Kalanick"/>
        <s v="Koon Poh Keong"/>
        <s v="Dan Kurzius"/>
        <s v="Paul Lee"/>
        <s v="Tobi Lutke"/>
        <s v="Gail Miller"/>
        <s v="Rajan Mittal"/>
        <s v="Rakesh Mittal"/>
        <s v="Isaac Perlmutter"/>
        <s v="Bernard Saul, II."/>
        <s v="Shaul Shani"/>
        <s v="Steven Spielberg"/>
        <s v="Jerzy Starak"/>
        <s v="Torbjorn Tornqvist"/>
        <s v="Rufino Vigil Gonzalez"/>
        <s v="Zhang Daocai"/>
        <s v="Juergen Blickle"/>
        <s v="Austen Cargill, II."/>
        <s v="James Cargill, II."/>
        <s v="Vanich Chaiyawan"/>
        <s v="Chen Dongsheng"/>
        <s v="Mong-Koo Chung"/>
        <s v="Kenneth Dart"/>
        <s v="Giuseppe De'Longhi &amp; family"/>
        <s v="Guenther Fielmann &amp; family"/>
        <s v="W. Herbert Hunt"/>
        <s v="James Irsay"/>
        <s v="Somurai Jaruphnit"/>
        <s v="Marianne Liebmann"/>
        <s v="Jorge Moll Filho &amp; family"/>
        <s v="Fernando Roberto Moreira Salles"/>
        <s v="Pedro Moreira Salles"/>
        <s v="Gabe Newell"/>
        <s v="Alfred Oetker"/>
        <s v="Carl Ferdinand Oetker"/>
        <s v="Julia Oetker"/>
        <s v="Ruan Hongliang &amp; family"/>
        <s v="Mark Stevens"/>
        <s v="Tsai Hong-tu"/>
        <s v="Nusli Wadia"/>
        <s v="Wu Yiling"/>
        <s v="Yu Renrong"/>
        <s v="Zhu Baoguo &amp; family"/>
        <s v="Rahul Bhatia"/>
        <s v="Francesco Gaetano Caltagirone"/>
        <s v="Barry Diller"/>
        <s v="Wesley Edens"/>
        <s v="Stephen Feinberg"/>
        <s v="Rakesh Gangwal"/>
        <s v="Joseph Grendys"/>
        <s v="Martha Ingram &amp; family"/>
        <s v="Li Xiang"/>
        <s v="H. Ross Perot, Jr."/>
        <s v="Chandru Raheja"/>
        <s v="Trevor Rees-Jones"/>
        <s v="Yasumitsu Shigeta"/>
        <s v="Su Qingcan"/>
        <s v="Tsai Cheng-ta"/>
        <s v="Steven Udvar-Hazy"/>
        <s v="Elizabeth Uihlein"/>
        <s v="Richard Uihlein"/>
        <s v="Hayes Barnard"/>
        <s v="William Berkley"/>
        <s v="Charles Cohen"/>
        <s v="Yakir Gabay"/>
        <s v="Huang Li"/>
        <s v="Brad Jacobs"/>
        <s v="Ji Qi"/>
        <s v="Jason Jiang"/>
        <s v="Jim Kavanaugh"/>
        <s v="Richard LeFrak &amp; family"/>
        <s v="Mikhail Lomtadze"/>
        <s v="Tom Morris"/>
        <s v="Shigenobu Nagamori"/>
        <s v="Daniel Och"/>
        <s v="Horst Paulmann &amp; family"/>
        <s v="Anthony Pritzker"/>
        <s v="John Sall"/>
        <s v="Howard Schultz"/>
        <s v="Richard Schulze"/>
        <s v="Yitzhak Tshuva"/>
        <s v="Wang Yanqing &amp; family"/>
        <s v="Rajiv Bajaj"/>
        <s v="Sanjiv Bajaj"/>
        <s v="Leonid Boguslavsky"/>
        <s v="Jim Coulter"/>
        <s v="Nicolas D'Ieteren"/>
        <s v="Beatriz Davila de Santo Domingo"/>
        <s v="Bob Gaglardi"/>
        <s v="Jaime Gilinski Bacal"/>
        <s v="Pansy Ho"/>
        <s v="Alan Howard"/>
        <s v="Huang Yi"/>
        <s v="Peter Kellogg"/>
        <s v="Vyacheslav Kim"/>
        <s v="Josh Kushner"/>
        <s v="Samuel Tak Lee"/>
        <s v="Edwin Leong"/>
        <s v="Stephen Mandel, Jr."/>
        <s v="Mohamed Mansour"/>
        <s v="Masahiro Miki"/>
        <s v="Masahiro Noda"/>
        <s v="Cliff Obrecht"/>
        <s v="Melanie Perkins"/>
        <s v="J.B. Pritzker"/>
        <s v="Juan Roig"/>
        <s v="Jerry Speyer &amp; family"/>
        <s v="Lawrence Stroll"/>
        <s v="Tung Chee Chen"/>
        <s v="Wang Junlin"/>
        <s v="Xia Zuoquan"/>
        <s v="Zeng Fangqin"/>
        <s v="Zhang Jian"/>
        <s v="Rocco Basilico"/>
        <s v="Maurizio Billi"/>
        <s v="Fashu Chen"/>
        <s v="Giuseppe Crippa &amp; family"/>
        <s v="Daniel D'Aniello"/>
        <s v="Claudio Del Vecchio"/>
        <s v="Clemente Del Vecchio"/>
        <s v="Leonardo Maria Del Vecchio"/>
        <s v="Luca Del Vecchio"/>
        <s v="Marisa Del Vecchio"/>
        <s v="Paola Del Vecchio"/>
        <s v="Walter P.J. Droege"/>
        <s v="Fan Daidi"/>
        <s v="Peter Gassner"/>
        <s v="Mikhail Gutseriev"/>
        <s v="Patrick Lee"/>
        <s v="Leng Youbin"/>
        <s v="Daniel Loeb"/>
        <s v="Margarita Louis-Dreyfus &amp; family"/>
        <s v="Prasert Prasarttong-Osoth"/>
        <s v="Ira Rennert"/>
        <s v="Dirk Rossmann &amp; family"/>
        <s v="Arkady Rotenberg"/>
        <s v="Remo Ruffini"/>
        <s v="Karin Sartorius-Herbst"/>
        <s v="Vivek Chaand Sehgal"/>
        <s v="Scott Shleifer"/>
        <s v="Thomas Siebel"/>
        <s v="Wim van der Leegte &amp; family"/>
        <s v="Xiao Yongming &amp; family"/>
        <s v="Michael Xie"/>
        <s v="Yang Shaopeng"/>
        <s v="Nicoletta Zampillo"/>
        <s v="Barry Zekelman"/>
        <s v="William Ackman"/>
        <s v="Somphote Ahunai"/>
        <s v="Igor Altushkin"/>
        <s v="Ramon Ang"/>
        <s v="Acharya Balkrishna"/>
        <s v="Markus Blocher"/>
        <s v="Richard Branson"/>
        <s v="Cho Jung-ho"/>
        <s v="Alessandra Garavoglia"/>
        <s v="Laurence Graff &amp; family"/>
        <s v="Amos Hostetter, Jr."/>
        <s v="Robert Johnson"/>
        <s v="Steven Klinsky"/>
        <s v="William Lauder"/>
        <s v="John Middleton"/>
        <s v="Hiroshi Mikitani"/>
        <s v="Bob Parsons"/>
        <s v="J. Joe Ricketts &amp; family"/>
        <s v="Herb Simon"/>
        <s v="Leena Tewari"/>
        <s v="Stefan von Holtzbrinck"/>
        <s v="Hans Peter Wild"/>
        <s v="Wu Guanjiang &amp; family"/>
        <s v="Yi Zheng"/>
        <s v="Eric Yuan &amp; family"/>
        <s v="Charles Zegar"/>
        <s v="Mohed Altrad"/>
        <s v="John Arnold"/>
        <s v="Bill Austin"/>
        <s v="Chen Shibin"/>
        <s v="Bennett Dorrance"/>
        <s v="Walter Faria"/>
        <s v="Walter Frey"/>
        <s v="Fu Liquan &amp; family"/>
        <s v="John Gandel"/>
        <s v="Peter Gilgan"/>
        <s v="Kwek Leng Beng"/>
        <s v="Pablo Legorreta"/>
        <s v="Arnon Milchan"/>
        <s v="Akio Nitori"/>
        <s v="Julio Ponce Lerou"/>
        <s v="Rodger Riney &amp; family"/>
        <s v="Phil Ruffin"/>
        <s v="Naguib Sawiris"/>
        <s v="Neil Shen"/>
        <s v="Gil Shwed"/>
        <s v="Stephen Smith"/>
        <s v="Nik Storonsky"/>
        <s v="Jeffrey Talpins"/>
        <s v="Carl Thoma"/>
        <s v="Todd Wanek"/>
        <s v="Xue Hua"/>
        <s v="Takao Yasuda"/>
        <s v="Karen Virginia Beckmann Legoretta"/>
        <s v="Giuliana Benetton"/>
        <s v="Luciano Benetton"/>
        <s v="Arun Bharat Ram"/>
        <s v="Ron Burkle"/>
        <s v="Chen Kaixuan"/>
        <s v="Brunello Cucinelli &amp; family"/>
        <s v="Antonio Del Valle Ruiz &amp; family"/>
        <s v="Gustavo Denegri &amp; family"/>
        <s v="Dong Jinggui"/>
        <s v="Charles Ergen"/>
        <s v="David Filo"/>
        <s v="Lindsay Fox"/>
        <s v="Sergei Galitsky"/>
        <s v="Senapathy Gopalakrishnan"/>
        <s v="Luciano Hang"/>
        <s v="Michael Hintze"/>
        <s v="Hu Baifan"/>
        <s v="Hamilton James &amp; family"/>
        <s v="Lee Boo-jin"/>
        <s v="Li Liangbin"/>
        <s v="Liang Feng"/>
        <s v="Samir Mehta"/>
        <s v="Sudhir Mehta"/>
        <s v="Aristotelis Mistakidis"/>
        <s v="Geoffrey Palmer"/>
        <s v="Roger Penske"/>
        <s v="Ravi Pillai"/>
        <s v="David Rubenstein"/>
        <s v="Hilton Schlosberg"/>
        <s v="Klaus-Peter Schulenberg"/>
        <s v="Lynn Schusterman &amp; family"/>
        <s v="Isabella Seràgnoli"/>
        <s v="Shen Guojun"/>
        <s v="Warren Stephens"/>
        <s v="Pat Stryker"/>
        <s v="Roman Trotsenko"/>
        <s v="Harald Tschira"/>
        <s v="Udo Tschira"/>
        <s v="Vincent Viola"/>
        <s v="Wu Shaoxun"/>
        <s v="Steve Wynn"/>
        <s v="Jon Yarbrough"/>
        <s v="Zhou Bajin"/>
        <s v="Cho Tak Wong"/>
        <s v="John Coates"/>
        <s v="Ryan Cohen"/>
        <s v="Deng Wen"/>
        <s v="Gurbachan Singh Dhingra"/>
        <s v="Kuldip Singh Dhingra"/>
        <s v="Martin Ebner"/>
        <s v="Charles Edelstenne"/>
        <s v="Sergei Gordeev"/>
        <s v="Jeff T. Green"/>
        <s v="Reed Hastings"/>
        <s v="Bertil Hult"/>
        <s v="Miguel Krigsner"/>
        <s v="Kuok Khoon Hong"/>
        <s v="Aerin Lauder"/>
        <s v="Sheldon Lavin"/>
        <s v="Yin Yee Lee"/>
        <s v="Vladimir Litvinenko &amp; family"/>
        <s v="Daniel Mate"/>
        <s v="Ravi Modi"/>
        <s v="Farhad Moshiri"/>
        <s v="Jonathan Nelson"/>
        <s v="Or Wai Sheun"/>
        <s v="Katharina Otto-Bernstein"/>
        <s v="Sergei Popov"/>
        <s v="Penny Pritzker"/>
        <s v="Theodore Rachmat"/>
        <s v="Renzo Rosso &amp; family"/>
        <s v="Friede Springer"/>
        <s v="Rita Tong Liu"/>
        <s v="Timur Turlov"/>
        <s v="Frank VanderSloot"/>
        <s v="Yoo Jung-hyun"/>
        <s v="Abdulla bin Ahmad Al Ghurair &amp; family"/>
        <s v="Semahat Sevim Arsel"/>
        <s v="Nicolas Berggruen"/>
        <s v="George Bishop"/>
        <s v="Norman Braman"/>
        <s v="Eva Maria Bucher-Haefner"/>
        <s v="Cai Dongchen"/>
        <s v="Jean-Pierre Cayard"/>
        <s v="Chan Tan Ching-fen"/>
        <s v="Todd Christopher"/>
        <s v="Mang Yee Chu &amp; family"/>
        <s v="William Conway, Jr."/>
        <s v="Jean Coutu &amp; family"/>
        <s v="Catheline Perier D'Ieteren"/>
        <s v="Edward DeBartolo, Jr."/>
        <s v="Stephen Deckoff"/>
        <s v="Feng Hailiang"/>
        <s v="Ernest Garcia, II."/>
        <s v="Sam Goi"/>
        <s v="Carlos Hank Rhon"/>
        <s v="Susan Carol Holland"/>
        <s v="Hui Ka Yan"/>
        <s v="Vivek Jain"/>
        <s v="Friedrich Knapp"/>
        <s v="Egor Kulkov"/>
        <s v="Lin Ming-hsiung"/>
        <s v="Lin Xiucheng &amp; family"/>
        <s v="Harsh Mariwala"/>
        <s v="Gilles Martin"/>
        <s v="Maja Oeri"/>
        <s v="John Paulson"/>
        <s v="Ajay Piramal"/>
        <s v="Guanghe Qiu &amp; family"/>
        <s v="Stephen Rubin"/>
        <s v="Robert Sands"/>
        <s v="Erik Selin"/>
        <s v="Yonghong Shi &amp; family"/>
        <s v="Martua Sitorus"/>
        <s v="Guangxin Sun"/>
        <s v="Sukanto Tanoto"/>
        <s v="Sunny Varkey"/>
        <s v="Gang Ye"/>
        <s v="Ye Xiaoping"/>
        <s v="Lei Zhang"/>
        <s v="Zhu Gongshan &amp; family"/>
        <s v="Isak Andic &amp; family"/>
        <s v="Alberto Bombassei"/>
        <s v="Cao Longxiang &amp; family"/>
        <s v="Roy Carroll, II."/>
        <s v="John Caudwell"/>
        <s v="James Clark"/>
        <s v="Jacques D'Amours"/>
        <s v="John Paul DeJoria"/>
        <s v="Bernard Ecclestone &amp; family"/>
        <s v="Michael Federmann &amp; family"/>
        <s v="Kenneth Feld &amp; family"/>
        <s v="Gu Yuhua &amp; family"/>
        <s v="Otto Happel"/>
        <s v="Gudrun Heine"/>
        <s v="Donald Horton &amp; family"/>
        <s v="Zarakh Iliev"/>
        <s v="Ipek Kirac"/>
        <s v="Lee Seo-hyun"/>
        <s v="Li Jianquan &amp; family"/>
        <s v="Li Li"/>
        <s v="Li Xiaohua &amp; family"/>
        <s v="Liu Xiaodong"/>
        <s v="Martin Lorentzon"/>
        <s v="Ronald McAulay"/>
        <s v="Erwin Franz Mueller"/>
        <s v="Georg Nemetschek &amp; family"/>
        <s v="God Nisanov"/>
        <s v="Vikas Oberoi"/>
        <s v="Gregorio Perez Companc &amp; family"/>
        <s v="Sebastian Piñera &amp; family"/>
        <s v="Arvind Poddar"/>
        <s v="Alexey Repik"/>
        <s v="Haim Saban"/>
        <s v="Rodney Sacks"/>
        <s v="Karthik Sarma"/>
        <s v="Sybill Storz"/>
        <s v="Daniel Sundheim"/>
        <s v="William Wrigley, Jr."/>
        <s v="Zhang Wenzhong"/>
        <s v="Zhou Jianping"/>
        <s v="Joy Alukkas"/>
        <s v="Kang An"/>
        <s v="Garrett Camp"/>
        <s v="Chen Lip Keong"/>
        <s v="Choo Chong Ngen"/>
        <s v="Euisun Chung"/>
        <s v="Smita Crishna-Godrej"/>
        <s v="Eleanor Butt Crook &amp; family"/>
        <s v="Du Jiangtao &amp; family"/>
        <s v="Lorenzo Fertitta"/>
        <s v="Sebastian Glaser"/>
        <s v="Adi Godrej"/>
        <s v="Jamshyd Godrej"/>
        <s v="Lee Yeow Chor"/>
        <s v="Li Weiguo"/>
        <s v="Dmitry Mazepin"/>
        <s v="Drayton McLane, Jr."/>
        <s v="Najib Mikati"/>
        <s v="Taha Mikati"/>
        <s v="Akira Mori &amp; family"/>
        <s v="Rishad Naoroji"/>
        <s v="Philip Niarchos"/>
        <s v="Nandan Nilekani"/>
        <s v="Benjamin Otto"/>
        <s v="Maren Otto"/>
        <s v="Ranjan Pai"/>
        <s v="Madhukar Parekh"/>
        <s v="Sean Parker"/>
        <s v="Stewart Rahr"/>
        <s v="Su Hua"/>
        <s v="Sun Shoukuan"/>
        <s v="Tseng Cheng"/>
        <s v="Tung Chee Hwa"/>
        <s v="Meg Whitman"/>
        <s v="Wong Luen Hei"/>
        <s v="Chenghai Ye &amp; family"/>
        <s v="Zhu Xingming"/>
        <s v="Jose Joao Abdalla Filho"/>
        <s v="Juan Abello"/>
        <s v="Suhail Bahwan"/>
        <s v="Madhur Bajaj"/>
        <s v="Niraj Bajaj"/>
        <s v="Shekhar Bajaj"/>
        <s v="Harindarpal Banga"/>
        <s v="Ulrike Baro"/>
        <s v="Anne Beaufour"/>
        <s v="Henri Beaufour"/>
        <s v="Andrei Bokarev"/>
        <s v="Jack Cowin"/>
        <s v="Glenn Dubin"/>
        <s v="N. Murray Edwards"/>
        <s v="Frank Fertitta, III."/>
        <s v="Abhay Firodia"/>
        <s v="Bruce Flatt"/>
        <s v="Miguel Fluxa Rossello"/>
        <s v="Robert Friedland"/>
        <s v="Alexander Frolov"/>
        <s v="Nadir Godrej"/>
        <s v="Maggie Hardy"/>
        <s v="Nithin Kamath"/>
        <s v="Samvel Karapetyan"/>
        <s v="Kei Hoi Pang"/>
        <s v="Mustafa Rahmi Koc"/>
        <s v="Yuri Kovalchuk &amp; family"/>
        <s v="Geoffrey Kwok"/>
        <s v="Jonathan Kwok"/>
        <s v="Hans Langer"/>
        <s v="Frank Laukien"/>
        <s v="Maritsa Lazari &amp; family"/>
        <s v="Angela Leong"/>
        <s v="Li Zhongchu"/>
        <s v="Liang Yunchao"/>
        <s v="Vincent McMahon"/>
        <s v="Patrice Motsepe"/>
        <s v="Denis O'Brien"/>
        <s v="Timm Oberwelland"/>
        <s v="Dan Olsson"/>
        <s v="Yuji Otsuka"/>
        <s v="Pan Dong"/>
        <s v="Karsanbhai Patel"/>
        <s v="Richard Peery"/>
        <s v="Gianfelice Rocca"/>
        <s v="Paolo Rocca"/>
        <s v="Wayne Rothbaum"/>
        <s v="Jeff Rothschild"/>
        <s v="Raj Sardana"/>
        <s v="Christiane Schoeller"/>
        <s v="Salil Singhal"/>
        <s v="Alexander Skorobogatko"/>
        <s v="Evan Spiegel"/>
        <s v="Glen Taylor"/>
        <s v="Thomas Tull"/>
        <s v="Bulat Utemuratov"/>
        <s v="Gustav Magnar Witzoe"/>
        <s v="Wong Man Li"/>
        <s v="Guangming Wu"/>
        <s v="Zhu Yi"/>
        <s v="Ben Ashkenazy"/>
        <s v="Felix Baker"/>
        <s v="Julian Baker"/>
        <s v="David Baszucki"/>
        <s v="Joesley Batista"/>
        <s v="Wesley Batista"/>
        <s v="Yvonne Bauer"/>
        <s v="Miriam Baumann-Blocher"/>
        <s v="Cen Junda"/>
        <s v="Richard Chandler"/>
        <s v="Chen Zhiping"/>
        <s v="Fernando Chico Pardo"/>
        <s v="Ray Davis"/>
        <s v="Maria Del Pino"/>
        <s v="Deng Weiming &amp; family"/>
        <s v="John Dorrance, III."/>
        <s v="Carl Douglas"/>
        <s v="Eric Douglas"/>
        <s v="Fiona Geminder"/>
        <s v="Stewart Horejsi &amp; family"/>
        <s v="Hou Juncheng"/>
        <s v="Zhenda Huang &amp; family"/>
        <s v="Dmitry Kamenshchik"/>
        <s v="Alicia Koplowitz"/>
        <s v="Adam Kwok"/>
        <s v="Henry Laufer"/>
        <s v="Louis Le Duff"/>
        <s v="Mark Leonard &amp; family"/>
        <s v="Li Guoqiang"/>
        <s v="Li Yongxin"/>
        <s v="Peter Lim"/>
        <s v="Lu Weiding"/>
        <s v="Sergio Mantegazza"/>
        <s v="Hans Melchers"/>
        <s v="C. Dean Metropoulos"/>
        <s v="Hans Georg Naeder"/>
        <s v="Falguni Nayar"/>
        <s v="James Packer"/>
        <s v="Alexander Ponomarenko"/>
        <s v="Nicholas Pritzker"/>
        <s v="Alejandro Santo Domingo"/>
        <s v="Steven Sarowitz"/>
        <s v="Maria-Elisabeth Schaeffler-Thumann"/>
        <s v="Leonard Schleifer"/>
        <s v="Dieter Schnabel"/>
        <s v="Michael S. Smith"/>
        <s v="Julia Thiele-Schuerhoff"/>
        <s v="John Tyson &amp; family"/>
        <s v="Anna Katharina Viessmann"/>
        <s v="Jurgen Wirtgen"/>
        <s v="Stefan Wirtgen"/>
        <s v="Zhao Lixin"/>
        <s v="Hongyi Zhou"/>
        <s v="S. Daniel Abraham"/>
        <s v="Bill Alfond"/>
        <s v="Susan Alfond"/>
        <s v="Ted Alfond"/>
        <s v="Riley Bechtel &amp; family"/>
        <s v="Thor Bjorgolfsson"/>
        <s v="Charles Bronfman"/>
        <s v="Vivek Chand Burman"/>
        <s v="Herb Chambers"/>
        <s v="Cheng Yixiao"/>
        <s v="Andrew Cherng"/>
        <s v="Peggy Cherng"/>
        <s v="Leon G. Cooperman"/>
        <s v="Yadu Hari Dalmia &amp; family"/>
        <s v="Henry Davis"/>
        <s v="Oleg Deripaska"/>
        <s v="Sergey Dmitriev"/>
        <s v="Joseph Edelman"/>
        <s v="Sandeep Engineer"/>
        <s v="Alceu Elias Feldmann &amp; family"/>
        <s v="Serge Godin"/>
        <s v="Alec Gores"/>
        <s v="Bill Haslam"/>
        <s v="J. Tomilson Hill"/>
        <s v="Jay-Z"/>
        <s v="Baba Kalyani"/>
        <s v="Saban Cemil Kazanci"/>
        <s v="Brad Kelley"/>
        <s v="Wolfgang Leitner"/>
        <s v="Li Hongxin &amp; family"/>
        <s v="Lin Chen-hai"/>
        <s v="Lu Yiwen"/>
        <s v="Prayudh Mahagitsiri"/>
        <s v="Willy Michel"/>
        <s v="Lachhman Das Mittal"/>
        <s v="Bobby Murphy"/>
        <s v="Tomas Olivo Lopez"/>
        <s v="Eren Ozmen"/>
        <s v="John Pritzker"/>
        <s v="Qiu Minxiu"/>
        <s v="Ferit Faik Sahenk"/>
        <s v="Wenrong Shen"/>
        <s v="Yuzhu Shi"/>
        <s v="Jeff Sutton"/>
        <s v="Henry Sy, Jr."/>
        <s v="Andrew Tan"/>
        <s v="Arvind Tiku"/>
        <s v="Byron Trott"/>
        <s v="Donald Trump"/>
        <s v="Peter Unger"/>
        <s v="Roger Wang"/>
        <s v="Oprah Winfrey"/>
        <s v="Wu Zhigang &amp; family"/>
        <s v="Xie Weitong"/>
        <s v="Ye Guofu"/>
        <s v="Brian Acton"/>
        <s v="Abdulla Al Futtaim &amp; family"/>
        <s v="Edward Bass"/>
        <s v="Koos Bekker"/>
        <s v="Otto Philipp Braun"/>
        <s v="Chen Tei-fu"/>
        <s v="Abilio dos Santos Diniz"/>
        <s v="Marcel Erni"/>
        <s v="Doris Fisher"/>
        <s v="Gerald Ford"/>
        <s v="Bernard Fraisse &amp; family"/>
        <s v="Alfred Gantner"/>
        <s v="Paul Gauselmann &amp; family"/>
        <s v="Mitchell Goldhar"/>
        <s v="Peter Hargreaves"/>
        <s v="Xuande Hua &amp; family"/>
        <s v="Kwek Leng Kee"/>
        <s v="Catherine Lozick"/>
        <s v="Kalanithi Maran"/>
        <s v="Jed McCaleb"/>
        <s v="Fatih Ozmen"/>
        <s v="Pan Laican"/>
        <s v="Tor Peterson"/>
        <s v="Daniel Pritzker"/>
        <s v="Jinxing Qi"/>
        <s v="Qiu Jianping &amp; family"/>
        <s v="Rajan Raheja &amp; family"/>
        <s v="Matthias Reinhart"/>
        <s v="Arnout Schuijff"/>
        <s v="Hans Sy"/>
        <s v="Herbert Sy"/>
        <s v="Lucio Tan"/>
        <s v="Tsai Ming-kai"/>
        <s v="Ted Turner"/>
        <s v="David Walentas"/>
        <s v="Urs Wietlisbach"/>
        <s v="Jerry Yang"/>
        <s v="Yang Jianliang &amp; family"/>
        <s v="Yang Weidong &amp; family"/>
        <s v="Mortimer Zuckerman"/>
        <s v="John Armitage"/>
        <s v="Lee Bass"/>
        <s v="John Bicket"/>
        <s v="Sanjit Biswas"/>
        <s v="Timothy Boyle"/>
        <s v="Morris Chang"/>
        <s v="Chao Teng-hsiung"/>
        <s v="Samuel Chen"/>
        <s v="Chu Lam Yiu"/>
        <s v="K. Dinesh"/>
        <s v="James Duff"/>
        <s v="Thomas Duff"/>
        <s v="Daniel Ek"/>
        <s v="John Fisher"/>
        <s v="Georg Haub"/>
        <s v="Erman Ilicak"/>
        <s v="Justin Ishbia"/>
        <s v="Long Jiang"/>
        <s v="Bruce Karsh"/>
        <s v="Bom Kim"/>
        <s v="Jianping Lai"/>
        <s v="Lam Kong"/>
        <s v="Stephen Lansdown"/>
        <s v="Kevin David Lehmann"/>
        <s v="Li Haiyan"/>
        <s v="Hua Li"/>
        <s v="Lim Kok Thay"/>
        <s v="Kishore Mariwala"/>
        <s v="Clayton Mathile"/>
        <s v="Mi Enhua"/>
        <s v="Vadim Moshkovich"/>
        <s v="David Murdock"/>
        <s v="David Nahmad"/>
        <s v="Lirio Parisotto"/>
        <s v="Augusto Perfetti"/>
        <s v="Giorgio Perfetti"/>
        <s v="Alberto Prada"/>
        <s v="Marina Prada"/>
        <s v="Filiz Sahenk"/>
        <s v="Richard Sands"/>
        <s v="Stephan Schmidheiny"/>
        <s v="Alberto Siccardi &amp; family"/>
        <s v="Stefan Soloviev"/>
        <s v="Tang Yiu"/>
        <s v="Tian Ming"/>
        <s v="T.Y. Tsai"/>
        <s v="Jayshree Ullal"/>
        <s v="Georg von Opel"/>
        <s v="Lang Walker"/>
        <s v="Xicheng Wang &amp; family"/>
        <s v="Wang Zhenhua"/>
        <s v="Paul-Heinz Wesjohann &amp; family"/>
        <s v="Xie Bingkun &amp; family"/>
        <s v="Xu Shugen"/>
        <s v="Christoph Zeller"/>
        <s v="Zhang Jingzhang &amp; family"/>
        <s v="George Argyros &amp; family"/>
        <s v="Brian Armstrong"/>
        <s v="Albert Avdolyan"/>
        <s v="Sezai Bacaksiz"/>
        <s v="Aneel Bhusri"/>
        <s v="Brett Blundy"/>
        <s v="J. Hyatt Brown"/>
        <s v="Chen Jinxia"/>
        <s v="Chen Xueli"/>
        <s v="Dermot Desmond"/>
        <s v="Dong Wei"/>
        <s v="Tom Ford"/>
        <s v="Fu Guangming &amp; family"/>
        <s v="Noam Gottesman"/>
        <s v="Jeffrey Gundlach"/>
        <s v="Hao Hong"/>
        <s v="Shmuel Harlap"/>
        <s v="Hans-Werner Hector"/>
        <s v="Lutz Mario Helmig &amp; family"/>
        <s v="Chulong Huang"/>
        <s v="Thomas James"/>
        <s v="James Jannard"/>
        <s v="Willis Johnson"/>
        <s v="Lai Shixian"/>
        <s v="Chris Larsen"/>
        <s v="Solomon Lew"/>
        <s v="Liang Xinjun"/>
        <s v="Harald Link"/>
        <s v="Max Lytvyn"/>
        <s v="Igor Makarov"/>
        <s v="Howard Marks"/>
        <s v="Charles Munger"/>
        <s v="Adam Neumann"/>
        <s v="Thi Phuong Thao Nguyen"/>
        <s v="Ni Yongpei &amp; family"/>
        <s v="Heloise Pratt"/>
        <s v="Qi Xiangdong"/>
        <s v="Phillip T. (Terry) Ragon"/>
        <s v="Prathap Reddy"/>
        <s v="Jerry Reinsdorf"/>
        <s v="Chad Richison"/>
        <s v="Karl Scheufele, III. &amp; family"/>
        <s v="Alice Schwartz"/>
        <s v="Alex Shevchenko"/>
        <s v="Kavitark Ram Shriram"/>
        <s v="Jeffrey Soffer"/>
        <s v="William Stone"/>
        <s v="Henry Swieca"/>
        <s v="Harley Sy"/>
        <s v="Teresita Sy-Coson"/>
        <s v="Katsumi Tada"/>
        <s v="Tang Jinkui &amp; family"/>
        <s v="Tang Xiao'ou"/>
        <s v="Lottie Tham &amp; family"/>
        <s v="Shamsheer Vayalil"/>
        <s v="Radha Vembu"/>
        <s v="Wang Wenmo"/>
        <s v="Wang Zhenghua"/>
        <s v="David Wertheim"/>
        <s v="Kai Wu"/>
        <s v="Xu Yingzhuo"/>
        <s v="Yeung Kin-man"/>
        <s v="Huijiao Yu"/>
        <s v="Oren Zeev"/>
        <s v="Clayton Zekelman"/>
        <s v="Zhao Fenggang"/>
        <s v="Alex Beard"/>
        <s v="Travis Boersma"/>
        <s v="Martin Bouygues"/>
        <s v="Olivier Bouygues"/>
        <s v="William Boyd &amp; family"/>
        <s v="Anand Burman"/>
        <s v="Cao Ji"/>
        <s v="Bruce Cheng"/>
        <s v="Chi Yufeng"/>
        <s v="Daniel Chiu"/>
        <s v="Beda Diethelm"/>
        <s v="Domenico Dolce"/>
        <s v="Ralph Dommermuth"/>
        <s v="Georgi Domuschiev"/>
        <s v="Kiril Domuschiev"/>
        <s v="Bob Ell"/>
        <s v="Paul Foster"/>
        <s v="Stefano Gabbana"/>
        <s v="Xingjiang Gao"/>
        <s v="Gordon Getty"/>
        <s v="Kamal Ghaffarian"/>
        <s v="Dennis Gillings"/>
        <s v="Harsh Goenka"/>
        <s v="Sanjiv Goenka"/>
        <s v="Jane Goldman"/>
        <s v="Stein Erik Hagen"/>
        <s v="Bahaa Hariri"/>
        <s v="Hortensia Herrero"/>
        <s v="Douglas Hsu"/>
        <s v="Huang Min"/>
        <s v="Jared Isaacman"/>
        <s v="Eugene Kaspersky"/>
        <s v="Artem Khachatryan"/>
        <s v="Andrei Krivenko"/>
        <s v="Thomas Kwok"/>
        <s v="Lam Wai-ying"/>
        <s v="Marc Lasry"/>
        <s v="Christian Latouche &amp; family"/>
        <s v="Theodore Leonsis"/>
        <s v="Lin Chang Su-O"/>
        <s v="Liu Chengyu &amp; family"/>
        <s v="Sergey Lomakin"/>
        <s v="Daniel Lubetzky"/>
        <s v="Melissa Ma"/>
        <s v="Anand Mahindra"/>
        <s v="Rafique Malik"/>
        <s v="Katarina Martinson"/>
        <s v="Kiran Mazumdar-Shaw"/>
        <s v="Nirmal Minda"/>
        <s v="Mu Rongjun"/>
        <s v="Eugene Murtagh"/>
        <s v="Alexander Nesis"/>
        <s v="Zugen Ni"/>
        <s v="Florentino Perez"/>
        <s v="Victor Pinchuk"/>
        <s v="Leonid Radvinsky"/>
        <s v="Raveendran Byju"/>
        <s v="P.P. Reddy"/>
        <s v="Richard Saghian"/>
        <s v="Shi Yifeng"/>
        <s v="Thaksin Shinawatra"/>
        <s v="Shu Ping"/>
        <s v="Timothy Springer"/>
        <s v="Venu Srinivasan"/>
        <s v="Edward Stack"/>
        <s v="Sun Mengquan &amp; family"/>
        <s v="Alexander Svetakov"/>
        <s v="Torsten Toeller"/>
        <s v="Barbara Tyson"/>
        <s v="Hamdi Ulukaya"/>
        <s v="Wang Linpeng"/>
        <s v="Wei Ing-Chou"/>
        <s v="Wei Yin-Chun"/>
        <s v="Wei Yin-Heng"/>
        <s v="Wei Ying-Chiao"/>
        <s v="Elaine Wynn"/>
        <s v="Xu Xudong &amp; family"/>
        <s v="Michael Ying"/>
        <s v="Yu Qibing &amp; family"/>
        <s v="Yuan Fugen &amp; family"/>
        <s v="Zhang Ning &amp; family"/>
        <s v="Zhao Tao"/>
        <s v="Anu Aga"/>
        <s v="Mohamed Al Fayed"/>
        <s v="Andrey Andreev"/>
        <s v="Michael Ashcroft"/>
        <s v="Pavel Baudis"/>
        <s v="Wilhelm Beier &amp; family"/>
        <s v="Cao Jianwei"/>
        <s v="Huwen Chen"/>
        <s v="Phongthep Chiaravanont"/>
        <s v="Dou Zhenggang"/>
        <s v="Maria Franca Fissolo"/>
        <s v="William Franke"/>
        <s v="Mario Germano Giuliani"/>
        <s v="Amy Goldman Fowler"/>
        <s v="John Hancock"/>
        <s v="Hu Yangzhong"/>
        <s v="Huang Dawen"/>
        <s v="Huang Qiaoling"/>
        <s v="Rajiv Jain"/>
        <s v="Michael Jordan"/>
        <s v="Diane Kemper"/>
        <s v="Shlomo Kramer"/>
        <s v="Heikki Kyostila"/>
        <s v="Martin Lau"/>
        <s v="Li Min"/>
        <s v="Liang Rubo"/>
        <s v="Liang Zhaoxian"/>
        <s v="Lin Fanlian"/>
        <s v="Aloke Lohia"/>
        <s v="Bill Malhotra"/>
        <s v="Alexander Mamut"/>
        <s v="Craig McCaw"/>
        <s v="Cunhui Nan"/>
        <s v="Tengyun Nie &amp; family"/>
        <s v="Oei Hong Leong"/>
        <s v="Clive Palmer"/>
        <s v="Matthew Prince"/>
        <s v="Linda Pritzker"/>
        <s v="P.V. Krishna Reddy"/>
        <s v="Bianca Rinehart"/>
        <s v="Ginia Rinehart"/>
        <s v="T. Denny Sanford"/>
        <s v="Bhadresh Shah"/>
        <s v="Zygmunt Solorz-Zak"/>
        <s v="Michal Strnad"/>
        <s v="Sylvia Stroeher"/>
        <s v="Otto Toto Sugiri"/>
        <s v="Larry Tanenbaum"/>
        <s v="Wichai Thongtang"/>
        <s v="Ion Tiriac"/>
        <s v="Hope Welker"/>
        <s v="William Young"/>
        <s v="Ales Zavoral"/>
        <s v="Zhang Fan"/>
        <s v="Shilong Zhang &amp; family"/>
        <s v="Zhang Wanzhen"/>
        <s v="Hongfei Zhao"/>
        <s v="Zhou Jian"/>
        <s v="Zhu Yiwen &amp; family"/>
        <s v="Roberto Angelini Rossi"/>
        <s v="Mika Anttonen"/>
        <s v="David Blitzer"/>
        <s v="Julio Bozano"/>
        <s v="Nikolai Buinov"/>
        <s v="Nicola Bulgari"/>
        <s v="Howard Butt, III. &amp; family"/>
        <s v="Stephen Butt &amp; family"/>
        <s v="Jianxing Che"/>
        <s v="Huxiong Chen"/>
        <s v="Chen Qiongxiang"/>
        <s v="Chen Zhisong"/>
        <s v="Manas Chiaravanond"/>
        <s v="Prathip Chiravanond"/>
        <s v="Alexandra Daitch"/>
        <s v="Sol Daurella"/>
        <s v="Mark Davis"/>
        <s v="James Dinan"/>
        <s v="Dong Fan"/>
        <s v="Fritz Draexlmaier"/>
        <s v="Bulent Eczacibasi"/>
        <s v="Faruk Eczacibasi"/>
        <s v="Eduardo Eurnekian"/>
        <s v="David Fong"/>
        <s v="Guo Zhenyu &amp; family"/>
        <s v="Surjit Kumar Gupta"/>
        <s v="Caroline Hagen Kjos"/>
        <s v="Roberto Hernandez Ramirez"/>
        <s v="Reid Hoffman"/>
        <s v="Hu Rongda &amp; family"/>
        <s v="B. Wayne Hughes, Jr."/>
        <s v="Hui Wing Mau"/>
        <s v="Scott Kapnick"/>
        <s v="Richard Kayne"/>
        <s v="Dominika Kulczyk"/>
        <s v="Edward Lampert"/>
        <s v="Somsri Lamsam"/>
        <s v="James Leprino"/>
        <s v="David Lichtenstein"/>
        <s v="Lin Dingqiang &amp; family"/>
        <s v="Sarah MacMillan"/>
        <s v="Strive Masiyiwa"/>
        <s v="Robert Miller"/>
        <s v="Simon Nixon"/>
        <s v="Kentaro Ogawa"/>
        <s v="Ajay Parekh"/>
        <s v="Narendrakumar Parekh"/>
        <s v="Jennifer Pritzker"/>
        <s v="G. Rajendran"/>
        <s v="Ren Jianhua"/>
        <s v="Larry Robbins"/>
        <s v="Dwight Schar"/>
        <s v="Shao Jianxiong"/>
        <s v="Qinxiang Shao"/>
        <s v="Hua Shen"/>
        <s v="Shi Wen-long"/>
        <s v="Peter Sondakh"/>
        <s v="Lucy Stitzer"/>
        <s v="Elizabeth Sy"/>
        <s v="Hermanto Tanoko"/>
        <s v="Mehmet Sinan Tara"/>
        <s v="Masateru Uno &amp; family"/>
        <s v="Vardis Vardinoyannis &amp; family"/>
        <s v="Jitendra Virwani"/>
        <s v="Wang Chaobin"/>
        <s v="Wang Ren-sheng"/>
        <s v="Charlotte Colket Weber"/>
        <s v="Xie Juhua &amp; family"/>
        <s v="Chuanhua Xu &amp; family"/>
        <s v="Gavril Yushvaev &amp; family"/>
        <s v="Zhang Hongwei"/>
        <s v="Anita Zucker"/>
        <s v="Cameron Adams"/>
        <s v="Will Adderley"/>
        <s v="Faisal Bin Qassim Al Thani"/>
        <s v="Leslie Alexander"/>
        <s v="Masaaki Arai"/>
        <s v="Sabrina Benetton"/>
        <s v="Sanjeev Bikhchandani"/>
        <s v="O. Francis Biondi"/>
        <s v="Alejandro Bulgheroni"/>
        <s v="R.G. Chandramogan"/>
        <s v="Binod Chaudhary"/>
        <s v="Parker Conrad"/>
        <s v="Tim Cook"/>
        <s v="Mark Coombs"/>
        <s v="John de Mol"/>
        <s v="D. Leopoldo Del Pino"/>
        <s v="Diao Zhizhong"/>
        <s v="Robert Duggan"/>
        <s v="James France"/>
        <s v="Phillip Frost"/>
        <s v="Jayme Garfinkel &amp; family"/>
        <s v="Christopher Goldsbury"/>
        <s v="Yusuf Hamied"/>
        <s v="Brian Higgins"/>
        <s v="Wei Huang"/>
        <s v="Yintai Jiang &amp; family"/>
        <s v="Lei Jin"/>
        <s v="Jin Lei &amp; family"/>
        <s v="Valentin Kipyatkov"/>
        <s v="Koo Kwang-mo"/>
        <s v="George Kurtz"/>
        <s v="Joe Lacob"/>
        <s v="Joe Lau"/>
        <s v="Louise Lindh"/>
        <s v="Luo Yangyong &amp; family"/>
        <s v="Joao Roberto Marinho"/>
        <s v="Jose Roberto Marinho"/>
        <s v="Roberto Irineu Marinho"/>
        <s v="Gary Michelson"/>
        <s v="Robert G. Miller"/>
        <s v="David Mindus"/>
        <s v="Adriaan Mol"/>
        <s v="Mofatraj Munot"/>
        <s v="Ezra Nahmad"/>
        <s v="Satyanarayan Nuwal"/>
        <s v="Maike Oberwelland-Height"/>
        <s v="Nihat Ozdemir"/>
        <s v="Benjamin Zhengmin Pan &amp; family"/>
        <s v="Pierre Karl Péladeau"/>
        <s v="Ronald Perelman"/>
        <s v="Olivier Pomel"/>
        <s v="Krit Ratanarak"/>
        <s v="Vinod Saraf"/>
        <s v="Karin Schick"/>
        <s v="Anatoly Sedykh"/>
        <s v="Genhuo Shao"/>
        <s v="Shen Xiqiang &amp; family"/>
        <s v="S.D. Shibulal"/>
        <s v="Suh Kyung-bae"/>
        <s v="Bambang Sutantio"/>
        <s v="Sze Man Bok"/>
        <s v="Jim Thompson"/>
        <s v="Tran Dinh Long"/>
        <s v="Alan Trefler"/>
        <s v="Riaz Valani"/>
        <s v="Pieter van der Does"/>
        <s v="Martin Viessmann"/>
        <s v="Nikil Viswanathan"/>
        <s v="Todd Wagner"/>
        <s v="Evan Williams"/>
        <s v="Kie Chie Wong"/>
        <s v="Thomas Wu"/>
        <s v="Wu Yingming"/>
        <s v="Amy Wyss"/>
        <s v="Yan Zhi"/>
        <s v="Yoshiaki Yoshida"/>
        <s v="Alan Zekelman"/>
        <s v="Zhang Li"/>
        <s v="Amy Adams Strunk"/>
        <s v="Marc Andreessen"/>
        <s v="Giovanni Arvedi"/>
        <s v="Lesley Bamberger"/>
        <s v="Bang Si-hyuk"/>
        <s v="David Booth"/>
        <s v="Jim Breyer"/>
        <s v="Chen Kaichen"/>
        <s v="Kommer Damen"/>
        <s v="Carl DeSantis"/>
        <s v="Marek Dospiva"/>
        <s v="Keith Dunleavy &amp; family"/>
        <s v="John Elkann"/>
        <s v="Francois Feuillet &amp; family"/>
        <s v="Yasuhiro Fukushima"/>
        <s v="Mario Gabelli"/>
        <s v="Rolf Gerling"/>
        <s v="John Goff"/>
        <s v="Alexandre Grendene Bartelle"/>
        <s v="Gerry Harvey"/>
        <s v="He Zhaoxi"/>
        <s v="William Heinecke"/>
        <s v="Jay Hennick"/>
        <s v="Ilkka Herlin"/>
        <s v="Asok Kumar Hiranandani"/>
        <s v="Hal Jackman"/>
        <s v="Pavan Jain"/>
        <s v="Keeree Kanjanapas"/>
        <s v="Osman Kibar"/>
        <s v="Kim Chang-soo"/>
        <s v="Kim Jung-min"/>
        <s v="Kim Jung-youn"/>
        <s v="Mustafa Kucuk"/>
        <s v="Christopher Kwok"/>
        <s v="Edward Kwok"/>
        <s v="Lai Jianfa"/>
        <s v="Lau Cho Kun"/>
        <s v="Alexis Lê-Quôc"/>
        <s v="Lei Jufang"/>
        <s v="James Leininger"/>
        <s v="Xuhui Li"/>
        <s v="Jimmy John Liautaud"/>
        <s v="Lin Lairong &amp; family"/>
        <s v="Lu Di"/>
        <s v="Palmer Luckey"/>
        <s v="Duncan MacMillan"/>
        <s v="Yusaku Maezawa"/>
        <s v="Ilson Mateus &amp; family"/>
        <s v="Meng Qingshan &amp; family"/>
        <s v="Alberto Palatchi"/>
        <s v="Mrudula Parekh"/>
        <s v="Dragos Paval"/>
        <s v="Jorge Perez"/>
        <s v="Dmitry Pumpyansky"/>
        <s v="Jinsheng Ren &amp; family"/>
        <s v="Brian Roberts"/>
        <s v="Joe Rogers, Jr."/>
        <s v="Ruan Shuilong &amp; family"/>
        <s v="Paul Saville"/>
        <s v="Ivan Savvidis &amp; family"/>
        <s v="Keiichi Shibahara"/>
        <s v="Rajju Shroff"/>
        <s v="Sun Huaiqing &amp; family"/>
        <s v="Alain Taravella"/>
        <s v="Jonathan Tisch"/>
        <s v="Kenneth Tuchman"/>
        <s v="Wang Chou-hsiong"/>
        <s v="Wang Minwen"/>
        <s v="Tom Werner"/>
        <s v="Stephen Winn"/>
        <s v="Ian Wood &amp; family"/>
        <s v="Wu Lanlan &amp; family"/>
        <s v="Xu Bingzhong"/>
        <s v="Yang Xuegang"/>
        <s v="Vladimir Yevtushenkov"/>
        <s v="David Zalik"/>
        <s v="Zhang Xiaojuan"/>
        <s v="Zheng Xiaodong"/>
        <s v="Zhong Ruonong &amp; family"/>
        <s v="Noubar Afeyan"/>
        <s v="Syed Mokhtar AlBukhary"/>
        <s v="Herbert Allen, Jr. &amp; family"/>
        <s v="Vasily Anisimov"/>
        <s v="Clifford Asness"/>
        <s v="Louis Bacon"/>
        <s v="Bai Baokun"/>
        <s v="Alex Birkenstock"/>
        <s v="Christian Birkenstock"/>
        <s v="Josef Boquoi &amp; family"/>
        <s v="Cai Huabo"/>
        <s v="Chen Tianshi"/>
        <s v="Chen Yung-tai"/>
        <s v="Chey Tae-won"/>
        <s v="Ivan Chrenko"/>
        <s v="Robert Clark"/>
        <s v="Jack Cockwell"/>
        <s v="Tench Coxe"/>
        <s v="Jim Crane"/>
        <s v="Norbert Dentressangle"/>
        <s v="Jamie Dimon"/>
        <s v="Daniel Dines"/>
        <s v="Alfredo Egydio Arruda Villela Filho"/>
        <s v="Gary Fegel"/>
        <s v="William Foley, II."/>
        <s v="Richard Fortin"/>
        <s v="Gao Yi &amp; family"/>
        <s v="Giammaria Giuliani"/>
        <s v="Bill Gross"/>
        <s v="Sue Gross"/>
        <s v="Irving Grousbeck &amp; family"/>
        <s v="Timothy Headington"/>
        <s v="Ilona Herlin"/>
        <s v="David Hoffmann"/>
        <s v="Stanley Hubbard"/>
        <s v="Hui Lin Chit"/>
        <s v="Tianjiang Jia &amp; family"/>
        <s v="Zhaobai Jiang"/>
        <s v="Sergei Katsiev"/>
        <s v="Kim Jae-young"/>
        <s v="Randal J. Kirk"/>
        <s v="William Koch"/>
        <s v="Pyotr Kondrashev"/>
        <s v="Eiichi Kuriwada"/>
        <s v="Robert Langer"/>
        <s v="Anthony Langley"/>
        <s v="Marianna Latsis &amp; family"/>
        <s v="Lee Yeow Seng"/>
        <s v="Li Sze Lim"/>
        <s v="Li Wa"/>
        <s v="Li Weiwei"/>
        <s v="Liang Qin &amp; family"/>
        <s v="Vincent Lo"/>
        <s v="Terence (Terry) Matthews"/>
        <s v="Jim McKelvey"/>
        <s v="P.N.C. Menon"/>
        <s v="Massimo Moratti"/>
        <s v="Liora Ofer"/>
        <s v="Stefan Pierer"/>
        <s v="Andreas Pohl"/>
        <s v="Reinfried Pohl, Jr."/>
        <s v="Michael Polsky"/>
        <s v="Francisco Jose Riberas Mera"/>
        <s v="Juan Maria Riberas Mera"/>
        <s v="Andres Santo Domingo"/>
        <s v="Sathien Sathientham"/>
        <s v="Shang Xiaobo &amp; family"/>
        <s v="Yuri Shefler"/>
        <s v="Evgeny (Eugene) Shvidler"/>
        <s v="Ryan Smith"/>
        <s v="Zakhar Smushkin"/>
        <s v="Peter Sperling"/>
        <s v="Laurie Tisch"/>
        <s v="Steven Tisch"/>
        <s v="Michael Tojner"/>
        <s v="August Troendle"/>
        <s v="Tseng Sing-ai"/>
        <s v="Sekar Vembu"/>
        <s v="Chris Wallin"/>
        <s v="Wang Changtian"/>
        <s v="Ning Wang &amp; family"/>
        <s v="Scott Watterson"/>
        <s v="Dan Wilks"/>
        <s v="Alan Wilson"/>
        <s v="Bruce Wilson"/>
        <s v="John Wilson"/>
        <s v="Anthony Wood"/>
        <s v="Wu Ying"/>
        <s v="Wu Yulan"/>
        <s v="Zhongyi Wu"/>
        <s v="Xiang Guangming &amp; family"/>
        <s v="Xue Xiangdong &amp; family"/>
        <s v="George Yancopoulos"/>
        <s v="Steven Meng Yang &amp; family"/>
        <s v="Ye Fan &amp; family"/>
        <s v="Yi Dasheng"/>
        <s v="Yu Lili"/>
        <s v="Zeng Kaitian"/>
        <s v="Zhang Xuexin &amp; family"/>
        <s v="Yubai Zhang"/>
        <s v="Fredrik Österberg"/>
        <s v="Shiv Kishan Agrawal"/>
        <s v="Aziz Akhannouch &amp; family"/>
        <s v="Hamdi Akin &amp; family"/>
        <s v="Nerio Alessandri"/>
        <s v="Alexandra Andresen"/>
        <s v="Katharina Andresen"/>
        <s v="Patricia Angelini Rossi"/>
        <s v="Mori Arkin"/>
        <s v="Barbara Benetton"/>
        <s v="Angela Bennett"/>
        <s v="Zadik Bino &amp; family"/>
        <s v="Paolo Bulgari"/>
        <s v="Saket Burman"/>
        <s v="Ahmet Calik"/>
        <s v="Safra Catz"/>
        <s v="Chang Kuo-Hua"/>
        <s v="Chu Jian"/>
        <s v="Sandor Csanyi"/>
        <s v="Ana Lucia de Mattos Barretto Villela"/>
        <s v="Federico De Nora"/>
        <s v="Bharat Desai"/>
        <s v="Mohammed Dewji"/>
        <s v="Egon Durban"/>
        <s v="Fu Mingkang &amp; family"/>
        <s v="Alan Gerry"/>
        <s v="Philippe Ginestet &amp; family"/>
        <s v="G. Gnanalingam"/>
        <s v="Esther Grether"/>
        <s v="Wei Gu"/>
        <s v="Patrick Hanrahan"/>
        <s v="Kenneth Hao"/>
        <s v="Jaroslav Hascak &amp; family"/>
        <s v="He Zhenggang"/>
        <s v="Niranjan Hiranandani"/>
        <s v="Ho Hung Anh"/>
        <s v="Archie Hwang"/>
        <s v="Peter Jackson"/>
        <s v="Stephen Jarislowsky"/>
        <s v="Rajeev Juneja"/>
        <s v="Ramesh Juneja"/>
        <s v="Ke Xiping &amp; family"/>
        <s v="Kim Jun-ki"/>
        <s v="Sidney Kimmel"/>
        <s v="Jim Koch"/>
        <s v="Raj Kumar"/>
        <s v="Spiro Latsis &amp; family"/>
        <s v="Peter Leibinger"/>
        <s v="Regine Leibinger"/>
        <s v="Nicola Leibinger-Kammueller"/>
        <s v="Li Jianli"/>
        <s v="Li Jiaquan"/>
        <s v="Li Rucheng"/>
        <s v="Li Shui-po"/>
        <s v="Scott Lin"/>
        <s v="Liu Xiucai &amp; family"/>
        <s v="Lu Zhongfang"/>
        <s v="Lu Zongjun"/>
        <s v="Youssef Mansour"/>
        <s v="Bruce Mathieson"/>
        <s v="Romano Minozzi"/>
        <s v="Greg Mondre"/>
        <s v="Mario Moretti Polegato &amp; family"/>
        <s v="Robert Mouawad"/>
        <s v="Jerry Moyes &amp; family"/>
        <s v="John Ocampo"/>
        <s v="Stefan Olsson"/>
        <s v="Rubens Ometto Silveira Mello"/>
        <s v="Anne Marie See Pastor"/>
        <s v="George Pastor"/>
        <s v="Nelson Peltz"/>
        <s v="David Penaloza Alanis"/>
        <s v="Karl-Johan Persson"/>
        <s v="Mike Repole"/>
        <s v="Duke Reyes"/>
        <s v="Kishin RK"/>
        <s v="Carlos Rodriguez-Pastor"/>
        <s v="Christopher Rokos"/>
        <s v="John Ruiz"/>
        <s v="Sheryl Sandberg"/>
        <s v="Amnon Shashua"/>
        <s v="Ben Silbermann"/>
        <s v="Ron Sim"/>
        <s v="Leonid Simanovsky"/>
        <s v="Basudeo Singh"/>
        <s v="Frank Slootman"/>
        <s v="Terry Snow"/>
        <s v="Axel Stawski"/>
        <s v="Thomas Steyer"/>
        <s v="Sergei Studennikov &amp; family"/>
        <s v="Su Suyu &amp; family"/>
        <s v="Kevin Systrom"/>
        <s v="Tan Lili"/>
        <s v="Tang Binsen"/>
        <s v="Tang Rui"/>
        <s v="Prachak Tangkaravakoon"/>
        <s v="Jeff Tangney"/>
        <s v="Yuequn Tao"/>
        <s v="David Teoh"/>
        <s v="Carmen Thyssen"/>
        <s v="Tran Ba Duong &amp; family"/>
        <s v="Kenny Troutt"/>
        <s v="Jens von Bahr"/>
        <s v="Wang Junmin"/>
        <s v="Weng Xianding"/>
        <s v="Farris Wilks"/>
        <s v="Gordon Wu"/>
        <s v="Xiong Wu"/>
        <s v="Xu Zhenhua"/>
        <s v="Xu Zhihan"/>
        <s v="Tingdong Yang"/>
        <s v="Michael Minhong Yu"/>
        <s v="Justin Yuan"/>
        <s v="Zhang Bangxin"/>
        <s v="Zhang Hong"/>
        <s v="Zhou Zongwen &amp; family"/>
        <s v="Antti Aarnio-Wihuri"/>
        <s v="Alberto Alcocer"/>
        <s v="Nigel Austin"/>
        <s v="Binny Bansal"/>
        <s v="Girdhari Lal Bawri"/>
        <s v="John Bloor"/>
        <s v="Vladimir Bogdanov"/>
        <s v="Amit Burman"/>
        <s v="Cai Jianyong"/>
        <s v="Steve Case"/>
        <s v="Chen Wenyuan &amp; family"/>
        <s v="Chua Thian Poh"/>
        <s v="Sasson Dayan &amp; family"/>
        <s v="Chris Ellison"/>
        <s v="John Farber"/>
        <s v="J. Christopher Flowers"/>
        <s v="Reinold Geiger"/>
        <s v="Ali Ghodsi"/>
        <s v="Lance Gokongwei"/>
        <s v="Guan Yihong"/>
        <s v="Rajinder Gupta"/>
        <s v="Torstein Hagen"/>
        <s v="Ayman Hariri"/>
        <s v="Alfredo Harp Helu &amp; family"/>
        <s v="He Xiaopeng"/>
        <s v="Christoph Henkel"/>
        <s v="Daniel Hirschfeld"/>
        <s v="Drew Houston"/>
        <s v="Huang Jinxiang &amp; family"/>
        <s v="Rameshchandra Jain"/>
        <s v="Ke Zunhong &amp; family"/>
        <s v="Kim Taek-jin"/>
        <s v="Koh Wee Meng"/>
        <s v="Sergei Kolesnikov"/>
        <s v="Hemendra Kothari"/>
        <s v="Sebastian Kulczyk"/>
        <s v="Kwee Liong Keng"/>
        <s v="Kwee Liong Phing"/>
        <s v="Kwee Liong Seen"/>
        <s v="Kwee Liong Tek"/>
        <s v="Kwek Leng Keow"/>
        <s v="Kwek Leng Peck"/>
        <s v="Raymond Kwok"/>
        <s v="Lee Ho-jin"/>
        <s v="Michael Lee-Chin"/>
        <s v="Manfredi Lefebvre d'Ovidio &amp; family"/>
        <s v="Bernard Lewis &amp; family"/>
        <s v="Li Jinyang"/>
        <s v="William Li"/>
        <s v="Jenny Lindén Urnes"/>
        <s v="Liu Fangyi"/>
        <s v="K.C. Liu"/>
        <s v="Liu Ming Chung"/>
        <s v="Anatoly Lomakin"/>
        <s v="Brandt Louie"/>
        <s v="Lucia Maggi &amp; family"/>
        <s v="Gary Magness"/>
        <s v="Mao Lixiang &amp; family"/>
        <s v="David McMurtry"/>
        <s v="Deepak Mehta"/>
        <s v="Miao Shouliang"/>
        <s v="Miao Yongjun"/>
        <s v="Yoshiko Mori"/>
        <s v="Marius Nacht"/>
        <s v="Tadako Nakatani"/>
        <s v="Vadim Novinsky"/>
        <s v="Niti Osathanugrah"/>
        <s v="Gretel Packer"/>
        <s v="Pan Longquan"/>
        <s v="Pan Shiyi"/>
        <s v="David Paul"/>
        <s v="Tom Persson"/>
        <s v="Qian Jinghong"/>
        <s v="Qin Long"/>
        <s v="M.Satyanarayana Reddy"/>
        <s v="Mochtar Riady &amp; family"/>
        <s v="Rihanna"/>
        <s v="Boris Rotenberg"/>
        <s v="Subhash Runwal"/>
        <s v="Igor Rybakov"/>
        <s v="Carlos Sanchez"/>
        <s v="Martin Selig"/>
        <s v="Airat Shaimiev"/>
        <s v="Radik Shaimiev"/>
        <s v="Nobutoshi Shimamura"/>
        <s v="Jared Smith"/>
        <s v="Charlotte Soderstrom"/>
        <s v="Anand Surana"/>
        <s v="Dilip Surana"/>
        <s v="Wilma Tisch"/>
        <s v="Jianyi Wang"/>
        <s v="Wang Jilei"/>
        <s v="Shuifu Wang"/>
        <s v="Wang Zelong"/>
        <s v="Werner O. Weber"/>
        <s v="Anne Werninghaus"/>
        <s v="Alfred West, Jr."/>
        <s v="Bo Wu"/>
        <s v="Wu Chaoqun"/>
        <s v="Swift Xie"/>
        <s v="Xu Guozhong &amp; family"/>
        <s v="Yao Kuizhang"/>
        <s v="Yu Peidi"/>
        <s v="Yuan Liping"/>
        <s v="Zhang Chuanwei &amp; family"/>
        <s v="Zhang Keqiang"/>
        <s v="Zhang Xin"/>
        <s v="Xinghai Zhang &amp; family"/>
        <s v="Zheng Jianjiang &amp; family"/>
        <s v="Zhong Sheng Jian"/>
        <s v="Zhou Chengjian"/>
        <s v="Boris Zingarevich"/>
        <s v="A. Jayson Adair"/>
        <s v="Soegiarto Adikoesoemo"/>
        <s v="Rajendra Agarwal"/>
        <s v="Chirayu Amin"/>
        <s v="Anant Asavabhokhin"/>
        <s v="Roman Avdeev"/>
        <s v="Ziv Aviram"/>
        <s v="Sachin Bansal"/>
        <s v="Kiki Barki"/>
        <s v="Elena Baturina"/>
        <s v="Banwari Lal Bawri"/>
        <s v="Othman Benjelloun &amp; family"/>
        <s v="Hari Bhartia"/>
        <s v="Shyam Bhartia"/>
        <s v="Stewart Butterfield"/>
        <s v="Cai Mingtong"/>
        <s v="Anthony Casalena"/>
        <s v="Chang Jianming &amp; family"/>
        <s v="Richard Chang"/>
        <s v="Chen Xuehua"/>
        <s v="Chen Yin"/>
        <s v="Chin Jong Hwa"/>
        <s v="R. Marcelo Claure"/>
        <s v="Alberto Cortina"/>
        <s v="Eduardo Costantini"/>
        <s v="Wenjun Dai"/>
        <s v="Anand Deshpande"/>
        <s v="Aydin Dogan"/>
        <s v="Annalisa Doris"/>
        <s v="Massimo Doris"/>
        <s v="Weimin Du"/>
        <s v="Timothy Dunn &amp; family"/>
        <s v="Keiko Erikawa"/>
        <s v="Yoichi Erikawa"/>
        <s v="Philip Fayer"/>
        <s v="Marvy Finger"/>
        <s v="Simona Giorgetta"/>
        <s v="Joel Greenberg"/>
        <s v="He Zhiping"/>
        <s v="Heikki Herlin"/>
        <s v="Hoi Kin Hong"/>
        <s v="Lillyn Teh Li Hua"/>
        <s v="Gregg Hymowitz"/>
        <s v="Mitchell Jacobson"/>
        <s v="Anurang Jain"/>
        <s v="Jiang Guiting &amp; family"/>
        <s v="Jin Xin"/>
        <s v="Conni Jonsson"/>
        <s v="George Joseph"/>
        <s v="Laurent Junique"/>
        <s v="Zbigniew Juroszek &amp; family"/>
        <s v="Alexander Karp"/>
        <s v="Joe Kiani"/>
        <s v="Seth Klarman"/>
        <s v="Kagemasa Kozuki"/>
        <s v="Michael Krasny"/>
        <s v="Eduard Kucera"/>
        <s v="Kristo Käärmann"/>
        <s v="Gary Lauder"/>
        <s v="Lee Hae-jin"/>
        <s v="Art Levinson"/>
        <s v="Li Denghai"/>
        <s v="Fengluan Li"/>
        <s v="Li Yongqing"/>
        <s v="Li Zhigang"/>
        <s v="Liu Gexin &amp; family"/>
        <s v="Itamar Locks &amp; family"/>
        <s v="Lu Hongyan"/>
        <s v="Lv Jianming"/>
        <s v="Blairo Maggi"/>
        <s v="Yasseen Mansour"/>
        <s v="Charlwin Mao"/>
        <s v="George Marcus"/>
        <s v="Yves-Loic Martin"/>
        <s v="Carsten Maschmeyer"/>
        <s v="Lillian Teh Li Ming"/>
        <s v="Martin Moller Nielsen"/>
        <s v="Jahm Najafi"/>
        <s v="Randal Nardone"/>
        <s v="Nguyen Dang Quang"/>
        <s v="Kazuo Okada"/>
        <s v="John Oyler"/>
        <s v="William Teh Lee Pang"/>
        <s v="George Pedersen &amp; family"/>
        <s v="Qu Miranda"/>
        <s v="Jupally Rameshwar Rao"/>
        <s v="G. M. Rao"/>
        <s v="P.V. Ramprasad Reddy"/>
        <s v="Satish Reddy"/>
        <s v="Fernando Roig"/>
        <s v="Igor Rotenberg"/>
        <s v="Seifeddin Rustamov"/>
        <s v="Deniz Sahenk"/>
        <s v="Nobutada Saji"/>
        <s v="Hajime Satomi"/>
        <s v="James Scapa"/>
        <s v="Stephan Schnabel"/>
        <s v="Devi Shetty"/>
        <s v="Albert Shigaboutdinov"/>
        <s v="Diana Teh Li Shing"/>
        <s v="Denis Shtengelov"/>
        <s v="Fei Song"/>
        <s v="Hal Steinbrenner"/>
        <s v="Jessica Steinbrenner"/>
        <s v="Jennifer Steinbrenner Swindal"/>
        <s v="Konstantin Strukov &amp; family"/>
        <s v="Rustem Sulteev"/>
        <s v="Clemens Toennies"/>
        <s v="Robert Toennies"/>
        <s v="John Van Lieshout"/>
        <s v="Pongsak Viddayakorn"/>
        <s v="Wang Jianguo"/>
        <s v="Junjin Wang"/>
        <s v="Wang Mingwang"/>
        <s v="Wei Lidong &amp; family"/>
        <s v="Myron Wentz"/>
        <s v="Wu Xiaoge"/>
        <s v="Wu Xushun &amp; family"/>
        <s v="Xiong Xiaochuan"/>
        <s v="Xu Shaochun"/>
        <s v="Yan Jane &amp; family"/>
        <s v="Zeng Chaoyi"/>
        <s v="Peng Zhao"/>
        <s v="Zhao Tongtong"/>
        <s v="Kostyantin Zhevago"/>
        <s v="Zong Yanmin"/>
        <s v="Sanjay Agarwal"/>
        <s v="Hamad bin Jassim bin Jaber Al Thani"/>
        <s v="Joao Alves de Queiroz Filho"/>
        <s v="Jose Maria Aristrain"/>
        <s v="Michael Arougheti"/>
        <s v="Tope Awotona"/>
        <s v="Mehmet Aydinlar"/>
        <s v="Danna Azrieli"/>
        <s v="Naomi Azrieli"/>
        <s v="Sharon Azrieli"/>
        <s v="Bai Houshan"/>
        <s v="Thomas Bailey"/>
        <s v="Bernhard Braun-Luedicke"/>
        <s v="Eva Maria Braun-Luedicke"/>
        <s v="Friederike Braun-Luedicke"/>
        <s v="Jeffrey Cheah"/>
        <s v="Chen Xianbao &amp; family"/>
        <s v="Cheng Xianfeng"/>
        <s v="Chung Yong-jin"/>
        <s v="Darwin Deason"/>
        <s v="Diego Della Valle"/>
        <s v="Ashwin Desai"/>
        <s v="Richard Desmond"/>
        <s v="Ding Shui Po"/>
        <s v="Sefik Yilmaz Dizdar"/>
        <s v="Mathias Doepfner"/>
        <s v="Farhad Ebrahimi"/>
        <s v="Jose Roberto Ermirio de Moraes"/>
        <s v="Jose Ermirio de Moraes Neto"/>
        <s v="Fang Hongbo"/>
        <s v="David Feffer"/>
        <s v="Zsolt Felcsuti"/>
        <s v="Ben Francis"/>
        <s v="Gary Friedman"/>
        <s v="Dan Gertler"/>
        <s v="Balkrishan Goenka"/>
        <s v="Lawrence Golub"/>
        <s v="Saroj Rani Gupta"/>
        <s v="Anthony Hall"/>
        <s v="Fahed Hariri"/>
        <s v="Richard Hayne"/>
        <s v="Michael Heine"/>
        <s v="Orion Hindawi"/>
        <s v="Lawrence Ho"/>
        <s v="Huang Guanlin"/>
        <s v="Sam Hupert"/>
        <s v="Mohammed Ibrahim"/>
        <s v="Shirley Kao"/>
        <s v="David Kaplan"/>
        <s v="Kim Kardashian"/>
        <s v="Ke Guihua"/>
        <s v="Ke Yunfeng &amp; family"/>
        <s v="Alexander Klyachin"/>
        <s v="Christine Knauf"/>
        <s v="Karl Knauf"/>
        <s v="Suresh Krishna"/>
        <s v="Guy Laliberté"/>
        <s v="Lee Su-jin"/>
        <s v="Li Guoqing"/>
        <s v="Li Ruiqiang"/>
        <s v="Zhen Li &amp; family"/>
        <s v="Guangwei Liang"/>
        <s v="Liu Ming Hui"/>
        <s v="Frederic Luddy"/>
        <s v="Cargill MacMillan, III."/>
        <s v="John MacMillan"/>
        <s v="Martha MacMillan"/>
        <s v="William MacMillan"/>
        <s v="Keshub Mahindra"/>
        <s v="Mao Zhongwu"/>
        <s v="Jorge Mas"/>
        <s v="Lorinc Meszaros"/>
        <s v="Jeffrey Michael &amp; family"/>
        <s v="Alan Miller &amp; family"/>
        <s v="Ulrich Mommert &amp; family"/>
        <s v="Neide Helena de Moraes"/>
        <s v="Scott Nuttall"/>
        <s v="Kailashchandra Nuwal"/>
        <s v="Axel Oberwelland &amp; family"/>
        <s v="Jonathan Oringer"/>
        <s v="Vitaly Orlov"/>
        <s v="Jose Isaac Peres &amp; family"/>
        <s v="Markus Persson"/>
        <s v="Mark Pincus"/>
        <s v="Murdaya Poo"/>
        <s v="Forrest Preston"/>
        <s v="Qian Ying"/>
        <s v="Jimmy Rane"/>
        <s v="Andrei Rappoport"/>
        <s v="Hugo Ribeiro &amp; family"/>
        <s v="Bennett Rosenthal"/>
        <s v="Atul Ruia"/>
        <s v="Thomas Sandell"/>
        <s v="Francesco Saputo"/>
        <s v="Dhruv Sawhney"/>
        <s v="Gerald Schwartz"/>
        <s v="Antonio Luiz Seabra"/>
        <s v="Eric Ya Shen"/>
        <s v="Sytse 'Sid' Sijbrandij"/>
        <s v="Alexander Sixt"/>
        <s v="Konstantin Sixt"/>
        <s v="Edwin Soeryadjaya"/>
        <s v="Abhay Soi"/>
        <s v="Mike Speiser"/>
        <s v="Marco Squinzi"/>
        <s v="Veronica Squinzi"/>
        <s v="Michael Steinhardt"/>
        <s v="Ion Stoica"/>
        <s v="Eddy Sugianto"/>
        <s v="Luc Tack"/>
        <s v="Tony Tan Caktiong"/>
        <s v="Xiuguo Tang"/>
        <s v="Sam Tarascio"/>
        <s v="Lina Tombolato"/>
        <s v="Ching Bor Tung"/>
        <s v="Joop van den Ende"/>
        <s v="Ruben Vardanyan &amp; family"/>
        <s v="Sandro Veronesi &amp; family"/>
        <s v="Thongma Vijitpongpun"/>
        <s v="Thomas von Koch"/>
        <s v="Wang Fuji"/>
        <s v="Wang Shih-Chung"/>
        <s v="Wang Xiaoshen"/>
        <s v="J. Wayne Weaver"/>
        <s v="Drorit Wertheim"/>
        <s v="Cameron Winklevoss"/>
        <s v="Tyler Winklevoss"/>
        <s v="Wu Chung-yi"/>
        <s v="Eugene Wu"/>
        <s v="Wu Yonghua"/>
        <s v="Xia Xinde"/>
        <s v="Wenbo Xiang"/>
        <s v="Xu Jin"/>
        <s v="Xu Shijun &amp; family"/>
        <s v="Wanmao Xu"/>
        <s v="Xu Yuejuan"/>
        <s v="Vadim Yakunin"/>
        <s v="Yang Yunyun"/>
        <s v="Matei Zaharia"/>
        <s v="Zan Shengda"/>
        <s v="Zhang Xuezheng"/>
        <s v="Zhang Yin"/>
        <s v="Ning Zhao"/>
        <s v="Zhou Wen &amp; family"/>
        <s v="Zhu Xingliang"/>
        <s v="Hari Krishan Agarwal"/>
        <s v="Farkhad Akhmedov"/>
        <s v="Prem Kumar Arora"/>
        <s v="Joseph Bae"/>
        <s v="Abigail Bennett"/>
        <s v="Sara Blakely"/>
        <s v="Lloyd Blankfein"/>
        <s v="Henadiy Boholyubov"/>
        <s v="Stephane Bonvin"/>
        <s v="Oleg Boyko"/>
        <s v="Ryan Breslow"/>
        <s v="Thomas Bruch"/>
        <s v="Marina Budiman"/>
        <s v="Pradip Burman"/>
        <s v="Cai Hongbin"/>
        <s v="Cao Kejian"/>
        <s v="Giuliana Caprotti"/>
        <s v="Marina Caprotti"/>
        <s v="Chang Jing"/>
        <s v="Chen Baohua"/>
        <s v="Gang Chen"/>
        <s v="Liying Chen"/>
        <s v="Tony Chen"/>
        <s v="Chen Xueling"/>
        <s v="Cheng Lili"/>
        <s v="Cho Jyh-jer"/>
        <s v="Weili Dai"/>
        <s v="Carmen Daurella Aguilera"/>
        <s v="Deng Yingzhong"/>
        <s v="Shlomo Eliahu"/>
        <s v="Henry Engelhardt"/>
        <s v="Gabriel Escarrer"/>
        <s v="Daniel Feffer"/>
        <s v="Ruben Feffer"/>
        <s v="Gleb Fetisov"/>
        <s v="Paul Fireman"/>
        <s v="Robert Fisher"/>
        <s v="Bernd Freier"/>
        <s v="Donald Friese"/>
        <s v="Gan Zhongru"/>
        <s v="Rahul Gautam"/>
        <s v="David Golub"/>
        <s v="Pavel Golubkov"/>
        <s v="Cristina Green"/>
        <s v="Philip Green"/>
        <s v="Said Gutseriev"/>
        <s v="Polys Haji-Ioannou"/>
        <s v="He Zuxun"/>
        <s v="Christian Herz"/>
        <s v="Michaela Herz"/>
        <s v="David Hindawi"/>
        <s v="Huang Shan"/>
        <s v="Huang Xiaofen &amp; family"/>
        <s v="Hiroshi Ishibashi"/>
        <s v="Masayuki Ishihara"/>
        <s v="Chatchai Kaewbootta"/>
        <s v="Nikhil Kamath"/>
        <s v="Jonas Kamprad"/>
        <s v="Mathias Kamprad"/>
        <s v="Peter Kamprad"/>
        <s v="Fumio Kaneko"/>
        <s v="Sunjay Kapur"/>
        <s v="Ali Metin Kazanci"/>
        <s v="Kangbao Ke &amp; family"/>
        <s v="Carsten Koerl"/>
        <s v="Koo Bon-sik"/>
        <s v="Andrei Kosogov"/>
        <s v="Yogesh Kothari"/>
        <s v="Arvind Lal"/>
        <s v="Manuel Lao Hernández"/>
        <s v="Lee Joong-keun"/>
        <s v="Nancy Lerner"/>
        <s v="Norma Lerner"/>
        <s v="Randolph Lerner"/>
        <s v="Lin Zhijun"/>
        <s v="Lin Zhixiong &amp; family"/>
        <s v="Jeffrey Lorberbaum"/>
        <s v="Lu Rongfu"/>
        <s v="Lyu Yixiong"/>
        <s v="Soichiro Minami"/>
        <s v="Pawan Munjal"/>
        <s v="Renu Munjal"/>
        <s v="Suman Munjal"/>
        <s v="Dmitry Nikolaev"/>
        <s v="Sjamsul Nursalim"/>
        <s v="Adrian Paval"/>
        <s v="Antonio Percassi"/>
        <s v="Kevin Plank"/>
        <s v="G.V. Prasad"/>
        <s v="Pu Zhongjie &amp; family"/>
        <s v="Rao Wei &amp; family"/>
        <s v="Helena Revoredo"/>
        <s v="Matthew Roszak"/>
        <s v="Paul Sciarra"/>
        <s v="Rajesh Sharma"/>
        <s v="Dean Solon"/>
        <s v="Michael Spencer"/>
        <s v="Joseph Steinberg"/>
        <s v="Zachary Stern"/>
        <s v="Manny Stul"/>
        <s v="Sun Hongjun"/>
        <s v="Sun Weijie"/>
        <s v="Sehat Sutardja"/>
        <s v="Min-Liang Tan"/>
        <s v="Tan Yu Yeh"/>
        <s v="Tang Aoqi &amp; family"/>
        <s v="Vonnarat Tangkaravakoon"/>
        <s v="Tsao Ter-fung"/>
        <s v="Tung Ching Sai"/>
        <s v="Arkady Volozh"/>
        <s v="Peter-Alexander Wacker"/>
        <s v="Wan Long"/>
        <s v="Wang Han"/>
        <s v="Lars Wingefors"/>
        <s v="Allan Wong"/>
        <s v="Tiger Woods"/>
        <s v="Horst Wortmann"/>
        <s v="Wu Kaiting"/>
        <s v="Wu Li-gann"/>
        <s v="Wu Xiangdong"/>
        <s v="Xiu Laigui"/>
        <s v="Xu Jiangnan"/>
        <s v="Xue Jiping"/>
        <s v="Yao Hsiao Tung"/>
        <s v="Ye Qiongjiu"/>
        <s v="Yanqiao Ye"/>
        <s v="Yeh Kuo-I"/>
        <s v="Yu Faxiang"/>
        <s v="Zeng Chaolin"/>
        <s v="Kapeng Zhang"/>
        <s v="Zhang Xuansong"/>
        <s v="Zhang Xuewu"/>
        <s v="Zhu Yiming"/>
        <s v="Zhu Zhaojiang"/>
        <s v="Zhuo Jun"/>
        <s v="Manohar Lal Agarwal"/>
        <s v="Christian Angermayer"/>
        <s v="Ryuji Arai"/>
        <s v="Anna Maria Braun"/>
        <s v="Johanna Braun"/>
        <s v="Karl Friedrich Braun"/>
        <s v="Ludwig Theodor Braun"/>
        <s v="Ana Maria Brescia Cafferata"/>
        <s v="Jimmy Buffett"/>
        <s v="Hideyuki Busujima"/>
        <s v="Edouard Carmignac"/>
        <s v="Chang Kuo-Ming"/>
        <s v="Chen Jiancheng"/>
        <s v="Rui Chen"/>
        <s v="Chen Shiliang"/>
        <s v="Tianqiao Chen"/>
        <s v="Yuantai Chen"/>
        <s v="Cheng Antares"/>
        <s v="Kochouseph Chittilappilly"/>
        <s v="John Christodoulou"/>
        <s v="Pollyanna Chu"/>
        <s v="Turgay Ciner"/>
        <s v="Benoit Dageville"/>
        <s v="Mark Dixon"/>
        <s v="Du Yulin &amp; family"/>
        <s v="Feng Yuxia"/>
        <s v="Benedicte Find"/>
        <s v="William Fisher"/>
        <s v="Gao Yunfeng"/>
        <s v="Jianming Geng"/>
        <s v="Sven Hagströmer"/>
        <s v="Clelia Haji-Ioannou"/>
        <s v="Stelios Haji-Ioannou"/>
        <s v="Hang Hong"/>
        <s v="He Yamin &amp; family"/>
        <s v="Ghan Djoe Hiang"/>
        <s v="Hong Feng"/>
        <s v="Hong Seok-joh"/>
        <s v="Hu Gengxi &amp; family"/>
        <s v="Danilo Iervolino"/>
        <s v="Hedda im Brahm-Droege"/>
        <s v="Inder Jaisinghani"/>
        <s v="LeBron James"/>
        <s v="Johan Johannson"/>
        <s v="Morris Kahn"/>
        <s v="Ashok Kajaria"/>
        <s v="Marcelo Kalim"/>
        <s v="Ken Kendrick"/>
        <s v="Brad Keywell"/>
        <s v="Muhammed Aziz Khan"/>
        <s v="Kim Jung-woong"/>
        <s v="Ihor Kolomoyskyy"/>
        <s v="Kong Jian Min"/>
        <s v="Koo Bon-neung"/>
        <s v="Michael Kum"/>
        <s v="Richard Kurtz"/>
        <s v="Lev Kvetnoi"/>
        <s v="Michiel Le Roux"/>
        <s v="Li Wanqiang"/>
        <s v="Liu Baolin"/>
        <s v="Loo Choon Yong"/>
        <s v="Lu Yonghua &amp; family"/>
        <s v="Ma Xiuhui"/>
        <s v="Apoorva Mehta"/>
        <s v="Gabriella Meister"/>
        <s v="Ulrike Meister"/>
        <s v="Andrei Molchanov"/>
        <s v="Fulvio Montipò &amp; family"/>
        <s v="Stanley Motta"/>
        <s v="Tyler Perry"/>
        <s v="Réal Plourde"/>
        <s v="Vera Rechulski Santo Domingo"/>
        <s v="George Sakellaris"/>
        <s v="Eddy Kusnadi Sariaatmadja"/>
        <s v="Neerja Sethi"/>
        <s v="Scott Smith"/>
        <s v="Petter Stordalen &amp; family"/>
        <s v="Ivan Streshinsky"/>
        <s v="Sergei Sudarikov"/>
        <s v="Wijono Tanoko"/>
        <s v="Haryanto Tjiptodihardjo"/>
        <s v="David Tran &amp; family"/>
        <s v="Kenzo Tsujimoto"/>
        <s v="Murat Vargi"/>
        <s v="Shigefumi Wada"/>
        <s v="Wan Feng &amp; family"/>
        <s v="Wang Jianfeng &amp; family"/>
        <s v="Masaru Wasami"/>
        <s v="V. Prem Watsa"/>
        <s v="Wen Pengcheng &amp; family"/>
        <s v="Toto Wolff"/>
        <s v="Franziska Wuerbser"/>
        <s v="Xie Bingzheng &amp; family"/>
        <s v="Xu Gang"/>
        <s v="Yan Junxu"/>
        <s v="Yi Xianzhong &amp; family"/>
        <s v="Yu Rong"/>
        <s v="Richard Yuengling, Jr."/>
        <s v="Zhang Gongyun"/>
        <s v="Zhang Guiping &amp; family"/>
        <s v="Inigo Zobel"/>
      </sharedItems>
    </cacheField>
    <cacheField name="age" numFmtId="0">
      <sharedItems containsString="0" containsBlank="1" containsNumber="1" containsInteger="1" minValue="18" maxValue="101" count="80">
        <n v="74"/>
        <n v="51"/>
        <n v="59"/>
        <n v="78"/>
        <n v="92"/>
        <n v="67"/>
        <n v="81"/>
        <n v="83"/>
        <n v="65"/>
        <n v="69"/>
        <n v="50"/>
        <n v="87"/>
        <n v="49"/>
        <n v="68"/>
        <n v="38"/>
        <n v="60"/>
        <n v="73"/>
        <n v="58"/>
        <n v="85"/>
        <n v="39"/>
        <n v="86"/>
        <n v="94"/>
        <n v="77"/>
        <n v="54"/>
        <n v="30"/>
        <n v="72"/>
        <n v="82"/>
        <n v="43"/>
        <n v="95"/>
        <n v="64"/>
        <n v="84"/>
        <n v="76"/>
        <n v="56"/>
        <n v="52"/>
        <n v="62"/>
        <n v="80"/>
        <n v="70"/>
        <n v="66"/>
        <n v="61"/>
        <n v="36"/>
        <n v="90"/>
        <n v="57"/>
        <n v="55"/>
        <n v="75"/>
        <m/>
        <n v="45"/>
        <n v="93"/>
        <n v="47"/>
        <n v="71"/>
        <n v="99"/>
        <n v="88"/>
        <n v="41"/>
        <n v="53"/>
        <n v="63"/>
        <n v="44"/>
        <n v="79"/>
        <n v="91"/>
        <n v="42"/>
        <n v="89"/>
        <n v="37"/>
        <n v="40"/>
        <n v="96"/>
        <n v="46"/>
        <n v="32"/>
        <n v="34"/>
        <n v="48"/>
        <n v="35"/>
        <n v="33"/>
        <n v="18"/>
        <n v="27"/>
        <n v="21"/>
        <n v="31"/>
        <n v="29"/>
        <n v="98"/>
        <n v="20"/>
        <n v="19"/>
        <n v="26"/>
        <n v="97"/>
        <n v="101"/>
        <n v="28"/>
      </sharedItems>
      <fieldGroup par="30"/>
    </cacheField>
    <cacheField name="country" numFmtId="0">
      <sharedItems containsBlank="1" count="79">
        <s v="France"/>
        <s v="United States"/>
        <s v="Mexico"/>
        <s v="India"/>
        <s v="Spain"/>
        <s v="China"/>
        <s v="Canada"/>
        <s v="Germany"/>
        <s v="Switzerland"/>
        <s v="Belgium"/>
        <s v="Hong Kong"/>
        <s v="Austria"/>
        <s v="Japan"/>
        <s v="United Kingdom"/>
        <s v="Australia"/>
        <s v="Indonesia"/>
        <s v="United Arab Emirates"/>
        <s v="Russia"/>
        <s v="Chile"/>
        <s v="Monaco"/>
        <s v="Czech Republic"/>
        <s v="Sweden"/>
        <m/>
        <s v="Thailand"/>
        <s v="Uzbekistan"/>
        <s v="Singapore"/>
        <s v="Nigeria"/>
        <s v="Israel"/>
        <s v="Italy"/>
        <s v="South Africa"/>
        <s v="Brazil"/>
        <s v="Malaysia"/>
        <s v="South Korea"/>
        <s v="New Zealand"/>
        <s v="Philippines"/>
        <s v="Taiwan"/>
        <s v="Norway"/>
        <s v="Egypt"/>
        <s v="Denmark"/>
        <s v="Eswatini (Swaziland)"/>
        <s v="Colombia"/>
        <s v="Netherlands"/>
        <s v="Poland"/>
        <s v="Bahamas"/>
        <s v="Ukraine"/>
        <s v="Cayman Islands"/>
        <s v="Greece"/>
        <s v="Turkey"/>
        <s v="Argentina"/>
        <s v="Georgia"/>
        <s v="Portugal"/>
        <s v="Kazakhstan"/>
        <s v="Algeria"/>
        <s v="Vietnam"/>
        <s v="Latvia"/>
        <s v="Finland"/>
        <s v="Bermuda"/>
        <s v="Luxembourg"/>
        <s v="British Virgin Islands"/>
        <s v="Cambodia"/>
        <s v="Lebanon"/>
        <s v="Oman"/>
        <s v="Ireland"/>
        <s v="Cyprus"/>
        <s v="Guernsey"/>
        <s v="Liechtenstein"/>
        <s v="Turks and Caicos Islands"/>
        <s v="Romania"/>
        <s v="Qatar"/>
        <s v="Uruguay"/>
        <s v="Nepal"/>
        <s v="Slovakia"/>
        <s v="Morocco"/>
        <s v="Hungary"/>
        <s v="Tanzania"/>
        <s v="Bahrain"/>
        <s v="Peru"/>
        <s v="Andorra"/>
        <s v="Armenia"/>
      </sharedItems>
    </cacheField>
    <cacheField name="city" numFmtId="0">
      <sharedItems containsBlank="1" count="739">
        <s v="Paris"/>
        <s v="Austin"/>
        <s v="Medina"/>
        <s v="Lanai"/>
        <s v="Omaha"/>
        <s v="New York"/>
        <s v="Mexico City"/>
        <s v="Mumbai"/>
        <s v="Hunts Point"/>
        <s v="Palo Alto"/>
        <s v="La Coruna"/>
        <s v="Los Altos"/>
        <s v="Hangzhou"/>
        <s v="Wichita"/>
        <s v="Bentonville"/>
        <s v="Fort Worth"/>
        <s v="Toronto"/>
        <s v="Ahmedabad"/>
        <s v="Hillsboro"/>
        <s v="Beijing"/>
        <s v="Neckarsulm"/>
        <s v="Schindellegi"/>
        <s v="Brussels"/>
        <s v="The Plains"/>
        <s v="Jackson"/>
        <m/>
        <s v="Shenzhen"/>
        <s v="Las Vegas"/>
        <s v="Miami"/>
        <s v="Salzburg"/>
        <s v="Ningde"/>
        <s v="Tokyo"/>
        <s v="London"/>
        <s v="Geneva"/>
        <s v="Shanghai"/>
        <s v="Kuenzelsau"/>
        <s v="Hong Kong"/>
        <s v="Haverford"/>
        <s v="East Setauket"/>
        <s v="Bad Homburg"/>
        <s v="Perth"/>
        <s v="Delhi"/>
        <s v="Jakarta"/>
        <s v="Palm Beach"/>
        <s v="Ras Al Khaimah"/>
        <s v="Frankfurt"/>
        <s v="Seattle"/>
        <s v="Kudus"/>
        <s v="Moscow"/>
        <s v="Foshan"/>
        <s v="Santiago"/>
        <s v="Pune"/>
        <s v="Laval"/>
        <s v="Milton"/>
        <s v="Chicago"/>
        <s v="Osaka"/>
        <s v="Nashville"/>
        <s v="Greenwich"/>
        <s v="Monte Carlo"/>
        <s v="Nanyang"/>
        <s v="Oklahoma City"/>
        <s v="Franklin"/>
        <s v="Indian Creek"/>
        <s v="Hisar"/>
        <s v="Newport Beach"/>
        <s v="Eau Claire"/>
        <s v="Crans-Montana"/>
        <s v="Mulheim an der Ruhr"/>
        <s v="Prague"/>
        <s v="Stockholm"/>
        <s v="Atherton"/>
        <s v="Zurich"/>
        <s v="San Jose"/>
        <s v="Bangkok"/>
        <s v="Baoding"/>
        <s v="Tashkent"/>
        <s v="Singapore"/>
        <s v="Lagos"/>
        <s v="Changsha"/>
        <s v="Afton"/>
        <s v="Dallas"/>
        <s v="Tulsa"/>
        <s v="Guangzhou"/>
        <s v="Sydney"/>
        <s v="Electra"/>
        <s v="Yinchuan"/>
        <s v="Chongqing"/>
        <s v="Naples"/>
        <s v="Dubai"/>
        <s v="Tegernsee"/>
        <s v="Chengdu"/>
        <s v="Bryn Mawr"/>
        <s v="Herzliya"/>
        <s v="Melbourne"/>
        <s v="Frauenfeld"/>
        <s v="Milan"/>
        <s v="Cape Town"/>
        <s v="Denver"/>
        <s v="Brookline"/>
        <s v="Sao Paulo"/>
        <s v="Bloomington"/>
        <s v="Incline Village"/>
        <s v="Houston"/>
        <s v="Magnitogorsk"/>
        <s v="Herzogenaurach"/>
        <s v="Kuala Lumpur"/>
        <s v="Midland"/>
        <s v="Martigny"/>
        <s v="Marseille"/>
        <s v="Seoul"/>
        <s v="Haiger"/>
        <s v="Lianyungang"/>
        <s v="Keene"/>
        <s v="Xingtai"/>
        <s v="Ningbo"/>
        <s v="Los Angeles"/>
        <s v="Alexandria"/>
        <s v="Philadelphia"/>
        <s v="Vancouver"/>
        <s v="Gstaad"/>
        <s v="San Francisco"/>
        <s v="Gloucestershire"/>
        <s v="Elizabeth"/>
        <s v="Bangalore"/>
        <s v="Woodside"/>
        <s v="Beverly Hills"/>
        <s v="Ruschlikon"/>
        <s v="Hamburg"/>
        <s v="Changzhou"/>
        <s v="Surrey"/>
        <s v="Newmarket"/>
        <s v="Moscow region"/>
        <s v="Honolulu"/>
        <s v="Wujiang"/>
        <s v="Auckland"/>
        <s v="Heidelberg"/>
        <s v="St. Gallen"/>
        <s v="Manila"/>
        <s v="Xi'an"/>
        <s v="Atlanta"/>
        <s v="Johannesburg"/>
        <s v="New South Wales"/>
        <s v="Binzhou"/>
        <s v="Springfield"/>
        <s v="Thurgau"/>
        <s v="Verbier"/>
        <s v="Winnetka"/>
        <s v="Miami Beach"/>
        <s v="Quanzhou"/>
        <s v="Henderson"/>
        <s v="Vienna"/>
        <s v="Saddle River"/>
        <s v="Taipei"/>
        <s v="Taoyuan"/>
        <s v="Oslo"/>
        <s v="Hefei"/>
        <s v="San Antonio"/>
        <s v="Cary"/>
        <s v="Santa Barbara"/>
        <s v="Cairo"/>
        <s v="Adel"/>
        <s v="Kolkata"/>
        <s v="Aarhus"/>
        <s v="Gladwyne"/>
        <s v="Malibu"/>
        <s v="Madison"/>
        <s v="Lexington"/>
        <s v="Lausanne"/>
        <s v="Redlands"/>
        <s v="Hobe Sound"/>
        <s v="Port Washington"/>
        <s v="St. Louis"/>
        <s v="Huizhou"/>
        <s v="Lighthouse Point"/>
        <s v="Portage"/>
        <s v="Stoke-on-Trent"/>
        <s v="Boston"/>
        <s v="Millburn"/>
        <s v="Scarsdale"/>
        <s v="Billund"/>
        <s v="Fiesole"/>
        <s v="Feldmeilen"/>
        <s v="Boca Raton"/>
        <s v="Katonah"/>
        <s v="Irvine"/>
        <s v="Rolling Hills"/>
        <s v="Wilen bei Wollerau"/>
        <s v="Hampton"/>
        <s v="Newport Coast"/>
        <s v="Munich"/>
        <s v="Ezulwini"/>
        <s v="Chevy Chase"/>
        <s v="Monaco"/>
        <s v="Crans Montana"/>
        <s v="Gothenberg"/>
        <s v="Bogota"/>
        <s v="Missoula"/>
        <s v="Lyon"/>
        <s v="Langfang"/>
        <s v="Tel Aviv"/>
        <s v="Amsterdam"/>
        <s v="Kielce"/>
        <s v="Montreal"/>
        <s v="Reno"/>
        <s v="Albany"/>
        <s v="New Albany"/>
        <s v="Darien"/>
        <s v="Humlebaek"/>
        <s v="Donetsk"/>
        <s v="Grand Cayman"/>
        <s v="Saint John"/>
        <s v="Jona"/>
        <s v="North Palm Beach"/>
        <s v="Sands Point"/>
        <s v="Branford"/>
        <s v="Bal Harbour"/>
        <s v="Palisades"/>
        <s v="Redding"/>
        <s v="Modena"/>
        <s v="Ulm"/>
        <s v="Potomac"/>
        <s v="East Hampton"/>
        <s v="Venice"/>
        <s v="Southampton"/>
        <s v="Bloomfield Hills"/>
        <s v="Suzhou"/>
        <s v="Lucerne"/>
        <s v="Passau"/>
        <s v="Istanbul"/>
        <s v="Saint Petersburg"/>
        <s v="Visbek"/>
        <s v="Abu Dhabi"/>
        <s v="Charleston"/>
        <s v="Changshu"/>
        <s v="Islamorada"/>
        <s v="Isle of Man"/>
        <s v="Oak Brook"/>
        <s v="Vettre"/>
        <s v="Wilson"/>
        <s v="Youngstown"/>
        <s v="Lille"/>
        <s v="San Anselmo"/>
        <s v="Mainz"/>
        <s v="Basel"/>
        <s v="Newton"/>
        <s v="Hyderabad"/>
        <s v="Buenos Aires"/>
        <s v="Tbilisi"/>
        <s v="Binningen"/>
        <s v="Phoenix"/>
        <s v="Hertfordshire"/>
        <s v="Krotoszyn,"/>
        <s v="Koenigstein"/>
        <s v="Knoxville"/>
        <s v="Racine"/>
        <s v="Portola Valley"/>
        <s v="Virginia Beach"/>
        <s v="Grijo"/>
        <s v="New Orleans"/>
        <s v="Croton-on-Hudson"/>
        <s v="Longkou"/>
        <s v="Oyster Bay"/>
        <s v="Almaty"/>
        <s v="Fushun"/>
        <s v="Grand Rapids"/>
        <s v="Algiers"/>
        <s v="Memphis"/>
        <s v="Battenberg"/>
        <s v="Delray Beach"/>
        <s v="Wuhan"/>
        <s v="Walldorf"/>
        <s v="Weifang"/>
        <s v="Trondheim"/>
        <s v="Wenzhou"/>
        <s v="San Diego"/>
        <s v="Cockeysville"/>
        <s v="Madrid"/>
        <s v="Liestal"/>
        <s v="Wynnewood"/>
        <s v="Zermatt"/>
        <s v="A Coruña"/>
        <s v="Fayetteville"/>
        <s v="Bingham Farms"/>
        <s v="Edmonton"/>
        <s v="Verkhniaya Pyshma"/>
        <s v="Rancho Santa Fe"/>
        <s v="Hanoi"/>
        <s v="Coral Gables"/>
        <s v="Erie"/>
        <s v="Burlingame"/>
        <s v="Leawood"/>
        <s v="Glencoe"/>
        <s v="Glendora"/>
        <s v="Plantation"/>
        <s v="Kirkkonummi"/>
        <s v="Putian"/>
        <s v="East Aurora"/>
        <s v="Coatesville"/>
        <s v="Rio de Janeiro"/>
        <s v="Weiningen"/>
        <s v="Los Altos Hills"/>
        <s v="Petaling Jaya"/>
        <s v="Yuxi"/>
        <s v="Ottawa"/>
        <s v="Salt Lake City"/>
        <s v="Pacific Palisades"/>
        <s v="Konstancin"/>
        <s v="Shaoxing"/>
        <s v="Bruchsal"/>
        <s v="Livingston"/>
        <s v="Birchwood"/>
        <s v="George Town"/>
        <s v="Treviso"/>
        <s v="Carmel"/>
        <s v="Bozeman"/>
        <s v="Bielefeld"/>
        <s v="Jiaxing"/>
        <s v="Steamboat Springs"/>
        <s v="Shijiazhuang"/>
        <s v="Rome"/>
        <s v="Xiamen"/>
        <s v="Westlake"/>
        <s v="Lake Forest"/>
        <s v="Coconut Grove"/>
        <s v="Merseyside"/>
        <s v="Kyoto"/>
        <s v="Netanya"/>
        <s v="Wuxi"/>
        <s v="Florence"/>
        <s v="Anzere"/>
        <s v="Short Hills"/>
        <s v="New York City"/>
        <s v="Valencia"/>
        <s v="Tianjin"/>
        <s v="Fuzhou"/>
        <s v="Cernusco Lombardone"/>
        <s v="Muttontown"/>
        <s v="Luxembourg"/>
        <s v="Dusseldorf"/>
        <s v="Xian"/>
        <s v="Pleasanton"/>
        <s v="Davos"/>
        <s v="Lower-Saxony"/>
        <s v="Como"/>
        <s v="Northeim"/>
        <s v="Eindhoven"/>
        <s v="Qingdao"/>
        <s v="Windsor"/>
        <s v="Yekaterinburg"/>
        <s v="Haridwar"/>
        <s v="Necker Island"/>
        <s v="Scottsdale"/>
        <s v="Little Jackson Hole"/>
        <s v="Indianapolis"/>
        <s v="Stuttgart"/>
        <s v="Zug"/>
        <s v="Santa Clara"/>
        <s v="Montpellier"/>
        <s v="Brownsville"/>
        <s v="Paradise Valley"/>
        <s v="Küsnacht"/>
        <s v="Oakville"/>
        <s v="Sag Harbor"/>
        <s v="Hokkaido"/>
        <s v="Larchmont"/>
        <s v="St. Petersburg"/>
        <s v="Ponzano Veneto"/>
        <s v="Solomeo"/>
        <s v="torino"/>
        <s v="Krasnodar"/>
        <s v="Brusque"/>
        <s v="Xinyu"/>
        <s v="Birmingham"/>
        <s v="Bethesda"/>
        <s v="Bremen"/>
        <s v="Bologna"/>
        <s v="Little Rock"/>
        <s v="Fort Collins"/>
        <s v="Wiesloch"/>
        <s v="Daye"/>
        <s v="Fuqing"/>
        <s v="Wilen"/>
        <s v="Newbury Park"/>
        <s v="Santa Cruz"/>
        <s v="Sao Jose dos Pinhais"/>
        <s v="Highland Park"/>
        <s v="Kanton Schwyz"/>
        <s v="Providence"/>
        <s v="Bassano del Grappa"/>
        <s v="Berlin"/>
        <s v="Idaho Falls"/>
        <s v="Jeju-do"/>
        <s v="The Woodlands"/>
        <s v="Luancheng"/>
        <s v="Clearwater"/>
        <s v="McLean"/>
        <s v="Tampa"/>
        <s v="St. John"/>
        <s v="Zhuji"/>
        <s v="Tempe"/>
        <s v="Brunswick"/>
        <s v="Grimisuat"/>
        <s v="Nantes"/>
        <s v="Göteborg"/>
        <s v="Urumqi"/>
        <s v="Barcelona"/>
        <s v="Bergamo"/>
        <s v="Taixing"/>
        <s v="Greensboro"/>
        <s v="Sarasota"/>
        <s v="Luzerne"/>
        <s v="Ohningen"/>
        <s v="Laguna Beach"/>
        <s v="Leipzig"/>
        <s v="Jiangyin"/>
        <s v="Cochin"/>
        <s v="Xinxiang"/>
        <s v="Phnom Penh"/>
        <s v="San Marcos"/>
        <s v="Temple"/>
        <s v="Beirut"/>
        <s v="Yingkou"/>
        <s v="Muscat"/>
        <s v="Esporles"/>
        <s v="Belle Vernon"/>
        <s v="Gräfelfing"/>
        <s v="Dublin"/>
        <s v="Gothenburg"/>
        <s v="Mankato"/>
        <s v="Pittsburgh"/>
        <s v="Nur-Sultan"/>
        <s v="Kverva"/>
        <s v="Danyang"/>
        <s v="Rheinfelden"/>
        <s v="Shantou"/>
        <s v="Lake Worth"/>
        <s v="Lugano"/>
        <s v="Vorden"/>
        <s v="Duderstadt"/>
        <s v="Nicasio"/>
        <s v="Tarrytown"/>
        <s v="Springdale"/>
        <s v="Scarborough"/>
        <s v="Weston"/>
        <s v="Paralimni"/>
        <s v="Curitiba"/>
        <s v="Westmount"/>
        <s v="Graz"/>
        <s v="Yanzhou"/>
        <s v="Burgdorf"/>
        <s v="Marbella"/>
        <s v="Shangyu"/>
        <s v="Zhangjiagang"/>
        <s v="Neustadt an der Waldnaab"/>
        <s v="Nanjing"/>
        <s v="Montecito"/>
        <s v="Shenyang"/>
        <s v="Melsungen"/>
        <s v="Espelkamp"/>
        <s v="North York"/>
        <s v="Bristol"/>
        <s v="Taizhou"/>
        <s v="Fort Lauderdale"/>
        <s v="Chennai"/>
        <s v="Berkeley"/>
        <s v="Marin County"/>
        <s v="Hsinchu"/>
        <s v="Portland"/>
        <s v="Hattiesburg"/>
        <s v="Ankara"/>
        <s v="St. Peter Port"/>
        <s v="Brookville"/>
        <s v="Ventura"/>
        <s v="Manaus"/>
        <s v="Hurden"/>
        <s v="Saratoga"/>
        <s v="Zhaoyuan"/>
        <s v="Rechterfeld"/>
        <s v="Vaduz"/>
        <s v="Paradise Island"/>
        <s v="Ormond Beach"/>
        <s v="Weihai"/>
        <s v="Nanping"/>
        <s v="Weinheim"/>
        <s v="Grebenhain"/>
        <s v="San Juan Islands"/>
        <s v="Ho Chi Minh City"/>
        <s v="Liuan"/>
        <s v="Edmond"/>
        <s v="El Cerrito"/>
        <s v="Menlo Park"/>
        <s v="Aventura"/>
        <s v="East Lyme"/>
        <s v="Grants Pass"/>
        <s v="Montabaur"/>
        <s v="Surfers Paradise"/>
        <s v="El Paso"/>
        <s v="Huzhou"/>
        <s v="Durham"/>
        <s v="Easton"/>
        <s v="Limassol"/>
        <s v="Paphos"/>
        <s v="Gurgaon"/>
        <s v="Kingscourt"/>
        <s v="Kiev"/>
        <s v="Chestnut Hill"/>
        <s v="Sewickley"/>
        <s v="Yantai"/>
        <s v="Krefeld"/>
        <s v="Norwich"/>
        <s v="Turks and Caicos Islands"/>
        <s v="Rhinebeck"/>
        <s v="Jupiter"/>
        <s v="Helsinki"/>
        <s v="Linyi"/>
        <s v="Brisbane"/>
        <s v="Park City"/>
        <s v="Sioux Falls"/>
        <s v="Warsaw"/>
        <s v="Darmstadt"/>
        <s v="Bucharest"/>
        <s v="Ypsilanti"/>
        <s v="Chaozhou"/>
        <s v="Irkutsk"/>
        <s v="Old Lyme"/>
        <s v="North Salem"/>
        <s v="Zhuhai"/>
        <s v="Landshut"/>
        <s v="Kunming"/>
        <s v="Wollerau"/>
        <s v="Jinhua"/>
        <s v="Santa Monica"/>
        <s v="Indian Hills"/>
        <s v="Monsey"/>
        <s v="St. Brelade, Jersey"/>
        <s v="Alpine"/>
        <s v="Tainan"/>
        <s v="Surabaya"/>
        <s v="Fukuoka"/>
        <s v="Athens"/>
        <s v="Zhengzhou"/>
        <s v="Doha"/>
        <s v="Manantiales"/>
        <s v="Kathmandu"/>
        <s v="Cupertino"/>
        <s v="Blaricum"/>
        <s v="Daytona Beach"/>
        <s v="Changchun"/>
        <s v="Peyia"/>
        <s v="Stanford"/>
        <s v="Panzhihua"/>
        <s v="Nagpur"/>
        <s v="Gaildorf"/>
        <s v="Yixing"/>
        <s v="Jinjiang"/>
        <s v="Allendorf"/>
        <s v="Cremona"/>
        <s v="Gorinchem"/>
        <s v="Annapolis"/>
        <s v="Turin"/>
        <s v="Porto Alegre"/>
        <s v="La Jolla"/>
        <s v="Tawau, Sabah"/>
        <s v="Lanzhou"/>
        <s v="Key Largo"/>
        <s v="Bayannur"/>
        <s v="Princeton"/>
        <s v="Chiba"/>
        <s v="Sao Luis"/>
        <s v="Bacau"/>
        <s v="Rostov-on-Don"/>
        <s v="Yunlin"/>
        <s v="Aberdeen"/>
        <s v="Zhuzhou"/>
        <s v="Dongguan"/>
        <s v="Kitzbuhel"/>
        <s v="Straelen"/>
        <s v="Jiujiang"/>
        <s v="Bratislava"/>
        <s v="Boucherville"/>
        <s v="Montagnola"/>
        <s v="St. Paul"/>
        <s v="Manalapan"/>
        <s v="Wien"/>
        <s v="Nottinghamshire"/>
        <s v="Yangzhou"/>
        <s v="Wels"/>
        <s v="Marburg"/>
        <s v="Provo"/>
        <s v="Cincinnati"/>
        <s v="Logan"/>
        <s v="Cisco"/>
        <s v="Xianyang"/>
        <s v="Yorktown Heights"/>
        <s v="Liaocheng"/>
        <s v="Suqian"/>
        <s v="Casablanca"/>
        <s v="Cesena"/>
        <s v="Herzliya Pituach"/>
        <s v="Campodoro"/>
        <s v="Redwood City"/>
        <s v="Budapest"/>
        <s v="Fisher Island"/>
        <s v="Dar es Salaam"/>
        <s v="Liberty"/>
        <s v="Pujols"/>
        <s v="Hillsborough"/>
        <s v="Leshan"/>
        <s v="Wellington"/>
        <s v="Schwieberdingen"/>
        <s v="Kunshan"/>
        <s v="Taichung"/>
        <s v="Tonghua"/>
        <s v="Gold Coast"/>
        <s v="Spilamberto"/>
        <s v="Crocetta del Montello"/>
        <s v="Manama"/>
        <s v="Tolleson"/>
        <s v="Bedford"/>
        <s v="Windermere"/>
        <s v="Lima"/>
        <s v="Kfar Shmaryahu"/>
        <s v="Canberra"/>
        <s v="Sagaponack"/>
        <s v="Aberdyfi"/>
        <s v="Surgut"/>
        <s v="Ludhiana"/>
        <s v="Kearney"/>
        <s v="Xuancheng"/>
        <s v="Burlington"/>
        <s v="Chifeng"/>
        <s v="Helsingborg"/>
        <s v="Rondonopolis"/>
        <s v="Wotton-under-Edge"/>
        <s v="Vadodara"/>
        <s v="Kobe"/>
        <s v="Audubon"/>
        <s v="Santo Andre"/>
        <s v="Kazan"/>
        <s v="Saitama"/>
        <s v="Jiaozuo"/>
        <s v="Joinville"/>
        <s v="Paoli"/>
        <s v="Meishan"/>
        <s v="Hengshui"/>
        <s v="Zhongshan"/>
        <s v="Baroda"/>
        <s v="Mevaseret Zion"/>
        <s v="Aspen"/>
        <s v="Monkton"/>
        <s v="Tongxiang"/>
        <s v="Segrate"/>
        <s v="Yokohama City"/>
        <s v="Locust Valley"/>
        <s v="Aurangabad"/>
        <s v="Dezhou"/>
        <s v="Fuxin"/>
        <s v="Cieszyn"/>
        <s v="Laizhou"/>
        <s v="Ruzhou"/>
        <s v="Cuiaba"/>
        <s v="Chelyabinsk"/>
        <s v="Rheda-Wiedenbrück"/>
        <s v="Wuhu"/>
        <s v="Jinan"/>
        <s v="Jaipur"/>
        <s v="São Paulo"/>
        <s v="Nyack"/>
        <s v="Sant'' Elpidio A Mare"/>
        <s v="Surat"/>
        <s v="Potsdam"/>
        <s v="Shunde"/>
        <s v="Belvedere"/>
        <s v="Bnei Brak"/>
        <s v="Hidden Hills"/>
        <s v="Iphofen"/>
        <s v="Boulder"/>
        <s v="Plymouth"/>
        <s v="Orono"/>
        <s v="Englewood"/>
        <s v="Felcsút"/>
        <s v="Minnetonka"/>
        <s v="Lower Merion"/>
        <s v="Murmansk"/>
        <s v="Cleveland"/>
        <s v="Abbeville"/>
        <s v="Mount Kisco"/>
        <s v="Deinze"/>
        <s v="Tombolo"/>
        <s v="Baarn"/>
        <s v="Erevan"/>
        <s v="Zhangzhou"/>
        <s v="Urumchi"/>
        <s v="Jacksonville"/>
        <s v="Bnei Atarot"/>
        <s v="Chang Hwa County"/>
        <s v="Huaibei city"/>
        <s v="Nantong"/>
        <s v="Rochester"/>
        <s v="Dnipro"/>
        <s v="Lens"/>
        <s v="Lipperswil"/>
        <s v="St. Wendel"/>
        <s v="Quzhou"/>
        <s v="Linhai"/>
        <s v="Cardiff"/>
        <s v="Palma de Majorca"/>
        <s v="Rottendorf"/>
        <s v="Tervuren"/>
        <s v="Matadepera"/>
        <s v="Chattanooga"/>
        <s v="Kemerovo"/>
        <s v="Lutherville-Timonium"/>
        <s v="Gallatin"/>
        <s v="London, Suffolk"/>
        <s v="Selangor"/>
        <s v="Starnberg"/>
        <s v="Luohe"/>
        <s v="Karlstad"/>
        <s v="Jupiter Island"/>
        <s v="Detmold"/>
        <s v="Kaohsiung"/>
        <s v="Leping"/>
        <s v="Yongzhou"/>
        <s v="Kochi"/>
        <s v="San Carlos"/>
        <s v="Copenhagen"/>
        <s v="Beit Yanay"/>
        <s v="Stellenbosch"/>
        <s v="Landsberg am Lech"/>
        <s v="Landsberg"/>
        <s v="Reggio Emilia"/>
        <s v="Arcadia"/>
        <s v="Nakano, Tokyo"/>
        <s v="Yunfu"/>
        <s v="Taicang"/>
        <s v="Pottsville"/>
        <s v="Gaomi"/>
        <s v="Makati"/>
      </sharedItems>
    </cacheField>
    <cacheField name="source" numFmtId="0">
      <sharedItems count="898">
        <s v="LVMH"/>
        <s v="Tesla, SpaceX"/>
        <s v="Amazon"/>
        <s v="Oracle"/>
        <s v="Berkshire Hathaway"/>
        <s v="Microsoft"/>
        <s v="Bloomberg LP"/>
        <s v="Telecom"/>
        <s v="Diversified"/>
        <s v="L'Oréal"/>
        <s v="Google"/>
        <s v="Zara"/>
        <s v="Beverages, pharmaceuticals"/>
        <s v="Facebook"/>
        <s v="Koch Industries"/>
        <s v="Walmart"/>
        <s v="Media"/>
        <s v="Dell Technologies"/>
        <s v="Infrastructure, commodities"/>
        <s v="Nike"/>
        <s v="TikTok"/>
        <s v="Retail"/>
        <s v="Luxury goods"/>
        <s v="Shipping"/>
        <s v="Nutella, chocolates"/>
        <s v="Candy, pet food"/>
        <s v="Internet media"/>
        <s v="Casinos"/>
        <s v="Hedge funds"/>
        <s v="Red Bull"/>
        <s v="Batteries"/>
        <s v="Fashion retail"/>
        <s v="Music, chemicals"/>
        <s v="Chanel"/>
        <s v="E-commerce"/>
        <s v="Fasteners"/>
        <s v="Real estate"/>
        <s v="Trading, investments"/>
        <s v="Investments"/>
        <s v="BMW, pharmaceuticals"/>
        <s v="Mining"/>
        <s v="Online games"/>
        <s v="software services"/>
        <s v="Coal"/>
        <s v="Discount brokerage"/>
        <s v="Fertilizers, coal"/>
        <s v="BMW"/>
        <s v="Banking, tobacco"/>
        <s v="Metals"/>
        <s v="Home appliances"/>
        <s v="Chemicals"/>
        <s v="Vaccines"/>
        <s v="Internet, telecom"/>
        <s v="Steel, transport"/>
        <s v="Cheese"/>
        <s v="Fidelity"/>
        <s v="Gas, chemicals"/>
        <s v="Package delivery"/>
        <s v="Semiconductors"/>
        <s v="Estee Lauder"/>
        <s v="Sensors"/>
        <s v="Steel, investments"/>
        <s v="Oil"/>
        <s v="Hospitals"/>
        <s v="Automobiles"/>
        <s v="Mining, copper products"/>
        <s v="Real estate, shipping"/>
        <s v="Pig breeding"/>
        <s v="Batteries, automobiles"/>
        <s v="Oil &amp; gas"/>
        <s v="Oil, gas"/>
        <s v="Quicken Loans"/>
        <s v="Steel"/>
        <s v="Home improvement stores"/>
        <s v="Newspapers, TV network"/>
        <s v="Banking"/>
        <s v="Aldi, Trader Joe's"/>
        <s v="Finance, telecommunications"/>
        <s v="medical devices"/>
        <s v="H&amp;M"/>
        <s v="Soy sauce"/>
        <s v="Supermarkets"/>
        <s v="Beer"/>
        <s v="Pharmaceuticals"/>
        <s v="Wireless networking"/>
        <s v="Retail, investments"/>
        <s v="Alcohol, real estate"/>
        <s v="Heineken"/>
        <s v="Steel, telecom, investments"/>
        <s v="Paints"/>
        <s v="Commodities"/>
        <s v="Cement, sugar"/>
        <s v="Casinos/hotels"/>
        <s v="Building supplies"/>
        <s v="WhatsApp"/>
        <s v="Dallas Cowboys"/>
        <s v="Oil &amp; gas, banking"/>
        <s v="Automobiles, batteries"/>
        <s v="Sports, real estate"/>
        <s v="Oil, banking, telecom"/>
        <s v="Energy"/>
        <s v="Auto parts"/>
        <s v="Apple, Disney"/>
        <s v="Palm oil, shipping, property"/>
        <s v="Messaging app"/>
        <s v="Agribusiness"/>
        <s v="Online retail"/>
        <s v="Fertilizer, real estate"/>
        <s v="Manufacturing"/>
        <s v="Video surveillance"/>
        <s v="Energy, sports, entertainment"/>
        <s v="Gas stations"/>
        <s v="Retail, media"/>
        <s v="Manufacturing, New England Patriots"/>
        <s v="Gold"/>
        <s v="Cryptocurrency exchange"/>
        <s v="Banks, real estate"/>
        <s v="Software"/>
        <s v="Business software"/>
        <s v="Banking, property"/>
        <s v="Hermes"/>
        <s v="Fertilizers"/>
        <s v="Private equity"/>
        <s v="Smartphones"/>
        <s v="Warehouse automation"/>
        <s v="Solar panels"/>
        <s v="Biotech, investments"/>
        <s v="Food delivery"/>
        <s v="Airbnb"/>
        <s v="Vacuums"/>
        <s v="Energy, investments"/>
        <s v="Cable television"/>
        <s v="Hardware stores"/>
        <s v="Alcoholic beverages"/>
        <s v="Hydraulic machinery"/>
        <s v="Packaging"/>
        <s v="Ecommerce"/>
        <s v="Venture capital"/>
        <s v="EBay, PayPal"/>
        <s v="Retail, real estate"/>
        <s v="Soft drinks, fast food"/>
        <s v="Solar wafers and modules"/>
        <s v="Media, automotive"/>
        <s v="Diamonds"/>
        <s v="Aluminum products"/>
        <s v="Sporting goods retail"/>
        <s v="Drugstores"/>
        <s v="Houston Rockets, entertainment"/>
        <s v="Oil and gas, IT, lotteries"/>
        <s v="Home Depot"/>
        <s v="Insurance"/>
        <s v="Coal mines"/>
        <s v="Sports apparel"/>
        <s v="Samsung"/>
        <s v="Metals and mining"/>
        <s v="Real estate, construction"/>
        <s v="Petrochemicals"/>
        <s v="Financial information"/>
        <s v="Furniture"/>
        <s v="Shoes"/>
        <s v="Movies, record labels"/>
        <s v="Internet search"/>
        <s v="Photovoltaic equipment"/>
        <s v="Restaurants"/>
        <s v="Textiles, apparel"/>
        <s v="Manufacturing, investments"/>
        <s v="Construction, investments"/>
        <s v="Agriculture"/>
        <s v="Cement"/>
        <s v="Mining, metals, machinery"/>
        <s v="Ports"/>
        <s v="Electronics components"/>
        <s v="Electronics"/>
        <s v="Real estate, investments"/>
        <s v="Auto loans"/>
        <s v="Pipelines"/>
        <s v="Fintech"/>
        <s v="Personal care goods"/>
        <s v="Beverages"/>
        <s v="Healthcare software"/>
        <s v="Gambling"/>
        <s v="Self storage"/>
        <s v="Construction equipment"/>
        <s v="Health care"/>
        <s v="Mapping software"/>
        <s v="Apparel"/>
        <s v="Food distribution"/>
        <s v="Homebuilding, insurance"/>
        <s v="Cargill"/>
        <s v="Hedge fund"/>
        <s v="Lithium batteries"/>
        <s v="Medical equipment"/>
        <s v="Online gambling"/>
        <s v="Tech investments"/>
        <s v="Intel"/>
        <s v="Metals, investments"/>
        <s v="Money management"/>
        <s v="Lego"/>
        <s v="Solar panel components"/>
        <s v="Natural gas"/>
        <s v="Computer hardware"/>
        <s v="Snacks, beverages"/>
        <s v="Chick-fil-A"/>
        <s v="Investments, real estate"/>
        <s v="Staffing, Baltimore Ravens"/>
        <s v="Biomedical products"/>
        <s v="Fertilizer"/>
        <s v="Construction, mining"/>
        <s v="Solar equipment"/>
        <s v="Natural gas distribution"/>
        <s v="Metalworking tools"/>
        <s v="Beer, investments"/>
        <s v="Temp agency"/>
        <s v="Power strips"/>
        <s v="Power strip"/>
        <s v="Telecom, oil"/>
        <s v="Coffee"/>
        <s v="Hotels, energy"/>
        <s v="Smartphone screens"/>
        <s v="Steel, mining"/>
        <s v="Real estate, retail"/>
        <s v="Convinience stores"/>
        <s v="Security software"/>
        <s v="IT provider"/>
        <s v="Finance"/>
        <s v="Food, beverages"/>
        <s v="Steel, coal"/>
        <s v="Record label"/>
        <s v="Oil, real estate"/>
        <s v="Motorcycles"/>
        <s v="Pharmaceutical ingredients"/>
        <s v="Hotels, investments"/>
        <s v="Gambling software"/>
        <s v="Biotech"/>
        <s v="Carnival Cruises"/>
        <s v="Payments software"/>
        <s v="Payment software"/>
        <s v="Timberland, lumber mills"/>
        <s v="Toyota dealerships"/>
        <s v="Medical packaging"/>
        <s v="Mortgage lender"/>
        <s v="Textiles, petrochemicals"/>
        <s v="Kitchen appliances"/>
        <s v="Consumer goods"/>
        <s v="Carpet"/>
        <s v="Pest control"/>
        <s v="Finance, asset management"/>
        <s v="Poultry genetics"/>
        <s v="Real estate management"/>
        <s v="Telecoms, media, oil-services"/>
        <s v="Frozen foods"/>
        <s v="Plush toys, real estate"/>
        <s v="Real estate, private equity"/>
        <s v="Franklin Templeton"/>
        <s v="Shipping, seafood"/>
        <s v="San Francisco 49ers"/>
        <s v="Oil, investments"/>
        <s v="Biotech and investments"/>
        <s v="Trading"/>
        <s v="Software, investments"/>
        <s v="Online services"/>
        <s v="Estée Lauder"/>
        <s v="Sporting goods"/>
        <s v="Star Wars"/>
        <s v="Energy, sports"/>
        <s v="Biotechnology"/>
        <s v="Dental implants"/>
        <s v="Food"/>
        <s v="Lululemon"/>
        <s v="New Balance"/>
        <s v="Dolby Laboratories"/>
        <s v="Payroll services"/>
        <s v="Palm oil, nickel mining"/>
        <s v="U-Haul"/>
        <s v="Washington Commanders"/>
        <s v="Sports retailing"/>
        <s v="Gas stations, retail"/>
        <s v="Cleaning products"/>
        <s v="New Orleans Saints"/>
        <s v="Hair dryers"/>
        <s v="Aluminum, diversified"/>
        <s v="Video games"/>
        <s v="Vodka"/>
        <s v="Online media, Dallas Mavericks"/>
        <s v="Twitter, Square"/>
        <s v="Financial services"/>
        <s v="Renewable energy"/>
        <s v="Gaming"/>
        <s v="FedEx"/>
        <s v="Heating, cooling equipment"/>
        <s v="Energy drinks"/>
        <s v="Healthcare"/>
        <s v="Tequila"/>
        <s v="Acoustic components"/>
        <s v="Dairy"/>
        <s v="Chemicals, spandex"/>
        <s v="Biotech, vaccines"/>
        <s v="Computer services, real estate"/>
        <s v="Defense"/>
        <s v="Staffing &amp; recruiting"/>
        <s v="Construction"/>
        <s v="Biochemicals"/>
        <s v="Philadelphia Eagles"/>
        <s v="Investment research"/>
        <s v="Home-cleaning robots"/>
        <s v="Titanium"/>
        <s v="Trucking"/>
        <s v="Little Caesars Pizza"/>
        <s v="Pharmacies"/>
        <s v="Drones"/>
        <s v="Solar inverters"/>
        <s v="Navigation equipment"/>
        <s v="Groupon, investments"/>
        <s v="EBay"/>
        <s v="In-N-Out Burger"/>
        <s v="Facebook, investments"/>
        <s v="Food services"/>
        <s v="Publishing"/>
        <s v="Spirits"/>
        <s v="Elevators, escalators"/>
        <s v="Paint"/>
        <s v="Food service"/>
        <s v="Tobacco distribution, retail"/>
        <s v="Campbell Soup"/>
        <s v="Banking, minerals"/>
        <s v="Billboards, Los Angeles Angels"/>
        <s v="Train cars"/>
        <s v="Construction equipment, media"/>
        <s v="Cybersecurity"/>
        <s v="Email marketing"/>
        <s v="Subway"/>
        <s v="Conglomerate"/>
        <s v="Electrical equipment"/>
        <s v="Sports"/>
        <s v="Uber"/>
        <s v="Aluminum"/>
        <s v="Battery separators"/>
        <s v="Car dealerships"/>
        <s v="Marvel comics"/>
        <s v="Banking, real estate"/>
        <s v="Movies"/>
        <s v="Oil trading"/>
        <s v="Valves"/>
        <s v="Insurance, beverages"/>
        <s v="Hyundai"/>
        <s v="Coffee makers"/>
        <s v="Optometry"/>
        <s v="Indianapolis Colts"/>
        <s v="Videogames"/>
        <s v="Glass"/>
        <s v="Aviation"/>
        <s v="Cement, diversified"/>
        <s v="Online media"/>
        <s v="Airline"/>
        <s v="Poultry processing"/>
        <s v="Book distribution, transportation"/>
        <s v="Electric vehicles"/>
        <s v="Mobile phone retailer"/>
        <s v="Aircraft leasing"/>
        <s v="Packaging materials"/>
        <s v="Imaging systems"/>
        <s v="Logistics"/>
        <s v="Hotels, motels"/>
        <s v="Advertising"/>
        <s v="Motors"/>
        <s v="Starbucks"/>
        <s v="Best Buy"/>
        <s v="Auto parts, distribution"/>
        <s v="Hotels"/>
        <s v="Fashion investments"/>
        <s v="Liquor"/>
        <s v="Smartphone components"/>
        <s v="Electric bikes, scooters"/>
        <s v="Eyeglasses"/>
        <s v="Generic drugs"/>
        <s v="Microchip testing"/>
        <s v="Eyeglases"/>
        <s v="Investing"/>
        <s v="Skincare"/>
        <s v="Oil, coal, real estate"/>
        <s v="Paper"/>
        <s v="Infant formula"/>
        <s v="Construction, pipes, banking"/>
        <s v="Winter jackets"/>
        <s v="Biopharmaceuticals"/>
        <s v="Virgin"/>
        <s v="Diamond jewelry"/>
        <s v="Johnson &amp; Johnson, sports"/>
        <s v="Tobacco"/>
        <s v="Web hosting"/>
        <s v="TD Ameritrade"/>
        <s v="Flavorings"/>
        <s v="Zoom Video Communications"/>
        <s v="Scaffolding, cement mixers"/>
        <s v="Hearing aids"/>
        <s v="Quartz products"/>
        <s v="Surveillance equipment"/>
        <s v="Shopping malls"/>
        <s v="Homebuilding"/>
        <s v="Movie making"/>
        <s v="Home furnishings"/>
        <s v="Casinos, real estate"/>
        <s v="Finance and investments"/>
        <s v="Fashion retail, investments"/>
        <s v="Supermarkets, investments"/>
        <s v="Household chemicals"/>
        <s v="Fashion"/>
        <s v="Electric scooters"/>
        <s v="Satellite TV"/>
        <s v="Yahoo"/>
        <s v="Logistics, real estate"/>
        <s v="Department stores"/>
        <s v="Investment"/>
        <s v="Lithium"/>
        <s v="Pharmaceuticals, power"/>
        <s v="Mining, commodities"/>
        <s v="Cars"/>
        <s v="Ticketing service"/>
        <s v="Oil &amp; gas, investments"/>
        <s v="Investment banking"/>
        <s v="Transport, engineering, real estate"/>
        <s v="Electronic trading"/>
        <s v="Wine"/>
        <s v="Casinos, hotels"/>
        <s v="Digital advertising"/>
        <s v="Netflix"/>
        <s v="Education"/>
        <s v="Cosmetics"/>
        <s v="Palm oil"/>
        <s v="Meat processing"/>
        <s v="Chemical industry"/>
        <s v="Readymade garments"/>
        <s v="Stock brokerage"/>
        <s v="Nutrition, wellness products"/>
        <s v="Art, car dealerships"/>
        <s v="Hair care products"/>
        <s v="Shopping centers"/>
        <s v="Copper, education"/>
        <s v="Used cars"/>
        <s v="Laboratory services"/>
        <s v="Solar panel materials"/>
        <s v="Automotive brakes"/>
        <s v="Mobile phones"/>
        <s v="Netscape, investments"/>
        <s v="Convenience stores"/>
        <s v="Hair products, tequila"/>
        <s v="Formula One"/>
        <s v="Defense, hotels"/>
        <s v="Live entertainment"/>
        <s v="Engineering"/>
        <s v="Consumer products"/>
        <s v="Spotify"/>
        <s v="Tires"/>
        <s v="TV network, investments"/>
        <s v="Chewing gum"/>
        <s v="Jewelry"/>
        <s v="Casinos, property, energy"/>
        <s v="Casinos, mixed martial arts"/>
        <s v="Sensor technology"/>
        <s v="Palm oil, property"/>
        <s v="Construction materials"/>
        <s v="Walmart, logistics"/>
        <s v="Art collection"/>
        <s v="Adhesives"/>
        <s v="Drug distribution"/>
        <s v="Video streaming"/>
        <s v="Metals, coal"/>
        <s v="Building materials"/>
        <s v="Metals, mining"/>
        <s v="Fast food"/>
        <s v="Mining, steel"/>
        <s v="Banking, insurance, media"/>
        <s v="3D printing"/>
        <s v="Scientific equipment"/>
        <s v="Nutritional supplements"/>
        <s v="Entertainment"/>
        <s v="Candy"/>
        <s v="Copy machines, software"/>
        <s v="Pipe Manufacturing"/>
        <s v="Biotech investing"/>
        <s v="Technology services"/>
        <s v="Agrochemicals"/>
        <s v="Real estate, airport"/>
        <s v="Snapchat"/>
        <s v="Printing"/>
        <s v="Movies, investments"/>
        <s v="Mining, banking, hotels"/>
        <s v="Fish farming"/>
        <s v="Beef processing"/>
        <s v="Beef packing"/>
        <s v="Magazines, media"/>
        <s v="E-cigarettes"/>
        <s v="Airport management"/>
        <s v="Battery components"/>
        <s v="Airport"/>
        <s v="Bakeries"/>
        <s v="Auto dealerships"/>
        <s v="Travel"/>
        <s v="Chemicals, investments"/>
        <s v="Prosthetics"/>
        <s v="Retailing"/>
        <s v="Payroll software"/>
        <s v="Liquefied natural gas"/>
        <s v="Brakes, investments"/>
        <s v="Food processing"/>
        <s v="Heating and cooling equipment"/>
        <s v="Construction Vehicles"/>
        <s v="Slim-Fast"/>
        <s v="Engineering, construction"/>
        <s v="Video streaming app"/>
        <s v="Aluminum, utilities"/>
        <s v="Plastic pipes"/>
        <s v="Information technology"/>
        <s v="Music"/>
        <s v="Paper &amp; related products"/>
        <s v="Coffee, shipping"/>
        <s v="Tractors"/>
        <s v="Aerospace"/>
        <s v="Steel production"/>
        <s v="Online games, investments"/>
        <s v="Auto repair"/>
        <s v="TV shows"/>
        <s v="Bakery chain"/>
        <s v="Cobalt"/>
        <s v="Auto dealers, investments"/>
        <s v="Media, investments"/>
        <s v="Medical technology"/>
        <s v="Herbal products"/>
        <s v="Gap"/>
        <s v="Valve manufacturing"/>
        <s v="Cryptocurrency"/>
        <s v="Hand tools"/>
        <s v="Machinery"/>
        <s v="Real estate, media"/>
        <s v="Sensor systems"/>
        <s v="Columbia Sportswear"/>
        <s v="Tires, diversified"/>
        <s v="Online retailing"/>
        <s v="Pet food"/>
        <s v="Agriculture, land"/>
        <s v="Dole, real estate"/>
        <s v="Real estate, grains"/>
        <s v="Measuring instruments"/>
        <s v="Computer networking"/>
        <s v="Chicken processing"/>
        <s v="Pearlescent pigments"/>
        <s v="Construction, mining machinery"/>
        <s v="Dental materials"/>
        <s v="Precision machinery"/>
        <s v="Oil, mining"/>
        <s v="Retail, agribusiness"/>
        <s v="Poultry"/>
        <s v="Automotive"/>
        <s v="SAP"/>
        <s v="Sunglasses"/>
        <s v="Damaged cars"/>
        <s v="WeWork"/>
        <s v="Airlines"/>
        <s v="Manufacturing, investment"/>
        <s v="Health IT"/>
        <s v="Sports teams"/>
        <s v="Payroll processing"/>
        <s v="Venture capital, Google"/>
        <s v="Budget airline"/>
        <s v="Coca-Cola Israel"/>
        <s v="Construction, media"/>
        <s v="Casinos, banking"/>
        <s v="Internet service provider"/>
        <s v="Animal health, investments"/>
        <s v="Oil refining"/>
        <s v="Getty Oil"/>
        <s v="Space, energy"/>
        <s v="Clinical trials"/>
        <s v="Payment processing"/>
        <s v="Accounting services"/>
        <s v="Power supply equipment"/>
        <s v="Snack bars"/>
        <s v="Footwear"/>
        <s v="Metals, banking, fertilizers"/>
        <s v="Appliances"/>
        <s v="Steel pipes, diversified"/>
        <s v="Education technology"/>
        <s v="Infrastructure"/>
        <s v="Fast fashion"/>
        <s v="Medical cosmetics"/>
        <s v="Two-wheelers"/>
        <s v="Dick's Sporting Goods"/>
        <s v="Edible oil"/>
        <s v="Greek yogurt"/>
        <s v="Furniture retailing"/>
        <s v="Metal processing"/>
        <s v="Online dating"/>
        <s v="Security"/>
        <s v="Stationery"/>
        <s v="Energy, chemicals"/>
        <s v="Low-cost airlines"/>
        <s v="Technology"/>
        <s v="Silicon"/>
        <s v="Amusement parks"/>
        <s v="Charlotte Hornets, endorsements"/>
        <s v="Dental products"/>
        <s v="Semiconductor"/>
        <s v="Energy, real estate"/>
        <s v="Power equipment"/>
        <s v="Banking, credit cards"/>
        <s v="TV broadcasting"/>
        <s v="Defense Contracting"/>
        <s v="Data centers"/>
        <s v="Banking, insurance"/>
        <s v="Plastics"/>
        <s v="Touch screens"/>
        <s v="Solar energy equipment"/>
        <s v="Forestry, mining"/>
        <s v="Communication equipment"/>
        <s v="Coca-Cola bottler"/>
        <s v="Las Vegas Raiders"/>
        <s v="Pharmaceuticals, diversified"/>
        <s v="Airports, investments"/>
        <s v="Banking, investments"/>
        <s v="LinkedIn"/>
        <s v="Storage facilities"/>
        <s v="Sears"/>
        <s v="Price comparison website"/>
        <s v="Jewellery"/>
        <s v="Homebuilding, NFL team"/>
        <s v="Photovoltaics"/>
        <s v="Oil and gas"/>
        <s v="Chemicals, logistics"/>
        <s v="Precious metals, real estate"/>
        <s v="Oil, banking"/>
        <s v="Hotels, diversified"/>
        <s v="Sports team"/>
        <s v="Home sales"/>
        <s v="Internet"/>
        <s v="Apple"/>
        <s v="TV programs"/>
        <s v="Nascar, racing"/>
        <s v="Salsa"/>
        <s v="LG"/>
        <s v="Golden State Warriors"/>
        <s v="Blockchain, technology"/>
        <s v="Medical patents"/>
        <s v="Art"/>
        <s v="Industrial explosives"/>
        <s v="Leveraged buyouts"/>
        <s v="Cloud computing"/>
        <s v="Media, real estate"/>
        <s v="Steel pipes"/>
        <s v="Chemical"/>
        <s v="Dairy &amp; consumer products"/>
        <s v="Hygiene products"/>
        <s v="Blockchain technology"/>
        <s v="Twitter"/>
        <s v="Tennessee Titans"/>
        <s v="Venture capital investing"/>
        <s v="Mutual funds"/>
        <s v="Shipbuilding"/>
        <s v="Energy drink"/>
        <s v="FIAT, investments"/>
        <s v="Motorhomes, RVs"/>
        <s v="Real estate finance"/>
        <s v="Insurance, investments"/>
        <s v="Transportation"/>
        <s v="Online gaming"/>
        <s v="Express delivery"/>
        <s v="Medical products"/>
        <s v="Sandwich chain"/>
        <s v="Iron ore mining"/>
        <s v="Virtual reality"/>
        <s v="Wedding dresses"/>
        <s v="Pharmaceutical"/>
        <s v="Comcast"/>
        <s v="Waffle House"/>
        <s v="Homebuilder"/>
        <s v="Real estate development"/>
        <s v="Insurance, NFL team"/>
        <s v="Call centers"/>
        <s v="Real estate services"/>
        <s v="Energy services"/>
        <s v="Bars"/>
        <s v="Coking"/>
        <s v="Telecom, investments"/>
        <s v="Financial technology"/>
        <s v="Engineering, automotive"/>
        <s v="Hardware"/>
        <s v="Oil, semiconductor"/>
        <s v="Logistics, baseball"/>
        <s v="Transport, logistics"/>
        <s v="Commodities, investments"/>
        <s v="Telecommunication, sports"/>
        <s v="Executive search, investments"/>
        <s v="DirecTV"/>
        <s v="Non-ferrous metals"/>
        <s v="Retail, wholesale"/>
        <s v="Banking, shipping"/>
        <s v="Semiconductor devices"/>
        <s v="Mobile payments"/>
        <s v="Oil refinery"/>
        <s v="Electric power"/>
        <s v="Steel, autoparts"/>
        <s v="Alcohol"/>
        <s v="Pulp and paper, diversified"/>
        <s v="Batteries, investments"/>
        <s v="Pharmaceutical services"/>
        <s v="TV, movie production"/>
        <s v="Toys"/>
        <s v="Fitness equipment"/>
        <s v="Roku"/>
        <s v="Materials"/>
        <s v="Waste disposal"/>
        <s v="Electronic components"/>
        <s v="Gambling products"/>
        <s v="Snacks"/>
        <s v="Petroleum, diversified"/>
        <s v="Gym equipment"/>
        <s v="Banking, oil"/>
        <s v="Energy, banking, construction"/>
        <s v="Shipping, airlines"/>
        <s v="Finance, real estate"/>
        <s v="Electrodes"/>
        <s v="IT consulting"/>
        <s v="Retail stores"/>
        <s v="Consumer electronics"/>
        <s v="Consumer products, banking"/>
        <s v="Movies, digital effects"/>
        <s v="Phamaceuticals"/>
        <s v="Real estate, hotels"/>
        <s v="Machine tools"/>
        <s v="Lithium-ion battery cap"/>
        <s v="Stainless steel products"/>
        <s v="Optical components"/>
        <s v="Utilities, diversified"/>
        <s v="Fine jewelry"/>
        <s v="Sugar, ethanol"/>
        <s v="Toll roads"/>
        <s v="Sports drink"/>
        <s v="Beer distribution"/>
        <s v="Healthcare services"/>
        <s v="Automotive technology"/>
        <s v="Social media"/>
        <s v="Airports, real estate"/>
        <s v="Liquor stores, supermarkets"/>
        <s v="Utilities, real estate"/>
        <s v="Instagram"/>
        <s v="Feed"/>
        <s v="Healthcare IT"/>
        <s v="Contact Lens"/>
        <s v="Investments, art"/>
        <s v="Brewery"/>
        <s v="Solar"/>
        <s v="Flipkart"/>
        <s v="Real estate, manufacturing"/>
        <s v="Nickel"/>
        <s v="AOL"/>
        <s v="Testing equipment"/>
        <s v="Beauty products"/>
        <s v="Data analytics"/>
        <s v="Restaurant"/>
        <s v="Textiles, paper"/>
        <s v="Cruises"/>
        <s v="Cloud storage service"/>
        <s v="Textiles"/>
        <s v="Fashion retailer"/>
        <s v="Powdered metal"/>
        <s v="Cable TV, investments"/>
        <s v="Cooking appliances"/>
        <s v="Clinical diagnostics"/>
        <s v="Medical diagnostic equipment"/>
        <s v="Energy drinks,investments"/>
        <s v="Tire"/>
        <s v="Music, cosmetics"/>
        <s v="Construction, pipes, chemicals"/>
        <s v="Refinery, chemicals"/>
        <s v="Fiber optic cables"/>
        <s v="Carbon fiber products"/>
        <s v="Industrial machinery"/>
        <s v="Banking, development"/>
        <s v="Pharmaceuticals, food"/>
        <s v="Messaging software"/>
        <s v="Industrial equipment"/>
        <s v="Real estate, electronics"/>
        <s v="Minerals processing"/>
        <s v="Power tools"/>
        <s v="Cell phone distribution"/>
        <s v="Online payments"/>
        <s v="Chemical products"/>
        <s v="Asset management"/>
        <s v="Real estate, gambling"/>
        <s v="Software firm"/>
        <s v="Payments, banking"/>
        <s v="Genentech, Apple"/>
        <s v="Seed production"/>
        <s v="Steel, diversified"/>
        <s v="Petro Firbe"/>
        <s v="Finance services"/>
        <s v="Investments, energy"/>
        <s v="Defense contractor"/>
        <s v="Video games, pachinko"/>
        <s v="Food, retail"/>
        <s v="Gold, coal mining"/>
        <s v="Health products"/>
        <s v="Online recruitment"/>
        <s v="Semiconductor materials"/>
        <s v="Lithium battery"/>
        <s v="Property, healthcare"/>
        <s v="Specialty chemicals"/>
        <s v="Sneakers, sportswear"/>
        <s v="Pulp and paper"/>
        <s v="Fitness clothing"/>
        <s v="Furniture retail"/>
        <s v="Steel tubes"/>
        <s v="Urban Outfitters"/>
        <s v="Communications"/>
        <s v="Food &amp; beverage retailing"/>
        <s v="Shapewear, cosmetics, reality TV"/>
        <s v="Cirque du Soleil"/>
        <s v="Hospitality"/>
        <s v="Petro Fibre"/>
        <s v="Medical services"/>
        <s v="Data management"/>
        <s v="Lighting"/>
        <s v="Stock photos"/>
        <s v="Fisheries"/>
        <s v="Computer games"/>
        <s v="Lumber"/>
        <s v="Engineering, sugar"/>
        <s v="Online apparel retail"/>
        <s v="Car rentals"/>
        <s v="Coal, investments"/>
        <s v="Textile, chemicals"/>
        <s v="Pneumatic equipments"/>
        <s v="Coca Cola Israel"/>
        <s v="Pharmacy"/>
        <s v="Paper manufacturing"/>
        <s v="Sports shoes"/>
        <s v="Spanx"/>
        <s v="E-commerce software"/>
        <s v="Air compressors"/>
        <s v="Solar energy"/>
        <s v="Poultry breeding"/>
        <s v="Reebok"/>
        <s v="Mattresses"/>
        <s v="Building, development"/>
        <s v="EasyJet"/>
        <s v="Printed circuit boards"/>
        <s v="Pachinko machines"/>
        <s v="IKEA"/>
        <s v="Waste management"/>
        <s v="Sports data"/>
        <s v="Medical diagnostics"/>
        <s v="Construction, real estate"/>
        <s v="Flooring"/>
        <s v="Telecommunication"/>
        <s v="Internet and software"/>
        <s v="Two wheelers"/>
        <s v="Tires, retail"/>
        <s v="Real estate, diversified"/>
        <s v="Under Armour"/>
        <s v="Security services"/>
        <s v="Pinterest"/>
        <s v="Solar systems"/>
        <s v="Stock exchange"/>
        <s v="Oilfield equipment"/>
        <s v="Wire &amp; cables, paints"/>
        <s v="Search engine"/>
        <s v="Golf"/>
        <s v="Consumer"/>
        <s v="Vitamins"/>
        <s v="Cable"/>
        <s v="Tourism, cultural industry"/>
        <s v="Aluminium"/>
        <s v="Mining, banking"/>
        <s v="Entertainment, Margaritaville"/>
        <s v="Online entertainment"/>
        <s v="Polyester"/>
        <s v="Electrical appliances"/>
        <s v="Financial services, property"/>
        <s v="Office real estate"/>
        <s v="Industrial lasers"/>
        <s v="Bio-Pharma"/>
        <s v="Online universities"/>
        <s v="Cables &amp; wires"/>
        <s v="Basketball"/>
        <s v="Grocery stores"/>
        <s v="Tiles"/>
        <s v="Banking, sports team"/>
        <s v="Power"/>
        <s v="LED lighting"/>
        <s v="Grocery delivery service"/>
        <s v="Hydraulic pumps"/>
        <s v="Movies, television"/>
        <s v="Media, tech"/>
        <s v="IT consulting, outsourcing"/>
        <s v="Metals, telecom"/>
        <s v="Finance, development"/>
        <s v="Hot sauce"/>
        <s v="Health clinics"/>
        <s v="Tyre manufacturing machinery"/>
      </sharedItems>
    </cacheField>
    <cacheField name="industries" numFmtId="0">
      <sharedItems count="18">
        <s v="Fashion &amp; Retail"/>
        <s v="Automotive"/>
        <s v="Technology"/>
        <s v="Finance &amp; Investments"/>
        <s v="Media &amp; Entertainment"/>
        <s v="Telecom"/>
        <s v="Diversified"/>
        <s v="Food &amp; Beverage"/>
        <s v="Logistics"/>
        <s v="Gambling &amp; Casinos"/>
        <s v="Manufacturing"/>
        <s v="Real Estate"/>
        <s v="Metals &amp; Mining"/>
        <s v="Energy"/>
        <s v="Healthcare"/>
        <s v="Service"/>
        <s v="Construction &amp; Engineering"/>
        <s v="Sports"/>
      </sharedItems>
    </cacheField>
    <cacheField name="countryOfCitizenship" numFmtId="0">
      <sharedItems/>
    </cacheField>
    <cacheField name="organization" numFmtId="0">
      <sharedItems containsBlank="1"/>
    </cacheField>
    <cacheField name="selfMade" numFmtId="0">
      <sharedItems count="2">
        <b v="0"/>
        <b v="1"/>
      </sharedItems>
    </cacheField>
    <cacheField name="status" numFmtId="0">
      <sharedItems/>
    </cacheField>
    <cacheField name="gender" numFmtId="0">
      <sharedItems count="2">
        <s v="Male"/>
        <s v="Female"/>
      </sharedItems>
    </cacheField>
    <cacheField name="birthDate" numFmtId="0">
      <sharedItems containsNonDate="0" containsDate="1" containsString="0" containsBlank="1" minDate="1921-09-11T00:00:00" maxDate="2004-05-07T00:00:00"/>
    </cacheField>
    <cacheField name="last Name" numFmtId="0">
      <sharedItems/>
    </cacheField>
    <cacheField name="first Name" numFmtId="0">
      <sharedItems containsBlank="1"/>
    </cacheField>
    <cacheField name="title" numFmtId="0">
      <sharedItems containsBlank="1"/>
    </cacheField>
    <cacheField name="date" numFmtId="0">
      <sharedItems containsSemiMixedTypes="0" containsNonDate="0" containsDate="1" containsString="0" minDate="2023-04-04T05:01:00" maxDate="2023-04-04T09:01:00"/>
    </cacheField>
    <cacheField name="state" numFmtId="0">
      <sharedItems containsBlank="1"/>
    </cacheField>
    <cacheField name="residence State Region" numFmtId="0">
      <sharedItems containsBlank="1"/>
    </cacheField>
    <cacheField name="birth Year" numFmtId="0">
      <sharedItems containsString="0" containsBlank="1" containsNumber="1" containsInteger="1" minValue="1921" maxValue="2004"/>
    </cacheField>
    <cacheField name="cpi_country" numFmtId="0">
      <sharedItems containsString="0" containsBlank="1" containsNumber="1" minValue="99.55" maxValue="288.57"/>
    </cacheField>
    <cacheField name="cpi_change_country" numFmtId="0">
      <sharedItems containsString="0" containsBlank="1" containsNumber="1" minValue="-1.9" maxValue="53.5"/>
    </cacheField>
    <cacheField name="gdp_country" numFmtId="0">
      <sharedItems containsString="0" containsBlank="1" containsNumber="1" containsInteger="1" minValue="3154057987" maxValue="21427700000000"/>
    </cacheField>
    <cacheField name="gross_tertiary_education_enrollment" numFmtId="0">
      <sharedItems containsString="0" containsBlank="1" containsNumber="1" minValue="4" maxValue="136.6"/>
    </cacheField>
    <cacheField name="gross_primary_education_enrollment_country" numFmtId="0">
      <sharedItems containsString="0" containsBlank="1" containsNumber="1" minValue="84.7" maxValue="142.1"/>
    </cacheField>
    <cacheField name="tax_revenue_country_country" numFmtId="0">
      <sharedItems containsString="0" containsBlank="1" containsNumber="1" minValue="0.1" maxValue="37.200000000000003"/>
    </cacheField>
    <cacheField name="total_tax_rate_country" numFmtId="0">
      <sharedItems containsString="0" containsBlank="1" containsNumber="1" minValue="9.9" maxValue="106.3"/>
    </cacheField>
    <cacheField name="population_country" numFmtId="0">
      <sharedItems containsString="0" containsBlank="1" containsNumber="1" containsInteger="1" minValue="38019" maxValue="1397715000"/>
    </cacheField>
    <cacheField name="age2" numFmtId="0" databaseField="0">
      <fieldGroup base="4">
        <discretePr count="8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649681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0">
  <r>
    <x v="0"/>
    <x v="0"/>
    <x v="0"/>
    <x v="0"/>
    <x v="0"/>
    <x v="0"/>
    <x v="0"/>
    <x v="0"/>
    <x v="0"/>
    <s v="France"/>
    <s v="LVMH Moët Hennessy Louis Vuitton"/>
    <x v="0"/>
    <s v="U"/>
    <x v="0"/>
    <d v="1949-03-05T00:00:00"/>
    <s v="Arnault"/>
    <s v="Bernard"/>
    <s v="Chairman and CEO"/>
    <d v="2023-04-04T05:01:00"/>
    <m/>
    <m/>
    <n v="1949"/>
    <n v="110.05"/>
    <n v="1.1000000000000001"/>
    <n v="2715518274227"/>
    <n v="65.599999999999994"/>
    <n v="102.5"/>
    <n v="24.2"/>
    <n v="60.7"/>
    <n v="67059887"/>
  </r>
  <r>
    <x v="1"/>
    <x v="1"/>
    <x v="1"/>
    <x v="1"/>
    <x v="1"/>
    <x v="1"/>
    <x v="1"/>
    <x v="1"/>
    <x v="1"/>
    <s v="United States"/>
    <s v="Tesla"/>
    <x v="1"/>
    <s v="D"/>
    <x v="0"/>
    <d v="1971-06-28T00:00:00"/>
    <s v="Musk"/>
    <s v="Elon"/>
    <s v="CEO"/>
    <d v="2023-04-04T05:01:00"/>
    <s v="Texas"/>
    <s v="South"/>
    <n v="1971"/>
    <n v="117.24"/>
    <n v="7.5"/>
    <n v="21427700000000"/>
    <n v="88.2"/>
    <n v="101.8"/>
    <n v="9.6"/>
    <n v="36.6"/>
    <n v="328239523"/>
  </r>
  <r>
    <x v="2"/>
    <x v="2"/>
    <x v="2"/>
    <x v="2"/>
    <x v="2"/>
    <x v="1"/>
    <x v="2"/>
    <x v="2"/>
    <x v="2"/>
    <s v="United States"/>
    <s v="Amazon"/>
    <x v="1"/>
    <s v="D"/>
    <x v="0"/>
    <d v="1964-01-12T00:00:00"/>
    <s v="Bezos"/>
    <s v="Jeff"/>
    <s v="Chairman and Founder"/>
    <d v="2023-04-04T05:01:00"/>
    <s v="Washington"/>
    <s v="West"/>
    <n v="1964"/>
    <n v="117.24"/>
    <n v="7.5"/>
    <n v="21427700000000"/>
    <n v="88.2"/>
    <n v="101.8"/>
    <n v="9.6"/>
    <n v="36.6"/>
    <n v="328239523"/>
  </r>
  <r>
    <x v="3"/>
    <x v="3"/>
    <x v="2"/>
    <x v="3"/>
    <x v="3"/>
    <x v="1"/>
    <x v="3"/>
    <x v="3"/>
    <x v="2"/>
    <s v="United States"/>
    <s v="Oracle"/>
    <x v="1"/>
    <s v="U"/>
    <x v="0"/>
    <d v="1944-08-17T00:00:00"/>
    <s v="Ellison"/>
    <s v="Larry"/>
    <s v="CTO and Founder"/>
    <d v="2023-04-04T05:01:00"/>
    <s v="Hawaii"/>
    <s v="West"/>
    <n v="1944"/>
    <n v="117.24"/>
    <n v="7.5"/>
    <n v="21427700000000"/>
    <n v="88.2"/>
    <n v="101.8"/>
    <n v="9.6"/>
    <n v="36.6"/>
    <n v="328239523"/>
  </r>
  <r>
    <x v="4"/>
    <x v="4"/>
    <x v="3"/>
    <x v="4"/>
    <x v="4"/>
    <x v="1"/>
    <x v="4"/>
    <x v="4"/>
    <x v="3"/>
    <s v="United States"/>
    <s v="Berkshire Hathaway Inc. (Cl A)"/>
    <x v="1"/>
    <s v="D"/>
    <x v="0"/>
    <d v="1930-08-30T00:00:00"/>
    <s v="Buffett"/>
    <s v="Warren"/>
    <s v="CEO"/>
    <d v="2023-04-04T05:01:00"/>
    <s v="Nebraska"/>
    <s v="Midwest"/>
    <n v="1930"/>
    <n v="117.24"/>
    <n v="7.5"/>
    <n v="21427700000000"/>
    <n v="88.2"/>
    <n v="101.8"/>
    <n v="9.6"/>
    <n v="36.6"/>
    <n v="328239523"/>
  </r>
  <r>
    <x v="5"/>
    <x v="5"/>
    <x v="2"/>
    <x v="5"/>
    <x v="5"/>
    <x v="1"/>
    <x v="2"/>
    <x v="5"/>
    <x v="2"/>
    <s v="United States"/>
    <s v="Bill &amp; Melinda Gates Foundation"/>
    <x v="1"/>
    <s v="D"/>
    <x v="0"/>
    <d v="1955-10-28T00:00:00"/>
    <s v="Gates"/>
    <s v="Bill"/>
    <s v="Cochair"/>
    <d v="2023-04-04T05:01:00"/>
    <s v="Washington"/>
    <s v="West"/>
    <n v="1955"/>
    <n v="117.24"/>
    <n v="7.5"/>
    <n v="21427700000000"/>
    <n v="88.2"/>
    <n v="101.8"/>
    <n v="9.6"/>
    <n v="36.6"/>
    <n v="328239523"/>
  </r>
  <r>
    <x v="6"/>
    <x v="6"/>
    <x v="4"/>
    <x v="6"/>
    <x v="6"/>
    <x v="1"/>
    <x v="5"/>
    <x v="6"/>
    <x v="4"/>
    <s v="United States"/>
    <s v="Bloomberg"/>
    <x v="1"/>
    <s v="U"/>
    <x v="0"/>
    <d v="1942-02-14T00:00:00"/>
    <s v="Bloomberg"/>
    <s v="Michael"/>
    <s v="CEO"/>
    <d v="2023-04-04T05:01:00"/>
    <s v="New York"/>
    <s v="Northeast"/>
    <n v="1942"/>
    <n v="117.24"/>
    <n v="7.5"/>
    <n v="21427700000000"/>
    <n v="88.2"/>
    <n v="101.8"/>
    <n v="9.6"/>
    <n v="36.6"/>
    <n v="328239523"/>
  </r>
  <r>
    <x v="7"/>
    <x v="7"/>
    <x v="5"/>
    <x v="7"/>
    <x v="7"/>
    <x v="2"/>
    <x v="6"/>
    <x v="7"/>
    <x v="5"/>
    <s v="Mexico"/>
    <s v="América Móvil"/>
    <x v="1"/>
    <s v="U"/>
    <x v="0"/>
    <d v="1940-01-28T00:00:00"/>
    <s v="Slim Helu"/>
    <s v="Carlos"/>
    <s v="Honorary Chairman"/>
    <d v="2023-04-04T05:01:00"/>
    <m/>
    <m/>
    <n v="1940"/>
    <n v="141.54"/>
    <n v="3.6"/>
    <n v="1258286717125"/>
    <n v="40.200000000000003"/>
    <n v="105.8"/>
    <n v="13.1"/>
    <n v="55.1"/>
    <n v="126014024"/>
  </r>
  <r>
    <x v="8"/>
    <x v="8"/>
    <x v="6"/>
    <x v="8"/>
    <x v="8"/>
    <x v="3"/>
    <x v="7"/>
    <x v="8"/>
    <x v="6"/>
    <s v="India"/>
    <s v="Reliance Industries"/>
    <x v="0"/>
    <s v="D"/>
    <x v="0"/>
    <d v="1957-04-19T00:00:00"/>
    <s v="Ambani"/>
    <s v="Mukesh"/>
    <s v="Founder and Chairman"/>
    <d v="2023-04-04T05:01:00"/>
    <m/>
    <m/>
    <n v="1957"/>
    <n v="180.44"/>
    <n v="7.7"/>
    <n v="2611000000000"/>
    <n v="28.1"/>
    <n v="113"/>
    <n v="11.2"/>
    <n v="49.7"/>
    <n v="1366417754"/>
  </r>
  <r>
    <x v="9"/>
    <x v="9"/>
    <x v="2"/>
    <x v="9"/>
    <x v="5"/>
    <x v="1"/>
    <x v="8"/>
    <x v="5"/>
    <x v="2"/>
    <s v="United States"/>
    <s v="Los Angeles Clippers"/>
    <x v="1"/>
    <s v="D"/>
    <x v="0"/>
    <d v="1956-03-24T00:00:00"/>
    <s v="Ballmer"/>
    <s v="Steve"/>
    <s v="Owner"/>
    <d v="2023-04-04T05:01:00"/>
    <s v="Washington"/>
    <s v="West"/>
    <n v="1956"/>
    <n v="117.24"/>
    <n v="7.5"/>
    <n v="21427700000000"/>
    <n v="88.2"/>
    <n v="101.8"/>
    <n v="9.6"/>
    <n v="36.6"/>
    <n v="328239523"/>
  </r>
  <r>
    <x v="10"/>
    <x v="10"/>
    <x v="0"/>
    <x v="10"/>
    <x v="9"/>
    <x v="0"/>
    <x v="0"/>
    <x v="9"/>
    <x v="0"/>
    <s v="France"/>
    <m/>
    <x v="0"/>
    <s v="U"/>
    <x v="1"/>
    <d v="1953-07-10T00:00:00"/>
    <s v="Bettencourt Meyers"/>
    <s v="Francoise"/>
    <m/>
    <d v="2023-04-04T05:01:00"/>
    <m/>
    <m/>
    <n v="1953"/>
    <n v="110.05"/>
    <n v="1.1000000000000001"/>
    <n v="2715518274227"/>
    <n v="65.599999999999994"/>
    <n v="102.5"/>
    <n v="24.2"/>
    <n v="60.7"/>
    <n v="67059887"/>
  </r>
  <r>
    <x v="11"/>
    <x v="11"/>
    <x v="2"/>
    <x v="11"/>
    <x v="10"/>
    <x v="1"/>
    <x v="9"/>
    <x v="10"/>
    <x v="2"/>
    <s v="United States"/>
    <s v="Alphabet"/>
    <x v="1"/>
    <s v="D"/>
    <x v="0"/>
    <d v="1973-03-26T00:00:00"/>
    <s v="Page"/>
    <s v="Larry"/>
    <s v="Cofounder and board member"/>
    <d v="2023-04-04T05:01:00"/>
    <s v="California"/>
    <s v="West"/>
    <n v="1973"/>
    <n v="117.24"/>
    <n v="7.5"/>
    <n v="21427700000000"/>
    <n v="88.2"/>
    <n v="101.8"/>
    <n v="9.6"/>
    <n v="36.6"/>
    <n v="328239523"/>
  </r>
  <r>
    <x v="12"/>
    <x v="12"/>
    <x v="0"/>
    <x v="12"/>
    <x v="11"/>
    <x v="4"/>
    <x v="10"/>
    <x v="11"/>
    <x v="0"/>
    <s v="Spain"/>
    <m/>
    <x v="1"/>
    <s v="U"/>
    <x v="0"/>
    <d v="1936-03-28T00:00:00"/>
    <s v="Ortega"/>
    <s v="Amancio"/>
    <m/>
    <d v="2023-04-04T05:01:00"/>
    <m/>
    <m/>
    <n v="1936"/>
    <n v="110.96"/>
    <n v="0.7"/>
    <n v="1394116310769"/>
    <n v="88.9"/>
    <n v="102.7"/>
    <n v="14.2"/>
    <n v="47"/>
    <n v="47076781"/>
  </r>
  <r>
    <x v="13"/>
    <x v="13"/>
    <x v="2"/>
    <x v="13"/>
    <x v="12"/>
    <x v="1"/>
    <x v="11"/>
    <x v="10"/>
    <x v="2"/>
    <s v="United States"/>
    <s v="Alphabet"/>
    <x v="1"/>
    <s v="D"/>
    <x v="0"/>
    <d v="1973-08-21T00:00:00"/>
    <s v="Brin"/>
    <s v="Sergey"/>
    <s v="Cofounder and board member"/>
    <d v="2023-04-04T05:01:00"/>
    <s v="California"/>
    <s v="West"/>
    <n v="1973"/>
    <n v="117.24"/>
    <n v="7.5"/>
    <n v="21427700000000"/>
    <n v="88.2"/>
    <n v="101.8"/>
    <n v="9.6"/>
    <n v="36.6"/>
    <n v="328239523"/>
  </r>
  <r>
    <x v="14"/>
    <x v="14"/>
    <x v="7"/>
    <x v="14"/>
    <x v="13"/>
    <x v="5"/>
    <x v="12"/>
    <x v="12"/>
    <x v="7"/>
    <s v="China"/>
    <m/>
    <x v="1"/>
    <s v="U"/>
    <x v="0"/>
    <d v="1954-12-01T00:00:00"/>
    <s v="Zhong"/>
    <s v="Shanshan"/>
    <m/>
    <d v="2023-04-04T05:01:00"/>
    <m/>
    <m/>
    <n v="1954"/>
    <n v="125.08"/>
    <n v="2.9"/>
    <n v="19910000000000"/>
    <n v="50.6"/>
    <n v="100.2"/>
    <n v="9.4"/>
    <n v="59.2"/>
    <n v="1397715000"/>
  </r>
  <r>
    <x v="15"/>
    <x v="15"/>
    <x v="2"/>
    <x v="15"/>
    <x v="14"/>
    <x v="1"/>
    <x v="9"/>
    <x v="13"/>
    <x v="2"/>
    <s v="United States"/>
    <s v="Meta Platforms"/>
    <x v="1"/>
    <s v="D"/>
    <x v="0"/>
    <d v="1984-05-14T00:00:00"/>
    <s v="Zuckerberg"/>
    <s v="Mark"/>
    <s v="Cofounder"/>
    <d v="2023-04-04T05:01:00"/>
    <s v="California"/>
    <s v="West"/>
    <n v="1984"/>
    <n v="117.24"/>
    <n v="7.5"/>
    <n v="21427700000000"/>
    <n v="88.2"/>
    <n v="101.8"/>
    <n v="9.6"/>
    <n v="36.6"/>
    <n v="328239523"/>
  </r>
  <r>
    <x v="16"/>
    <x v="16"/>
    <x v="6"/>
    <x v="16"/>
    <x v="11"/>
    <x v="1"/>
    <x v="13"/>
    <x v="14"/>
    <x v="6"/>
    <s v="United States"/>
    <s v="Koch Industries, Inc."/>
    <x v="0"/>
    <s v="D"/>
    <x v="0"/>
    <d v="1935-11-01T00:00:00"/>
    <s v="Koch"/>
    <s v="Charles"/>
    <s v="Chairman and CEO"/>
    <d v="2023-04-04T05:01:00"/>
    <s v="Kansas"/>
    <s v="Midwest"/>
    <n v="1935"/>
    <n v="117.24"/>
    <n v="7.5"/>
    <n v="21427700000000"/>
    <n v="88.2"/>
    <n v="101.8"/>
    <n v="9.6"/>
    <n v="36.6"/>
    <n v="328239523"/>
  </r>
  <r>
    <x v="16"/>
    <x v="16"/>
    <x v="6"/>
    <x v="17"/>
    <x v="15"/>
    <x v="1"/>
    <x v="5"/>
    <x v="14"/>
    <x v="6"/>
    <s v="United States"/>
    <m/>
    <x v="0"/>
    <s v="D"/>
    <x v="1"/>
    <d v="1962-04-12T00:00:00"/>
    <s v="Koch"/>
    <s v="Julia"/>
    <m/>
    <d v="2023-04-04T05:01:00"/>
    <s v="New York"/>
    <s v="Northeast"/>
    <n v="1962"/>
    <n v="117.24"/>
    <n v="7.5"/>
    <n v="21427700000000"/>
    <n v="88.2"/>
    <n v="101.8"/>
    <n v="9.6"/>
    <n v="36.6"/>
    <n v="328239523"/>
  </r>
  <r>
    <x v="17"/>
    <x v="17"/>
    <x v="0"/>
    <x v="18"/>
    <x v="0"/>
    <x v="1"/>
    <x v="14"/>
    <x v="15"/>
    <x v="0"/>
    <s v="United States"/>
    <s v="Arvest Bank Group, Inc."/>
    <x v="0"/>
    <s v="D"/>
    <x v="0"/>
    <d v="1948-06-07T00:00:00"/>
    <s v="Walton"/>
    <s v="Jim"/>
    <s v="Chairman and CEO"/>
    <d v="2023-04-04T05:01:00"/>
    <s v="Arkansas"/>
    <s v="South"/>
    <n v="1948"/>
    <n v="117.24"/>
    <n v="7.5"/>
    <n v="21427700000000"/>
    <n v="88.2"/>
    <n v="101.8"/>
    <n v="9.6"/>
    <n v="36.6"/>
    <n v="328239523"/>
  </r>
  <r>
    <x v="18"/>
    <x v="18"/>
    <x v="0"/>
    <x v="19"/>
    <x v="3"/>
    <x v="1"/>
    <x v="14"/>
    <x v="15"/>
    <x v="0"/>
    <s v="United States"/>
    <s v="Walmart"/>
    <x v="0"/>
    <s v="D"/>
    <x v="0"/>
    <d v="1944-10-27T00:00:00"/>
    <s v="Walton"/>
    <s v="Rob"/>
    <s v="Director"/>
    <d v="2023-04-04T05:01:00"/>
    <s v="Arkansas"/>
    <s v="South"/>
    <n v="1944"/>
    <n v="117.24"/>
    <n v="7.5"/>
    <n v="21427700000000"/>
    <n v="88.2"/>
    <n v="101.8"/>
    <n v="9.6"/>
    <n v="36.6"/>
    <n v="328239523"/>
  </r>
  <r>
    <x v="19"/>
    <x v="19"/>
    <x v="0"/>
    <x v="20"/>
    <x v="16"/>
    <x v="1"/>
    <x v="15"/>
    <x v="15"/>
    <x v="0"/>
    <s v="United States"/>
    <s v="Crystal Bridges Museum of American Art"/>
    <x v="0"/>
    <s v="D"/>
    <x v="1"/>
    <d v="1949-10-07T00:00:00"/>
    <s v="Walton"/>
    <s v="Alice"/>
    <s v="Philanthropist"/>
    <d v="2023-04-04T05:01:00"/>
    <s v="Texas"/>
    <s v="South"/>
    <n v="1949"/>
    <n v="117.24"/>
    <n v="7.5"/>
    <n v="21427700000000"/>
    <n v="88.2"/>
    <n v="101.8"/>
    <n v="9.6"/>
    <n v="36.6"/>
    <n v="328239523"/>
  </r>
  <r>
    <x v="20"/>
    <x v="20"/>
    <x v="4"/>
    <x v="21"/>
    <x v="8"/>
    <x v="6"/>
    <x v="16"/>
    <x v="16"/>
    <x v="4"/>
    <s v="Canada"/>
    <s v="Thomson Reuters Corporation"/>
    <x v="0"/>
    <s v="U"/>
    <x v="0"/>
    <d v="1957-06-12T00:00:00"/>
    <s v="Thomson"/>
    <s v="David"/>
    <s v="Chairman"/>
    <d v="2023-04-04T05:01:00"/>
    <m/>
    <m/>
    <n v="1957"/>
    <n v="116.76"/>
    <n v="1.9"/>
    <n v="1736425629520"/>
    <n v="68.900000000000006"/>
    <n v="100.9"/>
    <n v="12.8"/>
    <n v="24.5"/>
    <n v="36991981"/>
  </r>
  <r>
    <x v="21"/>
    <x v="21"/>
    <x v="2"/>
    <x v="22"/>
    <x v="17"/>
    <x v="1"/>
    <x v="1"/>
    <x v="17"/>
    <x v="2"/>
    <s v="United States"/>
    <s v="Dell Inc."/>
    <x v="1"/>
    <s v="D"/>
    <x v="0"/>
    <d v="1965-02-23T00:00:00"/>
    <s v="Dell"/>
    <s v="Michael"/>
    <s v="Chairman and CEO"/>
    <d v="2023-04-04T05:01:00"/>
    <s v="Texas"/>
    <s v="South"/>
    <n v="1965"/>
    <n v="117.24"/>
    <n v="7.5"/>
    <n v="21427700000000"/>
    <n v="88.2"/>
    <n v="101.8"/>
    <n v="9.6"/>
    <n v="36.6"/>
    <n v="328239523"/>
  </r>
  <r>
    <x v="22"/>
    <x v="22"/>
    <x v="6"/>
    <x v="23"/>
    <x v="15"/>
    <x v="3"/>
    <x v="17"/>
    <x v="18"/>
    <x v="6"/>
    <s v="India"/>
    <m/>
    <x v="1"/>
    <s v="D"/>
    <x v="0"/>
    <d v="1962-06-24T00:00:00"/>
    <s v="Adani"/>
    <s v="Gautam"/>
    <m/>
    <d v="2023-04-04T05:01:00"/>
    <m/>
    <m/>
    <n v="1962"/>
    <n v="180.44"/>
    <n v="7.7"/>
    <n v="2611000000000"/>
    <n v="28.1"/>
    <n v="113"/>
    <n v="11.2"/>
    <n v="49.7"/>
    <n v="1366417754"/>
  </r>
  <r>
    <x v="23"/>
    <x v="23"/>
    <x v="0"/>
    <x v="24"/>
    <x v="18"/>
    <x v="1"/>
    <x v="18"/>
    <x v="19"/>
    <x v="0"/>
    <s v="United States"/>
    <s v="Nike"/>
    <x v="1"/>
    <s v="D"/>
    <x v="0"/>
    <d v="1938-02-24T00:00:00"/>
    <s v="Knight"/>
    <s v="Phil"/>
    <s v="Chairman"/>
    <d v="2023-04-04T05:01:00"/>
    <s v="Oregon"/>
    <s v="West"/>
    <n v="1938"/>
    <n v="117.24"/>
    <n v="7.5"/>
    <n v="21427700000000"/>
    <n v="88.2"/>
    <n v="101.8"/>
    <n v="9.6"/>
    <n v="36.6"/>
    <n v="328239523"/>
  </r>
  <r>
    <x v="24"/>
    <x v="24"/>
    <x v="2"/>
    <x v="25"/>
    <x v="19"/>
    <x v="5"/>
    <x v="19"/>
    <x v="20"/>
    <x v="2"/>
    <s v="China"/>
    <s v="ByteDance"/>
    <x v="1"/>
    <s v="D"/>
    <x v="0"/>
    <d v="1984-01-01T00:00:00"/>
    <s v="Zhang"/>
    <s v="Yiming"/>
    <s v="Founder"/>
    <d v="2023-04-04T05:01:00"/>
    <m/>
    <m/>
    <n v="1984"/>
    <n v="125.08"/>
    <n v="2.9"/>
    <n v="19910000000000"/>
    <n v="50.6"/>
    <n v="100.2"/>
    <n v="9.4"/>
    <n v="59.2"/>
    <n v="1397715000"/>
  </r>
  <r>
    <x v="25"/>
    <x v="25"/>
    <x v="0"/>
    <x v="26"/>
    <x v="7"/>
    <x v="7"/>
    <x v="20"/>
    <x v="21"/>
    <x v="0"/>
    <s v="Germany"/>
    <m/>
    <x v="0"/>
    <s v="D"/>
    <x v="0"/>
    <d v="1939-09-24T00:00:00"/>
    <s v="Schwarz"/>
    <s v="Dieter"/>
    <m/>
    <d v="2023-04-04T05:01:00"/>
    <m/>
    <m/>
    <n v="1939"/>
    <n v="112.85"/>
    <n v="1.4"/>
    <n v="3845630030824"/>
    <n v="70.2"/>
    <n v="104"/>
    <n v="11.5"/>
    <n v="48.8"/>
    <n v="83132799"/>
  </r>
  <r>
    <x v="26"/>
    <x v="26"/>
    <x v="0"/>
    <x v="27"/>
    <x v="20"/>
    <x v="0"/>
    <x v="0"/>
    <x v="22"/>
    <x v="0"/>
    <s v="France"/>
    <m/>
    <x v="1"/>
    <s v="D"/>
    <x v="0"/>
    <d v="1936-08-21T00:00:00"/>
    <s v="Pinault"/>
    <s v="François"/>
    <m/>
    <d v="2023-04-04T05:01:00"/>
    <m/>
    <m/>
    <n v="1936"/>
    <n v="110.05"/>
    <n v="1.1000000000000001"/>
    <n v="2715518274227"/>
    <n v="65.599999999999994"/>
    <n v="102.5"/>
    <n v="24.2"/>
    <n v="60.7"/>
    <n v="67059887"/>
  </r>
  <r>
    <x v="27"/>
    <x v="27"/>
    <x v="8"/>
    <x v="28"/>
    <x v="18"/>
    <x v="8"/>
    <x v="21"/>
    <x v="23"/>
    <x v="8"/>
    <s v="Germany"/>
    <m/>
    <x v="0"/>
    <s v="U"/>
    <x v="0"/>
    <d v="1937-06-02T00:00:00"/>
    <s v="Kuehne"/>
    <s v="Klaus-Michael"/>
    <m/>
    <d v="2023-04-04T05:01:00"/>
    <m/>
    <m/>
    <n v="1937"/>
    <n v="99.55"/>
    <n v="0.4"/>
    <n v="703082435360"/>
    <n v="59.6"/>
    <n v="105.2"/>
    <n v="10.1"/>
    <n v="28.8"/>
    <n v="8574832"/>
  </r>
  <r>
    <x v="28"/>
    <x v="28"/>
    <x v="7"/>
    <x v="29"/>
    <x v="17"/>
    <x v="9"/>
    <x v="22"/>
    <x v="24"/>
    <x v="7"/>
    <s v="Italy"/>
    <m/>
    <x v="0"/>
    <s v="U"/>
    <x v="0"/>
    <d v="1964-09-21T00:00:00"/>
    <s v="Ferrero"/>
    <s v="Giovanni"/>
    <m/>
    <d v="2023-04-04T05:01:00"/>
    <m/>
    <m/>
    <n v="1964"/>
    <n v="117.11"/>
    <n v="1.4"/>
    <n v="529606710418"/>
    <n v="79.7"/>
    <n v="103.9"/>
    <n v="24"/>
    <n v="55.4"/>
    <n v="11484055"/>
  </r>
  <r>
    <x v="29"/>
    <x v="29"/>
    <x v="7"/>
    <x v="30"/>
    <x v="7"/>
    <x v="1"/>
    <x v="23"/>
    <x v="25"/>
    <x v="7"/>
    <s v="United States"/>
    <m/>
    <x v="0"/>
    <s v="U"/>
    <x v="1"/>
    <d v="1939-10-10T00:00:00"/>
    <s v="Mars"/>
    <s v="Jacqueline"/>
    <m/>
    <d v="2023-04-04T05:01:00"/>
    <s v="Virginia"/>
    <s v="South"/>
    <n v="1939"/>
    <n v="117.24"/>
    <n v="7.5"/>
    <n v="21427700000000"/>
    <n v="88.2"/>
    <n v="101.8"/>
    <n v="9.6"/>
    <n v="36.6"/>
    <n v="328239523"/>
  </r>
  <r>
    <x v="29"/>
    <x v="29"/>
    <x v="7"/>
    <x v="31"/>
    <x v="11"/>
    <x v="1"/>
    <x v="24"/>
    <x v="25"/>
    <x v="7"/>
    <s v="United States"/>
    <m/>
    <x v="0"/>
    <s v="U"/>
    <x v="0"/>
    <d v="1935-10-15T00:00:00"/>
    <s v="Mars"/>
    <s v="John"/>
    <m/>
    <d v="2023-04-04T05:01:00"/>
    <s v="Wyoming"/>
    <s v="South"/>
    <n v="1935"/>
    <n v="117.24"/>
    <n v="7.5"/>
    <n v="21427700000000"/>
    <n v="88.2"/>
    <n v="101.8"/>
    <n v="9.6"/>
    <n v="36.6"/>
    <n v="328239523"/>
  </r>
  <r>
    <x v="30"/>
    <x v="30"/>
    <x v="6"/>
    <x v="32"/>
    <x v="21"/>
    <x v="10"/>
    <x v="25"/>
    <x v="8"/>
    <x v="6"/>
    <s v="Hong Kong"/>
    <s v="CK Hutchison Holdings"/>
    <x v="1"/>
    <s v="U"/>
    <x v="0"/>
    <d v="1928-06-13T00:00:00"/>
    <s v="Li"/>
    <s v="Ka-shing"/>
    <s v="Senior Advisor"/>
    <d v="2023-04-04T05:01:00"/>
    <m/>
    <m/>
    <n v="1928"/>
    <m/>
    <m/>
    <m/>
    <m/>
    <m/>
    <m/>
    <m/>
    <m/>
  </r>
  <r>
    <x v="31"/>
    <x v="31"/>
    <x v="2"/>
    <x v="33"/>
    <x v="1"/>
    <x v="5"/>
    <x v="26"/>
    <x v="26"/>
    <x v="2"/>
    <s v="China"/>
    <s v="Tencent Holdings"/>
    <x v="1"/>
    <s v="D"/>
    <x v="0"/>
    <d v="1971-10-29T00:00:00"/>
    <s v="Ma"/>
    <s v="Huateng"/>
    <s v="Chairman and CEO"/>
    <d v="2023-04-04T05:01:00"/>
    <m/>
    <m/>
    <n v="1971"/>
    <n v="125.08"/>
    <n v="2.9"/>
    <n v="19910000000000"/>
    <n v="50.6"/>
    <n v="100.2"/>
    <n v="9.4"/>
    <n v="59.2"/>
    <n v="1397715000"/>
  </r>
  <r>
    <x v="32"/>
    <x v="32"/>
    <x v="9"/>
    <x v="34"/>
    <x v="22"/>
    <x v="1"/>
    <x v="27"/>
    <x v="27"/>
    <x v="9"/>
    <s v="United States"/>
    <m/>
    <x v="0"/>
    <s v="U"/>
    <x v="1"/>
    <d v="1945-10-10T00:00:00"/>
    <s v="Adelson"/>
    <s v="Miriam"/>
    <m/>
    <d v="2023-04-04T05:01:00"/>
    <s v="Nevada"/>
    <s v="West"/>
    <n v="1945"/>
    <n v="117.24"/>
    <n v="7.5"/>
    <n v="21427700000000"/>
    <n v="88.2"/>
    <n v="101.8"/>
    <n v="9.6"/>
    <n v="36.6"/>
    <n v="328239523"/>
  </r>
  <r>
    <x v="32"/>
    <x v="32"/>
    <x v="3"/>
    <x v="35"/>
    <x v="23"/>
    <x v="1"/>
    <x v="28"/>
    <x v="28"/>
    <x v="3"/>
    <s v="United States"/>
    <s v="Citadel LLC"/>
    <x v="1"/>
    <s v="U"/>
    <x v="0"/>
    <d v="1968-10-15T00:00:00"/>
    <s v="Griffin"/>
    <s v="Ken"/>
    <s v="Founder &amp; CEO"/>
    <d v="2023-04-04T05:01:00"/>
    <s v="Florida"/>
    <s v="South"/>
    <n v="1968"/>
    <n v="117.24"/>
    <n v="7.5"/>
    <n v="21427700000000"/>
    <n v="88.2"/>
    <n v="101.8"/>
    <n v="9.6"/>
    <n v="36.6"/>
    <n v="328239523"/>
  </r>
  <r>
    <x v="33"/>
    <x v="33"/>
    <x v="7"/>
    <x v="36"/>
    <x v="24"/>
    <x v="11"/>
    <x v="29"/>
    <x v="29"/>
    <x v="7"/>
    <s v="Austria"/>
    <m/>
    <x v="0"/>
    <s v="N"/>
    <x v="0"/>
    <d v="1992-05-07T00:00:00"/>
    <s v="Mateschitz"/>
    <s v="Mark"/>
    <m/>
    <d v="2023-04-04T05:01:00"/>
    <m/>
    <m/>
    <n v="1992"/>
    <n v="118.06"/>
    <n v="1.5"/>
    <n v="446314739528"/>
    <n v="85.1"/>
    <n v="103.1"/>
    <n v="25.4"/>
    <n v="51.4"/>
    <n v="8877067"/>
  </r>
  <r>
    <x v="34"/>
    <x v="34"/>
    <x v="1"/>
    <x v="37"/>
    <x v="23"/>
    <x v="5"/>
    <x v="30"/>
    <x v="30"/>
    <x v="1"/>
    <s v="Hong Kong"/>
    <m/>
    <x v="1"/>
    <s v="D"/>
    <x v="0"/>
    <d v="1969-01-01T00:00:00"/>
    <s v="Zeng"/>
    <s v="Robin"/>
    <m/>
    <d v="2023-04-04T05:01:00"/>
    <m/>
    <m/>
    <n v="1969"/>
    <n v="125.08"/>
    <n v="2.9"/>
    <n v="19910000000000"/>
    <n v="50.6"/>
    <n v="100.2"/>
    <n v="9.4"/>
    <n v="59.2"/>
    <n v="1397715000"/>
  </r>
  <r>
    <x v="35"/>
    <x v="35"/>
    <x v="0"/>
    <x v="38"/>
    <x v="0"/>
    <x v="12"/>
    <x v="31"/>
    <x v="31"/>
    <x v="0"/>
    <s v="Japan"/>
    <m/>
    <x v="1"/>
    <s v="U"/>
    <x v="0"/>
    <d v="1949-02-07T00:00:00"/>
    <s v="Yanai"/>
    <s v="Tadashi"/>
    <m/>
    <d v="2023-04-04T05:01:00"/>
    <m/>
    <m/>
    <n v="1949"/>
    <n v="105.48"/>
    <n v="0.5"/>
    <n v="5081769542380"/>
    <n v="63.2"/>
    <n v="98.8"/>
    <n v="11.9"/>
    <n v="46.7"/>
    <n v="126226568"/>
  </r>
  <r>
    <x v="36"/>
    <x v="36"/>
    <x v="6"/>
    <x v="39"/>
    <x v="8"/>
    <x v="13"/>
    <x v="32"/>
    <x v="32"/>
    <x v="6"/>
    <s v="United States"/>
    <m/>
    <x v="1"/>
    <s v="D"/>
    <x v="0"/>
    <d v="1957-06-01T00:00:00"/>
    <s v="Blavatnik"/>
    <s v="Len"/>
    <m/>
    <d v="2023-04-04T05:01:00"/>
    <m/>
    <m/>
    <n v="1957"/>
    <n v="119.62"/>
    <n v="1.7"/>
    <n v="2827113184696"/>
    <n v="60"/>
    <n v="101.2"/>
    <n v="25.5"/>
    <n v="30.6"/>
    <n v="66834405"/>
  </r>
  <r>
    <x v="37"/>
    <x v="37"/>
    <x v="0"/>
    <x v="40"/>
    <x v="0"/>
    <x v="1"/>
    <x v="5"/>
    <x v="33"/>
    <x v="0"/>
    <s v="France"/>
    <m/>
    <x v="0"/>
    <s v="U"/>
    <x v="0"/>
    <d v="1948-08-28T00:00:00"/>
    <s v="Wertheimer"/>
    <s v="Alain"/>
    <m/>
    <d v="2023-04-04T05:01:00"/>
    <s v="New York"/>
    <s v="Northeast"/>
    <n v="1948"/>
    <n v="117.24"/>
    <n v="7.5"/>
    <n v="21427700000000"/>
    <n v="88.2"/>
    <n v="101.8"/>
    <n v="9.6"/>
    <n v="36.6"/>
    <n v="328239523"/>
  </r>
  <r>
    <x v="37"/>
    <x v="37"/>
    <x v="0"/>
    <x v="41"/>
    <x v="25"/>
    <x v="1"/>
    <x v="5"/>
    <x v="33"/>
    <x v="0"/>
    <s v="France"/>
    <m/>
    <x v="0"/>
    <s v="U"/>
    <x v="0"/>
    <d v="1951-01-09T00:00:00"/>
    <s v="Wertheimer"/>
    <s v="Gerard"/>
    <m/>
    <d v="2023-04-04T05:01:00"/>
    <s v="New York"/>
    <s v="Northeast"/>
    <n v="1951"/>
    <n v="117.24"/>
    <n v="7.5"/>
    <n v="21427700000000"/>
    <n v="88.2"/>
    <n v="101.8"/>
    <n v="9.6"/>
    <n v="36.6"/>
    <n v="328239523"/>
  </r>
  <r>
    <x v="38"/>
    <x v="38"/>
    <x v="8"/>
    <x v="42"/>
    <x v="26"/>
    <x v="8"/>
    <x v="33"/>
    <x v="23"/>
    <x v="8"/>
    <s v="Switzerland"/>
    <m/>
    <x v="1"/>
    <s v="Split Family Fortune"/>
    <x v="0"/>
    <d v="1940-06-27T00:00:00"/>
    <s v="Aponte"/>
    <s v="Gianluigi"/>
    <m/>
    <d v="2023-04-04T05:01:00"/>
    <m/>
    <m/>
    <n v="1940"/>
    <n v="99.55"/>
    <n v="0.4"/>
    <n v="703082435360"/>
    <n v="59.6"/>
    <n v="105.2"/>
    <n v="10.1"/>
    <n v="28.8"/>
    <n v="8574832"/>
  </r>
  <r>
    <x v="38"/>
    <x v="38"/>
    <x v="8"/>
    <x v="43"/>
    <x v="3"/>
    <x v="8"/>
    <x v="33"/>
    <x v="23"/>
    <x v="8"/>
    <s v="Switzerland"/>
    <m/>
    <x v="1"/>
    <s v="Split Family Fortune"/>
    <x v="1"/>
    <d v="1945-03-26T00:00:00"/>
    <s v="Aponte-Diamant"/>
    <s v="Rafaela"/>
    <m/>
    <d v="2023-04-04T05:01:00"/>
    <m/>
    <m/>
    <n v="1945"/>
    <n v="99.55"/>
    <n v="0.4"/>
    <n v="703082435360"/>
    <n v="59.6"/>
    <n v="105.2"/>
    <n v="10.1"/>
    <n v="28.8"/>
    <n v="8574832"/>
  </r>
  <r>
    <x v="39"/>
    <x v="39"/>
    <x v="2"/>
    <x v="44"/>
    <x v="27"/>
    <x v="5"/>
    <x v="34"/>
    <x v="34"/>
    <x v="2"/>
    <s v="China"/>
    <m/>
    <x v="1"/>
    <s v="U"/>
    <x v="0"/>
    <d v="1980-02-02T00:00:00"/>
    <s v="Huang"/>
    <s v="Colin Zheng"/>
    <m/>
    <d v="2023-04-04T05:01:00"/>
    <m/>
    <m/>
    <n v="1980"/>
    <n v="125.08"/>
    <n v="2.9"/>
    <n v="19910000000000"/>
    <n v="50.6"/>
    <n v="100.2"/>
    <n v="9.4"/>
    <n v="59.2"/>
    <n v="1397715000"/>
  </r>
  <r>
    <x v="40"/>
    <x v="40"/>
    <x v="10"/>
    <x v="45"/>
    <x v="11"/>
    <x v="7"/>
    <x v="35"/>
    <x v="35"/>
    <x v="10"/>
    <s v="Germany"/>
    <m/>
    <x v="1"/>
    <s v="U"/>
    <x v="0"/>
    <d v="1935-04-20T00:00:00"/>
    <s v="Wuerth"/>
    <s v="Reinhold"/>
    <m/>
    <d v="2023-04-04T05:01:00"/>
    <m/>
    <m/>
    <n v="1935"/>
    <n v="112.85"/>
    <n v="1.4"/>
    <n v="3845630030824"/>
    <n v="70.2"/>
    <n v="104"/>
    <n v="11.5"/>
    <n v="48.8"/>
    <n v="83132799"/>
  </r>
  <r>
    <x v="41"/>
    <x v="41"/>
    <x v="11"/>
    <x v="46"/>
    <x v="28"/>
    <x v="10"/>
    <x v="36"/>
    <x v="36"/>
    <x v="11"/>
    <s v="Hong Kong"/>
    <m/>
    <x v="1"/>
    <s v="D"/>
    <x v="0"/>
    <d v="1928-01-29T00:00:00"/>
    <s v="Lee"/>
    <s v="Shau Kee"/>
    <m/>
    <d v="2023-04-04T05:01:00"/>
    <m/>
    <m/>
    <n v="1928"/>
    <m/>
    <m/>
    <m/>
    <m/>
    <m/>
    <m/>
    <m/>
    <m/>
  </r>
  <r>
    <x v="42"/>
    <x v="42"/>
    <x v="3"/>
    <x v="47"/>
    <x v="29"/>
    <x v="1"/>
    <x v="37"/>
    <x v="37"/>
    <x v="3"/>
    <s v="United States"/>
    <m/>
    <x v="1"/>
    <s v="U"/>
    <x v="0"/>
    <d v="1958-07-17T00:00:00"/>
    <s v="Yass"/>
    <s v="Jeff"/>
    <m/>
    <d v="2023-04-04T05:01:00"/>
    <s v="Pennsylvania"/>
    <s v="Northeast"/>
    <n v="1958"/>
    <n v="117.24"/>
    <n v="7.5"/>
    <n v="21427700000000"/>
    <n v="88.2"/>
    <n v="101.8"/>
    <n v="9.6"/>
    <n v="36.6"/>
    <n v="328239523"/>
  </r>
  <r>
    <x v="43"/>
    <x v="43"/>
    <x v="3"/>
    <x v="48"/>
    <x v="30"/>
    <x v="1"/>
    <x v="38"/>
    <x v="28"/>
    <x v="3"/>
    <s v="United States"/>
    <s v="Renaissance Technologies Corp."/>
    <x v="1"/>
    <s v="D"/>
    <x v="0"/>
    <d v="1938-04-25T00:00:00"/>
    <s v="Simons"/>
    <s v="Jim"/>
    <s v="Founder"/>
    <d v="2023-04-04T05:01:00"/>
    <s v="New York"/>
    <s v="Northeast"/>
    <n v="1938"/>
    <n v="117.24"/>
    <n v="7.5"/>
    <n v="21427700000000"/>
    <n v="88.2"/>
    <n v="101.8"/>
    <n v="9.6"/>
    <n v="36.6"/>
    <n v="328239523"/>
  </r>
  <r>
    <x v="44"/>
    <x v="44"/>
    <x v="3"/>
    <x v="49"/>
    <x v="31"/>
    <x v="1"/>
    <x v="5"/>
    <x v="38"/>
    <x v="3"/>
    <s v="United States"/>
    <s v="Blackstone Group"/>
    <x v="1"/>
    <s v="D"/>
    <x v="0"/>
    <d v="1947-02-14T00:00:00"/>
    <s v="Schwarzman"/>
    <s v="Stephen"/>
    <s v="Chairman and CEO"/>
    <d v="2023-04-04T05:01:00"/>
    <s v="New York"/>
    <s v="Northeast"/>
    <n v="1947"/>
    <n v="117.24"/>
    <n v="7.5"/>
    <n v="21427700000000"/>
    <n v="88.2"/>
    <n v="101.8"/>
    <n v="9.6"/>
    <n v="36.6"/>
    <n v="328239523"/>
  </r>
  <r>
    <x v="45"/>
    <x v="45"/>
    <x v="1"/>
    <x v="50"/>
    <x v="15"/>
    <x v="7"/>
    <x v="39"/>
    <x v="39"/>
    <x v="1"/>
    <s v="Germany"/>
    <m/>
    <x v="0"/>
    <s v="U"/>
    <x v="1"/>
    <d v="1962-04-28T00:00:00"/>
    <s v="Klatten"/>
    <s v="Susanne"/>
    <m/>
    <d v="2023-04-04T05:01:00"/>
    <m/>
    <m/>
    <n v="1962"/>
    <n v="112.85"/>
    <n v="1.4"/>
    <n v="3845630030824"/>
    <n v="70.2"/>
    <n v="104"/>
    <n v="11.5"/>
    <n v="48.8"/>
    <n v="83132799"/>
  </r>
  <r>
    <x v="46"/>
    <x v="46"/>
    <x v="12"/>
    <x v="51"/>
    <x v="9"/>
    <x v="14"/>
    <x v="40"/>
    <x v="40"/>
    <x v="12"/>
    <s v="Australia"/>
    <s v="Hancock Prospecting"/>
    <x v="0"/>
    <s v="D"/>
    <x v="1"/>
    <d v="1954-02-09T00:00:00"/>
    <s v="Rinehart"/>
    <s v="Gina"/>
    <s v="Executive Chairman"/>
    <d v="2023-04-04T05:01:00"/>
    <m/>
    <m/>
    <n v="1954"/>
    <n v="119.8"/>
    <n v="1.6"/>
    <n v="1392680589329"/>
    <n v="113.1"/>
    <n v="100.3"/>
    <n v="23"/>
    <n v="47.4"/>
    <n v="25766605"/>
  </r>
  <r>
    <x v="47"/>
    <x v="47"/>
    <x v="2"/>
    <x v="52"/>
    <x v="1"/>
    <x v="5"/>
    <x v="12"/>
    <x v="41"/>
    <x v="2"/>
    <s v="China"/>
    <m/>
    <x v="1"/>
    <s v="U"/>
    <x v="0"/>
    <d v="1971-10-01T00:00:00"/>
    <s v="Ding"/>
    <s v="William"/>
    <m/>
    <d v="2023-04-04T05:01:00"/>
    <m/>
    <m/>
    <n v="1971"/>
    <n v="125.08"/>
    <n v="2.9"/>
    <n v="19910000000000"/>
    <n v="50.6"/>
    <n v="100.2"/>
    <n v="9.4"/>
    <n v="59.2"/>
    <n v="1397715000"/>
  </r>
  <r>
    <x v="48"/>
    <x v="48"/>
    <x v="12"/>
    <x v="53"/>
    <x v="9"/>
    <x v="2"/>
    <x v="6"/>
    <x v="40"/>
    <x v="12"/>
    <s v="Mexico"/>
    <m/>
    <x v="0"/>
    <s v="D"/>
    <x v="0"/>
    <d v="1953-10-26T00:00:00"/>
    <s v="Larrea Mota Velasco"/>
    <s v="Germán"/>
    <m/>
    <d v="2023-04-04T05:01:00"/>
    <m/>
    <m/>
    <n v="1953"/>
    <n v="141.54"/>
    <n v="3.6"/>
    <n v="1258286717125"/>
    <n v="40.200000000000003"/>
    <n v="105.8"/>
    <n v="13.1"/>
    <n v="55.1"/>
    <n v="126014024"/>
  </r>
  <r>
    <x v="49"/>
    <x v="49"/>
    <x v="2"/>
    <x v="54"/>
    <x v="22"/>
    <x v="3"/>
    <x v="41"/>
    <x v="42"/>
    <x v="2"/>
    <s v="India"/>
    <m/>
    <x v="1"/>
    <s v="D"/>
    <x v="0"/>
    <d v="1945-07-18T00:00:00"/>
    <s v="Nadar"/>
    <s v="Shiv"/>
    <m/>
    <d v="2023-04-04T05:01:00"/>
    <m/>
    <m/>
    <n v="1945"/>
    <n v="180.44"/>
    <n v="7.7"/>
    <n v="2611000000000"/>
    <n v="28.1"/>
    <n v="113"/>
    <n v="11.2"/>
    <n v="49.7"/>
    <n v="1366417754"/>
  </r>
  <r>
    <x v="50"/>
    <x v="50"/>
    <x v="13"/>
    <x v="55"/>
    <x v="0"/>
    <x v="15"/>
    <x v="42"/>
    <x v="43"/>
    <x v="13"/>
    <s v="Indonesia"/>
    <m/>
    <x v="1"/>
    <s v="U"/>
    <x v="0"/>
    <d v="1948-04-17T00:00:00"/>
    <s v="Low Tuck"/>
    <s v="Kwong"/>
    <m/>
    <d v="2023-04-04T05:01:00"/>
    <m/>
    <m/>
    <n v="1948"/>
    <n v="151.18"/>
    <n v="3"/>
    <n v="1119190780753"/>
    <n v="36.299999999999997"/>
    <n v="106.4"/>
    <n v="10.199999999999999"/>
    <n v="30.1"/>
    <n v="270203917"/>
  </r>
  <r>
    <x v="51"/>
    <x v="51"/>
    <x v="3"/>
    <x v="56"/>
    <x v="3"/>
    <x v="1"/>
    <x v="43"/>
    <x v="44"/>
    <x v="3"/>
    <s v="United States"/>
    <m/>
    <x v="1"/>
    <s v="U"/>
    <x v="0"/>
    <d v="1944-09-30T00:00:00"/>
    <s v="Peterffy"/>
    <s v="Thomas"/>
    <m/>
    <d v="2023-04-04T05:01:00"/>
    <s v="Florida"/>
    <s v="South"/>
    <n v="1944"/>
    <n v="117.24"/>
    <n v="7.5"/>
    <n v="21427700000000"/>
    <n v="88.2"/>
    <n v="101.8"/>
    <n v="9.6"/>
    <n v="36.6"/>
    <n v="328239523"/>
  </r>
  <r>
    <x v="52"/>
    <x v="52"/>
    <x v="12"/>
    <x v="57"/>
    <x v="1"/>
    <x v="16"/>
    <x v="44"/>
    <x v="45"/>
    <x v="12"/>
    <s v="Russia"/>
    <m/>
    <x v="1"/>
    <s v="U"/>
    <x v="0"/>
    <d v="1972-03-08T00:00:00"/>
    <s v="Melnichenko"/>
    <s v="Andrey"/>
    <m/>
    <d v="2023-04-04T05:01:00"/>
    <m/>
    <m/>
    <n v="1972"/>
    <n v="114.52"/>
    <n v="-1.9"/>
    <n v="421142267938"/>
    <n v="36.799999999999997"/>
    <n v="108.4"/>
    <n v="0.1"/>
    <n v="15.9"/>
    <n v="9770529"/>
  </r>
  <r>
    <x v="53"/>
    <x v="53"/>
    <x v="1"/>
    <x v="58"/>
    <x v="32"/>
    <x v="7"/>
    <x v="45"/>
    <x v="46"/>
    <x v="1"/>
    <s v="Germany"/>
    <m/>
    <x v="0"/>
    <s v="U"/>
    <x v="0"/>
    <d v="1966-05-09T00:00:00"/>
    <s v="Quandt"/>
    <s v="Stefan"/>
    <m/>
    <d v="2023-04-04T05:01:00"/>
    <m/>
    <m/>
    <n v="1966"/>
    <n v="112.85"/>
    <n v="1.4"/>
    <n v="3845630030824"/>
    <n v="70.2"/>
    <n v="104"/>
    <n v="11.5"/>
    <n v="48.8"/>
    <n v="83132799"/>
  </r>
  <r>
    <x v="54"/>
    <x v="54"/>
    <x v="2"/>
    <x v="59"/>
    <x v="33"/>
    <x v="1"/>
    <x v="46"/>
    <x v="2"/>
    <x v="2"/>
    <s v="United States"/>
    <m/>
    <x v="0"/>
    <s v="D"/>
    <x v="1"/>
    <d v="1970-04-07T00:00:00"/>
    <s v="Scott"/>
    <s v="MacKenzie"/>
    <s v="Philanthropist"/>
    <d v="2023-04-04T05:01:00"/>
    <s v="Washington"/>
    <s v="West"/>
    <n v="1970"/>
    <n v="117.24"/>
    <n v="7.5"/>
    <n v="21427700000000"/>
    <n v="88.2"/>
    <n v="101.8"/>
    <n v="9.6"/>
    <n v="36.6"/>
    <n v="328239523"/>
  </r>
  <r>
    <x v="55"/>
    <x v="55"/>
    <x v="3"/>
    <x v="60"/>
    <x v="26"/>
    <x v="15"/>
    <x v="47"/>
    <x v="47"/>
    <x v="3"/>
    <s v="Indonesia"/>
    <m/>
    <x v="0"/>
    <s v="U"/>
    <x v="0"/>
    <d v="1941-01-01T00:00:00"/>
    <s v="Hartono"/>
    <s v="R. Budi"/>
    <m/>
    <d v="2023-04-04T05:01:00"/>
    <m/>
    <m/>
    <n v="1941"/>
    <n v="151.18"/>
    <n v="3"/>
    <n v="1119190780753"/>
    <n v="36.299999999999997"/>
    <n v="106.4"/>
    <n v="10.199999999999999"/>
    <n v="30.1"/>
    <n v="270203917"/>
  </r>
  <r>
    <x v="56"/>
    <x v="56"/>
    <x v="12"/>
    <x v="61"/>
    <x v="34"/>
    <x v="17"/>
    <x v="48"/>
    <x v="48"/>
    <x v="12"/>
    <s v="Russia"/>
    <m/>
    <x v="1"/>
    <s v="U"/>
    <x v="0"/>
    <d v="1961-01-03T00:00:00"/>
    <s v="Potanin"/>
    <s v="Vladimir"/>
    <m/>
    <d v="2023-04-04T05:01:00"/>
    <m/>
    <m/>
    <n v="1961"/>
    <n v="180.75"/>
    <n v="4.5"/>
    <n v="1699876578871"/>
    <n v="81.900000000000006"/>
    <n v="102.6"/>
    <n v="11.4"/>
    <n v="46.2"/>
    <n v="144373535"/>
  </r>
  <r>
    <x v="57"/>
    <x v="57"/>
    <x v="2"/>
    <x v="62"/>
    <x v="17"/>
    <x v="5"/>
    <x v="12"/>
    <x v="34"/>
    <x v="2"/>
    <s v="China"/>
    <m/>
    <x v="1"/>
    <s v="U"/>
    <x v="0"/>
    <d v="1964-09-10T00:00:00"/>
    <s v="Ma"/>
    <s v="Jack"/>
    <m/>
    <d v="2023-04-04T05:01:00"/>
    <m/>
    <m/>
    <n v="1964"/>
    <n v="125.08"/>
    <n v="2.9"/>
    <n v="19910000000000"/>
    <n v="50.6"/>
    <n v="100.2"/>
    <n v="9.4"/>
    <n v="59.2"/>
    <n v="1397715000"/>
  </r>
  <r>
    <x v="58"/>
    <x v="58"/>
    <x v="10"/>
    <x v="63"/>
    <x v="35"/>
    <x v="5"/>
    <x v="49"/>
    <x v="49"/>
    <x v="10"/>
    <s v="China"/>
    <m/>
    <x v="1"/>
    <s v="D"/>
    <x v="0"/>
    <d v="1942-08-11T00:00:00"/>
    <s v="He"/>
    <s v="Xiangjian"/>
    <m/>
    <d v="2023-04-04T05:01:00"/>
    <m/>
    <m/>
    <n v="1942"/>
    <n v="125.08"/>
    <n v="2.9"/>
    <n v="19910000000000"/>
    <n v="50.6"/>
    <n v="100.2"/>
    <n v="9.4"/>
    <n v="59.2"/>
    <n v="1397715000"/>
  </r>
  <r>
    <x v="59"/>
    <x v="59"/>
    <x v="12"/>
    <x v="64"/>
    <x v="35"/>
    <x v="18"/>
    <x v="50"/>
    <x v="40"/>
    <x v="12"/>
    <s v="Chile"/>
    <m/>
    <x v="0"/>
    <s v="U"/>
    <x v="1"/>
    <d v="1943-01-01T00:00:00"/>
    <s v="Fontbona"/>
    <s v="Iris"/>
    <m/>
    <d v="2023-04-04T05:01:00"/>
    <m/>
    <m/>
    <n v="1943"/>
    <n v="131.91"/>
    <n v="2.6"/>
    <n v="282318159745"/>
    <n v="88.5"/>
    <n v="101.4"/>
    <n v="18.2"/>
    <n v="34"/>
    <n v="18952038"/>
  </r>
  <r>
    <x v="59"/>
    <x v="59"/>
    <x v="10"/>
    <x v="65"/>
    <x v="7"/>
    <x v="15"/>
    <x v="47"/>
    <x v="47"/>
    <x v="10"/>
    <s v="Indonesia"/>
    <m/>
    <x v="0"/>
    <s v="U"/>
    <x v="0"/>
    <d v="1939-10-02T00:00:00"/>
    <s v="Hartono"/>
    <s v="Michael"/>
    <m/>
    <d v="2023-04-04T05:01:00"/>
    <m/>
    <m/>
    <n v="1939"/>
    <n v="151.18"/>
    <n v="3"/>
    <n v="1119190780753"/>
    <n v="36.299999999999997"/>
    <n v="106.4"/>
    <n v="10.199999999999999"/>
    <n v="30.1"/>
    <n v="270203917"/>
  </r>
  <r>
    <x v="60"/>
    <x v="60"/>
    <x v="10"/>
    <x v="66"/>
    <x v="36"/>
    <x v="13"/>
    <x v="32"/>
    <x v="50"/>
    <x v="10"/>
    <s v="United Kingdom"/>
    <m/>
    <x v="1"/>
    <s v="U"/>
    <x v="0"/>
    <d v="1953-01-01T00:00:00"/>
    <s v="Ratcliffe"/>
    <s v="James"/>
    <m/>
    <d v="2023-04-04T05:01:00"/>
    <m/>
    <m/>
    <n v="1953"/>
    <n v="119.62"/>
    <n v="1.7"/>
    <n v="2827113184696"/>
    <n v="60"/>
    <n v="101.2"/>
    <n v="25.5"/>
    <n v="30.6"/>
    <n v="66834405"/>
  </r>
  <r>
    <x v="61"/>
    <x v="61"/>
    <x v="14"/>
    <x v="67"/>
    <x v="6"/>
    <x v="3"/>
    <x v="51"/>
    <x v="51"/>
    <x v="14"/>
    <s v="India"/>
    <m/>
    <x v="0"/>
    <s v="D"/>
    <x v="0"/>
    <d v="1941-05-11T00:00:00"/>
    <s v="Poonawalla"/>
    <s v="Cyrus"/>
    <m/>
    <d v="2023-04-04T05:01:00"/>
    <m/>
    <m/>
    <n v="1941"/>
    <n v="180.44"/>
    <n v="7.7"/>
    <n v="2611000000000"/>
    <n v="28.1"/>
    <n v="113"/>
    <n v="11.2"/>
    <n v="49.7"/>
    <n v="1366417754"/>
  </r>
  <r>
    <x v="62"/>
    <x v="62"/>
    <x v="5"/>
    <x v="68"/>
    <x v="8"/>
    <x v="12"/>
    <x v="31"/>
    <x v="52"/>
    <x v="5"/>
    <s v="Japan"/>
    <s v="SoftBank Group Corp."/>
    <x v="1"/>
    <s v="U"/>
    <x v="0"/>
    <d v="1957-08-11T00:00:00"/>
    <s v="Son"/>
    <s v="Masayoshi"/>
    <s v="CEO"/>
    <d v="2023-04-04T05:01:00"/>
    <m/>
    <m/>
    <n v="1957"/>
    <n v="105.48"/>
    <n v="0.5"/>
    <n v="5081769542380"/>
    <n v="63.2"/>
    <n v="98.8"/>
    <n v="11.9"/>
    <n v="46.7"/>
    <n v="126226568"/>
  </r>
  <r>
    <x v="63"/>
    <x v="63"/>
    <x v="12"/>
    <x v="69"/>
    <x v="37"/>
    <x v="17"/>
    <x v="48"/>
    <x v="53"/>
    <x v="12"/>
    <s v="Russia"/>
    <m/>
    <x v="1"/>
    <s v="U"/>
    <x v="0"/>
    <d v="1956-05-07T00:00:00"/>
    <s v="Lisin"/>
    <s v="Vladimir"/>
    <m/>
    <d v="2023-04-04T05:01:00"/>
    <m/>
    <m/>
    <n v="1956"/>
    <n v="180.75"/>
    <n v="4.5"/>
    <n v="1699876578871"/>
    <n v="81.900000000000006"/>
    <n v="102.6"/>
    <n v="11.4"/>
    <n v="46.2"/>
    <n v="144373535"/>
  </r>
  <r>
    <x v="64"/>
    <x v="64"/>
    <x v="7"/>
    <x v="70"/>
    <x v="33"/>
    <x v="0"/>
    <x v="52"/>
    <x v="54"/>
    <x v="7"/>
    <s v="France"/>
    <m/>
    <x v="0"/>
    <s v="D"/>
    <x v="0"/>
    <d v="1970-09-18T00:00:00"/>
    <s v="Besnier"/>
    <s v="Emmanuel"/>
    <m/>
    <d v="2023-04-04T05:01:00"/>
    <m/>
    <m/>
    <n v="1970"/>
    <n v="110.05"/>
    <n v="1.1000000000000001"/>
    <n v="2715518274227"/>
    <n v="65.599999999999994"/>
    <n v="102.5"/>
    <n v="24.2"/>
    <n v="60.7"/>
    <n v="67059887"/>
  </r>
  <r>
    <x v="65"/>
    <x v="65"/>
    <x v="3"/>
    <x v="71"/>
    <x v="38"/>
    <x v="1"/>
    <x v="53"/>
    <x v="55"/>
    <x v="3"/>
    <s v="United States"/>
    <s v="Fidelity Investments"/>
    <x v="0"/>
    <s v="U"/>
    <x v="1"/>
    <d v="1961-12-19T00:00:00"/>
    <s v="Johnson"/>
    <s v="Abigail"/>
    <s v="CEO"/>
    <d v="2023-04-04T05:01:00"/>
    <s v="Massachusetts"/>
    <s v="Northeast"/>
    <n v="1961"/>
    <n v="117.24"/>
    <n v="7.5"/>
    <n v="21427700000000"/>
    <n v="88.2"/>
    <n v="101.8"/>
    <n v="9.6"/>
    <n v="36.6"/>
    <n v="328239523"/>
  </r>
  <r>
    <x v="65"/>
    <x v="65"/>
    <x v="13"/>
    <x v="72"/>
    <x v="5"/>
    <x v="17"/>
    <x v="48"/>
    <x v="56"/>
    <x v="13"/>
    <s v="Russia"/>
    <m/>
    <x v="1"/>
    <s v="U"/>
    <x v="0"/>
    <d v="1955-08-11T00:00:00"/>
    <s v="Mikhelson"/>
    <s v="Leonid"/>
    <m/>
    <d v="2023-04-04T05:01:00"/>
    <m/>
    <m/>
    <n v="1955"/>
    <n v="180.75"/>
    <n v="4.5"/>
    <n v="1699876578871"/>
    <n v="81.900000000000006"/>
    <n v="102.6"/>
    <n v="11.4"/>
    <n v="46.2"/>
    <n v="144373535"/>
  </r>
  <r>
    <x v="66"/>
    <x v="66"/>
    <x v="0"/>
    <x v="73"/>
    <x v="39"/>
    <x v="1"/>
    <x v="54"/>
    <x v="15"/>
    <x v="0"/>
    <s v="United States"/>
    <m/>
    <x v="0"/>
    <s v="U"/>
    <x v="0"/>
    <d v="1986-09-19T00:00:00"/>
    <s v="Walton"/>
    <s v="Lukas"/>
    <m/>
    <d v="2023-04-04T05:01:00"/>
    <s v="Illinois"/>
    <s v="Midwest"/>
    <n v="1986"/>
    <n v="117.24"/>
    <n v="7.5"/>
    <n v="21427700000000"/>
    <n v="88.2"/>
    <n v="101.8"/>
    <n v="9.6"/>
    <n v="36.6"/>
    <n v="328239523"/>
  </r>
  <r>
    <x v="66"/>
    <x v="66"/>
    <x v="15"/>
    <x v="74"/>
    <x v="33"/>
    <x v="5"/>
    <x v="26"/>
    <x v="57"/>
    <x v="15"/>
    <s v="China"/>
    <m/>
    <x v="1"/>
    <s v="D"/>
    <x v="0"/>
    <d v="1970-10-01T00:00:00"/>
    <s v="Wang"/>
    <s v="Wei"/>
    <m/>
    <d v="2023-04-04T05:01:00"/>
    <m/>
    <m/>
    <n v="1970"/>
    <n v="125.08"/>
    <n v="2.9"/>
    <n v="19910000000000"/>
    <n v="50.6"/>
    <n v="100.2"/>
    <n v="9.4"/>
    <n v="59.2"/>
    <n v="1397715000"/>
  </r>
  <r>
    <x v="67"/>
    <x v="67"/>
    <x v="2"/>
    <x v="75"/>
    <x v="15"/>
    <x v="1"/>
    <x v="11"/>
    <x v="58"/>
    <x v="2"/>
    <s v="United States"/>
    <s v="Nvidia"/>
    <x v="1"/>
    <s v="U"/>
    <x v="0"/>
    <d v="1963-02-17T00:00:00"/>
    <s v="Huang"/>
    <s v="Jensen"/>
    <s v="CEO &amp; President"/>
    <d v="2023-04-04T05:01:00"/>
    <s v="California"/>
    <s v="West"/>
    <n v="1963"/>
    <n v="117.24"/>
    <n v="7.5"/>
    <n v="21427700000000"/>
    <n v="88.2"/>
    <n v="101.8"/>
    <n v="9.6"/>
    <n v="36.6"/>
    <n v="328239523"/>
  </r>
  <r>
    <x v="68"/>
    <x v="68"/>
    <x v="0"/>
    <x v="76"/>
    <x v="40"/>
    <x v="1"/>
    <x v="5"/>
    <x v="59"/>
    <x v="0"/>
    <s v="United States"/>
    <s v="The Estée Lauder Companies"/>
    <x v="0"/>
    <s v="D"/>
    <x v="0"/>
    <d v="1933-03-19T00:00:00"/>
    <s v="Lauder"/>
    <s v="Leonard"/>
    <s v="Chairman Emeritus"/>
    <d v="2023-04-04T05:01:00"/>
    <s v="New York"/>
    <s v="Northeast"/>
    <n v="1933"/>
    <n v="117.24"/>
    <n v="7.5"/>
    <n v="21427700000000"/>
    <n v="88.2"/>
    <n v="101.8"/>
    <n v="9.6"/>
    <n v="36.6"/>
    <n v="328239523"/>
  </r>
  <r>
    <x v="68"/>
    <x v="68"/>
    <x v="10"/>
    <x v="77"/>
    <x v="22"/>
    <x v="12"/>
    <x v="55"/>
    <x v="60"/>
    <x v="10"/>
    <s v="Japan"/>
    <m/>
    <x v="1"/>
    <s v="D"/>
    <x v="0"/>
    <d v="1945-06-10T00:00:00"/>
    <s v="Takizaki"/>
    <s v="Takemitsu"/>
    <m/>
    <d v="2023-04-04T05:01:00"/>
    <m/>
    <m/>
    <n v="1945"/>
    <n v="105.48"/>
    <n v="0.5"/>
    <n v="5081769542380"/>
    <n v="63.2"/>
    <n v="98.8"/>
    <n v="11.9"/>
    <n v="46.7"/>
    <n v="126226568"/>
  </r>
  <r>
    <x v="69"/>
    <x v="69"/>
    <x v="12"/>
    <x v="78"/>
    <x v="41"/>
    <x v="17"/>
    <x v="48"/>
    <x v="61"/>
    <x v="12"/>
    <s v="Russia"/>
    <m/>
    <x v="1"/>
    <s v="U"/>
    <x v="0"/>
    <d v="1965-09-26T00:00:00"/>
    <s v="Mordashov"/>
    <s v="Alexey"/>
    <m/>
    <d v="2023-04-04T05:01:00"/>
    <m/>
    <m/>
    <n v="1965"/>
    <n v="180.75"/>
    <n v="4.5"/>
    <n v="1699876578871"/>
    <n v="81.900000000000006"/>
    <n v="102.6"/>
    <n v="11.4"/>
    <n v="46.2"/>
    <n v="144373535"/>
  </r>
  <r>
    <x v="70"/>
    <x v="70"/>
    <x v="13"/>
    <x v="79"/>
    <x v="25"/>
    <x v="17"/>
    <x v="48"/>
    <x v="62"/>
    <x v="13"/>
    <s v="Russia"/>
    <m/>
    <x v="1"/>
    <s v="U"/>
    <x v="0"/>
    <d v="1950-09-01T00:00:00"/>
    <s v="Alekperov"/>
    <s v="Vagit"/>
    <m/>
    <d v="2023-04-04T05:01:00"/>
    <m/>
    <m/>
    <n v="1950"/>
    <n v="180.75"/>
    <n v="4.5"/>
    <n v="1699876578871"/>
    <n v="81.900000000000006"/>
    <n v="102.6"/>
    <n v="11.4"/>
    <n v="46.2"/>
    <n v="144373535"/>
  </r>
  <r>
    <x v="71"/>
    <x v="71"/>
    <x v="14"/>
    <x v="80"/>
    <x v="30"/>
    <x v="1"/>
    <x v="56"/>
    <x v="63"/>
    <x v="14"/>
    <s v="United States"/>
    <m/>
    <x v="1"/>
    <s v="D"/>
    <x v="0"/>
    <d v="1938-08-12T00:00:00"/>
    <s v="Frist"/>
    <s v="Thomas"/>
    <m/>
    <d v="2023-04-04T05:01:00"/>
    <s v="Tennessee"/>
    <s v="South"/>
    <n v="1938"/>
    <n v="117.24"/>
    <n v="7.5"/>
    <n v="21427700000000"/>
    <n v="88.2"/>
    <n v="101.8"/>
    <n v="9.6"/>
    <n v="36.6"/>
    <n v="328239523"/>
  </r>
  <r>
    <x v="72"/>
    <x v="72"/>
    <x v="12"/>
    <x v="81"/>
    <x v="38"/>
    <x v="14"/>
    <x v="40"/>
    <x v="40"/>
    <x v="12"/>
    <s v="Australia"/>
    <m/>
    <x v="1"/>
    <s v="U"/>
    <x v="0"/>
    <d v="1961-11-18T00:00:00"/>
    <s v="Forrest"/>
    <s v="Andrew"/>
    <m/>
    <d v="2023-04-04T05:01:00"/>
    <m/>
    <m/>
    <n v="1961"/>
    <n v="119.8"/>
    <n v="1.6"/>
    <n v="1392680589329"/>
    <n v="113.1"/>
    <n v="100.3"/>
    <n v="23"/>
    <n v="47.4"/>
    <n v="25766605"/>
  </r>
  <r>
    <x v="73"/>
    <x v="73"/>
    <x v="3"/>
    <x v="82"/>
    <x v="16"/>
    <x v="1"/>
    <x v="57"/>
    <x v="28"/>
    <x v="3"/>
    <s v="United States"/>
    <s v="Bridgewater Associates"/>
    <x v="1"/>
    <s v="D"/>
    <x v="0"/>
    <d v="1949-08-08T00:00:00"/>
    <s v="Dalio"/>
    <s v="Ray"/>
    <s v="Founder &amp; Co-Chief Investment Officer"/>
    <d v="2023-04-04T05:01:00"/>
    <s v="Connecticut"/>
    <s v="Northeast"/>
    <n v="1949"/>
    <n v="117.24"/>
    <n v="7.5"/>
    <n v="21427700000000"/>
    <n v="88.2"/>
    <n v="101.8"/>
    <n v="9.6"/>
    <n v="36.6"/>
    <n v="328239523"/>
  </r>
  <r>
    <x v="74"/>
    <x v="74"/>
    <x v="1"/>
    <x v="83"/>
    <x v="2"/>
    <x v="5"/>
    <x v="12"/>
    <x v="64"/>
    <x v="1"/>
    <s v="China"/>
    <m/>
    <x v="1"/>
    <s v="D"/>
    <x v="0"/>
    <d v="1963-06-01T00:00:00"/>
    <s v="Li"/>
    <s v="Eric"/>
    <m/>
    <d v="2023-04-04T05:01:00"/>
    <m/>
    <m/>
    <n v="1963"/>
    <n v="125.08"/>
    <n v="2.9"/>
    <n v="19910000000000"/>
    <n v="50.6"/>
    <n v="100.2"/>
    <n v="9.4"/>
    <n v="59.2"/>
    <n v="1397715000"/>
  </r>
  <r>
    <x v="74"/>
    <x v="74"/>
    <x v="12"/>
    <x v="84"/>
    <x v="42"/>
    <x v="5"/>
    <x v="26"/>
    <x v="65"/>
    <x v="12"/>
    <s v="China"/>
    <m/>
    <x v="1"/>
    <s v="U"/>
    <x v="0"/>
    <d v="1968-03-01T00:00:00"/>
    <s v="Wang"/>
    <s v="Wenyin"/>
    <m/>
    <d v="2023-04-04T05:01:00"/>
    <m/>
    <m/>
    <n v="1968"/>
    <n v="125.08"/>
    <n v="2.9"/>
    <n v="19910000000000"/>
    <n v="50.6"/>
    <n v="100.2"/>
    <n v="9.4"/>
    <n v="59.2"/>
    <n v="1397715000"/>
  </r>
  <r>
    <x v="75"/>
    <x v="75"/>
    <x v="6"/>
    <x v="85"/>
    <x v="25"/>
    <x v="19"/>
    <x v="58"/>
    <x v="66"/>
    <x v="6"/>
    <s v="Israel"/>
    <m/>
    <x v="0"/>
    <s v="U"/>
    <x v="0"/>
    <d v="1950-06-02T00:00:00"/>
    <s v="Ofer"/>
    <s v="Eyal"/>
    <m/>
    <d v="2023-04-04T05:01:00"/>
    <m/>
    <m/>
    <n v="1950"/>
    <m/>
    <m/>
    <n v="7184844193"/>
    <m/>
    <m/>
    <m/>
    <m/>
    <n v="38964"/>
  </r>
  <r>
    <x v="75"/>
    <x v="75"/>
    <x v="7"/>
    <x v="86"/>
    <x v="41"/>
    <x v="5"/>
    <x v="59"/>
    <x v="67"/>
    <x v="7"/>
    <s v="China"/>
    <m/>
    <x v="1"/>
    <s v="D"/>
    <x v="0"/>
    <d v="1965-04-17T00:00:00"/>
    <s v="Qin"/>
    <s v="Yinglin"/>
    <m/>
    <d v="2023-04-04T05:01:00"/>
    <m/>
    <m/>
    <n v="1965"/>
    <n v="125.08"/>
    <n v="2.9"/>
    <n v="19910000000000"/>
    <n v="50.6"/>
    <n v="100.2"/>
    <n v="9.4"/>
    <n v="59.2"/>
    <n v="1397715000"/>
  </r>
  <r>
    <x v="76"/>
    <x v="76"/>
    <x v="1"/>
    <x v="87"/>
    <x v="41"/>
    <x v="5"/>
    <x v="26"/>
    <x v="68"/>
    <x v="1"/>
    <s v="China"/>
    <m/>
    <x v="1"/>
    <s v="D"/>
    <x v="0"/>
    <d v="1966-02-15T00:00:00"/>
    <s v="Wang"/>
    <s v="Chuanfu"/>
    <m/>
    <d v="2023-04-04T05:01:00"/>
    <m/>
    <m/>
    <n v="1966"/>
    <n v="125.08"/>
    <n v="2.9"/>
    <n v="19910000000000"/>
    <n v="50.6"/>
    <n v="100.2"/>
    <n v="9.4"/>
    <n v="59.2"/>
    <n v="1397715000"/>
  </r>
  <r>
    <x v="77"/>
    <x v="77"/>
    <x v="13"/>
    <x v="88"/>
    <x v="22"/>
    <x v="1"/>
    <x v="60"/>
    <x v="69"/>
    <x v="13"/>
    <s v="United States"/>
    <s v="Continental Resources Inc. "/>
    <x v="1"/>
    <s v="U"/>
    <x v="0"/>
    <d v="1945-12-11T00:00:00"/>
    <s v="Hamm"/>
    <s v="Harold"/>
    <s v="Chairman and CEO"/>
    <d v="2023-04-04T05:01:00"/>
    <s v="Oklahoma"/>
    <s v="South"/>
    <n v="1945"/>
    <n v="117.24"/>
    <n v="7.5"/>
    <n v="21427700000000"/>
    <n v="88.2"/>
    <n v="101.8"/>
    <n v="9.6"/>
    <n v="36.6"/>
    <n v="328239523"/>
  </r>
  <r>
    <x v="77"/>
    <x v="77"/>
    <x v="3"/>
    <x v="89"/>
    <x v="8"/>
    <x v="1"/>
    <x v="43"/>
    <x v="28"/>
    <x v="3"/>
    <s v="United States"/>
    <s v="Appaloosa Management"/>
    <x v="1"/>
    <s v="U"/>
    <x v="0"/>
    <d v="1957-09-11T00:00:00"/>
    <s v="Tepper"/>
    <s v="David"/>
    <s v="President and Founder"/>
    <d v="2023-04-04T05:01:00"/>
    <s v="Florida"/>
    <s v="South"/>
    <n v="1957"/>
    <n v="117.24"/>
    <n v="7.5"/>
    <n v="21427700000000"/>
    <n v="88.2"/>
    <n v="101.8"/>
    <n v="9.6"/>
    <n v="36.6"/>
    <n v="328239523"/>
  </r>
  <r>
    <x v="77"/>
    <x v="77"/>
    <x v="13"/>
    <x v="90"/>
    <x v="36"/>
    <x v="17"/>
    <x v="48"/>
    <x v="70"/>
    <x v="13"/>
    <s v="Russia"/>
    <m/>
    <x v="1"/>
    <s v="U"/>
    <x v="0"/>
    <d v="1952-11-09T00:00:00"/>
    <s v="Timchenko"/>
    <s v="Gennady"/>
    <m/>
    <d v="2023-04-04T05:01:00"/>
    <m/>
    <m/>
    <n v="1952"/>
    <n v="180.75"/>
    <n v="4.5"/>
    <n v="1699876578871"/>
    <n v="81.900000000000006"/>
    <n v="102.6"/>
    <n v="11.4"/>
    <n v="46.2"/>
    <n v="144373535"/>
  </r>
  <r>
    <x v="78"/>
    <x v="78"/>
    <x v="3"/>
    <x v="91"/>
    <x v="38"/>
    <x v="1"/>
    <x v="61"/>
    <x v="71"/>
    <x v="3"/>
    <s v="United States"/>
    <m/>
    <x v="1"/>
    <s v="D"/>
    <x v="0"/>
    <d v="1962-01-17T00:00:00"/>
    <s v="Gilbert"/>
    <s v="Daniel"/>
    <m/>
    <d v="2023-04-04T05:01:00"/>
    <s v="Michigan"/>
    <s v="Midwest"/>
    <n v="1962"/>
    <n v="117.24"/>
    <n v="7.5"/>
    <n v="21427700000000"/>
    <n v="88.2"/>
    <n v="101.8"/>
    <n v="9.6"/>
    <n v="36.6"/>
    <n v="328239523"/>
  </r>
  <r>
    <x v="79"/>
    <x v="79"/>
    <x v="12"/>
    <x v="92"/>
    <x v="25"/>
    <x v="13"/>
    <x v="32"/>
    <x v="72"/>
    <x v="12"/>
    <s v="India"/>
    <s v="ArcelorMittal (ADR)"/>
    <x v="0"/>
    <s v="D"/>
    <x v="0"/>
    <d v="1950-06-15T00:00:00"/>
    <s v="Mittal"/>
    <s v="Lakshmi"/>
    <s v="Chairman and CEO"/>
    <d v="2023-04-04T05:01:00"/>
    <m/>
    <m/>
    <n v="1950"/>
    <n v="119.62"/>
    <n v="1.7"/>
    <n v="2827113184696"/>
    <n v="60"/>
    <n v="101.2"/>
    <n v="25.5"/>
    <n v="30.6"/>
    <n v="66834405"/>
  </r>
  <r>
    <x v="80"/>
    <x v="80"/>
    <x v="3"/>
    <x v="93"/>
    <x v="37"/>
    <x v="1"/>
    <x v="57"/>
    <x v="28"/>
    <x v="3"/>
    <s v="United States"/>
    <s v="Point72 Asset Management"/>
    <x v="1"/>
    <s v="U"/>
    <x v="0"/>
    <d v="1956-06-11T00:00:00"/>
    <s v="Cohen"/>
    <s v="Steve"/>
    <s v="Founder"/>
    <d v="2023-04-04T05:01:00"/>
    <s v="Connecticut"/>
    <s v="Northeast"/>
    <n v="1956"/>
    <n v="117.24"/>
    <n v="7.5"/>
    <n v="21427700000000"/>
    <n v="88.2"/>
    <n v="101.8"/>
    <n v="9.6"/>
    <n v="36.6"/>
    <n v="328239523"/>
  </r>
  <r>
    <x v="80"/>
    <x v="80"/>
    <x v="3"/>
    <x v="94"/>
    <x v="11"/>
    <x v="1"/>
    <x v="62"/>
    <x v="38"/>
    <x v="3"/>
    <s v="United States"/>
    <s v="Icahn Capital Management"/>
    <x v="1"/>
    <s v="U"/>
    <x v="0"/>
    <d v="1936-02-16T00:00:00"/>
    <s v="Icahn"/>
    <s v="Carl"/>
    <s v="Founder"/>
    <d v="2023-04-04T05:01:00"/>
    <s v="Florida"/>
    <s v="South"/>
    <n v="1936"/>
    <n v="117.24"/>
    <n v="7.5"/>
    <n v="21427700000000"/>
    <n v="88.2"/>
    <n v="101.8"/>
    <n v="9.6"/>
    <n v="36.6"/>
    <n v="328239523"/>
  </r>
  <r>
    <x v="80"/>
    <x v="80"/>
    <x v="12"/>
    <x v="95"/>
    <x v="16"/>
    <x v="3"/>
    <x v="63"/>
    <x v="72"/>
    <x v="12"/>
    <s v="India"/>
    <m/>
    <x v="0"/>
    <s v="D"/>
    <x v="1"/>
    <d v="1950-03-20T00:00:00"/>
    <s v="Jindal"/>
    <s v="Savitri"/>
    <m/>
    <d v="2023-04-04T05:01:00"/>
    <m/>
    <m/>
    <n v="1950"/>
    <n v="180.44"/>
    <n v="7.7"/>
    <n v="2611000000000"/>
    <n v="28.1"/>
    <n v="113"/>
    <n v="11.2"/>
    <n v="49.7"/>
    <n v="1366417754"/>
  </r>
  <r>
    <x v="81"/>
    <x v="81"/>
    <x v="11"/>
    <x v="96"/>
    <x v="40"/>
    <x v="1"/>
    <x v="64"/>
    <x v="36"/>
    <x v="11"/>
    <s v="United States"/>
    <s v="Irvine Company"/>
    <x v="1"/>
    <s v="U"/>
    <x v="0"/>
    <d v="1932-05-11T00:00:00"/>
    <s v="Bren"/>
    <s v="Donald"/>
    <s v="Chairman"/>
    <d v="2023-04-04T05:01:00"/>
    <s v="California"/>
    <s v="West"/>
    <n v="1932"/>
    <n v="117.24"/>
    <n v="7.5"/>
    <n v="21427700000000"/>
    <n v="88.2"/>
    <n v="101.8"/>
    <n v="9.6"/>
    <n v="36.6"/>
    <n v="328239523"/>
  </r>
  <r>
    <x v="81"/>
    <x v="81"/>
    <x v="0"/>
    <x v="97"/>
    <x v="7"/>
    <x v="1"/>
    <x v="65"/>
    <x v="73"/>
    <x v="0"/>
    <s v="United States"/>
    <s v="Menard, Inc."/>
    <x v="1"/>
    <s v="U"/>
    <x v="0"/>
    <d v="1940-01-22T00:00:00"/>
    <s v="Menard"/>
    <s v="John"/>
    <s v="Founder"/>
    <d v="2023-04-04T05:01:00"/>
    <s v="Wisconsin"/>
    <s v="Midwest"/>
    <n v="1940"/>
    <n v="117.24"/>
    <n v="7.5"/>
    <n v="21427700000000"/>
    <n v="88.2"/>
    <n v="101.8"/>
    <n v="9.6"/>
    <n v="36.6"/>
    <n v="328239523"/>
  </r>
  <r>
    <x v="82"/>
    <x v="82"/>
    <x v="4"/>
    <x v="98"/>
    <x v="4"/>
    <x v="1"/>
    <x v="5"/>
    <x v="74"/>
    <x v="4"/>
    <s v="United States"/>
    <s v="News Corp Class A"/>
    <x v="0"/>
    <s v="D"/>
    <x v="0"/>
    <d v="1931-03-11T00:00:00"/>
    <s v="Murdoch"/>
    <s v="Rupert"/>
    <s v="Chairman and CEO"/>
    <d v="2023-04-04T05:01:00"/>
    <s v="New York"/>
    <s v="Northeast"/>
    <n v="1931"/>
    <n v="117.24"/>
    <n v="7.5"/>
    <n v="21427700000000"/>
    <n v="88.2"/>
    <n v="101.8"/>
    <n v="9.6"/>
    <n v="36.6"/>
    <n v="328239523"/>
  </r>
  <r>
    <x v="83"/>
    <x v="83"/>
    <x v="3"/>
    <x v="99"/>
    <x v="36"/>
    <x v="8"/>
    <x v="66"/>
    <x v="75"/>
    <x v="3"/>
    <s v="Brazil"/>
    <m/>
    <x v="0"/>
    <s v="U"/>
    <x v="1"/>
    <d v="1953-01-01T00:00:00"/>
    <s v="Safra"/>
    <s v="Vicky"/>
    <m/>
    <d v="2023-04-04T05:01:00"/>
    <m/>
    <m/>
    <n v="1953"/>
    <n v="99.55"/>
    <n v="0.4"/>
    <n v="703082435360"/>
    <n v="59.6"/>
    <n v="105.2"/>
    <n v="10.1"/>
    <n v="28.8"/>
    <n v="8574832"/>
  </r>
  <r>
    <x v="84"/>
    <x v="84"/>
    <x v="0"/>
    <x v="100"/>
    <x v="25"/>
    <x v="7"/>
    <x v="67"/>
    <x v="76"/>
    <x v="0"/>
    <s v="Germany"/>
    <m/>
    <x v="0"/>
    <s v="D"/>
    <x v="0"/>
    <d v="1951-01-01T00:00:00"/>
    <s v="Albrecht"/>
    <s v="Theo"/>
    <m/>
    <d v="2023-04-04T05:01:00"/>
    <m/>
    <m/>
    <n v="1951"/>
    <n v="112.85"/>
    <n v="1.4"/>
    <n v="3845630030824"/>
    <n v="70.2"/>
    <n v="104"/>
    <n v="11.5"/>
    <n v="48.8"/>
    <n v="83132799"/>
  </r>
  <r>
    <x v="84"/>
    <x v="84"/>
    <x v="3"/>
    <x v="101"/>
    <x v="42"/>
    <x v="20"/>
    <x v="68"/>
    <x v="77"/>
    <x v="3"/>
    <s v="Czech Republic"/>
    <m/>
    <x v="0"/>
    <s v="D"/>
    <x v="1"/>
    <d v="1967-07-04T00:00:00"/>
    <s v="Kellnerova"/>
    <s v="Renata"/>
    <m/>
    <d v="2023-04-04T05:01:00"/>
    <m/>
    <m/>
    <n v="1967"/>
    <n v="116.48"/>
    <n v="2.8"/>
    <n v="246489245495"/>
    <n v="64.099999999999994"/>
    <n v="100.7"/>
    <n v="14.9"/>
    <n v="46.1"/>
    <n v="10669709"/>
  </r>
  <r>
    <x v="85"/>
    <x v="85"/>
    <x v="14"/>
    <x v="102"/>
    <x v="25"/>
    <x v="5"/>
    <x v="26"/>
    <x v="78"/>
    <x v="14"/>
    <s v="Singapore"/>
    <m/>
    <x v="1"/>
    <s v="D"/>
    <x v="0"/>
    <d v="1951-01-01T00:00:00"/>
    <s v="Li"/>
    <s v="Xiting"/>
    <m/>
    <d v="2023-04-04T05:01:00"/>
    <m/>
    <m/>
    <n v="1951"/>
    <n v="125.08"/>
    <n v="2.9"/>
    <n v="19910000000000"/>
    <n v="50.6"/>
    <n v="100.2"/>
    <n v="9.4"/>
    <n v="59.2"/>
    <n v="1397715000"/>
  </r>
  <r>
    <x v="86"/>
    <x v="86"/>
    <x v="0"/>
    <x v="103"/>
    <x v="43"/>
    <x v="21"/>
    <x v="69"/>
    <x v="79"/>
    <x v="0"/>
    <s v="Sweden"/>
    <s v="Hennes &amp; Mauritz Unsponsored ADR"/>
    <x v="0"/>
    <s v="D"/>
    <x v="0"/>
    <d v="1947-10-04T00:00:00"/>
    <s v="Persson"/>
    <s v="Stefan"/>
    <s v="Chairman"/>
    <d v="2023-04-04T05:01:00"/>
    <m/>
    <m/>
    <n v="1947"/>
    <n v="110.51"/>
    <n v="1.8"/>
    <n v="530832908738"/>
    <n v="67"/>
    <n v="126.6"/>
    <n v="27.9"/>
    <n v="49.1"/>
    <n v="10285453"/>
  </r>
  <r>
    <x v="86"/>
    <x v="86"/>
    <x v="2"/>
    <x v="104"/>
    <x v="5"/>
    <x v="1"/>
    <x v="70"/>
    <x v="10"/>
    <x v="2"/>
    <s v="United States"/>
    <m/>
    <x v="1"/>
    <s v="D"/>
    <x v="0"/>
    <d v="1955-04-27T00:00:00"/>
    <s v="Schmidt"/>
    <s v="Eric"/>
    <m/>
    <d v="2023-04-04T05:01:00"/>
    <s v="California"/>
    <s v="West"/>
    <n v="1955"/>
    <n v="117.24"/>
    <n v="7.5"/>
    <n v="21427700000000"/>
    <n v="88.2"/>
    <n v="101.8"/>
    <n v="9.6"/>
    <n v="36.6"/>
    <n v="328239523"/>
  </r>
  <r>
    <x v="87"/>
    <x v="87"/>
    <x v="3"/>
    <x v="105"/>
    <x v="42"/>
    <x v="8"/>
    <x v="33"/>
    <x v="28"/>
    <x v="3"/>
    <s v="United Kingdom"/>
    <s v="BlueCrest Capital Management"/>
    <x v="1"/>
    <s v="U"/>
    <x v="0"/>
    <d v="1968-03-18T00:00:00"/>
    <s v="Platt"/>
    <s v="Michael"/>
    <s v="Founder "/>
    <d v="2023-04-04T05:01:00"/>
    <m/>
    <m/>
    <n v="1968"/>
    <n v="99.55"/>
    <n v="0.4"/>
    <n v="703082435360"/>
    <n v="59.6"/>
    <n v="105.2"/>
    <n v="10.1"/>
    <n v="28.8"/>
    <n v="8574832"/>
  </r>
  <r>
    <x v="88"/>
    <x v="88"/>
    <x v="7"/>
    <x v="106"/>
    <x v="5"/>
    <x v="5"/>
    <x v="49"/>
    <x v="80"/>
    <x v="7"/>
    <s v="China"/>
    <m/>
    <x v="1"/>
    <s v="D"/>
    <x v="0"/>
    <d v="1956-01-19T00:00:00"/>
    <s v="Pang"/>
    <s v="Kang"/>
    <m/>
    <d v="2023-04-04T05:01:00"/>
    <m/>
    <m/>
    <n v="1956"/>
    <n v="125.08"/>
    <n v="2.9"/>
    <n v="19910000000000"/>
    <n v="50.6"/>
    <n v="100.2"/>
    <n v="9.4"/>
    <n v="59.2"/>
    <n v="1397715000"/>
  </r>
  <r>
    <x v="89"/>
    <x v="89"/>
    <x v="0"/>
    <x v="107"/>
    <x v="44"/>
    <x v="7"/>
    <x v="25"/>
    <x v="81"/>
    <x v="0"/>
    <s v="Germany"/>
    <m/>
    <x v="0"/>
    <s v="Split Family Fortune"/>
    <x v="0"/>
    <m/>
    <s v="Albrecht Jr."/>
    <s v="Karl"/>
    <m/>
    <d v="2023-04-04T05:01:00"/>
    <m/>
    <m/>
    <m/>
    <n v="112.85"/>
    <n v="1.4"/>
    <n v="3845630030824"/>
    <n v="70.2"/>
    <n v="104"/>
    <n v="11.5"/>
    <n v="48.8"/>
    <n v="83132799"/>
  </r>
  <r>
    <x v="89"/>
    <x v="89"/>
    <x v="0"/>
    <x v="108"/>
    <x v="44"/>
    <x v="22"/>
    <x v="25"/>
    <x v="81"/>
    <x v="0"/>
    <s v="Germany"/>
    <m/>
    <x v="0"/>
    <s v="Split Family Fortune"/>
    <x v="1"/>
    <m/>
    <s v="Heister"/>
    <s v="Beate"/>
    <m/>
    <d v="2023-04-04T05:01:00"/>
    <m/>
    <m/>
    <m/>
    <m/>
    <m/>
    <m/>
    <m/>
    <m/>
    <m/>
    <m/>
    <m/>
  </r>
  <r>
    <x v="89"/>
    <x v="89"/>
    <x v="7"/>
    <x v="109"/>
    <x v="7"/>
    <x v="8"/>
    <x v="71"/>
    <x v="82"/>
    <x v="7"/>
    <s v="Brazil"/>
    <m/>
    <x v="1"/>
    <s v="U"/>
    <x v="0"/>
    <d v="1939-08-26T00:00:00"/>
    <s v="Lemann"/>
    <s v="Jorge Paulo"/>
    <s v="Investor, Philanthropist"/>
    <d v="2023-04-04T05:01:00"/>
    <m/>
    <m/>
    <n v="1939"/>
    <n v="99.55"/>
    <n v="0.4"/>
    <n v="703082435360"/>
    <n v="59.6"/>
    <n v="105.2"/>
    <n v="10.1"/>
    <n v="28.8"/>
    <n v="8574832"/>
  </r>
  <r>
    <x v="89"/>
    <x v="89"/>
    <x v="11"/>
    <x v="110"/>
    <x v="31"/>
    <x v="10"/>
    <x v="36"/>
    <x v="36"/>
    <x v="11"/>
    <s v="Hong Kong"/>
    <m/>
    <x v="0"/>
    <s v="D"/>
    <x v="0"/>
    <d v="1946-09-05T00:00:00"/>
    <s v="Woo"/>
    <s v="Peter"/>
    <m/>
    <d v="2023-04-04T05:01:00"/>
    <m/>
    <m/>
    <n v="1946"/>
    <m/>
    <m/>
    <m/>
    <m/>
    <m/>
    <m/>
    <m/>
    <m/>
  </r>
  <r>
    <x v="90"/>
    <x v="90"/>
    <x v="14"/>
    <x v="111"/>
    <x v="5"/>
    <x v="3"/>
    <x v="7"/>
    <x v="83"/>
    <x v="14"/>
    <s v="India"/>
    <m/>
    <x v="1"/>
    <s v="E"/>
    <x v="0"/>
    <d v="1955-10-01T00:00:00"/>
    <s v="Shanghvi"/>
    <s v="Dilip"/>
    <m/>
    <d v="2023-04-04T05:01:00"/>
    <m/>
    <m/>
    <n v="1955"/>
    <n v="180.44"/>
    <n v="7.7"/>
    <n v="2611000000000"/>
    <n v="28.1"/>
    <n v="113"/>
    <n v="11.2"/>
    <n v="49.7"/>
    <n v="1366417754"/>
  </r>
  <r>
    <x v="91"/>
    <x v="91"/>
    <x v="2"/>
    <x v="112"/>
    <x v="45"/>
    <x v="1"/>
    <x v="72"/>
    <x v="84"/>
    <x v="2"/>
    <s v="United States"/>
    <s v="Ubiquiti"/>
    <x v="1"/>
    <s v="U"/>
    <x v="0"/>
    <d v="1978-03-10T00:00:00"/>
    <s v="Pera"/>
    <s v="Robert"/>
    <s v="Chief Executive Officer"/>
    <d v="2023-04-04T05:01:00"/>
    <s v="California"/>
    <s v="West"/>
    <n v="1978"/>
    <n v="117.24"/>
    <n v="7.5"/>
    <n v="21427700000000"/>
    <n v="88.2"/>
    <n v="101.8"/>
    <n v="9.6"/>
    <n v="36.6"/>
    <n v="328239523"/>
  </r>
  <r>
    <x v="92"/>
    <x v="92"/>
    <x v="0"/>
    <x v="113"/>
    <x v="13"/>
    <x v="3"/>
    <x v="7"/>
    <x v="85"/>
    <x v="0"/>
    <s v="India"/>
    <m/>
    <x v="1"/>
    <s v="D"/>
    <x v="0"/>
    <d v="1955-01-01T00:00:00"/>
    <s v="Damani"/>
    <s v="Radhakishan"/>
    <m/>
    <d v="2023-04-04T05:01:00"/>
    <m/>
    <m/>
    <n v="1955"/>
    <n v="180.44"/>
    <n v="7.7"/>
    <n v="2611000000000"/>
    <n v="28.1"/>
    <n v="113"/>
    <n v="11.2"/>
    <n v="49.7"/>
    <n v="1366417754"/>
  </r>
  <r>
    <x v="93"/>
    <x v="93"/>
    <x v="1"/>
    <x v="114"/>
    <x v="32"/>
    <x v="5"/>
    <x v="30"/>
    <x v="30"/>
    <x v="1"/>
    <s v="China"/>
    <m/>
    <x v="1"/>
    <s v="D"/>
    <x v="0"/>
    <d v="1967-01-01T00:00:00"/>
    <s v="Huang"/>
    <s v="Shilin"/>
    <m/>
    <d v="2023-04-04T05:01:00"/>
    <m/>
    <m/>
    <n v="1967"/>
    <n v="125.08"/>
    <n v="2.9"/>
    <n v="19910000000000"/>
    <n v="50.6"/>
    <n v="100.2"/>
    <n v="9.4"/>
    <n v="59.2"/>
    <n v="1397715000"/>
  </r>
  <r>
    <x v="94"/>
    <x v="94"/>
    <x v="6"/>
    <x v="115"/>
    <x v="7"/>
    <x v="23"/>
    <x v="73"/>
    <x v="8"/>
    <x v="6"/>
    <s v="Thailand"/>
    <m/>
    <x v="0"/>
    <s v="U"/>
    <x v="0"/>
    <d v="1939-04-19T00:00:00"/>
    <s v="Chearavanont"/>
    <s v="Dhanin"/>
    <m/>
    <d v="2023-04-04T05:01:00"/>
    <m/>
    <m/>
    <n v="1939"/>
    <n v="113.27"/>
    <n v="0.7"/>
    <n v="543649976166"/>
    <n v="49.3"/>
    <n v="99.8"/>
    <n v="14.9"/>
    <n v="29.5"/>
    <n v="69625582"/>
  </r>
  <r>
    <x v="94"/>
    <x v="94"/>
    <x v="0"/>
    <x v="116"/>
    <x v="6"/>
    <x v="1"/>
    <x v="60"/>
    <x v="21"/>
    <x v="0"/>
    <s v="United States"/>
    <s v="Hobby Lobby"/>
    <x v="1"/>
    <s v="U"/>
    <x v="0"/>
    <d v="1941-11-13T00:00:00"/>
    <s v="Green"/>
    <s v="David"/>
    <s v="CEO"/>
    <d v="2023-04-04T05:01:00"/>
    <s v="Oklahoma"/>
    <s v="South"/>
    <n v="1941"/>
    <n v="117.24"/>
    <n v="7.5"/>
    <n v="21427700000000"/>
    <n v="88.2"/>
    <n v="101.8"/>
    <n v="9.6"/>
    <n v="36.6"/>
    <n v="328239523"/>
  </r>
  <r>
    <x v="95"/>
    <x v="95"/>
    <x v="7"/>
    <x v="117"/>
    <x v="3"/>
    <x v="23"/>
    <x v="73"/>
    <x v="86"/>
    <x v="7"/>
    <s v="Thailand"/>
    <m/>
    <x v="1"/>
    <s v="U"/>
    <x v="0"/>
    <d v="1944-05-02T00:00:00"/>
    <s v="Sirivadhanabhakdi"/>
    <s v="Charoen"/>
    <m/>
    <d v="2023-04-04T05:01:00"/>
    <m/>
    <m/>
    <n v="1944"/>
    <n v="113.27"/>
    <n v="0.7"/>
    <n v="543649976166"/>
    <n v="49.3"/>
    <n v="99.8"/>
    <n v="14.9"/>
    <n v="29.5"/>
    <n v="69625582"/>
  </r>
  <r>
    <x v="96"/>
    <x v="96"/>
    <x v="7"/>
    <x v="118"/>
    <x v="13"/>
    <x v="13"/>
    <x v="32"/>
    <x v="87"/>
    <x v="7"/>
    <s v="Netherlands"/>
    <m/>
    <x v="0"/>
    <s v="D"/>
    <x v="1"/>
    <d v="1954-06-30T00:00:00"/>
    <s v="de Carvalho-Heineken"/>
    <s v="Charlene"/>
    <m/>
    <d v="2023-04-04T05:01:00"/>
    <m/>
    <m/>
    <n v="1954"/>
    <n v="119.62"/>
    <n v="1.7"/>
    <n v="2827113184696"/>
    <n v="60"/>
    <n v="101.2"/>
    <n v="25.5"/>
    <n v="30.6"/>
    <n v="66834405"/>
  </r>
  <r>
    <x v="97"/>
    <x v="97"/>
    <x v="14"/>
    <x v="119"/>
    <x v="15"/>
    <x v="5"/>
    <x v="26"/>
    <x v="78"/>
    <x v="14"/>
    <s v="Hong Kong"/>
    <m/>
    <x v="1"/>
    <s v="D"/>
    <x v="0"/>
    <d v="1962-05-22T00:00:00"/>
    <s v="Xu"/>
    <s v="Hang"/>
    <m/>
    <d v="2023-04-04T05:01:00"/>
    <m/>
    <m/>
    <n v="1962"/>
    <n v="125.08"/>
    <n v="2.9"/>
    <n v="19910000000000"/>
    <n v="50.6"/>
    <n v="100.2"/>
    <n v="9.4"/>
    <n v="59.2"/>
    <n v="1397715000"/>
  </r>
  <r>
    <x v="98"/>
    <x v="98"/>
    <x v="1"/>
    <x v="120"/>
    <x v="2"/>
    <x v="5"/>
    <x v="74"/>
    <x v="64"/>
    <x v="1"/>
    <s v="China"/>
    <m/>
    <x v="1"/>
    <s v="D"/>
    <x v="0"/>
    <d v="1964-03-01T00:00:00"/>
    <s v="Wei"/>
    <s v="Jianjun"/>
    <m/>
    <d v="2023-04-04T05:01:00"/>
    <m/>
    <m/>
    <n v="1964"/>
    <n v="125.08"/>
    <n v="2.9"/>
    <n v="19910000000000"/>
    <n v="50.6"/>
    <n v="100.2"/>
    <n v="9.4"/>
    <n v="59.2"/>
    <n v="1397715000"/>
  </r>
  <r>
    <x v="99"/>
    <x v="99"/>
    <x v="12"/>
    <x v="121"/>
    <x v="9"/>
    <x v="24"/>
    <x v="75"/>
    <x v="88"/>
    <x v="12"/>
    <s v="Russia"/>
    <s v="Metalloinvest"/>
    <x v="1"/>
    <s v="U"/>
    <x v="0"/>
    <d v="1953-09-09T00:00:00"/>
    <s v="Usmanov"/>
    <s v="Alisher"/>
    <s v="Founder"/>
    <d v="2023-04-04T05:01:00"/>
    <m/>
    <m/>
    <n v="1953"/>
    <m/>
    <m/>
    <n v="57921286440"/>
    <n v="10.1"/>
    <n v="104.2"/>
    <n v="14.8"/>
    <n v="31.6"/>
    <n v="33580650"/>
  </r>
  <r>
    <x v="100"/>
    <x v="100"/>
    <x v="10"/>
    <x v="122"/>
    <x v="28"/>
    <x v="25"/>
    <x v="76"/>
    <x v="89"/>
    <x v="10"/>
    <s v="Singapore"/>
    <m/>
    <x v="1"/>
    <s v="U"/>
    <x v="0"/>
    <d v="1927-06-27T00:00:00"/>
    <s v="Goh"/>
    <s v="Cheng Liang"/>
    <m/>
    <d v="2023-04-04T05:01:00"/>
    <m/>
    <m/>
    <n v="1927"/>
    <n v="114.41"/>
    <n v="0.6"/>
    <n v="372062527489"/>
    <n v="84.8"/>
    <n v="100.6"/>
    <n v="13.1"/>
    <n v="21"/>
    <n v="5703569"/>
  </r>
  <r>
    <x v="101"/>
    <x v="101"/>
    <x v="6"/>
    <x v="123"/>
    <x v="42"/>
    <x v="3"/>
    <x v="7"/>
    <x v="90"/>
    <x v="6"/>
    <s v="India"/>
    <m/>
    <x v="0"/>
    <s v="D"/>
    <x v="0"/>
    <d v="1967-06-14T00:00:00"/>
    <s v="Birla"/>
    <s v="Kumar"/>
    <m/>
    <d v="2023-04-04T05:01:00"/>
    <m/>
    <m/>
    <n v="1967"/>
    <n v="180.44"/>
    <n v="7.7"/>
    <n v="2611000000000"/>
    <n v="28.1"/>
    <n v="113"/>
    <n v="11.2"/>
    <n v="49.7"/>
    <n v="1366417754"/>
  </r>
  <r>
    <x v="101"/>
    <x v="101"/>
    <x v="10"/>
    <x v="124"/>
    <x v="8"/>
    <x v="26"/>
    <x v="77"/>
    <x v="91"/>
    <x v="10"/>
    <s v="Nigeria"/>
    <s v="Dangote Group"/>
    <x v="1"/>
    <s v="U"/>
    <x v="0"/>
    <d v="1957-04-10T00:00:00"/>
    <s v="Dangote"/>
    <s v="Aliko"/>
    <s v="CEO"/>
    <d v="2023-04-04T05:01:00"/>
    <m/>
    <m/>
    <n v="1957"/>
    <n v="267.51"/>
    <n v="11.4"/>
    <n v="448120428859"/>
    <n v="10.199999999999999"/>
    <n v="84.7"/>
    <n v="1.5"/>
    <n v="34.799999999999997"/>
    <n v="200963599"/>
  </r>
  <r>
    <x v="102"/>
    <x v="102"/>
    <x v="11"/>
    <x v="125"/>
    <x v="46"/>
    <x v="10"/>
    <x v="36"/>
    <x v="36"/>
    <x v="11"/>
    <s v="Hong Kong"/>
    <m/>
    <x v="0"/>
    <s v="U"/>
    <x v="1"/>
    <d v="1929-12-02T00:00:00"/>
    <s v="Kwong"/>
    <s v="Siu-hing"/>
    <m/>
    <d v="2023-04-04T05:01:00"/>
    <m/>
    <m/>
    <n v="1929"/>
    <m/>
    <m/>
    <m/>
    <m/>
    <m/>
    <m/>
    <m/>
    <m/>
  </r>
  <r>
    <x v="103"/>
    <x v="103"/>
    <x v="6"/>
    <x v="126"/>
    <x v="5"/>
    <x v="13"/>
    <x v="32"/>
    <x v="23"/>
    <x v="6"/>
    <s v="Israel"/>
    <m/>
    <x v="0"/>
    <s v="U"/>
    <x v="0"/>
    <d v="1955-10-02T00:00:00"/>
    <s v="Ofer"/>
    <s v="Idan"/>
    <m/>
    <d v="2023-04-04T05:01:00"/>
    <m/>
    <m/>
    <n v="1955"/>
    <n v="119.62"/>
    <n v="1.7"/>
    <n v="2827113184696"/>
    <n v="60"/>
    <n v="101.2"/>
    <n v="25.5"/>
    <n v="30.6"/>
    <n v="66834405"/>
  </r>
  <r>
    <x v="104"/>
    <x v="104"/>
    <x v="14"/>
    <x v="127"/>
    <x v="41"/>
    <x v="5"/>
    <x v="78"/>
    <x v="63"/>
    <x v="14"/>
    <s v="China"/>
    <m/>
    <x v="1"/>
    <s v="U"/>
    <x v="0"/>
    <d v="1965-09-01T00:00:00"/>
    <s v="Chen"/>
    <s v="Bang"/>
    <m/>
    <d v="2023-04-04T05:01:00"/>
    <m/>
    <m/>
    <n v="1965"/>
    <n v="125.08"/>
    <n v="2.9"/>
    <n v="19910000000000"/>
    <n v="50.6"/>
    <n v="100.2"/>
    <n v="9.4"/>
    <n v="59.2"/>
    <n v="1397715000"/>
  </r>
  <r>
    <x v="104"/>
    <x v="104"/>
    <x v="9"/>
    <x v="128"/>
    <x v="21"/>
    <x v="10"/>
    <x v="36"/>
    <x v="92"/>
    <x v="9"/>
    <s v="Hong Kong"/>
    <m/>
    <x v="1"/>
    <s v="U"/>
    <x v="0"/>
    <d v="1929-04-01T00:00:00"/>
    <s v="Lui"/>
    <s v="Che Woo"/>
    <m/>
    <d v="2023-04-04T05:01:00"/>
    <m/>
    <m/>
    <n v="1929"/>
    <m/>
    <m/>
    <m/>
    <m/>
    <m/>
    <m/>
    <m/>
    <m/>
  </r>
  <r>
    <x v="105"/>
    <x v="105"/>
    <x v="8"/>
    <x v="129"/>
    <x v="3"/>
    <x v="13"/>
    <x v="32"/>
    <x v="23"/>
    <x v="8"/>
    <s v="Cyprus"/>
    <m/>
    <x v="1"/>
    <s v="U"/>
    <x v="0"/>
    <d v="1945-02-01T00:00:00"/>
    <s v="Fredriksen"/>
    <s v="John"/>
    <s v="Investor"/>
    <d v="2023-04-04T05:01:00"/>
    <m/>
    <m/>
    <n v="1945"/>
    <n v="119.62"/>
    <n v="1.7"/>
    <n v="2827113184696"/>
    <n v="60"/>
    <n v="101.2"/>
    <n v="25.5"/>
    <n v="30.6"/>
    <n v="66834405"/>
  </r>
  <r>
    <x v="105"/>
    <x v="105"/>
    <x v="16"/>
    <x v="130"/>
    <x v="31"/>
    <x v="1"/>
    <x v="79"/>
    <x v="93"/>
    <x v="16"/>
    <s v="United States"/>
    <s v="ABC Supply"/>
    <x v="1"/>
    <s v="U"/>
    <x v="1"/>
    <d v="1947-03-02T00:00:00"/>
    <s v="Hendricks"/>
    <s v="Diane"/>
    <s v="Cofounder"/>
    <d v="2023-04-04T05:01:00"/>
    <s v="Wisconsin"/>
    <s v="Midwest"/>
    <n v="1947"/>
    <n v="117.24"/>
    <n v="7.5"/>
    <n v="21427700000000"/>
    <n v="88.2"/>
    <n v="101.8"/>
    <n v="9.6"/>
    <n v="36.6"/>
    <n v="328239523"/>
  </r>
  <r>
    <x v="105"/>
    <x v="105"/>
    <x v="2"/>
    <x v="131"/>
    <x v="47"/>
    <x v="1"/>
    <x v="70"/>
    <x v="94"/>
    <x v="2"/>
    <s v="United States"/>
    <s v="WhatsApp Inc."/>
    <x v="1"/>
    <s v="U"/>
    <x v="0"/>
    <d v="1976-02-24T00:00:00"/>
    <s v="Koum"/>
    <s v="Jan"/>
    <s v="CEO, cofounder"/>
    <d v="2023-04-04T05:01:00"/>
    <s v="California"/>
    <s v="West"/>
    <n v="1976"/>
    <n v="117.24"/>
    <n v="7.5"/>
    <n v="21427700000000"/>
    <n v="88.2"/>
    <n v="101.8"/>
    <n v="9.6"/>
    <n v="36.6"/>
    <n v="328239523"/>
  </r>
  <r>
    <x v="106"/>
    <x v="106"/>
    <x v="17"/>
    <x v="132"/>
    <x v="35"/>
    <x v="1"/>
    <x v="80"/>
    <x v="95"/>
    <x v="17"/>
    <s v="United States"/>
    <s v="Dallas Cowboys"/>
    <x v="1"/>
    <s v="U"/>
    <x v="0"/>
    <d v="1942-10-13T00:00:00"/>
    <s v="Jones"/>
    <s v="Jerry"/>
    <s v="President and General Manager"/>
    <d v="2023-04-04T05:01:00"/>
    <s v="Texas"/>
    <s v="South"/>
    <n v="1942"/>
    <n v="117.24"/>
    <n v="7.5"/>
    <n v="21427700000000"/>
    <n v="88.2"/>
    <n v="101.8"/>
    <n v="9.6"/>
    <n v="36.6"/>
    <n v="328239523"/>
  </r>
  <r>
    <x v="106"/>
    <x v="106"/>
    <x v="13"/>
    <x v="133"/>
    <x v="35"/>
    <x v="1"/>
    <x v="81"/>
    <x v="96"/>
    <x v="13"/>
    <s v="United States"/>
    <s v="BOK Financial Corp."/>
    <x v="0"/>
    <s v="U"/>
    <x v="0"/>
    <d v="1942-07-29T00:00:00"/>
    <s v="Kaiser"/>
    <s v="George"/>
    <s v="Chairman"/>
    <d v="2023-04-04T05:01:00"/>
    <s v="Oklahoma"/>
    <s v="South"/>
    <n v="1942"/>
    <n v="117.24"/>
    <n v="7.5"/>
    <n v="21427700000000"/>
    <n v="88.2"/>
    <n v="101.8"/>
    <n v="9.6"/>
    <n v="36.6"/>
    <n v="328239523"/>
  </r>
  <r>
    <x v="106"/>
    <x v="106"/>
    <x v="11"/>
    <x v="134"/>
    <x v="48"/>
    <x v="10"/>
    <x v="36"/>
    <x v="36"/>
    <x v="11"/>
    <s v="Hong Kong"/>
    <m/>
    <x v="1"/>
    <s v="D"/>
    <x v="0"/>
    <d v="1951-07-21T00:00:00"/>
    <s v="Lau"/>
    <s v="Joseph"/>
    <m/>
    <d v="2023-04-04T05:01:00"/>
    <m/>
    <m/>
    <n v="1951"/>
    <m/>
    <m/>
    <m/>
    <m/>
    <m/>
    <m/>
    <m/>
    <m/>
  </r>
  <r>
    <x v="107"/>
    <x v="107"/>
    <x v="1"/>
    <x v="135"/>
    <x v="15"/>
    <x v="5"/>
    <x v="82"/>
    <x v="97"/>
    <x v="1"/>
    <s v="China"/>
    <m/>
    <x v="1"/>
    <s v="D"/>
    <x v="0"/>
    <d v="1962-12-28T00:00:00"/>
    <s v="Lu"/>
    <s v="Xiangyang"/>
    <m/>
    <d v="2023-04-04T05:01:00"/>
    <m/>
    <m/>
    <n v="1962"/>
    <n v="125.08"/>
    <n v="2.9"/>
    <n v="19910000000000"/>
    <n v="50.6"/>
    <n v="100.2"/>
    <n v="9.4"/>
    <n v="59.2"/>
    <n v="1397715000"/>
  </r>
  <r>
    <x v="108"/>
    <x v="108"/>
    <x v="11"/>
    <x v="136"/>
    <x v="40"/>
    <x v="14"/>
    <x v="83"/>
    <x v="36"/>
    <x v="11"/>
    <s v="Australia"/>
    <m/>
    <x v="1"/>
    <s v="U"/>
    <x v="0"/>
    <d v="1933-03-03T00:00:00"/>
    <s v="Triguboff"/>
    <s v="Harry"/>
    <m/>
    <d v="2023-04-04T05:01:00"/>
    <m/>
    <m/>
    <n v="1933"/>
    <n v="119.8"/>
    <n v="1.6"/>
    <n v="1392680589329"/>
    <n v="113.1"/>
    <n v="100.3"/>
    <n v="23"/>
    <n v="47.4"/>
    <n v="25766605"/>
  </r>
  <r>
    <x v="109"/>
    <x v="109"/>
    <x v="3"/>
    <x v="137"/>
    <x v="29"/>
    <x v="3"/>
    <x v="7"/>
    <x v="75"/>
    <x v="3"/>
    <s v="India"/>
    <m/>
    <x v="1"/>
    <s v="D"/>
    <x v="0"/>
    <d v="1959-03-15T00:00:00"/>
    <s v="Kotak"/>
    <s v="Uday"/>
    <m/>
    <d v="2023-04-04T05:01:00"/>
    <m/>
    <m/>
    <n v="1959"/>
    <n v="180.44"/>
    <n v="7.7"/>
    <n v="2611000000000"/>
    <n v="28.1"/>
    <n v="113"/>
    <n v="11.2"/>
    <n v="49.7"/>
    <n v="1366417754"/>
  </r>
  <r>
    <x v="109"/>
    <x v="109"/>
    <x v="17"/>
    <x v="138"/>
    <x v="43"/>
    <x v="1"/>
    <x v="84"/>
    <x v="98"/>
    <x v="17"/>
    <s v="United States"/>
    <m/>
    <x v="1"/>
    <s v="U"/>
    <x v="0"/>
    <d v="1947-07-29T00:00:00"/>
    <s v="Kroenke"/>
    <s v="Stanley"/>
    <m/>
    <d v="2023-04-04T05:01:00"/>
    <s v="Texas"/>
    <s v="South"/>
    <n v="1947"/>
    <n v="117.24"/>
    <n v="7.5"/>
    <n v="21427700000000"/>
    <n v="88.2"/>
    <n v="101.8"/>
    <n v="9.6"/>
    <n v="36.6"/>
    <n v="328239523"/>
  </r>
  <r>
    <x v="110"/>
    <x v="110"/>
    <x v="13"/>
    <x v="139"/>
    <x v="17"/>
    <x v="13"/>
    <x v="32"/>
    <x v="99"/>
    <x v="13"/>
    <s v="Russia"/>
    <m/>
    <x v="1"/>
    <s v="U"/>
    <x v="0"/>
    <d v="1964-04-21T00:00:00"/>
    <s v="Fridman"/>
    <s v="Mikhail"/>
    <m/>
    <d v="2023-04-04T05:01:00"/>
    <m/>
    <m/>
    <n v="1964"/>
    <n v="119.62"/>
    <n v="1.7"/>
    <n v="2827113184696"/>
    <n v="60"/>
    <n v="101.2"/>
    <n v="25.5"/>
    <n v="30.6"/>
    <n v="66834405"/>
  </r>
  <r>
    <x v="111"/>
    <x v="111"/>
    <x v="13"/>
    <x v="140"/>
    <x v="41"/>
    <x v="23"/>
    <x v="73"/>
    <x v="100"/>
    <x v="13"/>
    <s v="Thailand"/>
    <m/>
    <x v="1"/>
    <s v="U"/>
    <x v="0"/>
    <d v="1965-07-12T00:00:00"/>
    <s v="Ratanavadi"/>
    <s v="Sarath"/>
    <m/>
    <d v="2023-04-04T05:01:00"/>
    <m/>
    <m/>
    <n v="1965"/>
    <n v="113.27"/>
    <n v="0.7"/>
    <n v="543649976166"/>
    <n v="49.3"/>
    <n v="99.8"/>
    <n v="14.9"/>
    <n v="29.5"/>
    <n v="69625582"/>
  </r>
  <r>
    <x v="112"/>
    <x v="112"/>
    <x v="12"/>
    <x v="141"/>
    <x v="10"/>
    <x v="5"/>
    <x v="85"/>
    <x v="43"/>
    <x v="12"/>
    <s v="China"/>
    <m/>
    <x v="1"/>
    <s v="D"/>
    <x v="0"/>
    <d v="1973-02-01T00:00:00"/>
    <s v="Dang"/>
    <s v="Yanbao"/>
    <m/>
    <d v="2023-04-04T05:01:00"/>
    <m/>
    <m/>
    <n v="1973"/>
    <n v="125.08"/>
    <n v="2.9"/>
    <n v="19910000000000"/>
    <n v="50.6"/>
    <n v="100.2"/>
    <n v="9.4"/>
    <n v="59.2"/>
    <n v="1397715000"/>
  </r>
  <r>
    <x v="112"/>
    <x v="112"/>
    <x v="14"/>
    <x v="142"/>
    <x v="9"/>
    <x v="5"/>
    <x v="86"/>
    <x v="51"/>
    <x v="14"/>
    <s v="China"/>
    <m/>
    <x v="1"/>
    <s v="D"/>
    <x v="0"/>
    <d v="1953-10-08T00:00:00"/>
    <s v="Jiang"/>
    <s v="Rensheng"/>
    <m/>
    <d v="2023-04-04T05:01:00"/>
    <m/>
    <m/>
    <n v="1953"/>
    <n v="125.08"/>
    <n v="2.9"/>
    <n v="19910000000000"/>
    <n v="50.6"/>
    <n v="100.2"/>
    <n v="9.4"/>
    <n v="59.2"/>
    <n v="1397715000"/>
  </r>
  <r>
    <x v="113"/>
    <x v="113"/>
    <x v="1"/>
    <x v="143"/>
    <x v="25"/>
    <x v="1"/>
    <x v="87"/>
    <x v="101"/>
    <x v="1"/>
    <s v="United States"/>
    <m/>
    <x v="1"/>
    <s v="U"/>
    <x v="0"/>
    <d v="1950-07-18T00:00:00"/>
    <s v="Khan"/>
    <s v="Shahid"/>
    <m/>
    <d v="2023-04-04T05:01:00"/>
    <s v="Florida"/>
    <s v="South"/>
    <n v="1950"/>
    <n v="117.24"/>
    <n v="7.5"/>
    <n v="21427700000000"/>
    <n v="88.2"/>
    <n v="101.8"/>
    <n v="9.6"/>
    <n v="36.6"/>
    <n v="328239523"/>
  </r>
  <r>
    <x v="114"/>
    <x v="114"/>
    <x v="2"/>
    <x v="144"/>
    <x v="2"/>
    <x v="1"/>
    <x v="9"/>
    <x v="102"/>
    <x v="2"/>
    <s v="United States"/>
    <s v="Emerson Collective"/>
    <x v="0"/>
    <s v="D"/>
    <x v="1"/>
    <d v="1963-11-06T00:00:00"/>
    <s v="Powell Jobs"/>
    <s v="Laurene"/>
    <s v="Investor, Philanthropist"/>
    <d v="2023-04-04T05:01:00"/>
    <s v="California"/>
    <s v="West"/>
    <n v="1963"/>
    <n v="117.24"/>
    <n v="7.5"/>
    <n v="21427700000000"/>
    <n v="88.2"/>
    <n v="101.8"/>
    <n v="9.6"/>
    <n v="36.6"/>
    <n v="328239523"/>
  </r>
  <r>
    <x v="115"/>
    <x v="115"/>
    <x v="6"/>
    <x v="145"/>
    <x v="49"/>
    <x v="10"/>
    <x v="36"/>
    <x v="103"/>
    <x v="6"/>
    <s v="Malaysia"/>
    <m/>
    <x v="1"/>
    <s v="U"/>
    <x v="0"/>
    <d v="1923-10-06T00:00:00"/>
    <s v="Kuok"/>
    <s v="Robert"/>
    <m/>
    <d v="2023-04-04T05:01:00"/>
    <m/>
    <m/>
    <n v="1923"/>
    <m/>
    <m/>
    <m/>
    <m/>
    <m/>
    <m/>
    <m/>
    <m/>
  </r>
  <r>
    <x v="116"/>
    <x v="116"/>
    <x v="11"/>
    <x v="146"/>
    <x v="26"/>
    <x v="1"/>
    <x v="5"/>
    <x v="36"/>
    <x v="11"/>
    <s v="United States"/>
    <m/>
    <x v="1"/>
    <s v="U"/>
    <x v="0"/>
    <d v="1940-05-10T00:00:00"/>
    <s v="Ross"/>
    <s v="Stephen"/>
    <m/>
    <d v="2023-04-04T05:01:00"/>
    <s v="New York"/>
    <s v="Northeast"/>
    <n v="1940"/>
    <n v="117.24"/>
    <n v="7.5"/>
    <n v="21427700000000"/>
    <n v="88.2"/>
    <n v="101.8"/>
    <n v="9.6"/>
    <n v="36.6"/>
    <n v="328239523"/>
  </r>
  <r>
    <x v="117"/>
    <x v="117"/>
    <x v="2"/>
    <x v="147"/>
    <x v="14"/>
    <x v="16"/>
    <x v="88"/>
    <x v="104"/>
    <x v="2"/>
    <s v="United Arab Emirates"/>
    <m/>
    <x v="1"/>
    <s v="D"/>
    <x v="0"/>
    <d v="1984-10-10T00:00:00"/>
    <s v="Durov"/>
    <s v="Pavel"/>
    <m/>
    <d v="2023-04-04T05:01:00"/>
    <m/>
    <m/>
    <n v="1984"/>
    <n v="114.52"/>
    <n v="-1.9"/>
    <n v="421142267938"/>
    <n v="36.799999999999997"/>
    <n v="108.4"/>
    <n v="0.1"/>
    <n v="15.9"/>
    <n v="9770529"/>
  </r>
  <r>
    <x v="117"/>
    <x v="117"/>
    <x v="14"/>
    <x v="148"/>
    <x v="16"/>
    <x v="7"/>
    <x v="89"/>
    <x v="83"/>
    <x v="14"/>
    <s v="Germany"/>
    <m/>
    <x v="1"/>
    <s v="D"/>
    <x v="0"/>
    <d v="1950-02-16T00:00:00"/>
    <s v="Struengmann"/>
    <s v="Andreas"/>
    <m/>
    <d v="2023-04-04T05:01:00"/>
    <m/>
    <m/>
    <n v="1950"/>
    <n v="112.85"/>
    <n v="1.4"/>
    <n v="3845630030824"/>
    <n v="70.2"/>
    <n v="104"/>
    <n v="11.5"/>
    <n v="48.8"/>
    <n v="83132799"/>
  </r>
  <r>
    <x v="117"/>
    <x v="117"/>
    <x v="14"/>
    <x v="149"/>
    <x v="16"/>
    <x v="7"/>
    <x v="89"/>
    <x v="83"/>
    <x v="14"/>
    <s v="Germany"/>
    <m/>
    <x v="1"/>
    <s v="D"/>
    <x v="0"/>
    <d v="1950-02-16T00:00:00"/>
    <s v="Struengmann"/>
    <s v="Thomas"/>
    <m/>
    <d v="2023-04-04T05:01:00"/>
    <m/>
    <m/>
    <n v="1950"/>
    <n v="112.85"/>
    <n v="1.4"/>
    <n v="3845630030824"/>
    <n v="70.2"/>
    <n v="104"/>
    <n v="11.5"/>
    <n v="48.8"/>
    <n v="83132799"/>
  </r>
  <r>
    <x v="118"/>
    <x v="118"/>
    <x v="7"/>
    <x v="150"/>
    <x v="2"/>
    <x v="5"/>
    <x v="90"/>
    <x v="105"/>
    <x v="7"/>
    <s v="China"/>
    <m/>
    <x v="1"/>
    <s v="D"/>
    <x v="0"/>
    <d v="1964-01-01T00:00:00"/>
    <s v="Liu"/>
    <s v="Hanyuan"/>
    <m/>
    <d v="2023-04-04T05:01:00"/>
    <m/>
    <m/>
    <n v="1964"/>
    <n v="125.08"/>
    <n v="2.9"/>
    <n v="19910000000000"/>
    <n v="50.6"/>
    <n v="100.2"/>
    <n v="9.4"/>
    <n v="59.2"/>
    <n v="1397715000"/>
  </r>
  <r>
    <x v="118"/>
    <x v="118"/>
    <x v="0"/>
    <x v="151"/>
    <x v="10"/>
    <x v="1"/>
    <x v="91"/>
    <x v="106"/>
    <x v="0"/>
    <s v="United States"/>
    <s v="Kynetic"/>
    <x v="1"/>
    <s v="U"/>
    <x v="0"/>
    <d v="1972-07-21T00:00:00"/>
    <s v="Rubin"/>
    <s v="Michael"/>
    <s v="CEO"/>
    <d v="2023-04-04T05:01:00"/>
    <s v="Pennsylvania"/>
    <s v="Northeast"/>
    <n v="1972"/>
    <n v="117.24"/>
    <n v="7.5"/>
    <n v="21427700000000"/>
    <n v="88.2"/>
    <n v="101.8"/>
    <n v="9.6"/>
    <n v="36.6"/>
    <n v="328239523"/>
  </r>
  <r>
    <x v="119"/>
    <x v="119"/>
    <x v="3"/>
    <x v="152"/>
    <x v="0"/>
    <x v="1"/>
    <x v="5"/>
    <x v="28"/>
    <x v="3"/>
    <s v="United States"/>
    <s v="Millennium Management, L.L.C."/>
    <x v="1"/>
    <s v="D"/>
    <x v="0"/>
    <d v="1948-09-30T00:00:00"/>
    <s v="Englander"/>
    <s v="Israel"/>
    <s v="Founder"/>
    <d v="2023-04-04T05:01:00"/>
    <s v="New York"/>
    <s v="Northeast"/>
    <n v="1948"/>
    <n v="117.24"/>
    <n v="7.5"/>
    <n v="21427700000000"/>
    <n v="88.2"/>
    <n v="101.8"/>
    <n v="9.6"/>
    <n v="36.6"/>
    <n v="328239523"/>
  </r>
  <r>
    <x v="119"/>
    <x v="119"/>
    <x v="10"/>
    <x v="153"/>
    <x v="9"/>
    <x v="27"/>
    <x v="92"/>
    <x v="107"/>
    <x v="10"/>
    <s v="Russia"/>
    <m/>
    <x v="1"/>
    <s v="U"/>
    <x v="0"/>
    <d v="1953-09-08T00:00:00"/>
    <s v="Kantor"/>
    <s v="Viatcheslav"/>
    <m/>
    <d v="2023-04-04T05:01:00"/>
    <m/>
    <m/>
    <n v="1953"/>
    <n v="108.15"/>
    <n v="0.8"/>
    <n v="395098666122"/>
    <n v="63.4"/>
    <n v="104.9"/>
    <n v="23.1"/>
    <n v="25.3"/>
    <n v="9053300"/>
  </r>
  <r>
    <x v="119"/>
    <x v="119"/>
    <x v="10"/>
    <x v="154"/>
    <x v="34"/>
    <x v="14"/>
    <x v="93"/>
    <x v="108"/>
    <x v="10"/>
    <s v="Australia"/>
    <m/>
    <x v="0"/>
    <s v="D"/>
    <x v="0"/>
    <d v="1960-04-11T00:00:00"/>
    <s v="Pratt"/>
    <s v="Anthony"/>
    <m/>
    <d v="2023-04-04T05:01:00"/>
    <m/>
    <m/>
    <n v="1960"/>
    <n v="119.8"/>
    <n v="1.6"/>
    <n v="1392680589329"/>
    <n v="113.1"/>
    <n v="100.3"/>
    <n v="23"/>
    <n v="47.4"/>
    <n v="25766605"/>
  </r>
  <r>
    <x v="119"/>
    <x v="119"/>
    <x v="3"/>
    <x v="155"/>
    <x v="41"/>
    <x v="8"/>
    <x v="94"/>
    <x v="38"/>
    <x v="3"/>
    <s v="Russia"/>
    <m/>
    <x v="1"/>
    <s v="U"/>
    <x v="0"/>
    <d v="1965-05-03T00:00:00"/>
    <s v="Prokhorov"/>
    <s v="Mikhail"/>
    <m/>
    <d v="2023-04-04T05:01:00"/>
    <m/>
    <m/>
    <n v="1965"/>
    <n v="99.55"/>
    <n v="0.4"/>
    <n v="703082435360"/>
    <n v="59.6"/>
    <n v="105.2"/>
    <n v="10.1"/>
    <n v="28.8"/>
    <n v="8574832"/>
  </r>
  <r>
    <x v="120"/>
    <x v="120"/>
    <x v="0"/>
    <x v="156"/>
    <x v="50"/>
    <x v="28"/>
    <x v="95"/>
    <x v="22"/>
    <x v="0"/>
    <s v="Italy"/>
    <m/>
    <x v="1"/>
    <s v="U"/>
    <x v="0"/>
    <d v="1934-07-11T00:00:00"/>
    <s v="Armani"/>
    <s v="Giorgio"/>
    <m/>
    <d v="2023-04-04T05:01:00"/>
    <m/>
    <m/>
    <n v="1934"/>
    <n v="110.62"/>
    <n v="0.6"/>
    <n v="2001244392042"/>
    <n v="61.9"/>
    <n v="101.9"/>
    <n v="24.3"/>
    <n v="59.1"/>
    <n v="60297396"/>
  </r>
  <r>
    <x v="120"/>
    <x v="120"/>
    <x v="0"/>
    <x v="157"/>
    <x v="25"/>
    <x v="29"/>
    <x v="96"/>
    <x v="22"/>
    <x v="0"/>
    <s v="South Africa"/>
    <m/>
    <x v="0"/>
    <s v="U"/>
    <x v="0"/>
    <d v="1950-06-01T00:00:00"/>
    <s v="Rupert"/>
    <s v="Johann"/>
    <m/>
    <d v="2023-04-04T05:01:00"/>
    <m/>
    <m/>
    <n v="1950"/>
    <n v="158.93"/>
    <n v="4.0999999999999996"/>
    <n v="351431649241"/>
    <n v="22.4"/>
    <n v="100.9"/>
    <n v="27.5"/>
    <n v="29.2"/>
    <n v="58558270"/>
  </r>
  <r>
    <x v="121"/>
    <x v="121"/>
    <x v="3"/>
    <x v="158"/>
    <x v="17"/>
    <x v="10"/>
    <x v="36"/>
    <x v="109"/>
    <x v="3"/>
    <s v="Hong Kong"/>
    <m/>
    <x v="1"/>
    <s v="D"/>
    <x v="0"/>
    <d v="1965-01-01T00:00:00"/>
    <s v="Gong"/>
    <s v="Hongjia"/>
    <m/>
    <d v="2023-04-04T05:01:00"/>
    <m/>
    <m/>
    <n v="1965"/>
    <m/>
    <m/>
    <m/>
    <m/>
    <m/>
    <m/>
    <m/>
    <m/>
  </r>
  <r>
    <x v="121"/>
    <x v="121"/>
    <x v="2"/>
    <x v="159"/>
    <x v="1"/>
    <x v="5"/>
    <x v="26"/>
    <x v="26"/>
    <x v="2"/>
    <s v="China"/>
    <m/>
    <x v="1"/>
    <s v="D"/>
    <x v="0"/>
    <d v="1972-01-01T00:00:00"/>
    <s v="Zhang"/>
    <s v="Zhidong"/>
    <m/>
    <d v="2023-04-04T05:01:00"/>
    <m/>
    <m/>
    <n v="1972"/>
    <n v="125.08"/>
    <n v="2.9"/>
    <n v="19910000000000"/>
    <n v="50.6"/>
    <n v="100.2"/>
    <n v="9.4"/>
    <n v="59.2"/>
    <n v="1397715000"/>
  </r>
  <r>
    <x v="122"/>
    <x v="122"/>
    <x v="3"/>
    <x v="160"/>
    <x v="7"/>
    <x v="1"/>
    <x v="97"/>
    <x v="110"/>
    <x v="3"/>
    <s v="United States"/>
    <m/>
    <x v="0"/>
    <s v="E"/>
    <x v="0"/>
    <d v="1939-12-28T00:00:00"/>
    <s v="Anschutz"/>
    <s v="Philip"/>
    <m/>
    <d v="2023-04-04T05:01:00"/>
    <s v="Colorado"/>
    <s v="West"/>
    <n v="1939"/>
    <n v="117.24"/>
    <n v="7.5"/>
    <n v="21427700000000"/>
    <n v="88.2"/>
    <n v="101.8"/>
    <n v="9.6"/>
    <n v="36.6"/>
    <n v="328239523"/>
  </r>
  <r>
    <x v="122"/>
    <x v="122"/>
    <x v="0"/>
    <x v="161"/>
    <x v="18"/>
    <x v="1"/>
    <x v="60"/>
    <x v="111"/>
    <x v="0"/>
    <s v="United States"/>
    <s v="Love's Travel Stops and Country Stores"/>
    <x v="1"/>
    <s v="U"/>
    <x v="1"/>
    <d v="1937-06-17T00:00:00"/>
    <s v="Love"/>
    <s v="Judy"/>
    <s v="Chairman and CEO"/>
    <d v="2023-04-04T05:01:00"/>
    <s v="Oklahoma"/>
    <s v="South"/>
    <n v="1937"/>
    <n v="117.24"/>
    <n v="7.5"/>
    <n v="21427700000000"/>
    <n v="88.2"/>
    <n v="101.8"/>
    <n v="9.6"/>
    <n v="36.6"/>
    <n v="328239523"/>
  </r>
  <r>
    <x v="122"/>
    <x v="122"/>
    <x v="0"/>
    <x v="162"/>
    <x v="5"/>
    <x v="2"/>
    <x v="6"/>
    <x v="112"/>
    <x v="0"/>
    <s v="Mexico"/>
    <m/>
    <x v="0"/>
    <s v="D"/>
    <x v="0"/>
    <d v="1955-10-19T00:00:00"/>
    <s v="Salinas Pliego"/>
    <s v="Ricardo"/>
    <m/>
    <d v="2023-04-04T05:01:00"/>
    <m/>
    <m/>
    <n v="1955"/>
    <n v="141.54"/>
    <n v="3.6"/>
    <n v="1258286717125"/>
    <n v="40.200000000000003"/>
    <n v="105.8"/>
    <n v="13.1"/>
    <n v="55.1"/>
    <n v="126014024"/>
  </r>
  <r>
    <x v="123"/>
    <x v="123"/>
    <x v="4"/>
    <x v="163"/>
    <x v="46"/>
    <x v="1"/>
    <x v="5"/>
    <x v="16"/>
    <x v="4"/>
    <s v="United States"/>
    <m/>
    <x v="0"/>
    <s v="D"/>
    <x v="0"/>
    <d v="1929-08-05T00:00:00"/>
    <s v="Newhouse"/>
    <s v="Donald"/>
    <m/>
    <d v="2023-04-04T05:01:00"/>
    <s v="New York"/>
    <s v="Northeast"/>
    <n v="1929"/>
    <n v="117.24"/>
    <n v="7.5"/>
    <n v="21427700000000"/>
    <n v="88.2"/>
    <n v="101.8"/>
    <n v="9.6"/>
    <n v="36.6"/>
    <n v="328239523"/>
  </r>
  <r>
    <x v="124"/>
    <x v="124"/>
    <x v="17"/>
    <x v="164"/>
    <x v="6"/>
    <x v="1"/>
    <x v="98"/>
    <x v="113"/>
    <x v="17"/>
    <s v="United States"/>
    <s v="The Kraft Group"/>
    <x v="1"/>
    <s v="U"/>
    <x v="0"/>
    <d v="1941-06-05T00:00:00"/>
    <s v="Kraft"/>
    <s v="Robert"/>
    <s v="Chairman &amp; CEO"/>
    <d v="2023-04-04T05:01:00"/>
    <s v="Massachusetts"/>
    <s v="Northeast"/>
    <n v="1941"/>
    <n v="117.24"/>
    <n v="7.5"/>
    <n v="21427700000000"/>
    <n v="88.2"/>
    <n v="101.8"/>
    <n v="9.6"/>
    <n v="36.6"/>
    <n v="328239523"/>
  </r>
  <r>
    <x v="124"/>
    <x v="124"/>
    <x v="7"/>
    <x v="165"/>
    <x v="16"/>
    <x v="30"/>
    <x v="99"/>
    <x v="82"/>
    <x v="7"/>
    <s v="Brazil"/>
    <m/>
    <x v="1"/>
    <s v="U"/>
    <x v="0"/>
    <d v="1950-01-01T00:00:00"/>
    <s v="Telles"/>
    <s v="Marcel Herrmann"/>
    <m/>
    <d v="2023-04-04T05:01:00"/>
    <m/>
    <m/>
    <n v="1950"/>
    <n v="167.4"/>
    <n v="3.7"/>
    <n v="1839758040766"/>
    <n v="51.3"/>
    <n v="115.4"/>
    <n v="14.2"/>
    <n v="65.099999999999994"/>
    <n v="212559417"/>
  </r>
  <r>
    <x v="125"/>
    <x v="125"/>
    <x v="3"/>
    <x v="166"/>
    <x v="41"/>
    <x v="17"/>
    <x v="48"/>
    <x v="114"/>
    <x v="3"/>
    <s v="Russia"/>
    <m/>
    <x v="1"/>
    <s v="U"/>
    <x v="0"/>
    <d v="1966-03-12T00:00:00"/>
    <s v="Kerimov &amp; family"/>
    <s v="Suleiman"/>
    <m/>
    <d v="2023-04-04T05:01:00"/>
    <m/>
    <m/>
    <n v="1966"/>
    <n v="180.75"/>
    <n v="4.5"/>
    <n v="1699876578871"/>
    <n v="81.900000000000006"/>
    <n v="102.6"/>
    <n v="11.4"/>
    <n v="46.2"/>
    <n v="144373535"/>
  </r>
  <r>
    <x v="125"/>
    <x v="125"/>
    <x v="0"/>
    <x v="167"/>
    <x v="19"/>
    <x v="5"/>
    <x v="82"/>
    <x v="34"/>
    <x v="0"/>
    <s v="China"/>
    <m/>
    <x v="1"/>
    <s v="U"/>
    <x v="0"/>
    <d v="1984-01-01T00:00:00"/>
    <s v="Xu"/>
    <s v="Sky"/>
    <m/>
    <d v="2023-04-04T05:01:00"/>
    <m/>
    <m/>
    <n v="1984"/>
    <n v="125.08"/>
    <n v="2.9"/>
    <n v="19910000000000"/>
    <n v="50.6"/>
    <n v="100.2"/>
    <n v="9.4"/>
    <n v="59.2"/>
    <n v="1397715000"/>
  </r>
  <r>
    <x v="125"/>
    <x v="125"/>
    <x v="3"/>
    <x v="168"/>
    <x v="45"/>
    <x v="16"/>
    <x v="88"/>
    <x v="115"/>
    <x v="3"/>
    <s v="Canada"/>
    <m/>
    <x v="1"/>
    <s v="D"/>
    <x v="0"/>
    <d v="1977-09-10T00:00:00"/>
    <s v="Zhao"/>
    <s v="Changpeng"/>
    <m/>
    <d v="2023-04-04T05:01:00"/>
    <m/>
    <m/>
    <n v="1977"/>
    <n v="114.52"/>
    <n v="-1.9"/>
    <n v="421142267938"/>
    <n v="36.799999999999997"/>
    <n v="108.4"/>
    <n v="0.1"/>
    <n v="15.9"/>
    <n v="9770529"/>
  </r>
  <r>
    <x v="126"/>
    <x v="126"/>
    <x v="3"/>
    <x v="169"/>
    <x v="36"/>
    <x v="1"/>
    <x v="80"/>
    <x v="116"/>
    <x v="3"/>
    <s v="United States"/>
    <m/>
    <x v="1"/>
    <s v="U"/>
    <x v="0"/>
    <d v="1952-11-29T00:00:00"/>
    <s v="Beal"/>
    <s v="Andrew"/>
    <m/>
    <d v="2023-04-04T05:01:00"/>
    <s v="Texas"/>
    <s v="South"/>
    <n v="1952"/>
    <n v="117.24"/>
    <n v="7.5"/>
    <n v="21427700000000"/>
    <n v="88.2"/>
    <n v="101.8"/>
    <n v="9.6"/>
    <n v="36.6"/>
    <n v="328239523"/>
  </r>
  <r>
    <x v="127"/>
    <x v="127"/>
    <x v="2"/>
    <x v="170"/>
    <x v="27"/>
    <x v="14"/>
    <x v="83"/>
    <x v="117"/>
    <x v="2"/>
    <s v="Australia"/>
    <m/>
    <x v="1"/>
    <s v="D"/>
    <x v="0"/>
    <d v="1979-11-17T00:00:00"/>
    <s v="Cannon-Brookes"/>
    <s v="Mike"/>
    <m/>
    <d v="2023-04-04T05:01:00"/>
    <m/>
    <m/>
    <n v="1979"/>
    <n v="119.8"/>
    <n v="1.6"/>
    <n v="1392680589329"/>
    <n v="113.1"/>
    <n v="100.3"/>
    <n v="23"/>
    <n v="47.4"/>
    <n v="25766605"/>
  </r>
  <r>
    <x v="127"/>
    <x v="127"/>
    <x v="14"/>
    <x v="171"/>
    <x v="15"/>
    <x v="1"/>
    <x v="100"/>
    <x v="78"/>
    <x v="14"/>
    <s v="United States"/>
    <m/>
    <x v="0"/>
    <s v="D"/>
    <x v="0"/>
    <d v="1962-08-19T00:00:00"/>
    <s v="Cook"/>
    <s v="Carl"/>
    <m/>
    <d v="2023-04-04T05:01:00"/>
    <s v="Indiana"/>
    <s v="Midwest"/>
    <n v="1962"/>
    <n v="117.24"/>
    <n v="7.5"/>
    <n v="21427700000000"/>
    <n v="88.2"/>
    <n v="101.8"/>
    <n v="9.6"/>
    <n v="36.6"/>
    <n v="328239523"/>
  </r>
  <r>
    <x v="127"/>
    <x v="127"/>
    <x v="2"/>
    <x v="172"/>
    <x v="26"/>
    <x v="1"/>
    <x v="101"/>
    <x v="118"/>
    <x v="2"/>
    <s v="United States"/>
    <s v="Workday"/>
    <x v="1"/>
    <s v="D"/>
    <x v="0"/>
    <d v="1940-09-21T00:00:00"/>
    <s v="Duffield"/>
    <s v="David"/>
    <s v="Chairman and Cofounder"/>
    <d v="2023-04-04T05:01:00"/>
    <s v="Nevada"/>
    <s v="West"/>
    <n v="1940"/>
    <n v="117.24"/>
    <n v="7.5"/>
    <n v="21427700000000"/>
    <n v="88.2"/>
    <n v="101.8"/>
    <n v="9.6"/>
    <n v="36.6"/>
    <n v="328239523"/>
  </r>
  <r>
    <x v="127"/>
    <x v="127"/>
    <x v="13"/>
    <x v="173"/>
    <x v="29"/>
    <x v="1"/>
    <x v="102"/>
    <x v="62"/>
    <x v="13"/>
    <s v="United States"/>
    <m/>
    <x v="1"/>
    <s v="U"/>
    <x v="0"/>
    <d v="1959-03-05T00:00:00"/>
    <s v="Hildebrand"/>
    <s v="Jeffery"/>
    <m/>
    <d v="2023-04-04T05:01:00"/>
    <s v="Texas"/>
    <s v="South"/>
    <n v="1959"/>
    <n v="117.24"/>
    <n v="7.5"/>
    <n v="21427700000000"/>
    <n v="88.2"/>
    <n v="101.8"/>
    <n v="9.6"/>
    <n v="36.6"/>
    <n v="328239523"/>
  </r>
  <r>
    <x v="127"/>
    <x v="127"/>
    <x v="10"/>
    <x v="174"/>
    <x v="0"/>
    <x v="17"/>
    <x v="103"/>
    <x v="72"/>
    <x v="10"/>
    <s v="Russia"/>
    <m/>
    <x v="1"/>
    <s v="U"/>
    <x v="0"/>
    <d v="1948-10-13T00:00:00"/>
    <s v="Rashnikov"/>
    <s v="Viktor"/>
    <m/>
    <d v="2023-04-04T05:01:00"/>
    <m/>
    <m/>
    <n v="1948"/>
    <n v="180.75"/>
    <n v="4.5"/>
    <n v="1699876578871"/>
    <n v="81.900000000000006"/>
    <n v="102.6"/>
    <n v="11.4"/>
    <n v="46.2"/>
    <n v="144373535"/>
  </r>
  <r>
    <x v="127"/>
    <x v="127"/>
    <x v="2"/>
    <x v="175"/>
    <x v="51"/>
    <x v="25"/>
    <x v="76"/>
    <x v="13"/>
    <x v="2"/>
    <s v="Brazil"/>
    <s v="Meta Platforms"/>
    <x v="1"/>
    <s v="D"/>
    <x v="0"/>
    <d v="1982-03-19T00:00:00"/>
    <s v="Saverin"/>
    <s v="Eduardo"/>
    <s v="Investor"/>
    <d v="2023-04-04T05:01:00"/>
    <m/>
    <m/>
    <n v="1982"/>
    <n v="114.41"/>
    <n v="0.6"/>
    <n v="372062527489"/>
    <n v="84.8"/>
    <n v="100.6"/>
    <n v="13.1"/>
    <n v="21"/>
    <n v="5703569"/>
  </r>
  <r>
    <x v="127"/>
    <x v="127"/>
    <x v="1"/>
    <x v="176"/>
    <x v="17"/>
    <x v="7"/>
    <x v="104"/>
    <x v="101"/>
    <x v="1"/>
    <s v="Germany"/>
    <m/>
    <x v="0"/>
    <s v="U"/>
    <x v="0"/>
    <d v="1964-10-19T00:00:00"/>
    <s v="Schaeffler"/>
    <s v="Georg"/>
    <m/>
    <d v="2023-04-04T05:01:00"/>
    <m/>
    <m/>
    <n v="1964"/>
    <n v="112.85"/>
    <n v="1.4"/>
    <n v="3845630030824"/>
    <n v="70.2"/>
    <n v="104"/>
    <n v="11.5"/>
    <n v="48.8"/>
    <n v="83132799"/>
  </r>
  <r>
    <x v="127"/>
    <x v="127"/>
    <x v="0"/>
    <x v="177"/>
    <x v="0"/>
    <x v="1"/>
    <x v="24"/>
    <x v="15"/>
    <x v="0"/>
    <s v="United States"/>
    <m/>
    <x v="0"/>
    <s v="U"/>
    <x v="1"/>
    <d v="1949-02-08T00:00:00"/>
    <s v="Walton"/>
    <s v="Christy"/>
    <m/>
    <d v="2023-04-04T05:01:00"/>
    <s v="Wyoming"/>
    <s v="South"/>
    <n v="1949"/>
    <n v="117.24"/>
    <n v="7.5"/>
    <n v="21427700000000"/>
    <n v="88.2"/>
    <n v="101.8"/>
    <n v="9.6"/>
    <n v="36.6"/>
    <n v="328239523"/>
  </r>
  <r>
    <x v="128"/>
    <x v="128"/>
    <x v="2"/>
    <x v="178"/>
    <x v="27"/>
    <x v="14"/>
    <x v="83"/>
    <x v="117"/>
    <x v="2"/>
    <s v="Australia"/>
    <m/>
    <x v="1"/>
    <s v="D"/>
    <x v="0"/>
    <d v="1979-12-17T00:00:00"/>
    <s v="Farquhar"/>
    <s v="Scott"/>
    <m/>
    <d v="2023-04-04T05:01:00"/>
    <m/>
    <m/>
    <n v="1979"/>
    <n v="119.8"/>
    <n v="1.6"/>
    <n v="1392680589329"/>
    <n v="113.1"/>
    <n v="100.3"/>
    <n v="23"/>
    <n v="47.4"/>
    <n v="25766605"/>
  </r>
  <r>
    <x v="128"/>
    <x v="128"/>
    <x v="6"/>
    <x v="179"/>
    <x v="6"/>
    <x v="31"/>
    <x v="105"/>
    <x v="119"/>
    <x v="6"/>
    <s v="Malaysia"/>
    <m/>
    <x v="0"/>
    <s v="D"/>
    <x v="0"/>
    <d v="1941-08-12T00:00:00"/>
    <s v="Quek"/>
    <s v="Leng Chan"/>
    <m/>
    <d v="2023-04-04T05:01:00"/>
    <m/>
    <m/>
    <n v="1941"/>
    <n v="121.46"/>
    <n v="0.7"/>
    <n v="364701517788"/>
    <n v="45.1"/>
    <n v="105.3"/>
    <n v="12"/>
    <n v="38.700000000000003"/>
    <n v="32447385"/>
  </r>
  <r>
    <x v="128"/>
    <x v="128"/>
    <x v="11"/>
    <x v="180"/>
    <x v="2"/>
    <x v="5"/>
    <x v="19"/>
    <x v="36"/>
    <x v="11"/>
    <s v="China"/>
    <m/>
    <x v="1"/>
    <s v="D"/>
    <x v="1"/>
    <d v="1964-01-01T00:00:00"/>
    <s v="Wu"/>
    <s v="Yajun"/>
    <m/>
    <d v="2023-04-04T05:01:00"/>
    <m/>
    <m/>
    <n v="1964"/>
    <n v="125.08"/>
    <n v="2.9"/>
    <n v="19910000000000"/>
    <n v="50.6"/>
    <n v="100.2"/>
    <n v="9.4"/>
    <n v="59.2"/>
    <n v="1397715000"/>
  </r>
  <r>
    <x v="129"/>
    <x v="129"/>
    <x v="13"/>
    <x v="181"/>
    <x v="18"/>
    <x v="1"/>
    <x v="106"/>
    <x v="62"/>
    <x v="13"/>
    <s v="United States"/>
    <m/>
    <x v="1"/>
    <s v="U"/>
    <x v="0"/>
    <d v="1938-03-08T00:00:00"/>
    <s v="Stephens"/>
    <s v="Autry"/>
    <m/>
    <d v="2023-04-04T05:01:00"/>
    <s v="Texas"/>
    <s v="South"/>
    <n v="1938"/>
    <n v="117.24"/>
    <n v="7.5"/>
    <n v="21427700000000"/>
    <n v="88.2"/>
    <n v="101.8"/>
    <n v="9.6"/>
    <n v="36.6"/>
    <n v="328239523"/>
  </r>
  <r>
    <x v="130"/>
    <x v="130"/>
    <x v="15"/>
    <x v="182"/>
    <x v="0"/>
    <x v="5"/>
    <x v="34"/>
    <x v="8"/>
    <x v="15"/>
    <s v="China"/>
    <s v="East Hope Group"/>
    <x v="1"/>
    <s v="D"/>
    <x v="0"/>
    <d v="1948-06-01T00:00:00"/>
    <s v="Liu"/>
    <s v="Yongxing"/>
    <s v="Chairman"/>
    <d v="2023-04-04T05:01:00"/>
    <m/>
    <m/>
    <n v="1948"/>
    <n v="125.08"/>
    <n v="2.9"/>
    <n v="19910000000000"/>
    <n v="50.6"/>
    <n v="100.2"/>
    <n v="9.4"/>
    <n v="59.2"/>
    <n v="1397715000"/>
  </r>
  <r>
    <x v="131"/>
    <x v="131"/>
    <x v="6"/>
    <x v="183"/>
    <x v="0"/>
    <x v="16"/>
    <x v="88"/>
    <x v="18"/>
    <x v="6"/>
    <s v="Cyprus"/>
    <m/>
    <x v="1"/>
    <s v="Split Family Fortune"/>
    <x v="0"/>
    <d v="1949-01-10T00:00:00"/>
    <s v="Adani"/>
    <s v="Vinod"/>
    <m/>
    <d v="2023-04-04T05:01:00"/>
    <m/>
    <m/>
    <n v="1949"/>
    <n v="114.52"/>
    <n v="-1.9"/>
    <n v="421142267938"/>
    <n v="36.799999999999997"/>
    <n v="108.4"/>
    <n v="0.1"/>
    <n v="15.9"/>
    <n v="9770529"/>
  </r>
  <r>
    <x v="131"/>
    <x v="131"/>
    <x v="0"/>
    <x v="184"/>
    <x v="35"/>
    <x v="8"/>
    <x v="107"/>
    <x v="120"/>
    <x v="0"/>
    <s v="France"/>
    <m/>
    <x v="0"/>
    <s v="U"/>
    <x v="0"/>
    <d v="1943-01-29T00:00:00"/>
    <s v="Puech"/>
    <s v="Nicolas"/>
    <m/>
    <d v="2023-04-04T05:01:00"/>
    <m/>
    <m/>
    <n v="1943"/>
    <n v="99.55"/>
    <n v="0.4"/>
    <n v="703082435360"/>
    <n v="59.6"/>
    <n v="105.2"/>
    <n v="10.1"/>
    <n v="28.8"/>
    <n v="8574832"/>
  </r>
  <r>
    <x v="131"/>
    <x v="131"/>
    <x v="8"/>
    <x v="185"/>
    <x v="1"/>
    <x v="0"/>
    <x v="108"/>
    <x v="23"/>
    <x v="8"/>
    <s v="France"/>
    <m/>
    <x v="0"/>
    <s v="Split Family Fortune"/>
    <x v="0"/>
    <d v="1971-08-10T00:00:00"/>
    <s v="Saadé"/>
    <s v="Jacques"/>
    <m/>
    <d v="2023-04-04T05:01:00"/>
    <m/>
    <m/>
    <n v="1971"/>
    <n v="110.05"/>
    <n v="1.1000000000000001"/>
    <n v="2715518274227"/>
    <n v="65.599999999999994"/>
    <n v="102.5"/>
    <n v="24.2"/>
    <n v="60.7"/>
    <n v="67059887"/>
  </r>
  <r>
    <x v="131"/>
    <x v="131"/>
    <x v="8"/>
    <x v="186"/>
    <x v="52"/>
    <x v="0"/>
    <x v="108"/>
    <x v="23"/>
    <x v="8"/>
    <s v="France"/>
    <s v="CMA CGM"/>
    <x v="0"/>
    <s v="Split Family Fortune"/>
    <x v="0"/>
    <d v="1970-03-03T00:00:00"/>
    <s v="Saadé"/>
    <s v="Rodolphe"/>
    <s v="Chairman and CEO"/>
    <d v="2023-04-04T05:01:00"/>
    <m/>
    <m/>
    <n v="1970"/>
    <n v="110.05"/>
    <n v="1.1000000000000001"/>
    <n v="2715518274227"/>
    <n v="65.599999999999994"/>
    <n v="102.5"/>
    <n v="24.2"/>
    <n v="60.7"/>
    <n v="67059887"/>
  </r>
  <r>
    <x v="131"/>
    <x v="131"/>
    <x v="8"/>
    <x v="187"/>
    <x v="42"/>
    <x v="0"/>
    <x v="108"/>
    <x v="23"/>
    <x v="8"/>
    <s v="France"/>
    <m/>
    <x v="0"/>
    <s v="Split Family Fortune"/>
    <x v="1"/>
    <d v="1968-02-01T00:00:00"/>
    <s v="Saadé Zeenny"/>
    <s v="Tanya"/>
    <m/>
    <d v="2023-04-04T05:01:00"/>
    <m/>
    <m/>
    <n v="1968"/>
    <n v="110.05"/>
    <n v="1.1000000000000001"/>
    <n v="2715518274227"/>
    <n v="65.599999999999994"/>
    <n v="102.5"/>
    <n v="24.2"/>
    <n v="60.7"/>
    <n v="67059887"/>
  </r>
  <r>
    <x v="131"/>
    <x v="131"/>
    <x v="3"/>
    <x v="188"/>
    <x v="43"/>
    <x v="21"/>
    <x v="69"/>
    <x v="38"/>
    <x v="3"/>
    <s v="Sweden"/>
    <m/>
    <x v="1"/>
    <s v="D"/>
    <x v="0"/>
    <d v="1947-05-15T00:00:00"/>
    <s v="Schorling"/>
    <s v="Melker"/>
    <m/>
    <d v="2023-04-04T05:01:00"/>
    <m/>
    <m/>
    <n v="1947"/>
    <n v="110.51"/>
    <n v="1.8"/>
    <n v="530832908738"/>
    <n v="67"/>
    <n v="126.6"/>
    <n v="27.9"/>
    <n v="49.1"/>
    <n v="10285453"/>
  </r>
  <r>
    <x v="132"/>
    <x v="132"/>
    <x v="10"/>
    <x v="189"/>
    <x v="53"/>
    <x v="17"/>
    <x v="48"/>
    <x v="121"/>
    <x v="10"/>
    <s v="Russia"/>
    <m/>
    <x v="1"/>
    <s v="U"/>
    <x v="0"/>
    <d v="1960-03-24T00:00:00"/>
    <s v="Guriev &amp; family"/>
    <s v="Andrei"/>
    <m/>
    <d v="2023-04-04T05:01:00"/>
    <m/>
    <m/>
    <n v="1960"/>
    <n v="180.75"/>
    <n v="4.5"/>
    <n v="1699876578871"/>
    <n v="81.900000000000006"/>
    <n v="102.6"/>
    <n v="11.4"/>
    <n v="46.2"/>
    <n v="144373535"/>
  </r>
  <r>
    <x v="132"/>
    <x v="132"/>
    <x v="3"/>
    <x v="190"/>
    <x v="2"/>
    <x v="32"/>
    <x v="109"/>
    <x v="122"/>
    <x v="3"/>
    <s v="United States"/>
    <s v="MBK Partners"/>
    <x v="1"/>
    <s v="U"/>
    <x v="0"/>
    <d v="1963-10-01T00:00:00"/>
    <s v="Kim"/>
    <s v="Michael"/>
    <m/>
    <d v="2023-04-04T05:01:00"/>
    <m/>
    <m/>
    <n v="1963"/>
    <n v="115.16"/>
    <n v="0.4"/>
    <n v="2029000000000"/>
    <n v="94.3"/>
    <n v="98.1"/>
    <n v="15.6"/>
    <n v="33.200000000000003"/>
    <n v="51709098"/>
  </r>
  <r>
    <x v="132"/>
    <x v="132"/>
    <x v="2"/>
    <x v="191"/>
    <x v="52"/>
    <x v="5"/>
    <x v="19"/>
    <x v="123"/>
    <x v="2"/>
    <s v="China"/>
    <s v="Xiaomi"/>
    <x v="1"/>
    <s v="D"/>
    <x v="0"/>
    <d v="1969-12-16T00:00:00"/>
    <s v="Lei"/>
    <s v="Jun"/>
    <s v="Founder and CEO"/>
    <d v="2023-04-04T05:01:00"/>
    <m/>
    <m/>
    <n v="1969"/>
    <n v="125.08"/>
    <n v="2.9"/>
    <n v="19910000000000"/>
    <n v="50.6"/>
    <n v="100.2"/>
    <n v="9.4"/>
    <n v="59.2"/>
    <n v="1397715000"/>
  </r>
  <r>
    <x v="132"/>
    <x v="132"/>
    <x v="10"/>
    <x v="192"/>
    <x v="31"/>
    <x v="7"/>
    <x v="110"/>
    <x v="108"/>
    <x v="10"/>
    <s v="Germany"/>
    <m/>
    <x v="0"/>
    <s v="U"/>
    <x v="0"/>
    <d v="1946-08-15T00:00:00"/>
    <s v="Loh"/>
    <s v="Friedhelm"/>
    <m/>
    <d v="2023-04-04T05:01:00"/>
    <m/>
    <m/>
    <n v="1946"/>
    <n v="112.85"/>
    <n v="1.4"/>
    <n v="3845630030824"/>
    <n v="70.2"/>
    <n v="104"/>
    <n v="11.5"/>
    <n v="48.8"/>
    <n v="83132799"/>
  </r>
  <r>
    <x v="132"/>
    <x v="132"/>
    <x v="14"/>
    <x v="193"/>
    <x v="29"/>
    <x v="5"/>
    <x v="111"/>
    <x v="83"/>
    <x v="14"/>
    <s v="China"/>
    <m/>
    <x v="1"/>
    <s v="D"/>
    <x v="0"/>
    <d v="1958-09-01T00:00:00"/>
    <s v="Sun"/>
    <s v="Piaoyang"/>
    <m/>
    <d v="2023-04-04T05:01:00"/>
    <m/>
    <m/>
    <n v="1958"/>
    <n v="125.08"/>
    <n v="2.9"/>
    <n v="19910000000000"/>
    <n v="50.6"/>
    <n v="100.2"/>
    <n v="9.4"/>
    <n v="59.2"/>
    <n v="1397715000"/>
  </r>
  <r>
    <x v="133"/>
    <x v="133"/>
    <x v="2"/>
    <x v="194"/>
    <x v="36"/>
    <x v="1"/>
    <x v="112"/>
    <x v="124"/>
    <x v="2"/>
    <s v="United States"/>
    <s v="C&amp;S Wholesale Grocers"/>
    <x v="0"/>
    <s v="N"/>
    <x v="0"/>
    <d v="1952-07-25T00:00:00"/>
    <s v="Cohen"/>
    <s v="Rick"/>
    <s v="Entrepreneur"/>
    <d v="2023-04-04T05:01:00"/>
    <s v="New Hampshire"/>
    <s v="Northeast"/>
    <n v="1952"/>
    <n v="117.24"/>
    <n v="7.5"/>
    <n v="21427700000000"/>
    <n v="88.2"/>
    <n v="101.8"/>
    <n v="9.6"/>
    <n v="36.6"/>
    <n v="328239523"/>
  </r>
  <r>
    <x v="133"/>
    <x v="133"/>
    <x v="13"/>
    <x v="195"/>
    <x v="36"/>
    <x v="5"/>
    <x v="113"/>
    <x v="125"/>
    <x v="13"/>
    <s v="China"/>
    <m/>
    <x v="1"/>
    <s v="D"/>
    <x v="0"/>
    <d v="1952-09-01T00:00:00"/>
    <s v="Jin"/>
    <s v="Baofang"/>
    <m/>
    <d v="2023-04-04T05:01:00"/>
    <m/>
    <m/>
    <n v="1952"/>
    <n v="125.08"/>
    <n v="2.9"/>
    <n v="19910000000000"/>
    <n v="50.6"/>
    <n v="100.2"/>
    <n v="9.4"/>
    <n v="59.2"/>
    <n v="1397715000"/>
  </r>
  <r>
    <x v="133"/>
    <x v="133"/>
    <x v="10"/>
    <x v="196"/>
    <x v="5"/>
    <x v="5"/>
    <x v="114"/>
    <x v="50"/>
    <x v="10"/>
    <s v="China"/>
    <m/>
    <x v="1"/>
    <s v="D"/>
    <x v="0"/>
    <d v="1956-03-01T00:00:00"/>
    <s v="Luo"/>
    <s v="Liguo"/>
    <m/>
    <d v="2023-04-04T05:01:00"/>
    <m/>
    <m/>
    <n v="1956"/>
    <n v="125.08"/>
    <n v="2.9"/>
    <n v="19910000000000"/>
    <n v="50.6"/>
    <n v="100.2"/>
    <n v="9.4"/>
    <n v="59.2"/>
    <n v="1397715000"/>
  </r>
  <r>
    <x v="133"/>
    <x v="133"/>
    <x v="7"/>
    <x v="197"/>
    <x v="17"/>
    <x v="1"/>
    <x v="115"/>
    <x v="25"/>
    <x v="7"/>
    <s v="United States"/>
    <m/>
    <x v="0"/>
    <s v="U"/>
    <x v="1"/>
    <d v="1964-07-28T00:00:00"/>
    <s v="Mars"/>
    <s v="Marijke"/>
    <m/>
    <d v="2023-04-04T05:01:00"/>
    <s v="California"/>
    <s v="West"/>
    <n v="1964"/>
    <n v="117.24"/>
    <n v="7.5"/>
    <n v="21427700000000"/>
    <n v="88.2"/>
    <n v="101.8"/>
    <n v="9.6"/>
    <n v="36.6"/>
    <n v="328239523"/>
  </r>
  <r>
    <x v="133"/>
    <x v="133"/>
    <x v="7"/>
    <x v="198"/>
    <x v="34"/>
    <x v="1"/>
    <x v="116"/>
    <x v="25"/>
    <x v="7"/>
    <s v="United States"/>
    <m/>
    <x v="0"/>
    <s v="U"/>
    <x v="1"/>
    <d v="1960-08-01T00:00:00"/>
    <s v="Mars"/>
    <s v="Pamela"/>
    <m/>
    <d v="2023-04-04T05:01:00"/>
    <s v="Virginia"/>
    <s v="South"/>
    <n v="1960"/>
    <n v="117.24"/>
    <n v="7.5"/>
    <n v="21427700000000"/>
    <n v="88.2"/>
    <n v="101.8"/>
    <n v="9.6"/>
    <n v="36.6"/>
    <n v="328239523"/>
  </r>
  <r>
    <x v="133"/>
    <x v="133"/>
    <x v="7"/>
    <x v="199"/>
    <x v="29"/>
    <x v="1"/>
    <x v="5"/>
    <x v="25"/>
    <x v="7"/>
    <s v="United States"/>
    <m/>
    <x v="0"/>
    <s v="U"/>
    <x v="1"/>
    <d v="1959-01-26T00:00:00"/>
    <s v="Mars"/>
    <s v="Valerie"/>
    <m/>
    <d v="2023-04-04T05:01:00"/>
    <s v="New York"/>
    <s v="Northeast"/>
    <n v="1959"/>
    <n v="117.24"/>
    <n v="7.5"/>
    <n v="21427700000000"/>
    <n v="88.2"/>
    <n v="101.8"/>
    <n v="9.6"/>
    <n v="36.6"/>
    <n v="328239523"/>
  </r>
  <r>
    <x v="133"/>
    <x v="133"/>
    <x v="7"/>
    <x v="200"/>
    <x v="37"/>
    <x v="1"/>
    <x v="117"/>
    <x v="25"/>
    <x v="7"/>
    <s v="United States"/>
    <m/>
    <x v="0"/>
    <s v="U"/>
    <x v="1"/>
    <d v="1956-12-15T00:00:00"/>
    <s v="Mars"/>
    <s v="Victoria"/>
    <m/>
    <d v="2023-04-04T05:01:00"/>
    <s v="Pennsylvania"/>
    <s v="Northeast"/>
    <n v="1956"/>
    <n v="117.24"/>
    <n v="7.5"/>
    <n v="21427700000000"/>
    <n v="88.2"/>
    <n v="101.8"/>
    <n v="9.6"/>
    <n v="36.6"/>
    <n v="328239523"/>
  </r>
  <r>
    <x v="134"/>
    <x v="134"/>
    <x v="3"/>
    <x v="201"/>
    <x v="48"/>
    <x v="0"/>
    <x v="0"/>
    <x v="38"/>
    <x v="3"/>
    <s v="France"/>
    <m/>
    <x v="0"/>
    <s v="U"/>
    <x v="0"/>
    <d v="1952-04-01T00:00:00"/>
    <s v="Bolloré"/>
    <s v="Vincent"/>
    <m/>
    <d v="2023-04-04T05:01:00"/>
    <m/>
    <m/>
    <n v="1952"/>
    <n v="110.05"/>
    <n v="1.1000000000000001"/>
    <n v="2715518274227"/>
    <n v="65.599999999999994"/>
    <n v="102.5"/>
    <n v="24.2"/>
    <n v="60.7"/>
    <n v="67059887"/>
  </r>
  <r>
    <x v="134"/>
    <x v="134"/>
    <x v="6"/>
    <x v="202"/>
    <x v="21"/>
    <x v="6"/>
    <x v="118"/>
    <x v="8"/>
    <x v="6"/>
    <s v="Canada"/>
    <s v="Jim Pattison Group"/>
    <x v="1"/>
    <s v="D"/>
    <x v="0"/>
    <d v="1928-10-01T00:00:00"/>
    <s v="Pattison"/>
    <s v="Jim"/>
    <s v="Founder, Chairman and CEO"/>
    <d v="2023-04-04T05:01:00"/>
    <m/>
    <m/>
    <n v="1928"/>
    <n v="116.76"/>
    <n v="1.9"/>
    <n v="1736425629520"/>
    <n v="68.900000000000006"/>
    <n v="100.9"/>
    <n v="12.8"/>
    <n v="24.5"/>
    <n v="36991981"/>
  </r>
  <r>
    <x v="135"/>
    <x v="135"/>
    <x v="14"/>
    <x v="203"/>
    <x v="41"/>
    <x v="8"/>
    <x v="119"/>
    <x v="126"/>
    <x v="14"/>
    <s v="Switzerland"/>
    <m/>
    <x v="0"/>
    <s v="U"/>
    <x v="0"/>
    <d v="1965-09-22T00:00:00"/>
    <s v="Bertarelli"/>
    <s v="Ernesto"/>
    <m/>
    <d v="2023-04-04T05:01:00"/>
    <m/>
    <m/>
    <n v="1965"/>
    <n v="99.55"/>
    <n v="0.4"/>
    <n v="703082435360"/>
    <n v="59.6"/>
    <n v="105.2"/>
    <n v="10.1"/>
    <n v="28.8"/>
    <n v="8574832"/>
  </r>
  <r>
    <x v="135"/>
    <x v="135"/>
    <x v="2"/>
    <x v="204"/>
    <x v="54"/>
    <x v="5"/>
    <x v="19"/>
    <x v="127"/>
    <x v="2"/>
    <s v="China"/>
    <m/>
    <x v="1"/>
    <s v="D"/>
    <x v="0"/>
    <d v="1979-02-18T00:00:00"/>
    <s v="Wang"/>
    <s v="Xing"/>
    <m/>
    <d v="2023-04-04T05:01:00"/>
    <m/>
    <m/>
    <n v="1979"/>
    <n v="125.08"/>
    <n v="2.9"/>
    <n v="19910000000000"/>
    <n v="50.6"/>
    <n v="100.2"/>
    <n v="9.4"/>
    <n v="59.2"/>
    <n v="1397715000"/>
  </r>
  <r>
    <x v="136"/>
    <x v="136"/>
    <x v="2"/>
    <x v="205"/>
    <x v="51"/>
    <x v="1"/>
    <x v="120"/>
    <x v="128"/>
    <x v="2"/>
    <s v="United States"/>
    <s v="Airbnb, Inc."/>
    <x v="1"/>
    <s v="D"/>
    <x v="0"/>
    <d v="1981-08-29T00:00:00"/>
    <s v="Chesky"/>
    <s v="Brian"/>
    <s v="CEO and Cofounder"/>
    <d v="2023-04-04T05:01:00"/>
    <s v="California"/>
    <s v="West"/>
    <n v="1981"/>
    <n v="117.24"/>
    <n v="7.5"/>
    <n v="21427700000000"/>
    <n v="88.2"/>
    <n v="101.8"/>
    <n v="9.6"/>
    <n v="36.6"/>
    <n v="328239523"/>
  </r>
  <r>
    <x v="136"/>
    <x v="136"/>
    <x v="10"/>
    <x v="206"/>
    <x v="43"/>
    <x v="13"/>
    <x v="121"/>
    <x v="129"/>
    <x v="10"/>
    <s v="United Kingdom"/>
    <m/>
    <x v="1"/>
    <s v="U"/>
    <x v="0"/>
    <d v="1947-05-02T00:00:00"/>
    <s v="Dyson"/>
    <s v="James"/>
    <m/>
    <d v="2023-04-04T05:01:00"/>
    <m/>
    <m/>
    <n v="1947"/>
    <n v="119.62"/>
    <n v="1.7"/>
    <n v="2827113184696"/>
    <n v="60"/>
    <n v="101.2"/>
    <n v="25.5"/>
    <n v="30.6"/>
    <n v="66834405"/>
  </r>
  <r>
    <x v="137"/>
    <x v="137"/>
    <x v="6"/>
    <x v="207"/>
    <x v="32"/>
    <x v="17"/>
    <x v="48"/>
    <x v="61"/>
    <x v="6"/>
    <s v="Russia"/>
    <m/>
    <x v="1"/>
    <s v="U"/>
    <x v="0"/>
    <d v="1966-10-24T00:00:00"/>
    <s v="Abramovich"/>
    <s v="Roman"/>
    <m/>
    <d v="2023-04-04T05:01:00"/>
    <m/>
    <m/>
    <n v="1966"/>
    <n v="180.75"/>
    <n v="4.5"/>
    <n v="1699876578871"/>
    <n v="81.900000000000006"/>
    <n v="102.6"/>
    <n v="11.4"/>
    <n v="46.2"/>
    <n v="144373535"/>
  </r>
  <r>
    <x v="137"/>
    <x v="137"/>
    <x v="6"/>
    <x v="208"/>
    <x v="55"/>
    <x v="21"/>
    <x v="69"/>
    <x v="8"/>
    <x v="6"/>
    <s v="Sweden"/>
    <m/>
    <x v="0"/>
    <s v="U"/>
    <x v="1"/>
    <d v="1943-09-06T00:00:00"/>
    <s v="Ax:son Johnson"/>
    <s v="Antonia"/>
    <m/>
    <d v="2023-04-04T05:01:00"/>
    <m/>
    <m/>
    <n v="1943"/>
    <n v="110.51"/>
    <n v="1.8"/>
    <n v="530832908738"/>
    <n v="67"/>
    <n v="126.6"/>
    <n v="27.9"/>
    <n v="49.1"/>
    <n v="10285453"/>
  </r>
  <r>
    <x v="137"/>
    <x v="137"/>
    <x v="13"/>
    <x v="209"/>
    <x v="47"/>
    <x v="20"/>
    <x v="68"/>
    <x v="130"/>
    <x v="13"/>
    <s v="Czech Republic"/>
    <m/>
    <x v="1"/>
    <s v="U"/>
    <x v="0"/>
    <d v="1975-07-09T00:00:00"/>
    <s v="Kretinsky"/>
    <s v="Daniel"/>
    <m/>
    <d v="2023-04-04T05:01:00"/>
    <m/>
    <m/>
    <n v="1975"/>
    <n v="116.48"/>
    <n v="2.8"/>
    <n v="246489245495"/>
    <n v="64.099999999999994"/>
    <n v="100.7"/>
    <n v="14.9"/>
    <n v="46.1"/>
    <n v="10669709"/>
  </r>
  <r>
    <x v="137"/>
    <x v="137"/>
    <x v="4"/>
    <x v="210"/>
    <x v="26"/>
    <x v="1"/>
    <x v="122"/>
    <x v="131"/>
    <x v="4"/>
    <s v="United States"/>
    <m/>
    <x v="1"/>
    <s v="U"/>
    <x v="0"/>
    <d v="1941-03-07T00:00:00"/>
    <s v="Malone"/>
    <s v="John"/>
    <m/>
    <d v="2023-04-04T05:01:00"/>
    <s v="Colorado"/>
    <s v="West"/>
    <n v="1941"/>
    <n v="117.24"/>
    <n v="7.5"/>
    <n v="21427700000000"/>
    <n v="88.2"/>
    <n v="101.8"/>
    <n v="9.6"/>
    <n v="36.6"/>
    <n v="328239523"/>
  </r>
  <r>
    <x v="137"/>
    <x v="137"/>
    <x v="2"/>
    <x v="211"/>
    <x v="22"/>
    <x v="3"/>
    <x v="123"/>
    <x v="42"/>
    <x v="2"/>
    <s v="India"/>
    <s v="Wipro Ltd."/>
    <x v="0"/>
    <s v="D"/>
    <x v="0"/>
    <d v="1945-07-24T00:00:00"/>
    <s v="Premji"/>
    <s v="Azim"/>
    <s v="Founder Chairman"/>
    <d v="2023-04-04T05:01:00"/>
    <m/>
    <m/>
    <n v="1945"/>
    <n v="180.44"/>
    <n v="7.7"/>
    <n v="2611000000000"/>
    <n v="28.1"/>
    <n v="113"/>
    <n v="11.2"/>
    <n v="49.7"/>
    <n v="1366417754"/>
  </r>
  <r>
    <x v="137"/>
    <x v="137"/>
    <x v="3"/>
    <x v="212"/>
    <x v="18"/>
    <x v="1"/>
    <x v="124"/>
    <x v="44"/>
    <x v="3"/>
    <s v="United States"/>
    <s v="Charles Schwab Corp."/>
    <x v="1"/>
    <s v="D"/>
    <x v="0"/>
    <d v="1937-07-29T00:00:00"/>
    <s v="Schwab"/>
    <s v="Charles"/>
    <s v="Investor"/>
    <d v="2023-04-04T05:01:00"/>
    <s v="California"/>
    <s v="West"/>
    <n v="1937"/>
    <n v="117.24"/>
    <n v="7.5"/>
    <n v="21427700000000"/>
    <n v="88.2"/>
    <n v="101.8"/>
    <n v="9.6"/>
    <n v="36.6"/>
    <n v="328239523"/>
  </r>
  <r>
    <x v="137"/>
    <x v="137"/>
    <x v="0"/>
    <x v="213"/>
    <x v="53"/>
    <x v="1"/>
    <x v="125"/>
    <x v="132"/>
    <x v="0"/>
    <s v="United States"/>
    <m/>
    <x v="1"/>
    <s v="U"/>
    <x v="0"/>
    <d v="1960-01-01T00:00:00"/>
    <s v="Smidt"/>
    <s v="Eric"/>
    <m/>
    <d v="2023-04-04T05:01:00"/>
    <s v="California"/>
    <s v="West"/>
    <n v="1960"/>
    <n v="117.24"/>
    <n v="7.5"/>
    <n v="21427700000000"/>
    <n v="88.2"/>
    <n v="101.8"/>
    <n v="9.6"/>
    <n v="36.6"/>
    <n v="328239523"/>
  </r>
  <r>
    <x v="138"/>
    <x v="138"/>
    <x v="2"/>
    <x v="214"/>
    <x v="25"/>
    <x v="1"/>
    <x v="9"/>
    <x v="10"/>
    <x v="2"/>
    <s v="Canada"/>
    <s v="Stanford University"/>
    <x v="1"/>
    <s v="D"/>
    <x v="0"/>
    <d v="1951-03-29T00:00:00"/>
    <s v="Cheriton"/>
    <s v="David"/>
    <s v="Professor"/>
    <d v="2023-04-04T05:01:00"/>
    <s v="California"/>
    <s v="West"/>
    <n v="1951"/>
    <n v="117.24"/>
    <n v="7.5"/>
    <n v="21427700000000"/>
    <n v="88.2"/>
    <n v="101.8"/>
    <n v="9.6"/>
    <n v="36.6"/>
    <n v="328239523"/>
  </r>
  <r>
    <x v="138"/>
    <x v="138"/>
    <x v="12"/>
    <x v="215"/>
    <x v="37"/>
    <x v="8"/>
    <x v="126"/>
    <x v="40"/>
    <x v="12"/>
    <s v="Switzerland"/>
    <m/>
    <x v="1"/>
    <s v="D"/>
    <x v="0"/>
    <d v="1957-01-07T00:00:00"/>
    <s v="Glasenberg"/>
    <s v="Ivan"/>
    <m/>
    <d v="2023-04-04T05:01:00"/>
    <m/>
    <m/>
    <n v="1957"/>
    <n v="99.55"/>
    <n v="0.4"/>
    <n v="703082435360"/>
    <n v="59.6"/>
    <n v="105.2"/>
    <n v="10.1"/>
    <n v="28.8"/>
    <n v="8574832"/>
  </r>
  <r>
    <x v="138"/>
    <x v="138"/>
    <x v="11"/>
    <x v="216"/>
    <x v="42"/>
    <x v="7"/>
    <x v="127"/>
    <x v="36"/>
    <x v="11"/>
    <s v="Germany"/>
    <m/>
    <x v="0"/>
    <s v="D"/>
    <x v="0"/>
    <d v="1967-07-07T00:00:00"/>
    <s v="Otto"/>
    <s v="Alexander"/>
    <m/>
    <d v="2023-04-04T05:01:00"/>
    <m/>
    <m/>
    <n v="1967"/>
    <n v="112.85"/>
    <n v="1.4"/>
    <n v="3845630030824"/>
    <n v="70.2"/>
    <n v="104"/>
    <n v="11.5"/>
    <n v="48.8"/>
    <n v="83132799"/>
  </r>
  <r>
    <x v="138"/>
    <x v="138"/>
    <x v="7"/>
    <x v="217"/>
    <x v="16"/>
    <x v="6"/>
    <x v="118"/>
    <x v="133"/>
    <x v="7"/>
    <s v="Canada"/>
    <m/>
    <x v="1"/>
    <s v="U"/>
    <x v="0"/>
    <d v="1950-03-10T00:00:00"/>
    <s v="von Mandl"/>
    <s v="Anthony"/>
    <m/>
    <d v="2023-04-04T05:01:00"/>
    <m/>
    <m/>
    <n v="1950"/>
    <n v="116.76"/>
    <n v="1.9"/>
    <n v="1736425629520"/>
    <n v="68.900000000000006"/>
    <n v="100.9"/>
    <n v="12.8"/>
    <n v="24.5"/>
    <n v="36991981"/>
  </r>
  <r>
    <x v="138"/>
    <x v="138"/>
    <x v="10"/>
    <x v="218"/>
    <x v="41"/>
    <x v="5"/>
    <x v="128"/>
    <x v="134"/>
    <x v="10"/>
    <s v="China"/>
    <m/>
    <x v="1"/>
    <s v="U"/>
    <x v="0"/>
    <d v="1966-02-24T00:00:00"/>
    <s v="Wang"/>
    <s v="Liping"/>
    <m/>
    <d v="2023-04-04T05:01:00"/>
    <m/>
    <m/>
    <n v="1966"/>
    <n v="125.08"/>
    <n v="2.9"/>
    <n v="19910000000000"/>
    <n v="50.6"/>
    <n v="100.2"/>
    <n v="9.4"/>
    <n v="59.2"/>
    <n v="1397715000"/>
  </r>
  <r>
    <x v="139"/>
    <x v="139"/>
    <x v="7"/>
    <x v="219"/>
    <x v="13"/>
    <x v="13"/>
    <x v="32"/>
    <x v="135"/>
    <x v="7"/>
    <s v="Sweden"/>
    <m/>
    <x v="0"/>
    <s v="D"/>
    <x v="0"/>
    <d v="1955-01-01T00:00:00"/>
    <s v="Rausing"/>
    <s v="Finn"/>
    <m/>
    <d v="2023-04-04T05:01:00"/>
    <m/>
    <m/>
    <n v="1955"/>
    <n v="119.62"/>
    <n v="1.7"/>
    <n v="2827113184696"/>
    <n v="60"/>
    <n v="101.2"/>
    <n v="25.5"/>
    <n v="30.6"/>
    <n v="66834405"/>
  </r>
  <r>
    <x v="139"/>
    <x v="139"/>
    <x v="7"/>
    <x v="220"/>
    <x v="53"/>
    <x v="13"/>
    <x v="129"/>
    <x v="135"/>
    <x v="7"/>
    <s v="Sweden"/>
    <m/>
    <x v="0"/>
    <s v="D"/>
    <x v="0"/>
    <d v="1960-01-01T00:00:00"/>
    <s v="Rausing"/>
    <s v="Jorn"/>
    <m/>
    <d v="2023-04-04T05:01:00"/>
    <m/>
    <m/>
    <n v="1960"/>
    <n v="119.62"/>
    <n v="1.7"/>
    <n v="2827113184696"/>
    <n v="60"/>
    <n v="101.2"/>
    <n v="25.5"/>
    <n v="30.6"/>
    <n v="66834405"/>
  </r>
  <r>
    <x v="139"/>
    <x v="139"/>
    <x v="7"/>
    <x v="221"/>
    <x v="36"/>
    <x v="13"/>
    <x v="130"/>
    <x v="135"/>
    <x v="7"/>
    <s v="Sweden"/>
    <m/>
    <x v="0"/>
    <s v="D"/>
    <x v="1"/>
    <d v="1952-06-06T00:00:00"/>
    <s v="Rausing"/>
    <s v="Kirsten"/>
    <m/>
    <d v="2023-04-04T05:01:00"/>
    <m/>
    <m/>
    <n v="1952"/>
    <n v="119.62"/>
    <n v="1.7"/>
    <n v="2827113184696"/>
    <n v="60"/>
    <n v="101.2"/>
    <n v="25.5"/>
    <n v="30.6"/>
    <n v="66834405"/>
  </r>
  <r>
    <x v="140"/>
    <x v="140"/>
    <x v="0"/>
    <x v="222"/>
    <x v="47"/>
    <x v="17"/>
    <x v="131"/>
    <x v="136"/>
    <x v="0"/>
    <s v="Russia"/>
    <m/>
    <x v="1"/>
    <s v="U"/>
    <x v="1"/>
    <d v="1975-10-16T00:00:00"/>
    <s v="Bakalchuk"/>
    <s v="Tatyana"/>
    <m/>
    <d v="2023-04-04T05:01:00"/>
    <m/>
    <m/>
    <n v="1975"/>
    <n v="180.75"/>
    <n v="4.5"/>
    <n v="1699876578871"/>
    <n v="81.900000000000006"/>
    <n v="102.6"/>
    <n v="11.4"/>
    <n v="46.2"/>
    <n v="144373535"/>
  </r>
  <r>
    <x v="140"/>
    <x v="140"/>
    <x v="2"/>
    <x v="223"/>
    <x v="48"/>
    <x v="1"/>
    <x v="124"/>
    <x v="137"/>
    <x v="2"/>
    <s v="United States"/>
    <s v="Kleiner Perkins"/>
    <x v="1"/>
    <s v="D"/>
    <x v="0"/>
    <d v="1951-06-29T00:00:00"/>
    <s v="Doerr"/>
    <s v="John"/>
    <s v="Investor"/>
    <d v="2023-04-04T05:01:00"/>
    <s v="California"/>
    <s v="West"/>
    <n v="1951"/>
    <n v="117.24"/>
    <n v="7.5"/>
    <n v="21427700000000"/>
    <n v="88.2"/>
    <n v="101.8"/>
    <n v="9.6"/>
    <n v="36.6"/>
    <n v="328239523"/>
  </r>
  <r>
    <x v="140"/>
    <x v="140"/>
    <x v="2"/>
    <x v="224"/>
    <x v="12"/>
    <x v="5"/>
    <x v="19"/>
    <x v="34"/>
    <x v="2"/>
    <s v="China"/>
    <m/>
    <x v="1"/>
    <s v="D"/>
    <x v="0"/>
    <d v="1974-03-10T00:00:00"/>
    <s v="Liu"/>
    <s v="Richard"/>
    <m/>
    <d v="2023-04-04T05:01:00"/>
    <m/>
    <m/>
    <n v="1974"/>
    <n v="125.08"/>
    <n v="2.9"/>
    <n v="19910000000000"/>
    <n v="50.6"/>
    <n v="100.2"/>
    <n v="9.4"/>
    <n v="59.2"/>
    <n v="1397715000"/>
  </r>
  <r>
    <x v="140"/>
    <x v="140"/>
    <x v="2"/>
    <x v="225"/>
    <x v="14"/>
    <x v="1"/>
    <x v="120"/>
    <x v="13"/>
    <x v="2"/>
    <s v="United States"/>
    <s v="Asana"/>
    <x v="1"/>
    <s v="D"/>
    <x v="0"/>
    <d v="1984-05-22T00:00:00"/>
    <s v="Moskovitz"/>
    <s v="Dustin"/>
    <s v="Cofounder"/>
    <d v="2023-04-04T05:01:00"/>
    <s v="California"/>
    <s v="West"/>
    <n v="1984"/>
    <n v="117.24"/>
    <n v="7.5"/>
    <n v="21427700000000"/>
    <n v="88.2"/>
    <n v="101.8"/>
    <n v="9.6"/>
    <n v="36.6"/>
    <n v="328239523"/>
  </r>
  <r>
    <x v="140"/>
    <x v="140"/>
    <x v="2"/>
    <x v="226"/>
    <x v="42"/>
    <x v="1"/>
    <x v="132"/>
    <x v="138"/>
    <x v="2"/>
    <s v="United States"/>
    <s v="eBay"/>
    <x v="1"/>
    <s v="D"/>
    <x v="0"/>
    <d v="1967-06-21T00:00:00"/>
    <s v="Omidyar"/>
    <s v="Pierre"/>
    <s v="Founder"/>
    <d v="2023-04-04T05:01:00"/>
    <s v="Hawaii"/>
    <s v="West"/>
    <n v="1967"/>
    <n v="117.24"/>
    <n v="7.5"/>
    <n v="21427700000000"/>
    <n v="88.2"/>
    <n v="101.8"/>
    <n v="9.6"/>
    <n v="36.6"/>
    <n v="328239523"/>
  </r>
  <r>
    <x v="140"/>
    <x v="140"/>
    <x v="13"/>
    <x v="227"/>
    <x v="29"/>
    <x v="5"/>
    <x v="30"/>
    <x v="30"/>
    <x v="13"/>
    <s v="China"/>
    <m/>
    <x v="1"/>
    <s v="D"/>
    <x v="0"/>
    <d v="1959-01-01T00:00:00"/>
    <s v="Pei"/>
    <s v="Zhenhua"/>
    <m/>
    <d v="2023-04-04T05:01:00"/>
    <m/>
    <m/>
    <n v="1959"/>
    <n v="125.08"/>
    <n v="2.9"/>
    <n v="19910000000000"/>
    <n v="50.6"/>
    <n v="100.2"/>
    <n v="9.4"/>
    <n v="59.2"/>
    <n v="1397715000"/>
  </r>
  <r>
    <x v="140"/>
    <x v="140"/>
    <x v="13"/>
    <x v="228"/>
    <x v="25"/>
    <x v="13"/>
    <x v="32"/>
    <x v="62"/>
    <x v="13"/>
    <s v="France"/>
    <m/>
    <x v="0"/>
    <s v="U"/>
    <x v="1"/>
    <d v="1951-01-01T00:00:00"/>
    <s v="Perrodo"/>
    <s v="Carrie"/>
    <s v="Philanthropist"/>
    <d v="2023-04-04T05:01:00"/>
    <m/>
    <m/>
    <n v="1951"/>
    <n v="119.62"/>
    <n v="1.7"/>
    <n v="2827113184696"/>
    <n v="60"/>
    <n v="101.2"/>
    <n v="25.5"/>
    <n v="30.6"/>
    <n v="66834405"/>
  </r>
  <r>
    <x v="141"/>
    <x v="141"/>
    <x v="10"/>
    <x v="229"/>
    <x v="33"/>
    <x v="5"/>
    <x v="133"/>
    <x v="50"/>
    <x v="10"/>
    <s v="China"/>
    <m/>
    <x v="1"/>
    <s v="U"/>
    <x v="0"/>
    <d v="1971-01-01T00:00:00"/>
    <s v="Chen"/>
    <s v="Jianhua"/>
    <m/>
    <d v="2023-04-04T05:01:00"/>
    <m/>
    <m/>
    <n v="1971"/>
    <n v="125.08"/>
    <n v="2.9"/>
    <n v="19910000000000"/>
    <n v="50.6"/>
    <n v="100.2"/>
    <n v="9.4"/>
    <n v="59.2"/>
    <n v="1397715000"/>
  </r>
  <r>
    <x v="141"/>
    <x v="141"/>
    <x v="0"/>
    <x v="230"/>
    <x v="55"/>
    <x v="7"/>
    <x v="127"/>
    <x v="139"/>
    <x v="0"/>
    <s v="Germany"/>
    <m/>
    <x v="0"/>
    <s v="D"/>
    <x v="0"/>
    <d v="1943-04-12T00:00:00"/>
    <s v="Otto"/>
    <s v="Michael"/>
    <m/>
    <d v="2023-04-04T05:01:00"/>
    <m/>
    <m/>
    <n v="1943"/>
    <n v="112.85"/>
    <n v="1.4"/>
    <n v="3845630030824"/>
    <n v="70.2"/>
    <n v="104"/>
    <n v="11.5"/>
    <n v="48.8"/>
    <n v="83132799"/>
  </r>
  <r>
    <x v="142"/>
    <x v="142"/>
    <x v="3"/>
    <x v="231"/>
    <x v="48"/>
    <x v="1"/>
    <x v="5"/>
    <x v="122"/>
    <x v="3"/>
    <s v="United States"/>
    <m/>
    <x v="1"/>
    <s v="D"/>
    <x v="0"/>
    <d v="1951-07-31T00:00:00"/>
    <s v="Black"/>
    <s v="Leon"/>
    <m/>
    <d v="2023-04-04T05:01:00"/>
    <s v="New York"/>
    <s v="Northeast"/>
    <n v="1951"/>
    <n v="117.24"/>
    <n v="7.5"/>
    <n v="21427700000000"/>
    <n v="88.2"/>
    <n v="101.8"/>
    <n v="9.6"/>
    <n v="36.6"/>
    <n v="328239523"/>
  </r>
  <r>
    <x v="142"/>
    <x v="142"/>
    <x v="3"/>
    <x v="232"/>
    <x v="5"/>
    <x v="33"/>
    <x v="134"/>
    <x v="38"/>
    <x v="3"/>
    <s v="New Zealand"/>
    <m/>
    <x v="1"/>
    <s v="D"/>
    <x v="0"/>
    <d v="1955-06-06T00:00:00"/>
    <s v="Hart"/>
    <s v="Graeme"/>
    <m/>
    <d v="2023-04-04T05:01:00"/>
    <m/>
    <m/>
    <n v="1955"/>
    <n v="114.24"/>
    <n v="1.6"/>
    <n v="206928765544"/>
    <n v="82"/>
    <n v="100"/>
    <n v="29"/>
    <n v="34.6"/>
    <n v="4841000"/>
  </r>
  <r>
    <x v="142"/>
    <x v="142"/>
    <x v="7"/>
    <x v="233"/>
    <x v="13"/>
    <x v="3"/>
    <x v="41"/>
    <x v="140"/>
    <x v="7"/>
    <s v="India"/>
    <m/>
    <x v="0"/>
    <s v="U"/>
    <x v="0"/>
    <d v="1954-11-28T00:00:00"/>
    <s v="Jaipuria"/>
    <s v="Ravi"/>
    <m/>
    <d v="2023-04-04T05:01:00"/>
    <m/>
    <m/>
    <n v="1954"/>
    <n v="180.44"/>
    <n v="7.7"/>
    <n v="2611000000000"/>
    <n v="28.1"/>
    <n v="113"/>
    <n v="11.2"/>
    <n v="49.7"/>
    <n v="1366417754"/>
  </r>
  <r>
    <x v="142"/>
    <x v="142"/>
    <x v="2"/>
    <x v="234"/>
    <x v="55"/>
    <x v="7"/>
    <x v="135"/>
    <x v="117"/>
    <x v="2"/>
    <s v="Germany"/>
    <m/>
    <x v="1"/>
    <s v="U"/>
    <x v="0"/>
    <d v="1944-01-21T00:00:00"/>
    <s v="Plattner"/>
    <s v="Hasso"/>
    <m/>
    <d v="2023-04-04T05:01:00"/>
    <m/>
    <m/>
    <n v="1944"/>
    <n v="112.85"/>
    <n v="1.4"/>
    <n v="3845630030824"/>
    <n v="70.2"/>
    <n v="104"/>
    <n v="11.5"/>
    <n v="48.8"/>
    <n v="83132799"/>
  </r>
  <r>
    <x v="142"/>
    <x v="142"/>
    <x v="7"/>
    <x v="235"/>
    <x v="43"/>
    <x v="8"/>
    <x v="136"/>
    <x v="82"/>
    <x v="7"/>
    <s v="Brazil"/>
    <m/>
    <x v="1"/>
    <s v="U"/>
    <x v="0"/>
    <d v="1948-01-01T00:00:00"/>
    <s v="Sicupira"/>
    <s v="Carlos Alberto"/>
    <m/>
    <d v="2023-04-04T05:01:00"/>
    <m/>
    <m/>
    <n v="1948"/>
    <n v="99.55"/>
    <n v="0.4"/>
    <n v="703082435360"/>
    <n v="59.6"/>
    <n v="105.2"/>
    <n v="10.1"/>
    <n v="28.8"/>
    <n v="8574832"/>
  </r>
  <r>
    <x v="142"/>
    <x v="142"/>
    <x v="11"/>
    <x v="236"/>
    <x v="16"/>
    <x v="34"/>
    <x v="137"/>
    <x v="36"/>
    <x v="11"/>
    <s v="Philippines"/>
    <m/>
    <x v="1"/>
    <s v="U"/>
    <x v="0"/>
    <d v="1949-12-13T00:00:00"/>
    <s v="Villar"/>
    <s v="Manuel"/>
    <m/>
    <d v="2023-04-04T05:01:00"/>
    <m/>
    <m/>
    <n v="1949"/>
    <n v="129.61000000000001"/>
    <n v="2.5"/>
    <n v="376795508680"/>
    <n v="35.5"/>
    <n v="107.5"/>
    <n v="14"/>
    <n v="43.1"/>
    <n v="108116615"/>
  </r>
  <r>
    <x v="142"/>
    <x v="142"/>
    <x v="2"/>
    <x v="237"/>
    <x v="5"/>
    <x v="1"/>
    <x v="9"/>
    <x v="10"/>
    <x v="2"/>
    <s v="Germany"/>
    <s v="Arista Networks"/>
    <x v="1"/>
    <s v="D"/>
    <x v="0"/>
    <d v="1955-09-30T00:00:00"/>
    <s v="von Bechtolsheim"/>
    <s v="Andreas"/>
    <s v="Cofounder, Chief Development Officer and Chairman"/>
    <d v="2023-04-04T05:01:00"/>
    <s v="California"/>
    <s v="West"/>
    <n v="1955"/>
    <n v="117.24"/>
    <n v="7.5"/>
    <n v="21427700000000"/>
    <n v="88.2"/>
    <n v="101.8"/>
    <n v="9.6"/>
    <n v="36.6"/>
    <n v="328239523"/>
  </r>
  <r>
    <x v="143"/>
    <x v="143"/>
    <x v="3"/>
    <x v="238"/>
    <x v="47"/>
    <x v="1"/>
    <x v="5"/>
    <x v="38"/>
    <x v="3"/>
    <s v="United States"/>
    <s v="Tiger Global Management"/>
    <x v="1"/>
    <s v="D"/>
    <x v="0"/>
    <d v="1975-06-21T00:00:00"/>
    <s v="Coleman"/>
    <s v="Chase"/>
    <s v="Investor"/>
    <d v="2023-04-04T05:01:00"/>
    <s v="New York"/>
    <s v="Northeast"/>
    <n v="1975"/>
    <n v="117.24"/>
    <n v="7.5"/>
    <n v="21427700000000"/>
    <n v="88.2"/>
    <n v="101.8"/>
    <n v="9.6"/>
    <n v="36.6"/>
    <n v="328239523"/>
  </r>
  <r>
    <x v="143"/>
    <x v="143"/>
    <x v="0"/>
    <x v="239"/>
    <x v="0"/>
    <x v="1"/>
    <x v="84"/>
    <x v="15"/>
    <x v="0"/>
    <s v="United States"/>
    <m/>
    <x v="0"/>
    <s v="D"/>
    <x v="1"/>
    <d v="1948-12-18T00:00:00"/>
    <s v="Kroenke"/>
    <s v="Ann Walton"/>
    <m/>
    <d v="2023-04-04T05:01:00"/>
    <s v="Texas"/>
    <s v="South"/>
    <n v="1948"/>
    <n v="117.24"/>
    <n v="7.5"/>
    <n v="21427700000000"/>
    <n v="88.2"/>
    <n v="101.8"/>
    <n v="9.6"/>
    <n v="36.6"/>
    <n v="328239523"/>
  </r>
  <r>
    <x v="143"/>
    <x v="143"/>
    <x v="10"/>
    <x v="240"/>
    <x v="42"/>
    <x v="5"/>
    <x v="138"/>
    <x v="141"/>
    <x v="10"/>
    <s v="China"/>
    <m/>
    <x v="1"/>
    <s v="D"/>
    <x v="0"/>
    <d v="1968-01-01T00:00:00"/>
    <s v="Li"/>
    <s v="Zhenguo"/>
    <m/>
    <d v="2023-04-04T05:01:00"/>
    <m/>
    <m/>
    <n v="1968"/>
    <n v="125.08"/>
    <n v="2.9"/>
    <n v="19910000000000"/>
    <n v="50.6"/>
    <n v="100.2"/>
    <n v="9.4"/>
    <n v="59.2"/>
    <n v="1397715000"/>
  </r>
  <r>
    <x v="144"/>
    <x v="144"/>
    <x v="4"/>
    <x v="241"/>
    <x v="43"/>
    <x v="1"/>
    <x v="139"/>
    <x v="142"/>
    <x v="4"/>
    <s v="United States"/>
    <s v="Cox Enterprises"/>
    <x v="0"/>
    <s v="U"/>
    <x v="0"/>
    <d v="1947-11-29T00:00:00"/>
    <s v="Kennedy"/>
    <s v="Jim"/>
    <s v="Chairman Emeritus"/>
    <d v="2023-04-04T05:01:00"/>
    <s v="Georgia"/>
    <s v="South"/>
    <n v="1947"/>
    <n v="117.24"/>
    <n v="7.5"/>
    <n v="21427700000000"/>
    <n v="88.2"/>
    <n v="101.8"/>
    <n v="9.6"/>
    <n v="36.6"/>
    <n v="328239523"/>
  </r>
  <r>
    <x v="144"/>
    <x v="144"/>
    <x v="12"/>
    <x v="242"/>
    <x v="22"/>
    <x v="29"/>
    <x v="140"/>
    <x v="143"/>
    <x v="12"/>
    <s v="South Africa"/>
    <m/>
    <x v="0"/>
    <s v="D"/>
    <x v="0"/>
    <d v="1945-06-08T00:00:00"/>
    <s v="Oppenheimer"/>
    <s v="Nicky"/>
    <m/>
    <d v="2023-04-04T05:01:00"/>
    <m/>
    <m/>
    <n v="1945"/>
    <n v="158.93"/>
    <n v="4.0999999999999996"/>
    <n v="351431649241"/>
    <n v="22.4"/>
    <n v="100.9"/>
    <n v="27.5"/>
    <n v="29.2"/>
    <n v="58558270"/>
  </r>
  <r>
    <x v="144"/>
    <x v="144"/>
    <x v="4"/>
    <x v="243"/>
    <x v="25"/>
    <x v="14"/>
    <x v="141"/>
    <x v="142"/>
    <x v="4"/>
    <s v="United States"/>
    <m/>
    <x v="0"/>
    <s v="U"/>
    <x v="1"/>
    <d v="1950-05-21T00:00:00"/>
    <s v="Parry-Okeden"/>
    <s v="Blair"/>
    <m/>
    <d v="2023-04-04T05:01:00"/>
    <m/>
    <m/>
    <n v="1950"/>
    <n v="119.8"/>
    <n v="1.6"/>
    <n v="1392680589329"/>
    <n v="113.1"/>
    <n v="100.3"/>
    <n v="23"/>
    <n v="47.4"/>
    <n v="25766605"/>
  </r>
  <r>
    <x v="144"/>
    <x v="144"/>
    <x v="12"/>
    <x v="244"/>
    <x v="22"/>
    <x v="5"/>
    <x v="142"/>
    <x v="144"/>
    <x v="12"/>
    <s v="China"/>
    <m/>
    <x v="0"/>
    <s v="D"/>
    <x v="1"/>
    <d v="1946-01-01T00:00:00"/>
    <s v="Zheng"/>
    <s v="Shuliang"/>
    <m/>
    <d v="2023-04-04T05:01:00"/>
    <m/>
    <m/>
    <n v="1946"/>
    <n v="125.08"/>
    <n v="2.9"/>
    <n v="19910000000000"/>
    <n v="50.6"/>
    <n v="100.2"/>
    <n v="9.4"/>
    <n v="59.2"/>
    <n v="1397715000"/>
  </r>
  <r>
    <x v="145"/>
    <x v="145"/>
    <x v="0"/>
    <x v="245"/>
    <x v="43"/>
    <x v="1"/>
    <x v="143"/>
    <x v="145"/>
    <x v="0"/>
    <s v="United States"/>
    <m/>
    <x v="1"/>
    <s v="U"/>
    <x v="0"/>
    <d v="1948-03-19T00:00:00"/>
    <s v="Morris"/>
    <s v="John"/>
    <m/>
    <d v="2023-04-04T05:01:00"/>
    <s v="Missouri"/>
    <s v="Midwest"/>
    <n v="1948"/>
    <n v="117.24"/>
    <n v="7.5"/>
    <n v="21427700000000"/>
    <n v="88.2"/>
    <n v="101.8"/>
    <n v="9.6"/>
    <n v="36.6"/>
    <n v="328239523"/>
  </r>
  <r>
    <x v="145"/>
    <x v="145"/>
    <x v="0"/>
    <x v="246"/>
    <x v="6"/>
    <x v="19"/>
    <x v="58"/>
    <x v="146"/>
    <x v="0"/>
    <s v="Monaco"/>
    <m/>
    <x v="0"/>
    <s v="D"/>
    <x v="0"/>
    <d v="1941-06-04T00:00:00"/>
    <s v="Pessina"/>
    <s v="Stefano"/>
    <m/>
    <d v="2023-04-04T05:01:00"/>
    <m/>
    <m/>
    <n v="1941"/>
    <m/>
    <m/>
    <n v="7184844193"/>
    <m/>
    <m/>
    <m/>
    <m/>
    <n v="38964"/>
  </r>
  <r>
    <x v="145"/>
    <x v="145"/>
    <x v="3"/>
    <x v="247"/>
    <x v="44"/>
    <x v="8"/>
    <x v="144"/>
    <x v="38"/>
    <x v="3"/>
    <s v="Germany"/>
    <m/>
    <x v="0"/>
    <s v="D"/>
    <x v="1"/>
    <m/>
    <s v="von Finck"/>
    <s v="Francine"/>
    <m/>
    <d v="2023-04-04T05:01:00"/>
    <m/>
    <m/>
    <m/>
    <n v="99.55"/>
    <n v="0.4"/>
    <n v="703082435360"/>
    <n v="59.6"/>
    <n v="105.2"/>
    <n v="10.1"/>
    <n v="28.8"/>
    <n v="8574832"/>
  </r>
  <r>
    <x v="146"/>
    <x v="146"/>
    <x v="11"/>
    <x v="248"/>
    <x v="43"/>
    <x v="10"/>
    <x v="36"/>
    <x v="36"/>
    <x v="11"/>
    <s v="Hong Kong"/>
    <m/>
    <x v="1"/>
    <s v="U"/>
    <x v="0"/>
    <d v="1947-09-18T00:00:00"/>
    <s v="Choi"/>
    <s v="Francis"/>
    <m/>
    <d v="2023-04-04T05:01:00"/>
    <m/>
    <m/>
    <n v="1947"/>
    <m/>
    <m/>
    <m/>
    <m/>
    <m/>
    <m/>
    <m/>
    <m/>
  </r>
  <r>
    <x v="146"/>
    <x v="146"/>
    <x v="13"/>
    <x v="249"/>
    <x v="38"/>
    <x v="17"/>
    <x v="48"/>
    <x v="99"/>
    <x v="13"/>
    <s v="Russia"/>
    <m/>
    <x v="1"/>
    <s v="U"/>
    <x v="0"/>
    <d v="1961-10-24T00:00:00"/>
    <s v="Khan"/>
    <s v="German"/>
    <m/>
    <d v="2023-04-04T05:01:00"/>
    <m/>
    <m/>
    <n v="1961"/>
    <n v="180.75"/>
    <n v="4.5"/>
    <n v="1699876578871"/>
    <n v="81.900000000000006"/>
    <n v="102.6"/>
    <n v="11.4"/>
    <n v="46.2"/>
    <n v="144373535"/>
  </r>
  <r>
    <x v="146"/>
    <x v="146"/>
    <x v="6"/>
    <x v="250"/>
    <x v="34"/>
    <x v="26"/>
    <x v="77"/>
    <x v="91"/>
    <x v="6"/>
    <s v="Nigeria"/>
    <m/>
    <x v="0"/>
    <s v="U"/>
    <x v="0"/>
    <d v="1960-08-04T00:00:00"/>
    <s v="Rabiu"/>
    <s v="Abdulsamad"/>
    <m/>
    <d v="2023-04-04T05:01:00"/>
    <m/>
    <m/>
    <n v="1960"/>
    <n v="267.51"/>
    <n v="11.4"/>
    <n v="448120428859"/>
    <n v="10.199999999999999"/>
    <n v="84.7"/>
    <n v="1.5"/>
    <n v="34.799999999999997"/>
    <n v="200963599"/>
  </r>
  <r>
    <x v="146"/>
    <x v="146"/>
    <x v="3"/>
    <x v="251"/>
    <x v="55"/>
    <x v="1"/>
    <x v="70"/>
    <x v="122"/>
    <x v="3"/>
    <s v="United States"/>
    <m/>
    <x v="1"/>
    <s v="U"/>
    <x v="0"/>
    <d v="1943-09-14T00:00:00"/>
    <s v="Roberts"/>
    <s v="George"/>
    <m/>
    <d v="2023-04-04T05:01:00"/>
    <s v="California"/>
    <s v="West"/>
    <n v="1943"/>
    <n v="117.24"/>
    <n v="7.5"/>
    <n v="21427700000000"/>
    <n v="88.2"/>
    <n v="101.8"/>
    <n v="9.6"/>
    <n v="36.6"/>
    <n v="328239523"/>
  </r>
  <r>
    <x v="146"/>
    <x v="146"/>
    <x v="11"/>
    <x v="252"/>
    <x v="56"/>
    <x v="3"/>
    <x v="41"/>
    <x v="36"/>
    <x v="11"/>
    <s v="India"/>
    <m/>
    <x v="0"/>
    <s v="D"/>
    <x v="0"/>
    <d v="1931-08-15T00:00:00"/>
    <s v="Singh"/>
    <s v="Kushal Pal"/>
    <m/>
    <d v="2023-04-04T05:01:00"/>
    <m/>
    <m/>
    <n v="1931"/>
    <n v="180.44"/>
    <n v="7.7"/>
    <n v="2611000000000"/>
    <n v="28.1"/>
    <n v="113"/>
    <n v="11.2"/>
    <n v="49.7"/>
    <n v="1366417754"/>
  </r>
  <r>
    <x v="146"/>
    <x v="146"/>
    <x v="11"/>
    <x v="253"/>
    <x v="13"/>
    <x v="5"/>
    <x v="19"/>
    <x v="36"/>
    <x v="11"/>
    <s v="China"/>
    <s v="Dalian Wanda Group"/>
    <x v="1"/>
    <s v="D"/>
    <x v="0"/>
    <d v="1954-10-01T00:00:00"/>
    <s v="Wang"/>
    <s v="Jianlin"/>
    <s v="Chairman"/>
    <d v="2023-04-04T05:01:00"/>
    <m/>
    <m/>
    <n v="1954"/>
    <n v="125.08"/>
    <n v="2.9"/>
    <n v="19910000000000"/>
    <n v="50.6"/>
    <n v="100.2"/>
    <n v="9.4"/>
    <n v="59.2"/>
    <n v="1397715000"/>
  </r>
  <r>
    <x v="146"/>
    <x v="146"/>
    <x v="11"/>
    <x v="254"/>
    <x v="51"/>
    <x v="5"/>
    <x v="49"/>
    <x v="36"/>
    <x v="11"/>
    <s v="China"/>
    <m/>
    <x v="0"/>
    <s v="D"/>
    <x v="1"/>
    <d v="1981-09-27T00:00:00"/>
    <s v="Yang"/>
    <s v="Huiyan"/>
    <m/>
    <d v="2023-04-04T05:01:00"/>
    <m/>
    <m/>
    <n v="1981"/>
    <n v="125.08"/>
    <n v="2.9"/>
    <n v="19910000000000"/>
    <n v="50.6"/>
    <n v="100.2"/>
    <n v="9.4"/>
    <n v="59.2"/>
    <n v="1397715000"/>
  </r>
  <r>
    <x v="147"/>
    <x v="147"/>
    <x v="6"/>
    <x v="255"/>
    <x v="9"/>
    <x v="0"/>
    <x v="0"/>
    <x v="8"/>
    <x v="6"/>
    <s v="France"/>
    <m/>
    <x v="0"/>
    <s v="D"/>
    <x v="0"/>
    <d v="1953-07-07T00:00:00"/>
    <s v="Dassault"/>
    <s v="Laurent"/>
    <m/>
    <d v="2023-04-04T05:01:00"/>
    <m/>
    <m/>
    <n v="1953"/>
    <n v="110.05"/>
    <n v="1.1000000000000001"/>
    <n v="2715518274227"/>
    <n v="65.599999999999994"/>
    <n v="102.5"/>
    <n v="24.2"/>
    <n v="60.7"/>
    <n v="67059887"/>
  </r>
  <r>
    <x v="147"/>
    <x v="147"/>
    <x v="6"/>
    <x v="256"/>
    <x v="37"/>
    <x v="0"/>
    <x v="0"/>
    <x v="8"/>
    <x v="6"/>
    <s v="France"/>
    <m/>
    <x v="0"/>
    <s v="D"/>
    <x v="0"/>
    <d v="1957-03-26T00:00:00"/>
    <s v="Dassault"/>
    <s v="Thierry"/>
    <m/>
    <d v="2023-04-04T05:01:00"/>
    <m/>
    <m/>
    <n v="1957"/>
    <n v="110.05"/>
    <n v="1.1000000000000001"/>
    <n v="2715518274227"/>
    <n v="65.599999999999994"/>
    <n v="102.5"/>
    <n v="24.2"/>
    <n v="60.7"/>
    <n v="67059887"/>
  </r>
  <r>
    <x v="147"/>
    <x v="147"/>
    <x v="7"/>
    <x v="257"/>
    <x v="8"/>
    <x v="1"/>
    <x v="102"/>
    <x v="147"/>
    <x v="7"/>
    <s v="United States"/>
    <s v="Landry's Inc"/>
    <x v="1"/>
    <s v="U"/>
    <x v="0"/>
    <d v="1957-06-25T00:00:00"/>
    <s v="Fertitta"/>
    <s v="Tilman"/>
    <s v="Chairman and CEO"/>
    <d v="2023-04-04T05:01:00"/>
    <s v="Texas"/>
    <s v="South"/>
    <n v="1957"/>
    <n v="117.24"/>
    <n v="7.5"/>
    <n v="21427700000000"/>
    <n v="88.2"/>
    <n v="101.8"/>
    <n v="9.6"/>
    <n v="36.6"/>
    <n v="328239523"/>
  </r>
  <r>
    <x v="147"/>
    <x v="147"/>
    <x v="6"/>
    <x v="258"/>
    <x v="17"/>
    <x v="0"/>
    <x v="0"/>
    <x v="8"/>
    <x v="6"/>
    <s v="France"/>
    <m/>
    <x v="0"/>
    <s v="D"/>
    <x v="1"/>
    <d v="1965-04-04T00:00:00"/>
    <s v="Habert-Dassault"/>
    <s v="Marie-Hélène"/>
    <m/>
    <d v="2023-04-04T05:01:00"/>
    <m/>
    <m/>
    <n v="1965"/>
    <n v="110.05"/>
    <n v="1.1000000000000001"/>
    <n v="2715518274227"/>
    <n v="65.599999999999994"/>
    <n v="102.5"/>
    <n v="24.2"/>
    <n v="60.7"/>
    <n v="67059887"/>
  </r>
  <r>
    <x v="147"/>
    <x v="147"/>
    <x v="9"/>
    <x v="259"/>
    <x v="23"/>
    <x v="8"/>
    <x v="145"/>
    <x v="148"/>
    <x v="9"/>
    <s v="Czech Republic"/>
    <m/>
    <x v="1"/>
    <s v="U"/>
    <x v="0"/>
    <d v="1969-03-15T00:00:00"/>
    <s v="Komarek"/>
    <s v="Karel"/>
    <m/>
    <d v="2023-04-04T05:01:00"/>
    <m/>
    <m/>
    <n v="1969"/>
    <n v="99.55"/>
    <n v="0.4"/>
    <n v="703082435360"/>
    <n v="59.6"/>
    <n v="105.2"/>
    <n v="10.1"/>
    <n v="28.8"/>
    <n v="8574832"/>
  </r>
  <r>
    <x v="148"/>
    <x v="148"/>
    <x v="2"/>
    <x v="260"/>
    <x v="19"/>
    <x v="1"/>
    <x v="120"/>
    <x v="128"/>
    <x v="2"/>
    <s v="United States"/>
    <m/>
    <x v="1"/>
    <s v="D"/>
    <x v="0"/>
    <d v="1983-06-11T00:00:00"/>
    <s v="Blecharczyk"/>
    <s v="Nathan"/>
    <m/>
    <d v="2023-04-04T05:01:00"/>
    <s v="California"/>
    <s v="West"/>
    <n v="1983"/>
    <n v="117.24"/>
    <n v="7.5"/>
    <n v="21427700000000"/>
    <n v="88.2"/>
    <n v="101.8"/>
    <n v="9.6"/>
    <n v="36.6"/>
    <n v="328239523"/>
  </r>
  <r>
    <x v="148"/>
    <x v="148"/>
    <x v="13"/>
    <x v="261"/>
    <x v="37"/>
    <x v="17"/>
    <x v="48"/>
    <x v="62"/>
    <x v="13"/>
    <s v="Russia"/>
    <m/>
    <x v="1"/>
    <s v="U"/>
    <x v="0"/>
    <d v="1956-04-05T00:00:00"/>
    <s v="Fedun"/>
    <s v="Leonid"/>
    <m/>
    <d v="2023-04-04T05:01:00"/>
    <m/>
    <m/>
    <n v="1956"/>
    <n v="180.75"/>
    <n v="4.5"/>
    <n v="1699876578871"/>
    <n v="81.900000000000006"/>
    <n v="102.6"/>
    <n v="11.4"/>
    <n v="46.2"/>
    <n v="144373535"/>
  </r>
  <r>
    <x v="148"/>
    <x v="148"/>
    <x v="0"/>
    <x v="262"/>
    <x v="46"/>
    <x v="1"/>
    <x v="139"/>
    <x v="149"/>
    <x v="0"/>
    <s v="United States"/>
    <s v="Home Depot"/>
    <x v="1"/>
    <s v="D"/>
    <x v="0"/>
    <d v="1929-05-12T00:00:00"/>
    <s v="Marcus"/>
    <s v="Bernard"/>
    <s v="Co-founder, ex chairman of the board"/>
    <d v="2023-04-04T05:01:00"/>
    <s v="Georgia"/>
    <s v="South"/>
    <n v="1929"/>
    <n v="117.24"/>
    <n v="7.5"/>
    <n v="21427700000000"/>
    <n v="88.2"/>
    <n v="101.8"/>
    <n v="9.6"/>
    <n v="36.6"/>
    <n v="328239523"/>
  </r>
  <r>
    <x v="148"/>
    <x v="148"/>
    <x v="3"/>
    <x v="263"/>
    <x v="18"/>
    <x v="1"/>
    <x v="146"/>
    <x v="150"/>
    <x v="3"/>
    <s v="United States"/>
    <s v="Ryan Specialty Group"/>
    <x v="1"/>
    <s v="E"/>
    <x v="0"/>
    <d v="1937-05-15T00:00:00"/>
    <s v="Ryan"/>
    <s v="Patrick"/>
    <s v="Chairman and CEO"/>
    <d v="2023-04-04T05:01:00"/>
    <s v="Illinois"/>
    <s v="Midwest"/>
    <n v="1937"/>
    <n v="117.24"/>
    <n v="7.5"/>
    <n v="21427700000000"/>
    <n v="88.2"/>
    <n v="101.8"/>
    <n v="9.6"/>
    <n v="36.6"/>
    <n v="328239523"/>
  </r>
  <r>
    <x v="148"/>
    <x v="148"/>
    <x v="3"/>
    <x v="264"/>
    <x v="15"/>
    <x v="1"/>
    <x v="1"/>
    <x v="122"/>
    <x v="3"/>
    <s v="United States"/>
    <m/>
    <x v="1"/>
    <s v="U"/>
    <x v="0"/>
    <d v="1962-12-01T00:00:00"/>
    <s v="Smith"/>
    <s v="Robert F."/>
    <s v="Investor"/>
    <d v="2023-04-04T05:01:00"/>
    <s v="Texas"/>
    <s v="South"/>
    <n v="1962"/>
    <n v="117.24"/>
    <n v="7.5"/>
    <n v="21427700000000"/>
    <n v="88.2"/>
    <n v="101.8"/>
    <n v="9.6"/>
    <n v="36.6"/>
    <n v="328239523"/>
  </r>
  <r>
    <x v="148"/>
    <x v="148"/>
    <x v="12"/>
    <x v="265"/>
    <x v="17"/>
    <x v="20"/>
    <x v="68"/>
    <x v="151"/>
    <x v="12"/>
    <s v="Czech Republic"/>
    <m/>
    <x v="1"/>
    <s v="U"/>
    <x v="0"/>
    <d v="1964-05-15T00:00:00"/>
    <s v="Tykac"/>
    <s v="Pavel"/>
    <m/>
    <d v="2023-04-04T05:01:00"/>
    <m/>
    <m/>
    <n v="1964"/>
    <n v="116.48"/>
    <n v="2.8"/>
    <n v="246489245495"/>
    <n v="64.099999999999994"/>
    <n v="100.7"/>
    <n v="14.9"/>
    <n v="46.1"/>
    <n v="10669709"/>
  </r>
  <r>
    <x v="148"/>
    <x v="148"/>
    <x v="3"/>
    <x v="266"/>
    <x v="31"/>
    <x v="19"/>
    <x v="25"/>
    <x v="38"/>
    <x v="3"/>
    <s v="Belgium"/>
    <m/>
    <x v="0"/>
    <s v="D"/>
    <x v="0"/>
    <d v="1946-10-01T00:00:00"/>
    <s v="Wittouck"/>
    <s v="Eric"/>
    <m/>
    <d v="2023-04-04T05:01:00"/>
    <m/>
    <m/>
    <n v="1946"/>
    <m/>
    <m/>
    <n v="7184844193"/>
    <m/>
    <m/>
    <m/>
    <m/>
    <n v="38964"/>
  </r>
  <r>
    <x v="149"/>
    <x v="149"/>
    <x v="3"/>
    <x v="267"/>
    <x v="33"/>
    <x v="1"/>
    <x v="147"/>
    <x v="122"/>
    <x v="3"/>
    <s v="United States"/>
    <m/>
    <x v="1"/>
    <s v="U"/>
    <x v="0"/>
    <d v="1970-09-23T00:00:00"/>
    <s v="Bravo"/>
    <s v="Orlando"/>
    <m/>
    <d v="2023-04-04T05:01:00"/>
    <s v="Florida"/>
    <s v="South"/>
    <n v="1970"/>
    <n v="117.24"/>
    <n v="7.5"/>
    <n v="21427700000000"/>
    <n v="88.2"/>
    <n v="101.8"/>
    <n v="9.6"/>
    <n v="36.6"/>
    <n v="328239523"/>
  </r>
  <r>
    <x v="149"/>
    <x v="149"/>
    <x v="0"/>
    <x v="268"/>
    <x v="33"/>
    <x v="5"/>
    <x v="148"/>
    <x v="152"/>
    <x v="0"/>
    <s v="China"/>
    <m/>
    <x v="1"/>
    <s v="U"/>
    <x v="0"/>
    <d v="1970-12-01T00:00:00"/>
    <s v="Ding"/>
    <s v="Shizhong"/>
    <m/>
    <d v="2023-04-04T05:01:00"/>
    <m/>
    <m/>
    <n v="1970"/>
    <n v="125.08"/>
    <n v="2.9"/>
    <n v="19910000000000"/>
    <n v="50.6"/>
    <n v="100.2"/>
    <n v="9.4"/>
    <n v="59.2"/>
    <n v="1397715000"/>
  </r>
  <r>
    <x v="149"/>
    <x v="149"/>
    <x v="0"/>
    <x v="269"/>
    <x v="48"/>
    <x v="1"/>
    <x v="149"/>
    <x v="15"/>
    <x v="0"/>
    <s v="United States"/>
    <m/>
    <x v="0"/>
    <s v="D"/>
    <x v="1"/>
    <d v="1951-05-15T00:00:00"/>
    <s v="Laurie"/>
    <s v="Nancy Walton"/>
    <m/>
    <d v="2023-04-04T05:01:00"/>
    <s v="Nevada"/>
    <s v="West"/>
    <n v="1951"/>
    <n v="117.24"/>
    <n v="7.5"/>
    <n v="21427700000000"/>
    <n v="88.2"/>
    <n v="101.8"/>
    <n v="9.6"/>
    <n v="36.6"/>
    <n v="328239523"/>
  </r>
  <r>
    <x v="149"/>
    <x v="149"/>
    <x v="2"/>
    <x v="270"/>
    <x v="23"/>
    <x v="32"/>
    <x v="109"/>
    <x v="153"/>
    <x v="2"/>
    <s v="South Korea"/>
    <m/>
    <x v="0"/>
    <s v="D"/>
    <x v="0"/>
    <d v="1968-06-23T00:00:00"/>
    <s v="Lee"/>
    <s v="Jay Y."/>
    <m/>
    <d v="2023-04-04T05:01:00"/>
    <m/>
    <m/>
    <n v="1968"/>
    <n v="115.16"/>
    <n v="0.4"/>
    <n v="2029000000000"/>
    <n v="94.3"/>
    <n v="98.1"/>
    <n v="15.6"/>
    <n v="33.200000000000003"/>
    <n v="51709098"/>
  </r>
  <r>
    <x v="149"/>
    <x v="149"/>
    <x v="3"/>
    <x v="271"/>
    <x v="23"/>
    <x v="1"/>
    <x v="5"/>
    <x v="122"/>
    <x v="3"/>
    <s v="United States"/>
    <m/>
    <x v="1"/>
    <s v="U"/>
    <x v="0"/>
    <d v="1968-09-17T00:00:00"/>
    <s v="Musallam"/>
    <s v="Ramzi"/>
    <m/>
    <d v="2023-04-04T05:01:00"/>
    <s v="New York"/>
    <s v="Northeast"/>
    <n v="1968"/>
    <n v="117.24"/>
    <n v="7.5"/>
    <n v="21427700000000"/>
    <n v="88.2"/>
    <n v="101.8"/>
    <n v="9.6"/>
    <n v="36.6"/>
    <n v="328239523"/>
  </r>
  <r>
    <x v="149"/>
    <x v="149"/>
    <x v="3"/>
    <x v="272"/>
    <x v="25"/>
    <x v="1"/>
    <x v="5"/>
    <x v="28"/>
    <x v="3"/>
    <s v="United States"/>
    <s v="D. E. Shaw &amp; Co., L.P."/>
    <x v="1"/>
    <s v="U"/>
    <x v="0"/>
    <d v="1951-03-29T00:00:00"/>
    <s v="Shaw"/>
    <s v="David"/>
    <s v="Founder"/>
    <d v="2023-04-04T05:01:00"/>
    <s v="New York"/>
    <s v="Northeast"/>
    <n v="1951"/>
    <n v="117.24"/>
    <n v="7.5"/>
    <n v="21427700000000"/>
    <n v="88.2"/>
    <n v="101.8"/>
    <n v="9.6"/>
    <n v="36.6"/>
    <n v="328239523"/>
  </r>
  <r>
    <x v="149"/>
    <x v="149"/>
    <x v="12"/>
    <x v="273"/>
    <x v="41"/>
    <x v="17"/>
    <x v="48"/>
    <x v="154"/>
    <x v="12"/>
    <s v="Russia"/>
    <m/>
    <x v="1"/>
    <s v="U"/>
    <x v="0"/>
    <d v="1966-01-30T00:00:00"/>
    <s v="Skoch &amp; family"/>
    <s v="Andrei"/>
    <m/>
    <d v="2023-04-04T05:01:00"/>
    <m/>
    <m/>
    <n v="1966"/>
    <n v="180.75"/>
    <n v="4.5"/>
    <n v="1699876578871"/>
    <n v="81.900000000000006"/>
    <n v="102.6"/>
    <n v="11.4"/>
    <n v="46.2"/>
    <n v="144373535"/>
  </r>
  <r>
    <x v="149"/>
    <x v="149"/>
    <x v="6"/>
    <x v="274"/>
    <x v="10"/>
    <x v="11"/>
    <x v="150"/>
    <x v="155"/>
    <x v="6"/>
    <s v="Austria"/>
    <m/>
    <x v="1"/>
    <s v="E"/>
    <x v="0"/>
    <d v="1972-09-14T00:00:00"/>
    <s v="Stumpf"/>
    <s v="Georg"/>
    <m/>
    <d v="2023-04-04T05:01:00"/>
    <m/>
    <m/>
    <n v="1972"/>
    <n v="118.06"/>
    <n v="1.5"/>
    <n v="446314739528"/>
    <n v="85.1"/>
    <n v="103.1"/>
    <n v="25.4"/>
    <n v="51.4"/>
    <n v="8877067"/>
  </r>
  <r>
    <x v="150"/>
    <x v="150"/>
    <x v="5"/>
    <x v="275"/>
    <x v="16"/>
    <x v="1"/>
    <x v="151"/>
    <x v="7"/>
    <x v="5"/>
    <s v="United States"/>
    <m/>
    <x v="1"/>
    <s v="U"/>
    <x v="0"/>
    <d v="1949-11-25T00:00:00"/>
    <s v="Commisso"/>
    <s v="Rocco"/>
    <m/>
    <d v="2023-04-04T05:01:00"/>
    <s v="New Jersey"/>
    <s v="Northeast"/>
    <n v="1949"/>
    <n v="117.24"/>
    <n v="7.5"/>
    <n v="21427700000000"/>
    <n v="88.2"/>
    <n v="101.8"/>
    <n v="9.6"/>
    <n v="36.6"/>
    <n v="328239523"/>
  </r>
  <r>
    <x v="150"/>
    <x v="150"/>
    <x v="10"/>
    <x v="276"/>
    <x v="37"/>
    <x v="5"/>
    <x v="12"/>
    <x v="156"/>
    <x v="10"/>
    <s v="China"/>
    <m/>
    <x v="1"/>
    <s v="D"/>
    <x v="0"/>
    <d v="1956-07-01T00:00:00"/>
    <s v="Li"/>
    <s v="Shuirong"/>
    <m/>
    <d v="2023-04-04T05:01:00"/>
    <m/>
    <m/>
    <n v="1956"/>
    <n v="125.08"/>
    <n v="2.9"/>
    <n v="19910000000000"/>
    <n v="50.6"/>
    <n v="100.2"/>
    <n v="9.4"/>
    <n v="59.2"/>
    <n v="1397715000"/>
  </r>
  <r>
    <x v="150"/>
    <x v="150"/>
    <x v="10"/>
    <x v="277"/>
    <x v="21"/>
    <x v="35"/>
    <x v="152"/>
    <x v="156"/>
    <x v="10"/>
    <s v="Taiwan"/>
    <m/>
    <x v="1"/>
    <s v="U"/>
    <x v="0"/>
    <d v="1928-08-01T00:00:00"/>
    <s v="Lin"/>
    <s v="Shu-hong"/>
    <m/>
    <d v="2023-04-04T05:01:00"/>
    <m/>
    <m/>
    <n v="1928"/>
    <m/>
    <m/>
    <m/>
    <m/>
    <m/>
    <m/>
    <m/>
    <m/>
  </r>
  <r>
    <x v="150"/>
    <x v="150"/>
    <x v="2"/>
    <x v="278"/>
    <x v="52"/>
    <x v="5"/>
    <x v="34"/>
    <x v="157"/>
    <x v="2"/>
    <s v="China"/>
    <m/>
    <x v="1"/>
    <s v="D"/>
    <x v="0"/>
    <d v="1970-01-03T00:00:00"/>
    <s v="Qi"/>
    <s v="Shi"/>
    <m/>
    <d v="2023-04-04T05:01:00"/>
    <m/>
    <m/>
    <n v="1970"/>
    <n v="125.08"/>
    <n v="2.9"/>
    <n v="19910000000000"/>
    <n v="50.6"/>
    <n v="100.2"/>
    <n v="9.4"/>
    <n v="59.2"/>
    <n v="1397715000"/>
  </r>
  <r>
    <x v="150"/>
    <x v="150"/>
    <x v="10"/>
    <x v="279"/>
    <x v="17"/>
    <x v="5"/>
    <x v="82"/>
    <x v="158"/>
    <x v="10"/>
    <s v="China"/>
    <m/>
    <x v="1"/>
    <s v="D"/>
    <x v="0"/>
    <d v="1964-08-01T00:00:00"/>
    <s v="Yao"/>
    <s v="Liangsong"/>
    <m/>
    <d v="2023-04-04T05:01:00"/>
    <m/>
    <m/>
    <n v="1964"/>
    <n v="125.08"/>
    <n v="2.9"/>
    <n v="19910000000000"/>
    <n v="50.6"/>
    <n v="100.2"/>
    <n v="9.4"/>
    <n v="59.2"/>
    <n v="1397715000"/>
  </r>
  <r>
    <x v="150"/>
    <x v="150"/>
    <x v="0"/>
    <x v="280"/>
    <x v="43"/>
    <x v="35"/>
    <x v="153"/>
    <x v="159"/>
    <x v="0"/>
    <s v="Taiwan"/>
    <m/>
    <x v="1"/>
    <s v="D"/>
    <x v="0"/>
    <d v="1948-01-01T00:00:00"/>
    <s v="Zhang"/>
    <s v="Congyuan"/>
    <m/>
    <d v="2023-04-04T05:01:00"/>
    <m/>
    <m/>
    <n v="1948"/>
    <m/>
    <m/>
    <m/>
    <m/>
    <m/>
    <m/>
    <m/>
    <m/>
  </r>
  <r>
    <x v="151"/>
    <x v="151"/>
    <x v="7"/>
    <x v="281"/>
    <x v="42"/>
    <x v="0"/>
    <x v="52"/>
    <x v="54"/>
    <x v="7"/>
    <s v="France"/>
    <m/>
    <x v="0"/>
    <s v="D"/>
    <x v="0"/>
    <d v="1967-06-05T00:00:00"/>
    <s v="Besnier"/>
    <s v="Jean-Michel"/>
    <m/>
    <d v="2023-04-04T05:01:00"/>
    <m/>
    <m/>
    <n v="1967"/>
    <n v="110.05"/>
    <n v="1.1000000000000001"/>
    <n v="2715518274227"/>
    <n v="65.599999999999994"/>
    <n v="102.5"/>
    <n v="24.2"/>
    <n v="60.7"/>
    <n v="67059887"/>
  </r>
  <r>
    <x v="151"/>
    <x v="151"/>
    <x v="7"/>
    <x v="282"/>
    <x v="57"/>
    <x v="0"/>
    <x v="52"/>
    <x v="54"/>
    <x v="7"/>
    <s v="France"/>
    <m/>
    <x v="0"/>
    <s v="D"/>
    <x v="1"/>
    <d v="1980-07-30T00:00:00"/>
    <s v="Besnier Beauvalot"/>
    <s v="Marie"/>
    <m/>
    <d v="2023-04-04T05:01:00"/>
    <m/>
    <m/>
    <n v="1980"/>
    <n v="110.05"/>
    <n v="1.1000000000000001"/>
    <n v="2715518274227"/>
    <n v="65.599999999999994"/>
    <n v="102.5"/>
    <n v="24.2"/>
    <n v="60.7"/>
    <n v="67059887"/>
  </r>
  <r>
    <x v="151"/>
    <x v="151"/>
    <x v="4"/>
    <x v="283"/>
    <x v="35"/>
    <x v="1"/>
    <x v="125"/>
    <x v="160"/>
    <x v="4"/>
    <s v="United States"/>
    <s v="DreamWorks Animation SKG Inc. (Cl A)"/>
    <x v="1"/>
    <s v="D"/>
    <x v="0"/>
    <d v="1943-02-21T00:00:00"/>
    <s v="Geffen"/>
    <s v="David"/>
    <s v="Cofounder"/>
    <d v="2023-04-04T05:01:00"/>
    <s v="California"/>
    <s v="West"/>
    <n v="1943"/>
    <n v="117.24"/>
    <n v="7.5"/>
    <n v="21427700000000"/>
    <n v="88.2"/>
    <n v="101.8"/>
    <n v="9.6"/>
    <n v="36.6"/>
    <n v="328239523"/>
  </r>
  <r>
    <x v="151"/>
    <x v="151"/>
    <x v="2"/>
    <x v="284"/>
    <x v="23"/>
    <x v="5"/>
    <x v="19"/>
    <x v="161"/>
    <x v="2"/>
    <s v="China"/>
    <s v="Baidu"/>
    <x v="1"/>
    <s v="U"/>
    <x v="0"/>
    <d v="1968-11-17T00:00:00"/>
    <s v="Li"/>
    <s v="Robin"/>
    <s v="Founder and CEO"/>
    <d v="2023-04-04T05:01:00"/>
    <m/>
    <m/>
    <n v="1968"/>
    <n v="125.08"/>
    <n v="2.9"/>
    <n v="19910000000000"/>
    <n v="50.6"/>
    <n v="100.2"/>
    <n v="9.4"/>
    <n v="59.2"/>
    <n v="1397715000"/>
  </r>
  <r>
    <x v="151"/>
    <x v="151"/>
    <x v="15"/>
    <x v="285"/>
    <x v="48"/>
    <x v="5"/>
    <x v="90"/>
    <x v="105"/>
    <x v="15"/>
    <s v="China"/>
    <m/>
    <x v="1"/>
    <s v="D"/>
    <x v="0"/>
    <d v="1951-09-01T00:00:00"/>
    <s v="Liu"/>
    <s v="Yonghao"/>
    <m/>
    <d v="2023-04-04T05:01:00"/>
    <m/>
    <m/>
    <n v="1951"/>
    <n v="125.08"/>
    <n v="2.9"/>
    <n v="19910000000000"/>
    <n v="50.6"/>
    <n v="100.2"/>
    <n v="9.4"/>
    <n v="59.2"/>
    <n v="1397715000"/>
  </r>
  <r>
    <x v="151"/>
    <x v="151"/>
    <x v="2"/>
    <x v="286"/>
    <x v="13"/>
    <x v="1"/>
    <x v="64"/>
    <x v="58"/>
    <x v="2"/>
    <s v="United States"/>
    <s v="Broadcom"/>
    <x v="1"/>
    <s v="U"/>
    <x v="0"/>
    <d v="1954-09-20T00:00:00"/>
    <s v="Samueli"/>
    <s v="Henry"/>
    <s v="Cofounder, Chief Technology Officer and Chairman"/>
    <d v="2023-04-04T05:01:00"/>
    <s v="California"/>
    <s v="West"/>
    <n v="1954"/>
    <n v="117.24"/>
    <n v="7.5"/>
    <n v="21427700000000"/>
    <n v="88.2"/>
    <n v="101.8"/>
    <n v="9.6"/>
    <n v="36.6"/>
    <n v="328239523"/>
  </r>
  <r>
    <x v="151"/>
    <x v="151"/>
    <x v="14"/>
    <x v="287"/>
    <x v="13"/>
    <x v="1"/>
    <x v="87"/>
    <x v="78"/>
    <x v="14"/>
    <s v="United States"/>
    <m/>
    <x v="1"/>
    <s v="U"/>
    <x v="0"/>
    <d v="1955-01-03T00:00:00"/>
    <s v="Schmieding"/>
    <s v="Reinhold"/>
    <m/>
    <d v="2023-04-04T05:01:00"/>
    <s v="Florida"/>
    <s v="South"/>
    <n v="1955"/>
    <n v="117.24"/>
    <n v="7.5"/>
    <n v="21427700000000"/>
    <n v="88.2"/>
    <n v="101.8"/>
    <n v="9.6"/>
    <n v="36.6"/>
    <n v="328239523"/>
  </r>
  <r>
    <x v="151"/>
    <x v="151"/>
    <x v="11"/>
    <x v="288"/>
    <x v="38"/>
    <x v="36"/>
    <x v="154"/>
    <x v="36"/>
    <x v="11"/>
    <s v="Norway"/>
    <m/>
    <x v="1"/>
    <s v="U"/>
    <x v="0"/>
    <d v="1961-06-23T00:00:00"/>
    <s v="Tollefsen"/>
    <s v="Ivar"/>
    <m/>
    <d v="2023-04-04T05:01:00"/>
    <m/>
    <m/>
    <n v="1961"/>
    <n v="120.27"/>
    <n v="2.2000000000000002"/>
    <n v="403336363636"/>
    <n v="82"/>
    <n v="100.3"/>
    <n v="23.9"/>
    <n v="36.200000000000003"/>
    <n v="5347896"/>
  </r>
  <r>
    <x v="152"/>
    <x v="152"/>
    <x v="13"/>
    <x v="289"/>
    <x v="23"/>
    <x v="5"/>
    <x v="155"/>
    <x v="162"/>
    <x v="13"/>
    <s v="China"/>
    <m/>
    <x v="1"/>
    <s v="D"/>
    <x v="0"/>
    <d v="1968-07-24T00:00:00"/>
    <s v="Cao"/>
    <s v="Renxian"/>
    <m/>
    <d v="2023-04-04T05:01:00"/>
    <m/>
    <m/>
    <n v="1968"/>
    <n v="125.08"/>
    <n v="2.9"/>
    <n v="19910000000000"/>
    <n v="50.6"/>
    <n v="100.2"/>
    <n v="9.4"/>
    <n v="59.2"/>
    <n v="1397715000"/>
  </r>
  <r>
    <x v="152"/>
    <x v="152"/>
    <x v="14"/>
    <x v="290"/>
    <x v="58"/>
    <x v="3"/>
    <x v="17"/>
    <x v="83"/>
    <x v="14"/>
    <s v="India"/>
    <m/>
    <x v="1"/>
    <s v="U"/>
    <x v="0"/>
    <d v="1933-09-19T00:00:00"/>
    <s v="Chudgar"/>
    <s v="Hasmukh"/>
    <m/>
    <d v="2023-04-04T05:01:00"/>
    <m/>
    <m/>
    <n v="1933"/>
    <n v="180.44"/>
    <n v="7.7"/>
    <n v="2611000000000"/>
    <n v="28.1"/>
    <n v="113"/>
    <n v="11.2"/>
    <n v="49.7"/>
    <n v="1366417754"/>
  </r>
  <r>
    <x v="152"/>
    <x v="152"/>
    <x v="10"/>
    <x v="291"/>
    <x v="5"/>
    <x v="13"/>
    <x v="32"/>
    <x v="50"/>
    <x v="10"/>
    <s v="United Kingdom"/>
    <m/>
    <x v="1"/>
    <s v="U"/>
    <x v="0"/>
    <d v="1955-12-04T00:00:00"/>
    <s v="Currie"/>
    <s v="Andrew"/>
    <m/>
    <d v="2023-04-04T05:01:00"/>
    <m/>
    <m/>
    <n v="1955"/>
    <n v="119.62"/>
    <n v="1.7"/>
    <n v="2827113184696"/>
    <n v="60"/>
    <n v="101.2"/>
    <n v="25.5"/>
    <n v="30.6"/>
    <n v="66834405"/>
  </r>
  <r>
    <x v="152"/>
    <x v="152"/>
    <x v="2"/>
    <x v="292"/>
    <x v="51"/>
    <x v="1"/>
    <x v="1"/>
    <x v="128"/>
    <x v="2"/>
    <s v="United States"/>
    <s v="Airbnb, Inc."/>
    <x v="1"/>
    <s v="D"/>
    <x v="0"/>
    <d v="1981-08-21T00:00:00"/>
    <s v="Gebbia"/>
    <s v="Joe"/>
    <s v="Cofounder &amp; Chair of Airbnb.org"/>
    <d v="2023-04-04T05:01:00"/>
    <s v="Texas"/>
    <s v="South"/>
    <n v="1981"/>
    <n v="117.24"/>
    <n v="7.5"/>
    <n v="21427700000000"/>
    <n v="88.2"/>
    <n v="101.8"/>
    <n v="9.6"/>
    <n v="36.6"/>
    <n v="328239523"/>
  </r>
  <r>
    <x v="152"/>
    <x v="152"/>
    <x v="11"/>
    <x v="293"/>
    <x v="29"/>
    <x v="25"/>
    <x v="76"/>
    <x v="36"/>
    <x v="11"/>
    <s v="Singapore"/>
    <m/>
    <x v="0"/>
    <s v="Split Family Fortune"/>
    <x v="0"/>
    <d v="1959-01-01T00:00:00"/>
    <s v="Ng"/>
    <s v="Philip"/>
    <m/>
    <d v="2023-04-04T05:01:00"/>
    <m/>
    <m/>
    <n v="1959"/>
    <n v="114.41"/>
    <n v="0.6"/>
    <n v="372062527489"/>
    <n v="84.8"/>
    <n v="100.6"/>
    <n v="13.1"/>
    <n v="21"/>
    <n v="5703569"/>
  </r>
  <r>
    <x v="152"/>
    <x v="152"/>
    <x v="10"/>
    <x v="294"/>
    <x v="37"/>
    <x v="13"/>
    <x v="32"/>
    <x v="50"/>
    <x v="10"/>
    <s v="United Kingdom"/>
    <m/>
    <x v="1"/>
    <s v="U"/>
    <x v="0"/>
    <d v="1957-03-07T00:00:00"/>
    <s v="Reece"/>
    <s v="John"/>
    <m/>
    <d v="2023-04-04T05:01:00"/>
    <m/>
    <m/>
    <n v="1957"/>
    <n v="119.62"/>
    <n v="1.7"/>
    <n v="2827113184696"/>
    <n v="60"/>
    <n v="101.2"/>
    <n v="25.5"/>
    <n v="30.6"/>
    <n v="66834405"/>
  </r>
  <r>
    <x v="152"/>
    <x v="152"/>
    <x v="11"/>
    <x v="295"/>
    <x v="18"/>
    <x v="1"/>
    <x v="5"/>
    <x v="36"/>
    <x v="11"/>
    <s v="United States"/>
    <s v="Hartz Mountain Industries, Inc."/>
    <x v="0"/>
    <s v="U"/>
    <x v="0"/>
    <d v="1938-03-28T00:00:00"/>
    <s v="Stern"/>
    <s v="Leonard"/>
    <s v="Chairman and CEO"/>
    <d v="2023-04-04T05:01:00"/>
    <s v="New York"/>
    <s v="Northeast"/>
    <n v="1938"/>
    <n v="117.24"/>
    <n v="7.5"/>
    <n v="21427700000000"/>
    <n v="88.2"/>
    <n v="101.8"/>
    <n v="9.6"/>
    <n v="36.6"/>
    <n v="328239523"/>
  </r>
  <r>
    <x v="152"/>
    <x v="152"/>
    <x v="2"/>
    <x v="296"/>
    <x v="2"/>
    <x v="10"/>
    <x v="36"/>
    <x v="34"/>
    <x v="2"/>
    <s v="Canada"/>
    <m/>
    <x v="1"/>
    <s v="D"/>
    <x v="0"/>
    <d v="1964-01-19T00:00:00"/>
    <s v="Tsai"/>
    <s v="Joseph"/>
    <m/>
    <d v="2023-04-04T05:01:00"/>
    <m/>
    <m/>
    <n v="1964"/>
    <m/>
    <m/>
    <m/>
    <m/>
    <m/>
    <m/>
    <m/>
    <m/>
  </r>
  <r>
    <x v="152"/>
    <x v="152"/>
    <x v="14"/>
    <x v="297"/>
    <x v="34"/>
    <x v="5"/>
    <x v="34"/>
    <x v="83"/>
    <x v="14"/>
    <s v="China"/>
    <m/>
    <x v="1"/>
    <s v="D"/>
    <x v="1"/>
    <d v="1961-01-01T00:00:00"/>
    <s v="Zhong"/>
    <s v="Huijuan"/>
    <m/>
    <d v="2023-04-04T05:01:00"/>
    <m/>
    <m/>
    <n v="1961"/>
    <n v="125.08"/>
    <n v="2.9"/>
    <n v="19910000000000"/>
    <n v="50.6"/>
    <n v="100.2"/>
    <n v="9.4"/>
    <n v="59.2"/>
    <n v="1397715000"/>
  </r>
  <r>
    <x v="153"/>
    <x v="153"/>
    <x v="17"/>
    <x v="298"/>
    <x v="35"/>
    <x v="1"/>
    <x v="139"/>
    <x v="149"/>
    <x v="17"/>
    <s v="United States"/>
    <s v="Atlanta Falcons"/>
    <x v="1"/>
    <s v="U"/>
    <x v="0"/>
    <d v="1942-09-27T00:00:00"/>
    <s v="Blank"/>
    <s v="Arthur"/>
    <s v="Chairman"/>
    <d v="2023-04-04T05:01:00"/>
    <s v="Georgia"/>
    <s v="South"/>
    <n v="1942"/>
    <n v="117.24"/>
    <n v="7.5"/>
    <n v="21427700000000"/>
    <n v="88.2"/>
    <n v="101.8"/>
    <n v="9.6"/>
    <n v="36.6"/>
    <n v="328239523"/>
  </r>
  <r>
    <x v="153"/>
    <x v="153"/>
    <x v="0"/>
    <x v="299"/>
    <x v="18"/>
    <x v="1"/>
    <x v="156"/>
    <x v="81"/>
    <x v="0"/>
    <s v="United States"/>
    <m/>
    <x v="0"/>
    <s v="R"/>
    <x v="0"/>
    <d v="1938-02-03T00:00:00"/>
    <s v="Butt"/>
    <s v="Charles"/>
    <m/>
    <d v="2023-04-04T05:01:00"/>
    <s v="Texas"/>
    <s v="South"/>
    <n v="1938"/>
    <n v="117.24"/>
    <n v="7.5"/>
    <n v="21427700000000"/>
    <n v="88.2"/>
    <n v="101.8"/>
    <n v="9.6"/>
    <n v="36.6"/>
    <n v="328239523"/>
  </r>
  <r>
    <x v="153"/>
    <x v="153"/>
    <x v="0"/>
    <x v="300"/>
    <x v="2"/>
    <x v="5"/>
    <x v="148"/>
    <x v="152"/>
    <x v="0"/>
    <s v="China"/>
    <m/>
    <x v="1"/>
    <s v="D"/>
    <x v="0"/>
    <d v="1964-01-01T00:00:00"/>
    <s v="Ding"/>
    <s v="Shijia"/>
    <m/>
    <d v="2023-04-04T05:01:00"/>
    <m/>
    <m/>
    <n v="1964"/>
    <n v="125.08"/>
    <n v="2.9"/>
    <n v="19910000000000"/>
    <n v="50.6"/>
    <n v="100.2"/>
    <n v="9.4"/>
    <n v="59.2"/>
    <n v="1397715000"/>
  </r>
  <r>
    <x v="153"/>
    <x v="153"/>
    <x v="3"/>
    <x v="301"/>
    <x v="13"/>
    <x v="1"/>
    <x v="43"/>
    <x v="28"/>
    <x v="3"/>
    <s v="United States"/>
    <s v="Tudor Investment Corporation"/>
    <x v="1"/>
    <s v="U"/>
    <x v="0"/>
    <d v="1954-09-28T00:00:00"/>
    <s v="Jones"/>
    <s v="Paul Tudor"/>
    <s v="Founder"/>
    <d v="2023-04-04T05:01:00"/>
    <s v="Florida"/>
    <s v="South"/>
    <n v="1954"/>
    <n v="117.24"/>
    <n v="7.5"/>
    <n v="21427700000000"/>
    <n v="88.2"/>
    <n v="101.8"/>
    <n v="9.6"/>
    <n v="36.6"/>
    <n v="328239523"/>
  </r>
  <r>
    <x v="153"/>
    <x v="153"/>
    <x v="3"/>
    <x v="302"/>
    <x v="55"/>
    <x v="1"/>
    <x v="5"/>
    <x v="122"/>
    <x v="3"/>
    <s v="United States"/>
    <s v="KKR &amp; Co."/>
    <x v="1"/>
    <s v="D"/>
    <x v="0"/>
    <d v="1944-01-06T00:00:00"/>
    <s v="Kravis"/>
    <s v="Henry"/>
    <s v="Co-Chair and Co-CEO"/>
    <d v="2023-04-04T05:01:00"/>
    <s v="New York"/>
    <s v="Northeast"/>
    <n v="1944"/>
    <n v="117.24"/>
    <n v="7.5"/>
    <n v="21427700000000"/>
    <n v="88.2"/>
    <n v="101.8"/>
    <n v="9.6"/>
    <n v="36.6"/>
    <n v="328239523"/>
  </r>
  <r>
    <x v="153"/>
    <x v="153"/>
    <x v="7"/>
    <x v="303"/>
    <x v="33"/>
    <x v="25"/>
    <x v="76"/>
    <x v="163"/>
    <x v="7"/>
    <s v="Singapore"/>
    <m/>
    <x v="1"/>
    <s v="U"/>
    <x v="0"/>
    <d v="1970-07-01T00:00:00"/>
    <s v="Zhang"/>
    <s v="Yong"/>
    <m/>
    <d v="2023-04-04T05:01:00"/>
    <m/>
    <m/>
    <n v="1970"/>
    <n v="114.41"/>
    <n v="0.6"/>
    <n v="372062527489"/>
    <n v="84.8"/>
    <n v="100.6"/>
    <n v="13.1"/>
    <n v="21"/>
    <n v="5703569"/>
  </r>
  <r>
    <x v="154"/>
    <x v="154"/>
    <x v="2"/>
    <x v="304"/>
    <x v="35"/>
    <x v="1"/>
    <x v="157"/>
    <x v="117"/>
    <x v="2"/>
    <s v="United States"/>
    <s v="SAS Institute"/>
    <x v="1"/>
    <s v="U"/>
    <x v="0"/>
    <d v="1943-01-06T04:00:00"/>
    <s v="Goodnight"/>
    <s v="James"/>
    <s v="CEO"/>
    <d v="2023-04-04T09:01:00"/>
    <s v="North Carolina"/>
    <s v="South"/>
    <n v="1943"/>
    <n v="117.24"/>
    <n v="7.5"/>
    <n v="21427700000000"/>
    <n v="88.2"/>
    <n v="101.8"/>
    <n v="9.6"/>
    <n v="36.6"/>
    <n v="328239523"/>
  </r>
  <r>
    <x v="154"/>
    <x v="154"/>
    <x v="10"/>
    <x v="305"/>
    <x v="36"/>
    <x v="13"/>
    <x v="32"/>
    <x v="156"/>
    <x v="10"/>
    <s v="Indonesia"/>
    <m/>
    <x v="0"/>
    <s v="U"/>
    <x v="0"/>
    <d v="1952-08-11T00:00:00"/>
    <s v="Lohia"/>
    <s v="Sri Prakash"/>
    <m/>
    <d v="2023-04-04T05:01:00"/>
    <m/>
    <m/>
    <n v="1952"/>
    <n v="119.62"/>
    <n v="1.7"/>
    <n v="2827113184696"/>
    <n v="60"/>
    <n v="101.2"/>
    <n v="25.5"/>
    <n v="30.6"/>
    <n v="66834405"/>
  </r>
  <r>
    <x v="154"/>
    <x v="154"/>
    <x v="0"/>
    <x v="306"/>
    <x v="2"/>
    <x v="5"/>
    <x v="114"/>
    <x v="164"/>
    <x v="0"/>
    <s v="China"/>
    <m/>
    <x v="1"/>
    <s v="D"/>
    <x v="0"/>
    <d v="1964-01-01T00:00:00"/>
    <s v="Ma"/>
    <s v="Jianrong"/>
    <m/>
    <d v="2023-04-04T05:01:00"/>
    <m/>
    <m/>
    <n v="1964"/>
    <n v="125.08"/>
    <n v="2.9"/>
    <n v="19910000000000"/>
    <n v="50.6"/>
    <n v="100.2"/>
    <n v="9.4"/>
    <n v="59.2"/>
    <n v="1397715000"/>
  </r>
  <r>
    <x v="154"/>
    <x v="154"/>
    <x v="11"/>
    <x v="307"/>
    <x v="48"/>
    <x v="25"/>
    <x v="76"/>
    <x v="36"/>
    <x v="11"/>
    <s v="Singapore"/>
    <m/>
    <x v="0"/>
    <s v="Split Family Fortune"/>
    <x v="0"/>
    <d v="1952-01-01T00:00:00"/>
    <s v="Ng"/>
    <s v="Robert"/>
    <m/>
    <d v="2023-04-04T05:01:00"/>
    <m/>
    <m/>
    <n v="1952"/>
    <n v="114.41"/>
    <n v="0.6"/>
    <n v="372062527489"/>
    <n v="84.8"/>
    <n v="100.6"/>
    <n v="13.1"/>
    <n v="21"/>
    <n v="5703569"/>
  </r>
  <r>
    <x v="154"/>
    <x v="154"/>
    <x v="10"/>
    <x v="308"/>
    <x v="25"/>
    <x v="1"/>
    <x v="158"/>
    <x v="165"/>
    <x v="10"/>
    <s v="United States"/>
    <s v="Danaher"/>
    <x v="1"/>
    <s v="D"/>
    <x v="0"/>
    <d v="1951-03-31T00:00:00"/>
    <s v="Rales"/>
    <s v="Steven"/>
    <s v="Investor"/>
    <d v="2023-04-04T05:01:00"/>
    <s v="California"/>
    <s v="West"/>
    <n v="1951"/>
    <n v="117.24"/>
    <n v="7.5"/>
    <n v="21427700000000"/>
    <n v="88.2"/>
    <n v="101.8"/>
    <n v="9.6"/>
    <n v="36.6"/>
    <n v="328239523"/>
  </r>
  <r>
    <x v="154"/>
    <x v="154"/>
    <x v="16"/>
    <x v="309"/>
    <x v="34"/>
    <x v="37"/>
    <x v="159"/>
    <x v="166"/>
    <x v="16"/>
    <s v="Egypt"/>
    <m/>
    <x v="0"/>
    <s v="D"/>
    <x v="0"/>
    <d v="1961-01-19T00:00:00"/>
    <s v="Sawiris"/>
    <s v="Nassef"/>
    <m/>
    <d v="2023-04-04T05:01:00"/>
    <m/>
    <m/>
    <n v="1961"/>
    <n v="288.57"/>
    <n v="9.1999999999999993"/>
    <n v="303175127598"/>
    <n v="35.200000000000003"/>
    <n v="106.3"/>
    <n v="12.5"/>
    <n v="44.4"/>
    <n v="100388073"/>
  </r>
  <r>
    <x v="154"/>
    <x v="154"/>
    <x v="7"/>
    <x v="310"/>
    <x v="6"/>
    <x v="1"/>
    <x v="160"/>
    <x v="167"/>
    <x v="7"/>
    <s v="United States"/>
    <m/>
    <x v="1"/>
    <s v="U"/>
    <x v="0"/>
    <d v="1941-11-30T00:00:00"/>
    <s v="Stine"/>
    <s v="Harry"/>
    <m/>
    <d v="2023-04-04T05:01:00"/>
    <s v="Iowa"/>
    <s v="Midwest"/>
    <n v="1941"/>
    <n v="117.24"/>
    <n v="7.5"/>
    <n v="21427700000000"/>
    <n v="88.2"/>
    <n v="101.8"/>
    <n v="9.6"/>
    <n v="36.6"/>
    <n v="328239523"/>
  </r>
  <r>
    <x v="155"/>
    <x v="155"/>
    <x v="10"/>
    <x v="311"/>
    <x v="56"/>
    <x v="3"/>
    <x v="161"/>
    <x v="168"/>
    <x v="10"/>
    <s v="India"/>
    <m/>
    <x v="0"/>
    <s v="U"/>
    <x v="0"/>
    <d v="1931-06-01T00:00:00"/>
    <s v="Bangur"/>
    <s v="Benu Gopal"/>
    <m/>
    <d v="2023-04-04T05:01:00"/>
    <m/>
    <m/>
    <n v="1931"/>
    <n v="180.44"/>
    <n v="7.7"/>
    <n v="2611000000000"/>
    <n v="28.1"/>
    <n v="113"/>
    <n v="11.2"/>
    <n v="49.7"/>
    <n v="1366417754"/>
  </r>
  <r>
    <x v="155"/>
    <x v="155"/>
    <x v="12"/>
    <x v="312"/>
    <x v="2"/>
    <x v="17"/>
    <x v="48"/>
    <x v="169"/>
    <x v="12"/>
    <s v="Russia"/>
    <m/>
    <x v="1"/>
    <s v="U"/>
    <x v="0"/>
    <d v="1963-12-05T00:00:00"/>
    <s v="Makhmudov"/>
    <s v="Iskander"/>
    <m/>
    <d v="2023-04-04T05:01:00"/>
    <m/>
    <m/>
    <n v="1963"/>
    <n v="180.75"/>
    <n v="4.5"/>
    <n v="1699876578871"/>
    <n v="81.900000000000006"/>
    <n v="102.6"/>
    <n v="11.4"/>
    <n v="46.2"/>
    <n v="144373535"/>
  </r>
  <r>
    <x v="155"/>
    <x v="155"/>
    <x v="0"/>
    <x v="313"/>
    <x v="10"/>
    <x v="38"/>
    <x v="162"/>
    <x v="31"/>
    <x v="0"/>
    <s v="Denmark"/>
    <m/>
    <x v="0"/>
    <s v="D"/>
    <x v="0"/>
    <d v="1972-11-04T00:00:00"/>
    <s v="Povlsen"/>
    <s v="Anders Holch"/>
    <m/>
    <d v="2023-04-04T05:01:00"/>
    <m/>
    <m/>
    <n v="1972"/>
    <n v="110.35"/>
    <n v="0.8"/>
    <n v="348078018464"/>
    <n v="80.599999999999994"/>
    <n v="101.3"/>
    <n v="32.4"/>
    <n v="23.8"/>
    <n v="5818553"/>
  </r>
  <r>
    <x v="155"/>
    <x v="155"/>
    <x v="8"/>
    <x v="314"/>
    <x v="53"/>
    <x v="34"/>
    <x v="137"/>
    <x v="170"/>
    <x v="8"/>
    <s v="Philippines"/>
    <m/>
    <x v="0"/>
    <s v="U"/>
    <x v="0"/>
    <d v="1960-03-03T00:00:00"/>
    <s v="Razon Jr."/>
    <s v="Enrique"/>
    <m/>
    <d v="2023-04-04T05:01:00"/>
    <m/>
    <m/>
    <n v="1960"/>
    <n v="129.61000000000001"/>
    <n v="2.5"/>
    <n v="376795508680"/>
    <n v="35.5"/>
    <n v="107.5"/>
    <n v="14"/>
    <n v="43.1"/>
    <n v="108116615"/>
  </r>
  <r>
    <x v="155"/>
    <x v="155"/>
    <x v="2"/>
    <x v="315"/>
    <x v="42"/>
    <x v="5"/>
    <x v="26"/>
    <x v="171"/>
    <x v="2"/>
    <s v="Hong Kong"/>
    <m/>
    <x v="1"/>
    <s v="D"/>
    <x v="1"/>
    <d v="1967-06-03T00:00:00"/>
    <s v="Wang"/>
    <s v="Laichun"/>
    <m/>
    <d v="2023-04-04T05:01:00"/>
    <m/>
    <m/>
    <n v="1967"/>
    <n v="125.08"/>
    <n v="2.9"/>
    <n v="19910000000000"/>
    <n v="50.6"/>
    <n v="100.2"/>
    <n v="9.4"/>
    <n v="59.2"/>
    <n v="1397715000"/>
  </r>
  <r>
    <x v="156"/>
    <x v="156"/>
    <x v="3"/>
    <x v="316"/>
    <x v="8"/>
    <x v="1"/>
    <x v="163"/>
    <x v="37"/>
    <x v="3"/>
    <s v="United States"/>
    <m/>
    <x v="1"/>
    <s v="N"/>
    <x v="0"/>
    <d v="1957-11-25T00:00:00"/>
    <s v="Dantchik"/>
    <s v="Arthur"/>
    <m/>
    <d v="2023-04-04T05:01:00"/>
    <s v="Pennsylvania"/>
    <s v="Northeast"/>
    <n v="1957"/>
    <n v="117.24"/>
    <n v="7.5"/>
    <n v="21427700000000"/>
    <n v="88.2"/>
    <n v="101.8"/>
    <n v="9.6"/>
    <n v="36.6"/>
    <n v="328239523"/>
  </r>
  <r>
    <x v="156"/>
    <x v="156"/>
    <x v="2"/>
    <x v="317"/>
    <x v="25"/>
    <x v="35"/>
    <x v="152"/>
    <x v="172"/>
    <x v="2"/>
    <s v="Taiwan"/>
    <s v="Hon Hai Precision Industries"/>
    <x v="1"/>
    <s v="U"/>
    <x v="0"/>
    <d v="1950-10-18T00:00:00"/>
    <s v="Gou"/>
    <s v="Terry"/>
    <s v="CEO"/>
    <d v="2023-04-04T05:01:00"/>
    <m/>
    <m/>
    <n v="1950"/>
    <m/>
    <m/>
    <m/>
    <m/>
    <m/>
    <m/>
    <m/>
    <m/>
  </r>
  <r>
    <x v="156"/>
    <x v="156"/>
    <x v="11"/>
    <x v="318"/>
    <x v="13"/>
    <x v="1"/>
    <x v="43"/>
    <x v="173"/>
    <x v="11"/>
    <s v="United States"/>
    <m/>
    <x v="1"/>
    <s v="U"/>
    <x v="0"/>
    <d v="1954-12-10T00:00:00"/>
    <s v="Greene"/>
    <s v="Jeff"/>
    <m/>
    <d v="2023-04-04T05:01:00"/>
    <s v="Florida"/>
    <s v="South"/>
    <n v="1954"/>
    <n v="117.24"/>
    <n v="7.5"/>
    <n v="21427700000000"/>
    <n v="88.2"/>
    <n v="101.8"/>
    <n v="9.6"/>
    <n v="36.6"/>
    <n v="328239523"/>
  </r>
  <r>
    <x v="156"/>
    <x v="156"/>
    <x v="3"/>
    <x v="319"/>
    <x v="55"/>
    <x v="1"/>
    <x v="164"/>
    <x v="174"/>
    <x v="3"/>
    <s v="United States"/>
    <s v="Hankey Group"/>
    <x v="1"/>
    <s v="U"/>
    <x v="0"/>
    <d v="1943-06-13T00:00:00"/>
    <s v="Hankey"/>
    <s v="Don"/>
    <s v="Chairman"/>
    <d v="2023-04-04T05:01:00"/>
    <s v="California"/>
    <s v="West"/>
    <n v="1943"/>
    <n v="117.24"/>
    <n v="7.5"/>
    <n v="21427700000000"/>
    <n v="88.2"/>
    <n v="101.8"/>
    <n v="9.6"/>
    <n v="36.6"/>
    <n v="328239523"/>
  </r>
  <r>
    <x v="156"/>
    <x v="156"/>
    <x v="13"/>
    <x v="320"/>
    <x v="3"/>
    <x v="1"/>
    <x v="102"/>
    <x v="175"/>
    <x v="13"/>
    <s v="United States"/>
    <s v="Kinder Morgan Inc"/>
    <x v="1"/>
    <s v="D"/>
    <x v="0"/>
    <d v="1944-10-19T00:00:00"/>
    <s v="Kinder"/>
    <s v="Richard"/>
    <s v="Chairman and CEO"/>
    <d v="2023-04-04T05:01:00"/>
    <s v="Texas"/>
    <s v="South"/>
    <n v="1944"/>
    <n v="117.24"/>
    <n v="7.5"/>
    <n v="21427700000000"/>
    <n v="88.2"/>
    <n v="101.8"/>
    <n v="9.6"/>
    <n v="36.6"/>
    <n v="328239523"/>
  </r>
  <r>
    <x v="156"/>
    <x v="156"/>
    <x v="3"/>
    <x v="321"/>
    <x v="51"/>
    <x v="16"/>
    <x v="88"/>
    <x v="176"/>
    <x v="3"/>
    <s v="Switzerland"/>
    <m/>
    <x v="1"/>
    <s v="D"/>
    <x v="0"/>
    <d v="1981-08-15T00:00:00"/>
    <s v="Pousaz"/>
    <s v="Guillaume"/>
    <m/>
    <d v="2023-04-04T05:01:00"/>
    <m/>
    <m/>
    <n v="1981"/>
    <n v="114.52"/>
    <n v="-1.9"/>
    <n v="421142267938"/>
    <n v="36.799999999999997"/>
    <n v="108.4"/>
    <n v="0.1"/>
    <n v="15.9"/>
    <n v="9770529"/>
  </r>
  <r>
    <x v="156"/>
    <x v="156"/>
    <x v="0"/>
    <x v="322"/>
    <x v="38"/>
    <x v="12"/>
    <x v="31"/>
    <x v="177"/>
    <x v="0"/>
    <s v="Japan"/>
    <m/>
    <x v="0"/>
    <s v="U"/>
    <x v="0"/>
    <d v="1961-07-12T00:00:00"/>
    <s v="Takahara"/>
    <s v="Takahisa"/>
    <m/>
    <d v="2023-04-04T05:01:00"/>
    <m/>
    <m/>
    <n v="1961"/>
    <n v="105.48"/>
    <n v="0.5"/>
    <n v="5081769542380"/>
    <n v="63.2"/>
    <n v="98.8"/>
    <n v="11.9"/>
    <n v="46.7"/>
    <n v="126226568"/>
  </r>
  <r>
    <x v="156"/>
    <x v="156"/>
    <x v="7"/>
    <x v="323"/>
    <x v="22"/>
    <x v="5"/>
    <x v="12"/>
    <x v="178"/>
    <x v="7"/>
    <s v="China"/>
    <s v="Hangzhou Wahaha Group"/>
    <x v="1"/>
    <s v="D"/>
    <x v="0"/>
    <d v="1945-10-01T00:00:00"/>
    <s v="Zong"/>
    <s v="Qinghou"/>
    <s v="Chairman"/>
    <d v="2023-04-04T05:01:00"/>
    <m/>
    <m/>
    <n v="1945"/>
    <n v="125.08"/>
    <n v="2.9"/>
    <n v="19910000000000"/>
    <n v="50.6"/>
    <n v="100.2"/>
    <n v="9.4"/>
    <n v="59.2"/>
    <n v="1397715000"/>
  </r>
  <r>
    <x v="157"/>
    <x v="157"/>
    <x v="2"/>
    <x v="324"/>
    <x v="55"/>
    <x v="1"/>
    <x v="165"/>
    <x v="179"/>
    <x v="2"/>
    <s v="United States"/>
    <s v="Epic Systems"/>
    <x v="1"/>
    <s v="U"/>
    <x v="1"/>
    <d v="1943-08-01T00:00:00"/>
    <s v="Faulkner"/>
    <s v="Judy"/>
    <s v="Founder and CEO"/>
    <d v="2023-04-04T05:01:00"/>
    <s v="Wisconsin"/>
    <s v="Midwest"/>
    <n v="1943"/>
    <n v="117.24"/>
    <n v="7.5"/>
    <n v="21427700000000"/>
    <n v="88.2"/>
    <n v="101.8"/>
    <n v="9.6"/>
    <n v="36.6"/>
    <n v="328239523"/>
  </r>
  <r>
    <x v="157"/>
    <x v="157"/>
    <x v="9"/>
    <x v="325"/>
    <x v="31"/>
    <x v="11"/>
    <x v="150"/>
    <x v="180"/>
    <x v="9"/>
    <s v="Austria"/>
    <m/>
    <x v="1"/>
    <s v="U"/>
    <x v="0"/>
    <d v="1947-01-03T00:00:00"/>
    <s v="Graf"/>
    <s v="Johann"/>
    <m/>
    <d v="2023-04-04T05:01:00"/>
    <m/>
    <m/>
    <n v="1947"/>
    <n v="118.06"/>
    <n v="1.5"/>
    <n v="446314739528"/>
    <n v="85.1"/>
    <n v="103.1"/>
    <n v="25.4"/>
    <n v="51.4"/>
    <n v="8877067"/>
  </r>
  <r>
    <x v="157"/>
    <x v="157"/>
    <x v="15"/>
    <x v="326"/>
    <x v="38"/>
    <x v="1"/>
    <x v="166"/>
    <x v="181"/>
    <x v="15"/>
    <s v="United States"/>
    <m/>
    <x v="0"/>
    <s v="D"/>
    <x v="1"/>
    <d v="1961-11-16T00:00:00"/>
    <s v="Gustavson"/>
    <s v="Tamara"/>
    <m/>
    <d v="2023-04-04T05:01:00"/>
    <s v="Kentucky"/>
    <s v="South"/>
    <n v="1961"/>
    <n v="117.24"/>
    <n v="7.5"/>
    <n v="21427700000000"/>
    <n v="88.2"/>
    <n v="101.8"/>
    <n v="9.6"/>
    <n v="36.6"/>
    <n v="328239523"/>
  </r>
  <r>
    <x v="157"/>
    <x v="157"/>
    <x v="10"/>
    <x v="327"/>
    <x v="37"/>
    <x v="5"/>
    <x v="78"/>
    <x v="182"/>
    <x v="10"/>
    <s v="China"/>
    <m/>
    <x v="1"/>
    <s v="D"/>
    <x v="0"/>
    <d v="1956-12-14T00:00:00"/>
    <s v="Liang"/>
    <s v="Wengen"/>
    <m/>
    <d v="2023-04-04T05:01:00"/>
    <m/>
    <m/>
    <n v="1956"/>
    <n v="125.08"/>
    <n v="2.9"/>
    <n v="19910000000000"/>
    <n v="50.6"/>
    <n v="100.2"/>
    <n v="9.4"/>
    <n v="59.2"/>
    <n v="1397715000"/>
  </r>
  <r>
    <x v="157"/>
    <x v="157"/>
    <x v="14"/>
    <x v="328"/>
    <x v="25"/>
    <x v="8"/>
    <x v="167"/>
    <x v="183"/>
    <x v="14"/>
    <s v="Sweden"/>
    <m/>
    <x v="0"/>
    <s v="D"/>
    <x v="0"/>
    <d v="1950-10-30T00:00:00"/>
    <s v="Paulsen"/>
    <s v="Frederik"/>
    <m/>
    <d v="2023-04-04T05:01:00"/>
    <m/>
    <m/>
    <n v="1950"/>
    <n v="99.55"/>
    <n v="0.4"/>
    <n v="703082435360"/>
    <n v="59.6"/>
    <n v="105.2"/>
    <n v="10.1"/>
    <n v="28.8"/>
    <n v="8574832"/>
  </r>
  <r>
    <x v="157"/>
    <x v="157"/>
    <x v="3"/>
    <x v="329"/>
    <x v="21"/>
    <x v="25"/>
    <x v="76"/>
    <x v="75"/>
    <x v="3"/>
    <s v="Singapore"/>
    <m/>
    <x v="0"/>
    <s v="D"/>
    <x v="0"/>
    <d v="1929-01-10T00:00:00"/>
    <s v="Wee"/>
    <s v="Cho Yaw"/>
    <m/>
    <d v="2023-04-04T05:01:00"/>
    <m/>
    <m/>
    <n v="1929"/>
    <n v="114.41"/>
    <n v="0.6"/>
    <n v="372062527489"/>
    <n v="84.8"/>
    <n v="100.6"/>
    <n v="13.1"/>
    <n v="21"/>
    <n v="5703569"/>
  </r>
  <r>
    <x v="157"/>
    <x v="157"/>
    <x v="10"/>
    <x v="330"/>
    <x v="48"/>
    <x v="5"/>
    <x v="114"/>
    <x v="172"/>
    <x v="10"/>
    <s v="China"/>
    <m/>
    <x v="1"/>
    <s v="U"/>
    <x v="0"/>
    <d v="1952-01-01T00:00:00"/>
    <s v="Zhang"/>
    <s v="Hejun"/>
    <m/>
    <d v="2023-04-04T05:01:00"/>
    <m/>
    <m/>
    <n v="1952"/>
    <n v="125.08"/>
    <n v="2.9"/>
    <n v="19910000000000"/>
    <n v="50.6"/>
    <n v="100.2"/>
    <n v="9.4"/>
    <n v="59.2"/>
    <n v="1397715000"/>
  </r>
  <r>
    <x v="158"/>
    <x v="158"/>
    <x v="2"/>
    <x v="331"/>
    <x v="17"/>
    <x v="1"/>
    <x v="120"/>
    <x v="118"/>
    <x v="2"/>
    <s v="United States"/>
    <s v="Salesforce.com"/>
    <x v="1"/>
    <s v="D"/>
    <x v="0"/>
    <d v="1964-09-25T00:00:00"/>
    <s v="Benioff"/>
    <s v="Marc"/>
    <s v="Chairman and CEO"/>
    <d v="2023-04-04T05:01:00"/>
    <s v="California"/>
    <s v="West"/>
    <n v="1964"/>
    <n v="117.24"/>
    <n v="7.5"/>
    <n v="21427700000000"/>
    <n v="88.2"/>
    <n v="101.8"/>
    <n v="9.6"/>
    <n v="36.6"/>
    <n v="328239523"/>
  </r>
  <r>
    <x v="158"/>
    <x v="158"/>
    <x v="4"/>
    <x v="332"/>
    <x v="59"/>
    <x v="13"/>
    <x v="32"/>
    <x v="41"/>
    <x v="4"/>
    <s v="Israel"/>
    <m/>
    <x v="1"/>
    <s v="D"/>
    <x v="0"/>
    <d v="1985-05-27T00:00:00"/>
    <s v="Bukhman"/>
    <s v="Dmitri"/>
    <m/>
    <d v="2023-04-04T05:01:00"/>
    <m/>
    <m/>
    <n v="1985"/>
    <n v="119.62"/>
    <n v="1.7"/>
    <n v="2827113184696"/>
    <n v="60"/>
    <n v="101.2"/>
    <n v="25.5"/>
    <n v="30.6"/>
    <n v="66834405"/>
  </r>
  <r>
    <x v="158"/>
    <x v="158"/>
    <x v="4"/>
    <x v="333"/>
    <x v="51"/>
    <x v="13"/>
    <x v="32"/>
    <x v="41"/>
    <x v="4"/>
    <s v="Israel"/>
    <m/>
    <x v="1"/>
    <s v="D"/>
    <x v="0"/>
    <d v="1982-03-29T00:00:00"/>
    <s v="Bukhman"/>
    <s v="Igor"/>
    <m/>
    <d v="2023-04-04T05:01:00"/>
    <m/>
    <m/>
    <n v="1982"/>
    <n v="119.62"/>
    <n v="1.7"/>
    <n v="2827113184696"/>
    <n v="60"/>
    <n v="101.2"/>
    <n v="25.5"/>
    <n v="30.6"/>
    <n v="66834405"/>
  </r>
  <r>
    <x v="158"/>
    <x v="158"/>
    <x v="2"/>
    <x v="334"/>
    <x v="22"/>
    <x v="1"/>
    <x v="168"/>
    <x v="184"/>
    <x v="2"/>
    <s v="United States"/>
    <m/>
    <x v="1"/>
    <s v="U"/>
    <x v="0"/>
    <d v="1945-07-23T00:00:00"/>
    <s v="Dangermond"/>
    <s v="Jack"/>
    <m/>
    <d v="2023-04-04T05:01:00"/>
    <s v="California"/>
    <s v="West"/>
    <n v="1945"/>
    <n v="117.24"/>
    <n v="7.5"/>
    <n v="21427700000000"/>
    <n v="88.2"/>
    <n v="101.8"/>
    <n v="9.6"/>
    <n v="36.6"/>
    <n v="328239523"/>
  </r>
  <r>
    <x v="158"/>
    <x v="158"/>
    <x v="10"/>
    <x v="335"/>
    <x v="35"/>
    <x v="3"/>
    <x v="7"/>
    <x v="89"/>
    <x v="10"/>
    <s v="India"/>
    <m/>
    <x v="0"/>
    <s v="D"/>
    <x v="0"/>
    <d v="1942-10-24T00:00:00"/>
    <s v="Dani"/>
    <s v="Ashwin"/>
    <m/>
    <d v="2023-04-04T05:01:00"/>
    <m/>
    <m/>
    <n v="1942"/>
    <n v="180.44"/>
    <n v="7.7"/>
    <n v="2611000000000"/>
    <n v="28.1"/>
    <n v="113"/>
    <n v="11.2"/>
    <n v="49.7"/>
    <n v="1366417754"/>
  </r>
  <r>
    <x v="158"/>
    <x v="158"/>
    <x v="0"/>
    <x v="336"/>
    <x v="7"/>
    <x v="1"/>
    <x v="5"/>
    <x v="185"/>
    <x v="0"/>
    <s v="United States"/>
    <s v="Ralph Lauren"/>
    <x v="1"/>
    <s v="U"/>
    <x v="0"/>
    <d v="1939-10-14T00:00:00"/>
    <s v="Lauren"/>
    <s v="Ralph"/>
    <s v="Chairman "/>
    <d v="2023-04-04T05:01:00"/>
    <s v="New York"/>
    <s v="Northeast"/>
    <n v="1939"/>
    <n v="117.24"/>
    <n v="7.5"/>
    <n v="21427700000000"/>
    <n v="88.2"/>
    <n v="101.8"/>
    <n v="9.6"/>
    <n v="36.6"/>
    <n v="328239523"/>
  </r>
  <r>
    <x v="158"/>
    <x v="158"/>
    <x v="11"/>
    <x v="337"/>
    <x v="0"/>
    <x v="10"/>
    <x v="36"/>
    <x v="36"/>
    <x v="11"/>
    <s v="Hong Kong"/>
    <m/>
    <x v="0"/>
    <s v="U"/>
    <x v="0"/>
    <d v="1948-08-02T00:00:00"/>
    <s v="Law"/>
    <s v="Kar Po"/>
    <m/>
    <d v="2023-04-04T05:01:00"/>
    <m/>
    <m/>
    <n v="1948"/>
    <m/>
    <m/>
    <m/>
    <m/>
    <m/>
    <m/>
    <m/>
    <m/>
  </r>
  <r>
    <x v="158"/>
    <x v="158"/>
    <x v="6"/>
    <x v="338"/>
    <x v="42"/>
    <x v="3"/>
    <x v="7"/>
    <x v="8"/>
    <x v="6"/>
    <s v="India"/>
    <m/>
    <x v="0"/>
    <s v="N"/>
    <x v="1"/>
    <d v="1967-06-06T00:00:00"/>
    <s v="Mistry"/>
    <s v="Rohiqa Cyrus"/>
    <m/>
    <d v="2023-04-04T05:01:00"/>
    <m/>
    <m/>
    <n v="1967"/>
    <n v="180.44"/>
    <n v="7.7"/>
    <n v="2611000000000"/>
    <n v="28.1"/>
    <n v="113"/>
    <n v="11.2"/>
    <n v="49.7"/>
    <n v="1366417754"/>
  </r>
  <r>
    <x v="158"/>
    <x v="158"/>
    <x v="6"/>
    <x v="339"/>
    <x v="17"/>
    <x v="3"/>
    <x v="7"/>
    <x v="8"/>
    <x v="6"/>
    <s v="Ireland"/>
    <m/>
    <x v="0"/>
    <s v="N"/>
    <x v="0"/>
    <d v="1964-09-06T00:00:00"/>
    <s v="Mistry"/>
    <s v="Shapoor"/>
    <m/>
    <d v="2023-04-04T05:01:00"/>
    <m/>
    <m/>
    <n v="1964"/>
    <n v="180.44"/>
    <n v="7.7"/>
    <n v="2611000000000"/>
    <n v="28.1"/>
    <n v="113"/>
    <n v="11.2"/>
    <n v="49.7"/>
    <n v="1366417754"/>
  </r>
  <r>
    <x v="158"/>
    <x v="158"/>
    <x v="7"/>
    <x v="340"/>
    <x v="9"/>
    <x v="1"/>
    <x v="169"/>
    <x v="186"/>
    <x v="7"/>
    <s v="United States"/>
    <s v="Reyes Holdings, LLC"/>
    <x v="1"/>
    <s v="D"/>
    <x v="0"/>
    <d v="1953-12-29T00:00:00"/>
    <s v="Reyes"/>
    <s v="J. Christopher"/>
    <s v="Co-Chairman"/>
    <d v="2023-04-04T05:01:00"/>
    <s v="Florida"/>
    <s v="South"/>
    <n v="1953"/>
    <n v="117.24"/>
    <n v="7.5"/>
    <n v="21427700000000"/>
    <n v="88.2"/>
    <n v="101.8"/>
    <n v="9.6"/>
    <n v="36.6"/>
    <n v="328239523"/>
  </r>
  <r>
    <x v="158"/>
    <x v="158"/>
    <x v="7"/>
    <x v="341"/>
    <x v="5"/>
    <x v="1"/>
    <x v="43"/>
    <x v="186"/>
    <x v="7"/>
    <s v="United States"/>
    <s v="Reyes Holdings, LLC"/>
    <x v="1"/>
    <s v="D"/>
    <x v="0"/>
    <d v="1955-09-16T00:00:00"/>
    <s v="Reyes"/>
    <s v="Jude"/>
    <s v="Co-Chairman"/>
    <d v="2023-04-04T05:01:00"/>
    <s v="Florida"/>
    <s v="South"/>
    <n v="1955"/>
    <n v="117.24"/>
    <n v="7.5"/>
    <n v="21427700000000"/>
    <n v="88.2"/>
    <n v="101.8"/>
    <n v="9.6"/>
    <n v="36.6"/>
    <n v="328239523"/>
  </r>
  <r>
    <x v="158"/>
    <x v="158"/>
    <x v="7"/>
    <x v="342"/>
    <x v="48"/>
    <x v="1"/>
    <x v="170"/>
    <x v="178"/>
    <x v="7"/>
    <s v="United States"/>
    <m/>
    <x v="1"/>
    <s v="U"/>
    <x v="0"/>
    <d v="1952-02-26T00:00:00"/>
    <s v="Vultaggio"/>
    <s v="Don"/>
    <m/>
    <d v="2023-04-04T05:01:00"/>
    <s v="New York"/>
    <s v="Northeast"/>
    <n v="1952"/>
    <n v="117.24"/>
    <n v="7.5"/>
    <n v="21427700000000"/>
    <n v="88.2"/>
    <n v="101.8"/>
    <n v="9.6"/>
    <n v="36.6"/>
    <n v="328239523"/>
  </r>
  <r>
    <x v="159"/>
    <x v="159"/>
    <x v="6"/>
    <x v="343"/>
    <x v="34"/>
    <x v="2"/>
    <x v="25"/>
    <x v="8"/>
    <x v="6"/>
    <s v="Mexico"/>
    <m/>
    <x v="0"/>
    <s v="U"/>
    <x v="0"/>
    <d v="1961-01-01T00:00:00"/>
    <s v="Bailleres Gual"/>
    <s v="Alejandro"/>
    <m/>
    <d v="2023-04-04T05:01:00"/>
    <m/>
    <m/>
    <n v="1961"/>
    <n v="141.54"/>
    <n v="3.6"/>
    <n v="1258286717125"/>
    <n v="40.200000000000003"/>
    <n v="105.8"/>
    <n v="13.1"/>
    <n v="55.1"/>
    <n v="126014024"/>
  </r>
  <r>
    <x v="159"/>
    <x v="159"/>
    <x v="6"/>
    <x v="344"/>
    <x v="11"/>
    <x v="1"/>
    <x v="115"/>
    <x v="187"/>
    <x v="6"/>
    <s v="United States"/>
    <m/>
    <x v="0"/>
    <s v="E"/>
    <x v="1"/>
    <d v="1936-01-01T00:00:00"/>
    <s v="Broad"/>
    <s v="Edythe"/>
    <m/>
    <d v="2023-04-04T05:01:00"/>
    <s v="California"/>
    <s v="West"/>
    <n v="1936"/>
    <n v="117.24"/>
    <n v="7.5"/>
    <n v="21427700000000"/>
    <n v="88.2"/>
    <n v="101.8"/>
    <n v="9.6"/>
    <n v="36.6"/>
    <n v="328239523"/>
  </r>
  <r>
    <x v="159"/>
    <x v="159"/>
    <x v="7"/>
    <x v="345"/>
    <x v="58"/>
    <x v="1"/>
    <x v="171"/>
    <x v="188"/>
    <x v="7"/>
    <s v="United States"/>
    <m/>
    <x v="0"/>
    <s v="D"/>
    <x v="1"/>
    <d v="1934-01-01T00:00:00"/>
    <s v="Keinath"/>
    <s v="Pauline MacMillan"/>
    <m/>
    <d v="2023-04-04T05:01:00"/>
    <s v="Missouri"/>
    <s v="Midwest"/>
    <n v="1934"/>
    <n v="117.24"/>
    <n v="7.5"/>
    <n v="21427700000000"/>
    <n v="88.2"/>
    <n v="101.8"/>
    <n v="9.6"/>
    <n v="36.6"/>
    <n v="328239523"/>
  </r>
  <r>
    <x v="159"/>
    <x v="159"/>
    <x v="3"/>
    <x v="346"/>
    <x v="42"/>
    <x v="1"/>
    <x v="5"/>
    <x v="189"/>
    <x v="3"/>
    <s v="United States"/>
    <s v="Coatue Management"/>
    <x v="1"/>
    <s v="U"/>
    <x v="0"/>
    <d v="1967-09-16T00:00:00"/>
    <s v="Laffont"/>
    <s v="Philippe"/>
    <s v="Founder"/>
    <d v="2023-04-04T05:01:00"/>
    <s v="New York"/>
    <s v="Northeast"/>
    <n v="1967"/>
    <n v="117.24"/>
    <n v="7.5"/>
    <n v="21427700000000"/>
    <n v="88.2"/>
    <n v="101.8"/>
    <n v="9.6"/>
    <n v="36.6"/>
    <n v="328239523"/>
  </r>
  <r>
    <x v="159"/>
    <x v="159"/>
    <x v="2"/>
    <x v="347"/>
    <x v="17"/>
    <x v="5"/>
    <x v="172"/>
    <x v="190"/>
    <x v="2"/>
    <s v="China"/>
    <m/>
    <x v="1"/>
    <s v="D"/>
    <x v="0"/>
    <d v="1964-09-22T00:00:00"/>
    <s v="Liu"/>
    <s v="Jincheng"/>
    <m/>
    <d v="2023-04-04T05:01:00"/>
    <m/>
    <m/>
    <n v="1964"/>
    <n v="125.08"/>
    <n v="2.9"/>
    <n v="19910000000000"/>
    <n v="50.6"/>
    <n v="100.2"/>
    <n v="9.4"/>
    <n v="59.2"/>
    <n v="1397715000"/>
  </r>
  <r>
    <x v="159"/>
    <x v="159"/>
    <x v="11"/>
    <x v="348"/>
    <x v="35"/>
    <x v="1"/>
    <x v="173"/>
    <x v="36"/>
    <x v="11"/>
    <s v="United States"/>
    <m/>
    <x v="1"/>
    <s v="U"/>
    <x v="0"/>
    <d v="1942-09-20T00:00:00"/>
    <s v="Olenicoff"/>
    <s v="Igor"/>
    <m/>
    <d v="2023-04-04T05:01:00"/>
    <s v="Florida"/>
    <s v="South"/>
    <n v="1942"/>
    <n v="117.24"/>
    <n v="7.5"/>
    <n v="21427700000000"/>
    <n v="88.2"/>
    <n v="101.8"/>
    <n v="9.6"/>
    <n v="36.6"/>
    <n v="328239523"/>
  </r>
  <r>
    <x v="159"/>
    <x v="159"/>
    <x v="0"/>
    <x v="349"/>
    <x v="23"/>
    <x v="4"/>
    <x v="10"/>
    <x v="11"/>
    <x v="0"/>
    <s v="Spain"/>
    <m/>
    <x v="0"/>
    <s v="U"/>
    <x v="1"/>
    <d v="1968-07-09T00:00:00"/>
    <s v="Ortega Mera"/>
    <s v="Sandra"/>
    <m/>
    <d v="2023-04-04T05:01:00"/>
    <m/>
    <m/>
    <n v="1968"/>
    <n v="110.96"/>
    <n v="0.7"/>
    <n v="1394116310769"/>
    <n v="88.9"/>
    <n v="102.7"/>
    <n v="14.2"/>
    <n v="47"/>
    <n v="47076781"/>
  </r>
  <r>
    <x v="159"/>
    <x v="159"/>
    <x v="14"/>
    <x v="350"/>
    <x v="13"/>
    <x v="1"/>
    <x v="174"/>
    <x v="191"/>
    <x v="14"/>
    <s v="United States"/>
    <m/>
    <x v="0"/>
    <s v="U"/>
    <x v="1"/>
    <d v="1954-05-01T00:00:00"/>
    <s v="Stryker"/>
    <s v="Ronda"/>
    <m/>
    <d v="2023-04-04T05:01:00"/>
    <s v="Michigan"/>
    <s v="Midwest"/>
    <n v="1954"/>
    <n v="117.24"/>
    <n v="7.5"/>
    <n v="21427700000000"/>
    <n v="88.2"/>
    <n v="101.8"/>
    <n v="9.6"/>
    <n v="36.6"/>
    <n v="328239523"/>
  </r>
  <r>
    <x v="160"/>
    <x v="160"/>
    <x v="13"/>
    <x v="351"/>
    <x v="2"/>
    <x v="1"/>
    <x v="102"/>
    <x v="175"/>
    <x v="13"/>
    <s v="United States"/>
    <m/>
    <x v="0"/>
    <s v="U"/>
    <x v="1"/>
    <d v="1964-03-09T00:00:00"/>
    <s v="Avara"/>
    <s v="Dannine"/>
    <m/>
    <d v="2023-04-04T05:01:00"/>
    <s v="Texas"/>
    <s v="South"/>
    <n v="1964"/>
    <n v="117.24"/>
    <n v="7.5"/>
    <n v="21427700000000"/>
    <n v="88.2"/>
    <n v="101.8"/>
    <n v="9.6"/>
    <n v="36.6"/>
    <n v="328239523"/>
  </r>
  <r>
    <x v="160"/>
    <x v="160"/>
    <x v="6"/>
    <x v="352"/>
    <x v="20"/>
    <x v="28"/>
    <x v="95"/>
    <x v="16"/>
    <x v="6"/>
    <s v="Italy"/>
    <m/>
    <x v="1"/>
    <s v="D"/>
    <x v="0"/>
    <d v="1936-09-29T00:00:00"/>
    <s v="Berlusconi"/>
    <s v="Silvio"/>
    <m/>
    <d v="2023-04-04T05:01:00"/>
    <m/>
    <m/>
    <n v="1936"/>
    <n v="110.62"/>
    <n v="0.6"/>
    <n v="2001244392042"/>
    <n v="61.9"/>
    <n v="101.9"/>
    <n v="24.3"/>
    <n v="59.1"/>
    <n v="60297396"/>
  </r>
  <r>
    <x v="160"/>
    <x v="160"/>
    <x v="9"/>
    <x v="353"/>
    <x v="42"/>
    <x v="13"/>
    <x v="175"/>
    <x v="192"/>
    <x v="9"/>
    <s v="United Kingdom"/>
    <m/>
    <x v="1"/>
    <s v="U"/>
    <x v="1"/>
    <d v="1967-09-26T00:00:00"/>
    <s v="Coates"/>
    <s v="Denise"/>
    <m/>
    <d v="2023-04-04T05:01:00"/>
    <m/>
    <m/>
    <n v="1967"/>
    <n v="119.62"/>
    <n v="1.7"/>
    <n v="2827113184696"/>
    <n v="60"/>
    <n v="101.2"/>
    <n v="25.5"/>
    <n v="30.6"/>
    <n v="66834405"/>
  </r>
  <r>
    <x v="160"/>
    <x v="160"/>
    <x v="13"/>
    <x v="354"/>
    <x v="60"/>
    <x v="1"/>
    <x v="102"/>
    <x v="175"/>
    <x v="13"/>
    <s v="United States"/>
    <m/>
    <x v="0"/>
    <s v="U"/>
    <x v="0"/>
    <d v="1982-11-01T00:00:00"/>
    <s v="Duncan"/>
    <s v="Scott"/>
    <m/>
    <d v="2023-04-04T05:01:00"/>
    <s v="Texas"/>
    <s v="South"/>
    <n v="1982"/>
    <n v="117.24"/>
    <n v="7.5"/>
    <n v="21427700000000"/>
    <n v="88.2"/>
    <n v="101.8"/>
    <n v="9.6"/>
    <n v="36.6"/>
    <n v="328239523"/>
  </r>
  <r>
    <x v="160"/>
    <x v="160"/>
    <x v="13"/>
    <x v="355"/>
    <x v="52"/>
    <x v="1"/>
    <x v="102"/>
    <x v="175"/>
    <x v="13"/>
    <s v="United States"/>
    <m/>
    <x v="0"/>
    <s v="U"/>
    <x v="1"/>
    <d v="1969-08-12T00:00:00"/>
    <s v="Frantz"/>
    <s v="Milane"/>
    <m/>
    <d v="2023-04-04T05:01:00"/>
    <s v="Texas"/>
    <s v="South"/>
    <n v="1969"/>
    <n v="117.24"/>
    <n v="7.5"/>
    <n v="21427700000000"/>
    <n v="88.2"/>
    <n v="101.8"/>
    <n v="9.6"/>
    <n v="36.6"/>
    <n v="328239523"/>
  </r>
  <r>
    <x v="160"/>
    <x v="160"/>
    <x v="3"/>
    <x v="356"/>
    <x v="17"/>
    <x v="1"/>
    <x v="176"/>
    <x v="55"/>
    <x v="3"/>
    <s v="United States"/>
    <m/>
    <x v="0"/>
    <s v="U"/>
    <x v="0"/>
    <d v="1964-11-18T00:00:00"/>
    <s v="Johnson"/>
    <s v="Edward"/>
    <m/>
    <d v="2023-04-04T05:01:00"/>
    <s v="Massachusetts"/>
    <s v="Northeast"/>
    <n v="1964"/>
    <n v="117.24"/>
    <n v="7.5"/>
    <n v="21427700000000"/>
    <n v="88.2"/>
    <n v="101.8"/>
    <n v="9.6"/>
    <n v="36.6"/>
    <n v="328239523"/>
  </r>
  <r>
    <x v="160"/>
    <x v="160"/>
    <x v="3"/>
    <x v="357"/>
    <x v="38"/>
    <x v="1"/>
    <x v="11"/>
    <x v="193"/>
    <x v="3"/>
    <s v="Israel"/>
    <s v="DST Global"/>
    <x v="1"/>
    <s v="D"/>
    <x v="0"/>
    <d v="1961-11-11T00:00:00"/>
    <s v="Milner"/>
    <s v="Yuri"/>
    <s v="Investor"/>
    <d v="2023-04-04T05:01:00"/>
    <s v="California"/>
    <s v="West"/>
    <n v="1961"/>
    <n v="117.24"/>
    <n v="7.5"/>
    <n v="21427700000000"/>
    <n v="88.2"/>
    <n v="101.8"/>
    <n v="9.6"/>
    <n v="36.6"/>
    <n v="328239523"/>
  </r>
  <r>
    <x v="160"/>
    <x v="160"/>
    <x v="2"/>
    <x v="358"/>
    <x v="21"/>
    <x v="1"/>
    <x v="124"/>
    <x v="194"/>
    <x v="2"/>
    <s v="United States"/>
    <s v="Intel Corp."/>
    <x v="1"/>
    <s v="D"/>
    <x v="0"/>
    <d v="1929-01-03T00:00:00"/>
    <s v="Moore"/>
    <s v="Gordon"/>
    <s v="Cofounder and Chairman Emeritus"/>
    <d v="2023-04-04T05:01:00"/>
    <s v="California"/>
    <m/>
    <n v="1929"/>
    <n v="117.24"/>
    <n v="7.5"/>
    <n v="21427700000000"/>
    <n v="88.2"/>
    <n v="101.8"/>
    <n v="9.6"/>
    <n v="36.6"/>
    <n v="328239523"/>
  </r>
  <r>
    <x v="160"/>
    <x v="160"/>
    <x v="3"/>
    <x v="359"/>
    <x v="52"/>
    <x v="1"/>
    <x v="177"/>
    <x v="28"/>
    <x v="3"/>
    <s v="United States"/>
    <s v="Two Sigma"/>
    <x v="1"/>
    <s v="U"/>
    <x v="0"/>
    <d v="1969-12-21T00:00:00"/>
    <s v="Overdeck"/>
    <s v="John"/>
    <s v="Investor"/>
    <d v="2023-04-04T05:01:00"/>
    <s v="New Jersey"/>
    <s v="Northeast"/>
    <n v="1969"/>
    <n v="117.24"/>
    <n v="7.5"/>
    <n v="21427700000000"/>
    <n v="88.2"/>
    <n v="101.8"/>
    <n v="9.6"/>
    <n v="36.6"/>
    <n v="328239523"/>
  </r>
  <r>
    <x v="160"/>
    <x v="160"/>
    <x v="3"/>
    <x v="360"/>
    <x v="38"/>
    <x v="1"/>
    <x v="178"/>
    <x v="28"/>
    <x v="3"/>
    <s v="United States"/>
    <s v="Two Sigma"/>
    <x v="1"/>
    <s v="U"/>
    <x v="0"/>
    <d v="1961-07-15T00:00:00"/>
    <s v="Siegel"/>
    <s v="David"/>
    <s v="Investor"/>
    <d v="2023-04-04T05:01:00"/>
    <s v="New York"/>
    <s v="Northeast"/>
    <n v="1961"/>
    <n v="117.24"/>
    <n v="7.5"/>
    <n v="21427700000000"/>
    <n v="88.2"/>
    <n v="101.8"/>
    <n v="9.6"/>
    <n v="36.6"/>
    <n v="328239523"/>
  </r>
  <r>
    <x v="160"/>
    <x v="160"/>
    <x v="6"/>
    <x v="361"/>
    <x v="8"/>
    <x v="17"/>
    <x v="48"/>
    <x v="195"/>
    <x v="6"/>
    <s v="Russia"/>
    <m/>
    <x v="1"/>
    <s v="U"/>
    <x v="0"/>
    <d v="1957-04-14T00:00:00"/>
    <s v="Vekselberg"/>
    <s v="Viktor"/>
    <m/>
    <d v="2023-04-04T05:01:00"/>
    <m/>
    <m/>
    <n v="1957"/>
    <n v="180.75"/>
    <n v="4.5"/>
    <n v="1699876578871"/>
    <n v="81.900000000000006"/>
    <n v="102.6"/>
    <n v="11.4"/>
    <n v="46.2"/>
    <n v="144373535"/>
  </r>
  <r>
    <x v="160"/>
    <x v="160"/>
    <x v="2"/>
    <x v="362"/>
    <x v="17"/>
    <x v="5"/>
    <x v="26"/>
    <x v="171"/>
    <x v="2"/>
    <s v="Hong Kong"/>
    <m/>
    <x v="1"/>
    <s v="D"/>
    <x v="0"/>
    <d v="1964-12-14T00:00:00"/>
    <s v="Wang"/>
    <s v="Laisheng"/>
    <m/>
    <d v="2023-04-04T05:01:00"/>
    <m/>
    <m/>
    <n v="1964"/>
    <n v="125.08"/>
    <n v="2.9"/>
    <n v="19910000000000"/>
    <n v="50.6"/>
    <n v="100.2"/>
    <n v="9.4"/>
    <n v="59.2"/>
    <n v="1397715000"/>
  </r>
  <r>
    <x v="160"/>
    <x v="160"/>
    <x v="13"/>
    <x v="363"/>
    <x v="38"/>
    <x v="1"/>
    <x v="102"/>
    <x v="175"/>
    <x v="13"/>
    <s v="United States"/>
    <s v="Enterprise GP Holdings"/>
    <x v="0"/>
    <s v="U"/>
    <x v="1"/>
    <d v="1961-08-28T00:00:00"/>
    <s v="Williams"/>
    <s v="Randa Duncan"/>
    <s v="Non-Executive Chairman of the Board"/>
    <d v="2023-04-04T05:01:00"/>
    <s v="Texas"/>
    <s v="South"/>
    <n v="1961"/>
    <n v="117.24"/>
    <n v="7.5"/>
    <n v="21427700000000"/>
    <n v="88.2"/>
    <n v="101.8"/>
    <n v="9.6"/>
    <n v="36.6"/>
    <n v="328239523"/>
  </r>
  <r>
    <x v="161"/>
    <x v="161"/>
    <x v="3"/>
    <x v="364"/>
    <x v="25"/>
    <x v="1"/>
    <x v="80"/>
    <x v="196"/>
    <x v="3"/>
    <s v="United States"/>
    <m/>
    <x v="1"/>
    <s v="U"/>
    <x v="0"/>
    <d v="1950-11-29T00:00:00"/>
    <s v="Fisher"/>
    <s v="Ken"/>
    <m/>
    <d v="2023-04-04T05:01:00"/>
    <s v="Texas"/>
    <s v="South"/>
    <n v="1950"/>
    <n v="117.24"/>
    <n v="7.5"/>
    <n v="21427700000000"/>
    <n v="88.2"/>
    <n v="101.8"/>
    <n v="9.6"/>
    <n v="36.6"/>
    <n v="328239523"/>
  </r>
  <r>
    <x v="161"/>
    <x v="161"/>
    <x v="3"/>
    <x v="365"/>
    <x v="32"/>
    <x v="13"/>
    <x v="32"/>
    <x v="28"/>
    <x v="3"/>
    <s v="United Kingdom"/>
    <s v="The Children's Investment Fund Management"/>
    <x v="1"/>
    <s v="D"/>
    <x v="0"/>
    <d v="1966-10-27T00:00:00"/>
    <s v="Hohn"/>
    <s v="Christopher"/>
    <s v="Investor"/>
    <d v="2023-04-04T05:01:00"/>
    <m/>
    <m/>
    <n v="1966"/>
    <n v="119.62"/>
    <n v="1.7"/>
    <n v="2827113184696"/>
    <n v="60"/>
    <n v="101.2"/>
    <n v="25.5"/>
    <n v="30.6"/>
    <n v="66834405"/>
  </r>
  <r>
    <x v="161"/>
    <x v="161"/>
    <x v="10"/>
    <x v="366"/>
    <x v="43"/>
    <x v="38"/>
    <x v="179"/>
    <x v="197"/>
    <x v="10"/>
    <s v="Denmark"/>
    <m/>
    <x v="0"/>
    <s v="D"/>
    <x v="0"/>
    <d v="1947-12-27T00:00:00"/>
    <s v="Kristiansen"/>
    <s v="Kjeld Kirk"/>
    <m/>
    <d v="2023-04-04T05:01:00"/>
    <m/>
    <m/>
    <n v="1947"/>
    <n v="110.35"/>
    <n v="0.8"/>
    <n v="348078018464"/>
    <n v="80.599999999999994"/>
    <n v="101.3"/>
    <n v="32.4"/>
    <n v="23.8"/>
    <n v="5818553"/>
  </r>
  <r>
    <x v="161"/>
    <x v="161"/>
    <x v="10"/>
    <x v="367"/>
    <x v="47"/>
    <x v="38"/>
    <x v="179"/>
    <x v="197"/>
    <x v="10"/>
    <s v="Denmark"/>
    <m/>
    <x v="0"/>
    <s v="D"/>
    <x v="1"/>
    <d v="1976-01-01T00:00:00"/>
    <s v="Kristiansen"/>
    <s v="Sofie Kirk"/>
    <m/>
    <d v="2023-04-04T05:01:00"/>
    <m/>
    <m/>
    <n v="1976"/>
    <n v="110.35"/>
    <n v="0.8"/>
    <n v="348078018464"/>
    <n v="80.599999999999994"/>
    <n v="101.3"/>
    <n v="32.4"/>
    <n v="23.8"/>
    <n v="5818553"/>
  </r>
  <r>
    <x v="161"/>
    <x v="161"/>
    <x v="10"/>
    <x v="368"/>
    <x v="54"/>
    <x v="38"/>
    <x v="179"/>
    <x v="197"/>
    <x v="10"/>
    <s v="Denmark"/>
    <m/>
    <x v="0"/>
    <s v="D"/>
    <x v="0"/>
    <d v="1979-01-01T00:00:00"/>
    <s v="Kristiansen"/>
    <s v="Thomas Kirk"/>
    <m/>
    <d v="2023-04-04T05:01:00"/>
    <m/>
    <m/>
    <n v="1979"/>
    <n v="110.35"/>
    <n v="0.8"/>
    <n v="348078018464"/>
    <n v="80.599999999999994"/>
    <n v="101.3"/>
    <n v="32.4"/>
    <n v="23.8"/>
    <n v="5818553"/>
  </r>
  <r>
    <x v="161"/>
    <x v="161"/>
    <x v="14"/>
    <x v="369"/>
    <x v="35"/>
    <x v="28"/>
    <x v="180"/>
    <x v="83"/>
    <x v="14"/>
    <s v="Italy"/>
    <m/>
    <x v="0"/>
    <s v="U"/>
    <x v="1"/>
    <d v="1943-01-01T00:00:00"/>
    <s v="Landini Aleotti"/>
    <s v="Massimiliana"/>
    <m/>
    <d v="2023-04-04T05:01:00"/>
    <m/>
    <m/>
    <n v="1943"/>
    <n v="110.62"/>
    <n v="0.6"/>
    <n v="2001244392042"/>
    <n v="61.9"/>
    <n v="101.9"/>
    <n v="24.3"/>
    <n v="59.1"/>
    <n v="60297396"/>
  </r>
  <r>
    <x v="161"/>
    <x v="161"/>
    <x v="1"/>
    <x v="370"/>
    <x v="42"/>
    <x v="5"/>
    <x v="30"/>
    <x v="30"/>
    <x v="1"/>
    <s v="Hong Kong"/>
    <m/>
    <x v="1"/>
    <s v="D"/>
    <x v="0"/>
    <d v="1968-01-01T00:00:00"/>
    <s v="Li"/>
    <s v="Ping"/>
    <m/>
    <d v="2023-04-04T05:01:00"/>
    <m/>
    <m/>
    <n v="1968"/>
    <n v="125.08"/>
    <n v="2.9"/>
    <n v="19910000000000"/>
    <n v="50.6"/>
    <n v="100.2"/>
    <n v="9.4"/>
    <n v="59.2"/>
    <n v="1397715000"/>
  </r>
  <r>
    <x v="161"/>
    <x v="161"/>
    <x v="10"/>
    <x v="371"/>
    <x v="15"/>
    <x v="5"/>
    <x v="12"/>
    <x v="198"/>
    <x v="10"/>
    <s v="China"/>
    <m/>
    <x v="1"/>
    <s v="Split Family Fortune"/>
    <x v="0"/>
    <d v="1962-08-01T00:00:00"/>
    <s v="Lin"/>
    <s v="Jianhua"/>
    <m/>
    <d v="2023-04-04T05:01:00"/>
    <m/>
    <m/>
    <n v="1962"/>
    <n v="125.08"/>
    <n v="2.9"/>
    <n v="19910000000000"/>
    <n v="50.6"/>
    <n v="100.2"/>
    <n v="9.4"/>
    <n v="59.2"/>
    <n v="1397715000"/>
  </r>
  <r>
    <x v="161"/>
    <x v="161"/>
    <x v="10"/>
    <x v="372"/>
    <x v="23"/>
    <x v="8"/>
    <x v="181"/>
    <x v="50"/>
    <x v="10"/>
    <s v="Switzerland"/>
    <m/>
    <x v="0"/>
    <s v="D"/>
    <x v="1"/>
    <d v="1969-01-01T00:00:00"/>
    <s v="Martullo-Blocher"/>
    <s v="Magdalena"/>
    <m/>
    <d v="2023-04-04T05:01:00"/>
    <m/>
    <m/>
    <n v="1969"/>
    <n v="99.55"/>
    <n v="0.4"/>
    <n v="703082435360"/>
    <n v="59.6"/>
    <n v="105.2"/>
    <n v="10.1"/>
    <n v="28.8"/>
    <n v="8574832"/>
  </r>
  <r>
    <x v="161"/>
    <x v="161"/>
    <x v="5"/>
    <x v="373"/>
    <x v="42"/>
    <x v="0"/>
    <x v="0"/>
    <x v="52"/>
    <x v="5"/>
    <s v="France"/>
    <m/>
    <x v="1"/>
    <s v="D"/>
    <x v="0"/>
    <d v="1967-08-25T00:00:00"/>
    <s v="Niel"/>
    <s v="Xavier"/>
    <m/>
    <d v="2023-04-04T05:01:00"/>
    <m/>
    <m/>
    <n v="1967"/>
    <n v="110.05"/>
    <n v="1.1000000000000001"/>
    <n v="2715518274227"/>
    <n v="65.599999999999994"/>
    <n v="102.5"/>
    <n v="24.2"/>
    <n v="60.7"/>
    <n v="67059887"/>
  </r>
  <r>
    <x v="161"/>
    <x v="161"/>
    <x v="13"/>
    <x v="374"/>
    <x v="25"/>
    <x v="1"/>
    <x v="182"/>
    <x v="199"/>
    <x v="13"/>
    <s v="United States"/>
    <s v="Buffalo Sabres"/>
    <x v="1"/>
    <s v="U"/>
    <x v="0"/>
    <d v="1951-03-27T00:00:00"/>
    <s v="Pegula"/>
    <s v="Terrence"/>
    <s v="Owner"/>
    <d v="2023-04-04T05:01:00"/>
    <s v="Florida"/>
    <s v="South"/>
    <n v="1951"/>
    <n v="117.24"/>
    <n v="7.5"/>
    <n v="21427700000000"/>
    <n v="88.2"/>
    <n v="101.8"/>
    <n v="9.6"/>
    <n v="36.6"/>
    <n v="328239523"/>
  </r>
  <r>
    <x v="161"/>
    <x v="161"/>
    <x v="11"/>
    <x v="375"/>
    <x v="30"/>
    <x v="1"/>
    <x v="115"/>
    <x v="36"/>
    <x v="11"/>
    <s v="United States"/>
    <s v="Majestic Realty, Co."/>
    <x v="0"/>
    <s v="U"/>
    <x v="0"/>
    <d v="1938-12-25T00:00:00"/>
    <s v="Roski"/>
    <s v="Edward"/>
    <s v="President and Chairman"/>
    <d v="2023-04-04T05:01:00"/>
    <s v="California"/>
    <s v="West"/>
    <n v="1938"/>
    <n v="117.24"/>
    <n v="7.5"/>
    <n v="21427700000000"/>
    <n v="88.2"/>
    <n v="101.8"/>
    <n v="9.6"/>
    <n v="36.6"/>
    <n v="328239523"/>
  </r>
  <r>
    <x v="161"/>
    <x v="161"/>
    <x v="11"/>
    <x v="376"/>
    <x v="7"/>
    <x v="1"/>
    <x v="70"/>
    <x v="36"/>
    <x v="11"/>
    <s v="United States"/>
    <s v="Sobrato Development Cos."/>
    <x v="1"/>
    <s v="U"/>
    <x v="0"/>
    <d v="1939-05-23T00:00:00"/>
    <s v="Sobrato"/>
    <s v="John A."/>
    <s v="Founder and Chairman"/>
    <d v="2023-04-04T05:01:00"/>
    <s v="California"/>
    <s v="West"/>
    <n v="1939"/>
    <n v="117.24"/>
    <n v="7.5"/>
    <n v="21427700000000"/>
    <n v="88.2"/>
    <n v="101.8"/>
    <n v="9.6"/>
    <n v="36.6"/>
    <n v="328239523"/>
  </r>
  <r>
    <x v="161"/>
    <x v="161"/>
    <x v="3"/>
    <x v="377"/>
    <x v="4"/>
    <x v="1"/>
    <x v="183"/>
    <x v="28"/>
    <x v="3"/>
    <s v="United States"/>
    <s v="Soros Fund Management LLC"/>
    <x v="1"/>
    <s v="D"/>
    <x v="0"/>
    <d v="1930-08-12T00:00:00"/>
    <s v="Soros"/>
    <s v="George"/>
    <s v="Founder"/>
    <d v="2023-04-04T05:01:00"/>
    <s v="New York"/>
    <s v="Northeast"/>
    <n v="1930"/>
    <n v="117.24"/>
    <n v="7.5"/>
    <n v="21427700000000"/>
    <n v="88.2"/>
    <n v="101.8"/>
    <n v="9.6"/>
    <n v="36.6"/>
    <n v="328239523"/>
  </r>
  <r>
    <x v="161"/>
    <x v="161"/>
    <x v="2"/>
    <x v="378"/>
    <x v="48"/>
    <x v="1"/>
    <x v="184"/>
    <x v="200"/>
    <x v="2"/>
    <s v="United States"/>
    <s v="Kingston Technology Corporation"/>
    <x v="1"/>
    <s v="U"/>
    <x v="0"/>
    <d v="1951-10-12T00:00:00"/>
    <s v="Sun"/>
    <s v="David"/>
    <s v="COO"/>
    <d v="2023-04-04T05:01:00"/>
    <s v="California"/>
    <s v="West"/>
    <n v="1951"/>
    <n v="117.24"/>
    <n v="7.5"/>
    <n v="21427700000000"/>
    <n v="88.2"/>
    <n v="101.8"/>
    <n v="9.6"/>
    <n v="36.6"/>
    <n v="328239523"/>
  </r>
  <r>
    <x v="161"/>
    <x v="161"/>
    <x v="10"/>
    <x v="379"/>
    <x v="19"/>
    <x v="38"/>
    <x v="179"/>
    <x v="197"/>
    <x v="10"/>
    <s v="Denmark"/>
    <m/>
    <x v="0"/>
    <s v="D"/>
    <x v="1"/>
    <d v="1983-05-18T00:00:00"/>
    <s v="Thinggaard"/>
    <s v="Agnete Kirk"/>
    <m/>
    <d v="2023-04-04T05:01:00"/>
    <m/>
    <m/>
    <n v="1983"/>
    <n v="110.35"/>
    <n v="0.8"/>
    <n v="348078018464"/>
    <n v="80.599999999999994"/>
    <n v="101.3"/>
    <n v="32.4"/>
    <n v="23.8"/>
    <n v="5818553"/>
  </r>
  <r>
    <x v="161"/>
    <x v="161"/>
    <x v="2"/>
    <x v="380"/>
    <x v="6"/>
    <x v="1"/>
    <x v="185"/>
    <x v="200"/>
    <x v="2"/>
    <s v="United States"/>
    <s v="Kingston Technology Corporation"/>
    <x v="1"/>
    <s v="U"/>
    <x v="0"/>
    <d v="1941-08-12T00:00:00"/>
    <s v="Tu"/>
    <s v="John"/>
    <s v="President"/>
    <d v="2023-04-04T05:01:00"/>
    <s v="California"/>
    <s v="West"/>
    <n v="1941"/>
    <n v="117.24"/>
    <n v="7.5"/>
    <n v="21427700000000"/>
    <n v="88.2"/>
    <n v="101.8"/>
    <n v="9.6"/>
    <n v="36.6"/>
    <n v="328239523"/>
  </r>
  <r>
    <x v="161"/>
    <x v="161"/>
    <x v="7"/>
    <x v="381"/>
    <x v="8"/>
    <x v="5"/>
    <x v="148"/>
    <x v="201"/>
    <x v="7"/>
    <s v="China"/>
    <m/>
    <x v="1"/>
    <s v="D"/>
    <x v="0"/>
    <d v="1958-01-01T00:00:00"/>
    <s v="Xu"/>
    <s v="Shihui"/>
    <m/>
    <d v="2023-04-04T05:01:00"/>
    <m/>
    <m/>
    <n v="1958"/>
    <n v="125.08"/>
    <n v="2.9"/>
    <n v="19910000000000"/>
    <n v="50.6"/>
    <n v="100.2"/>
    <n v="9.4"/>
    <n v="59.2"/>
    <n v="1397715000"/>
  </r>
  <r>
    <x v="162"/>
    <x v="162"/>
    <x v="10"/>
    <x v="382"/>
    <x v="47"/>
    <x v="8"/>
    <x v="186"/>
    <x v="50"/>
    <x v="10"/>
    <s v="Switzerland"/>
    <m/>
    <x v="0"/>
    <s v="D"/>
    <x v="1"/>
    <d v="1976-01-01T00:00:00"/>
    <s v="Blocher"/>
    <s v="Rahel"/>
    <m/>
    <d v="2023-04-04T05:01:00"/>
    <m/>
    <m/>
    <n v="1976"/>
    <n v="99.55"/>
    <n v="0.4"/>
    <n v="703082435360"/>
    <n v="59.6"/>
    <n v="105.2"/>
    <n v="10.1"/>
    <n v="28.8"/>
    <n v="8574832"/>
  </r>
  <r>
    <x v="162"/>
    <x v="162"/>
    <x v="7"/>
    <x v="383"/>
    <x v="13"/>
    <x v="1"/>
    <x v="139"/>
    <x v="202"/>
    <x v="7"/>
    <s v="United States"/>
    <m/>
    <x v="0"/>
    <s v="U"/>
    <x v="0"/>
    <d v="1954-04-22T00:00:00"/>
    <s v="Cathy"/>
    <s v="Bubba"/>
    <m/>
    <d v="2023-04-04T05:01:00"/>
    <s v="Georgia"/>
    <s v="South"/>
    <n v="1954"/>
    <n v="117.24"/>
    <n v="7.5"/>
    <n v="21427700000000"/>
    <n v="88.2"/>
    <n v="101.8"/>
    <n v="9.6"/>
    <n v="36.6"/>
    <n v="328239523"/>
  </r>
  <r>
    <x v="162"/>
    <x v="162"/>
    <x v="7"/>
    <x v="384"/>
    <x v="36"/>
    <x v="1"/>
    <x v="139"/>
    <x v="202"/>
    <x v="7"/>
    <s v="United States"/>
    <m/>
    <x v="0"/>
    <s v="U"/>
    <x v="0"/>
    <d v="1953-03-01T00:00:00"/>
    <s v="Cathy"/>
    <s v="Dan"/>
    <m/>
    <d v="2023-04-04T05:01:00"/>
    <s v="Georgia"/>
    <s v="South"/>
    <n v="1953"/>
    <n v="117.24"/>
    <n v="7.5"/>
    <n v="21427700000000"/>
    <n v="88.2"/>
    <n v="101.8"/>
    <n v="9.6"/>
    <n v="36.6"/>
    <n v="328239523"/>
  </r>
  <r>
    <x v="162"/>
    <x v="162"/>
    <x v="7"/>
    <x v="385"/>
    <x v="5"/>
    <x v="1"/>
    <x v="187"/>
    <x v="202"/>
    <x v="7"/>
    <s v="United States"/>
    <m/>
    <x v="0"/>
    <s v="U"/>
    <x v="1"/>
    <d v="1955-12-17T00:00:00"/>
    <s v="Cathy White"/>
    <s v="Trudy"/>
    <m/>
    <d v="2023-04-04T05:01:00"/>
    <s v="Georgia"/>
    <s v="South"/>
    <n v="1955"/>
    <n v="117.24"/>
    <n v="7.5"/>
    <n v="21427700000000"/>
    <n v="88.2"/>
    <n v="101.8"/>
    <n v="9.6"/>
    <n v="36.6"/>
    <n v="328239523"/>
  </r>
  <r>
    <x v="162"/>
    <x v="162"/>
    <x v="3"/>
    <x v="386"/>
    <x v="3"/>
    <x v="1"/>
    <x v="5"/>
    <x v="28"/>
    <x v="3"/>
    <s v="United States"/>
    <s v="Caxton Associates LP"/>
    <x v="1"/>
    <s v="U"/>
    <x v="0"/>
    <d v="1945-02-25T00:00:00"/>
    <s v="Kovner"/>
    <s v="Bruce"/>
    <s v="Founder"/>
    <d v="2023-04-04T05:01:00"/>
    <s v="New York"/>
    <s v="Northeast"/>
    <n v="1945"/>
    <n v="117.24"/>
    <n v="7.5"/>
    <n v="21427700000000"/>
    <n v="88.2"/>
    <n v="101.8"/>
    <n v="9.6"/>
    <n v="36.6"/>
    <n v="328239523"/>
  </r>
  <r>
    <x v="162"/>
    <x v="162"/>
    <x v="2"/>
    <x v="387"/>
    <x v="53"/>
    <x v="1"/>
    <x v="188"/>
    <x v="58"/>
    <x v="2"/>
    <s v="United States"/>
    <s v="Broadcom"/>
    <x v="1"/>
    <s v="U"/>
    <x v="0"/>
    <d v="1959-10-08T00:00:00"/>
    <s v="Nicholas"/>
    <s v="Henry"/>
    <s v="Cofounder"/>
    <d v="2023-04-04T05:01:00"/>
    <s v="California"/>
    <s v="West"/>
    <n v="1959"/>
    <n v="117.24"/>
    <n v="7.5"/>
    <n v="21427700000000"/>
    <n v="88.2"/>
    <n v="101.8"/>
    <n v="9.6"/>
    <n v="36.6"/>
    <n v="328239523"/>
  </r>
  <r>
    <x v="162"/>
    <x v="162"/>
    <x v="3"/>
    <x v="388"/>
    <x v="47"/>
    <x v="7"/>
    <x v="189"/>
    <x v="38"/>
    <x v="3"/>
    <s v="Germany"/>
    <m/>
    <x v="0"/>
    <s v="U"/>
    <x v="1"/>
    <d v="1976-01-07T00:00:00"/>
    <s v="Thiele"/>
    <s v="Nadia"/>
    <m/>
    <d v="2023-04-04T05:01:00"/>
    <m/>
    <m/>
    <n v="1976"/>
    <n v="112.85"/>
    <n v="1.4"/>
    <n v="3845630030824"/>
    <n v="70.2"/>
    <n v="104"/>
    <n v="11.5"/>
    <n v="48.8"/>
    <n v="83132799"/>
  </r>
  <r>
    <x v="163"/>
    <x v="163"/>
    <x v="3"/>
    <x v="389"/>
    <x v="35"/>
    <x v="1"/>
    <x v="15"/>
    <x v="122"/>
    <x v="3"/>
    <s v="United States"/>
    <m/>
    <x v="1"/>
    <s v="U"/>
    <x v="0"/>
    <d v="1942-11-27T00:00:00"/>
    <s v="Bonderman"/>
    <s v="David"/>
    <m/>
    <d v="2023-04-04T05:01:00"/>
    <s v="Texas"/>
    <s v="South"/>
    <n v="1942"/>
    <n v="117.24"/>
    <n v="7.5"/>
    <n v="21427700000000"/>
    <n v="88.2"/>
    <n v="101.8"/>
    <n v="9.6"/>
    <n v="36.6"/>
    <n v="328239523"/>
  </r>
  <r>
    <x v="163"/>
    <x v="163"/>
    <x v="2"/>
    <x v="390"/>
    <x v="17"/>
    <x v="1"/>
    <x v="2"/>
    <x v="5"/>
    <x v="2"/>
    <s v="United States"/>
    <s v="Bill &amp; Melinda Gates Foundation"/>
    <x v="0"/>
    <s v="U"/>
    <x v="1"/>
    <d v="1964-08-15T00:00:00"/>
    <s v="French Gates"/>
    <s v="Melinda"/>
    <s v="Cochair"/>
    <d v="2023-04-04T05:01:00"/>
    <s v="Washington"/>
    <s v="West"/>
    <n v="1964"/>
    <n v="117.24"/>
    <n v="7.5"/>
    <n v="21427700000000"/>
    <n v="88.2"/>
    <n v="101.8"/>
    <n v="9.6"/>
    <n v="36.6"/>
    <n v="328239523"/>
  </r>
  <r>
    <x v="163"/>
    <x v="163"/>
    <x v="0"/>
    <x v="391"/>
    <x v="56"/>
    <x v="39"/>
    <x v="190"/>
    <x v="139"/>
    <x v="0"/>
    <s v="Eswatini (Swaziland)"/>
    <m/>
    <x v="1"/>
    <s v="U"/>
    <x v="0"/>
    <d v="1932-01-06T00:00:00"/>
    <s v="Kirsh"/>
    <s v="Nathan"/>
    <m/>
    <d v="2023-04-04T05:01:00"/>
    <m/>
    <m/>
    <n v="1932"/>
    <m/>
    <m/>
    <m/>
    <m/>
    <m/>
    <m/>
    <m/>
    <m/>
  </r>
  <r>
    <x v="163"/>
    <x v="163"/>
    <x v="11"/>
    <x v="392"/>
    <x v="46"/>
    <x v="1"/>
    <x v="191"/>
    <x v="36"/>
    <x v="11"/>
    <s v="United States"/>
    <m/>
    <x v="0"/>
    <s v="N"/>
    <x v="1"/>
    <d v="1930-02-27T00:00:00"/>
    <s v="Lerner"/>
    <s v="Annette"/>
    <m/>
    <d v="2023-04-04T05:01:00"/>
    <s v="Maryland"/>
    <s v="South"/>
    <n v="1930"/>
    <n v="117.24"/>
    <n v="7.5"/>
    <n v="21427700000000"/>
    <n v="88.2"/>
    <n v="101.8"/>
    <n v="9.6"/>
    <n v="36.6"/>
    <n v="328239523"/>
  </r>
  <r>
    <x v="163"/>
    <x v="163"/>
    <x v="11"/>
    <x v="393"/>
    <x v="30"/>
    <x v="13"/>
    <x v="32"/>
    <x v="203"/>
    <x v="11"/>
    <s v="United Kingdom"/>
    <m/>
    <x v="1"/>
    <s v="D"/>
    <x v="0"/>
    <d v="1938-09-01T00:00:00"/>
    <s v="Reuben"/>
    <s v="David"/>
    <m/>
    <d v="2023-04-04T05:01:00"/>
    <m/>
    <m/>
    <n v="1938"/>
    <n v="119.62"/>
    <n v="1.7"/>
    <n v="2827113184696"/>
    <n v="60"/>
    <n v="101.2"/>
    <n v="25.5"/>
    <n v="30.6"/>
    <n v="66834405"/>
  </r>
  <r>
    <x v="163"/>
    <x v="163"/>
    <x v="6"/>
    <x v="394"/>
    <x v="6"/>
    <x v="19"/>
    <x v="192"/>
    <x v="173"/>
    <x v="6"/>
    <s v="United Kingdom"/>
    <m/>
    <x v="1"/>
    <s v="D"/>
    <x v="0"/>
    <d v="1941-05-01T00:00:00"/>
    <s v="Reuben"/>
    <s v="Simon"/>
    <m/>
    <d v="2023-04-04T05:01:00"/>
    <m/>
    <m/>
    <n v="1941"/>
    <m/>
    <m/>
    <n v="7184844193"/>
    <m/>
    <m/>
    <m/>
    <m/>
    <n v="38964"/>
  </r>
  <r>
    <x v="163"/>
    <x v="163"/>
    <x v="11"/>
    <x v="395"/>
    <x v="1"/>
    <x v="8"/>
    <x v="193"/>
    <x v="36"/>
    <x v="11"/>
    <s v="Czech Republic"/>
    <m/>
    <x v="1"/>
    <s v="U"/>
    <x v="0"/>
    <d v="1971-04-22T00:00:00"/>
    <s v="Vitek"/>
    <s v="Radovan"/>
    <m/>
    <d v="2023-04-04T05:01:00"/>
    <m/>
    <m/>
    <n v="1971"/>
    <n v="99.55"/>
    <n v="0.4"/>
    <n v="703082435360"/>
    <n v="59.6"/>
    <n v="105.2"/>
    <n v="10.1"/>
    <n v="28.8"/>
    <n v="8574832"/>
  </r>
  <r>
    <x v="164"/>
    <x v="164"/>
    <x v="3"/>
    <x v="396"/>
    <x v="48"/>
    <x v="21"/>
    <x v="194"/>
    <x v="38"/>
    <x v="3"/>
    <s v="Sweden"/>
    <m/>
    <x v="1"/>
    <s v="D"/>
    <x v="0"/>
    <d v="1951-08-19T00:00:00"/>
    <s v="Bennet"/>
    <s v="Carl"/>
    <m/>
    <d v="2023-04-04T05:01:00"/>
    <m/>
    <m/>
    <n v="1951"/>
    <n v="110.51"/>
    <n v="1.8"/>
    <n v="530832908738"/>
    <n v="67"/>
    <n v="126.6"/>
    <n v="27.9"/>
    <n v="49.1"/>
    <n v="10285453"/>
  </r>
  <r>
    <x v="164"/>
    <x v="164"/>
    <x v="17"/>
    <x v="397"/>
    <x v="34"/>
    <x v="1"/>
    <x v="169"/>
    <x v="204"/>
    <x v="17"/>
    <s v="United States"/>
    <s v="Baltimore Ravens"/>
    <x v="1"/>
    <s v="U"/>
    <x v="0"/>
    <d v="1960-04-10T00:00:00"/>
    <s v="Bisciotti"/>
    <s v="Stephen"/>
    <s v="Owner"/>
    <d v="2023-04-04T05:01:00"/>
    <s v="Florida"/>
    <s v="South"/>
    <n v="1960"/>
    <n v="117.24"/>
    <n v="7.5"/>
    <n v="21427700000000"/>
    <n v="88.2"/>
    <n v="101.8"/>
    <n v="9.6"/>
    <n v="36.6"/>
    <n v="328239523"/>
  </r>
  <r>
    <x v="164"/>
    <x v="164"/>
    <x v="3"/>
    <x v="398"/>
    <x v="9"/>
    <x v="1"/>
    <x v="5"/>
    <x v="28"/>
    <x v="3"/>
    <s v="United States"/>
    <s v="Duquesne Family Office"/>
    <x v="1"/>
    <s v="D"/>
    <x v="0"/>
    <d v="1953-06-14T00:00:00"/>
    <s v="Druckenmiller"/>
    <s v="Stanley"/>
    <s v="Founder"/>
    <d v="2023-04-04T05:01:00"/>
    <s v="New York"/>
    <s v="Northeast"/>
    <n v="1953"/>
    <n v="117.24"/>
    <n v="7.5"/>
    <n v="21427700000000"/>
    <n v="88.2"/>
    <n v="101.8"/>
    <n v="9.6"/>
    <n v="36.6"/>
    <n v="328239523"/>
  </r>
  <r>
    <x v="164"/>
    <x v="164"/>
    <x v="14"/>
    <x v="399"/>
    <x v="2"/>
    <x v="5"/>
    <x v="19"/>
    <x v="205"/>
    <x v="14"/>
    <s v="China"/>
    <m/>
    <x v="1"/>
    <s v="U"/>
    <x v="1"/>
    <d v="1963-11-01T00:00:00"/>
    <s v="Jian"/>
    <s v="Jun"/>
    <m/>
    <d v="2023-04-04T05:01:00"/>
    <m/>
    <m/>
    <n v="1963"/>
    <n v="125.08"/>
    <n v="2.9"/>
    <n v="19910000000000"/>
    <n v="50.6"/>
    <n v="100.2"/>
    <n v="9.4"/>
    <n v="59.2"/>
    <n v="1397715000"/>
  </r>
  <r>
    <x v="164"/>
    <x v="164"/>
    <x v="13"/>
    <x v="400"/>
    <x v="15"/>
    <x v="0"/>
    <x v="0"/>
    <x v="99"/>
    <x v="13"/>
    <s v="Russia"/>
    <m/>
    <x v="1"/>
    <s v="U"/>
    <x v="0"/>
    <d v="1962-10-15T00:00:00"/>
    <s v="Kuzmichev"/>
    <s v="Alexei"/>
    <m/>
    <d v="2023-04-04T05:01:00"/>
    <m/>
    <m/>
    <n v="1962"/>
    <n v="110.05"/>
    <n v="1.1000000000000001"/>
    <n v="2715518274227"/>
    <n v="65.599999999999994"/>
    <n v="102.5"/>
    <n v="24.2"/>
    <n v="60.7"/>
    <n v="67059887"/>
  </r>
  <r>
    <x v="164"/>
    <x v="164"/>
    <x v="10"/>
    <x v="401"/>
    <x v="32"/>
    <x v="19"/>
    <x v="192"/>
    <x v="206"/>
    <x v="10"/>
    <s v="Russia"/>
    <m/>
    <x v="1"/>
    <s v="D"/>
    <x v="0"/>
    <d v="1966-11-22T00:00:00"/>
    <s v="Rybolovlev"/>
    <s v="Dmitry"/>
    <m/>
    <d v="2023-04-04T05:01:00"/>
    <m/>
    <m/>
    <n v="1966"/>
    <m/>
    <m/>
    <n v="7184844193"/>
    <m/>
    <m/>
    <m/>
    <m/>
    <n v="38964"/>
  </r>
  <r>
    <x v="164"/>
    <x v="164"/>
    <x v="3"/>
    <x v="402"/>
    <x v="40"/>
    <x v="40"/>
    <x v="195"/>
    <x v="75"/>
    <x v="3"/>
    <s v="Colombia"/>
    <m/>
    <x v="1"/>
    <s v="D"/>
    <x v="0"/>
    <d v="1933-01-27T00:00:00"/>
    <s v="Sarmiento"/>
    <s v="Luis Carlos"/>
    <m/>
    <d v="2023-04-04T05:01:00"/>
    <m/>
    <m/>
    <n v="1933"/>
    <n v="140.94999999999999"/>
    <n v="3.5"/>
    <n v="323802808108"/>
    <n v="55.3"/>
    <n v="114.5"/>
    <n v="14.4"/>
    <n v="71.2"/>
    <n v="50339443"/>
  </r>
  <r>
    <x v="164"/>
    <x v="164"/>
    <x v="8"/>
    <x v="403"/>
    <x v="50"/>
    <x v="1"/>
    <x v="196"/>
    <x v="207"/>
    <x v="8"/>
    <s v="United States"/>
    <m/>
    <x v="1"/>
    <s v="D"/>
    <x v="0"/>
    <d v="1934-07-27T00:00:00"/>
    <s v="Washington"/>
    <s v="Dennis"/>
    <m/>
    <d v="2023-04-04T05:01:00"/>
    <s v="Montana"/>
    <s v="West"/>
    <n v="1934"/>
    <n v="117.24"/>
    <n v="7.5"/>
    <n v="21427700000000"/>
    <n v="88.2"/>
    <n v="101.8"/>
    <n v="9.6"/>
    <n v="36.6"/>
    <n v="328239523"/>
  </r>
  <r>
    <x v="165"/>
    <x v="165"/>
    <x v="16"/>
    <x v="404"/>
    <x v="22"/>
    <x v="13"/>
    <x v="121"/>
    <x v="182"/>
    <x v="16"/>
    <s v="United Kingdom"/>
    <m/>
    <x v="0"/>
    <s v="U"/>
    <x v="0"/>
    <d v="1945-10-23T00:00:00"/>
    <s v="Bamford"/>
    <s v="Anthony"/>
    <m/>
    <d v="2023-04-04T05:01:00"/>
    <m/>
    <m/>
    <n v="1945"/>
    <n v="119.62"/>
    <n v="1.7"/>
    <n v="2827113184696"/>
    <n v="60"/>
    <n v="101.2"/>
    <n v="25.5"/>
    <n v="30.6"/>
    <n v="66834405"/>
  </r>
  <r>
    <x v="165"/>
    <x v="165"/>
    <x v="13"/>
    <x v="405"/>
    <x v="17"/>
    <x v="5"/>
    <x v="128"/>
    <x v="208"/>
    <x v="13"/>
    <s v="China"/>
    <m/>
    <x v="1"/>
    <s v="D"/>
    <x v="0"/>
    <d v="1965-01-01T00:00:00"/>
    <s v="Gao"/>
    <s v="Jifan"/>
    <m/>
    <d v="2023-04-04T05:01:00"/>
    <m/>
    <m/>
    <n v="1965"/>
    <n v="125.08"/>
    <n v="2.9"/>
    <n v="19910000000000"/>
    <n v="50.6"/>
    <n v="100.2"/>
    <n v="9.4"/>
    <n v="59.2"/>
    <n v="1397715000"/>
  </r>
  <r>
    <x v="165"/>
    <x v="165"/>
    <x v="3"/>
    <x v="406"/>
    <x v="37"/>
    <x v="13"/>
    <x v="32"/>
    <x v="122"/>
    <x v="3"/>
    <s v="Ireland"/>
    <m/>
    <x v="1"/>
    <s v="D"/>
    <x v="0"/>
    <d v="1956-06-01T00:00:00"/>
    <s v="Grayken"/>
    <s v="John"/>
    <s v="Investor"/>
    <d v="2023-04-04T05:01:00"/>
    <m/>
    <m/>
    <n v="1956"/>
    <n v="119.62"/>
    <n v="1.7"/>
    <n v="2827113184696"/>
    <n v="60"/>
    <n v="101.2"/>
    <n v="25.5"/>
    <n v="30.6"/>
    <n v="66834405"/>
  </r>
  <r>
    <x v="165"/>
    <x v="165"/>
    <x v="14"/>
    <x v="407"/>
    <x v="18"/>
    <x v="0"/>
    <x v="197"/>
    <x v="83"/>
    <x v="14"/>
    <s v="France"/>
    <m/>
    <x v="0"/>
    <s v="D"/>
    <x v="0"/>
    <d v="1938-01-01T00:00:00"/>
    <s v="Merieux"/>
    <s v="Alain"/>
    <m/>
    <d v="2023-04-04T05:01:00"/>
    <m/>
    <m/>
    <n v="1938"/>
    <n v="110.05"/>
    <n v="1.1000000000000001"/>
    <n v="2715518274227"/>
    <n v="65.599999999999994"/>
    <n v="102.5"/>
    <n v="24.2"/>
    <n v="60.7"/>
    <n v="67059887"/>
  </r>
  <r>
    <x v="165"/>
    <x v="165"/>
    <x v="13"/>
    <x v="408"/>
    <x v="2"/>
    <x v="5"/>
    <x v="198"/>
    <x v="209"/>
    <x v="13"/>
    <s v="China"/>
    <m/>
    <x v="1"/>
    <s v="U"/>
    <x v="0"/>
    <d v="1964-03-11T00:00:00"/>
    <s v="Wang"/>
    <s v="Yusuo"/>
    <m/>
    <d v="2023-04-04T05:01:00"/>
    <m/>
    <m/>
    <n v="1964"/>
    <n v="125.08"/>
    <n v="2.9"/>
    <n v="19910000000000"/>
    <n v="50.6"/>
    <n v="100.2"/>
    <n v="9.4"/>
    <n v="59.2"/>
    <n v="1397715000"/>
  </r>
  <r>
    <x v="165"/>
    <x v="165"/>
    <x v="10"/>
    <x v="409"/>
    <x v="61"/>
    <x v="27"/>
    <x v="199"/>
    <x v="210"/>
    <x v="10"/>
    <s v="Israel"/>
    <m/>
    <x v="1"/>
    <s v="U"/>
    <x v="0"/>
    <d v="1926-07-16T00:00:00"/>
    <s v="Wertheimer"/>
    <s v="Stef"/>
    <m/>
    <d v="2023-04-04T05:01:00"/>
    <m/>
    <m/>
    <n v="1926"/>
    <n v="108.15"/>
    <n v="0.8"/>
    <n v="395098666122"/>
    <n v="63.4"/>
    <n v="104.9"/>
    <n v="23.1"/>
    <n v="25.3"/>
    <n v="9053300"/>
  </r>
  <r>
    <x v="166"/>
    <x v="166"/>
    <x v="7"/>
    <x v="410"/>
    <x v="2"/>
    <x v="2"/>
    <x v="6"/>
    <x v="211"/>
    <x v="7"/>
    <s v="Mexico"/>
    <m/>
    <x v="0"/>
    <s v="E"/>
    <x v="1"/>
    <d v="1963-05-02T00:00:00"/>
    <s v="Aramburuzabala"/>
    <s v="Maria Asuncion"/>
    <m/>
    <d v="2023-04-04T05:01:00"/>
    <m/>
    <m/>
    <n v="1963"/>
    <n v="141.54"/>
    <n v="3.6"/>
    <n v="1258286717125"/>
    <n v="40.200000000000003"/>
    <n v="105.8"/>
    <n v="13.1"/>
    <n v="55.1"/>
    <n v="126014024"/>
  </r>
  <r>
    <x v="166"/>
    <x v="166"/>
    <x v="6"/>
    <x v="411"/>
    <x v="18"/>
    <x v="21"/>
    <x v="69"/>
    <x v="38"/>
    <x v="6"/>
    <s v="Sweden"/>
    <m/>
    <x v="1"/>
    <s v="D"/>
    <x v="0"/>
    <d v="1938-03-03T00:00:00"/>
    <s v="Douglas"/>
    <s v="Gustaf"/>
    <m/>
    <d v="2023-04-04T05:01:00"/>
    <m/>
    <m/>
    <n v="1938"/>
    <n v="110.51"/>
    <n v="1.8"/>
    <n v="530832908738"/>
    <n v="67"/>
    <n v="126.6"/>
    <n v="27.9"/>
    <n v="49.1"/>
    <n v="10285453"/>
  </r>
  <r>
    <x v="166"/>
    <x v="166"/>
    <x v="15"/>
    <x v="412"/>
    <x v="58"/>
    <x v="41"/>
    <x v="200"/>
    <x v="212"/>
    <x v="15"/>
    <s v="Netherlands"/>
    <m/>
    <x v="1"/>
    <s v="U"/>
    <x v="0"/>
    <d v="1933-08-02T00:00:00"/>
    <s v="Goldschmeding"/>
    <s v="Frits"/>
    <m/>
    <d v="2023-04-04T05:01:00"/>
    <m/>
    <m/>
    <n v="1933"/>
    <n v="115.91"/>
    <n v="2.6"/>
    <n v="909070395161"/>
    <n v="85"/>
    <n v="104.2"/>
    <n v="23"/>
    <n v="41.2"/>
    <n v="17332850"/>
  </r>
  <r>
    <x v="166"/>
    <x v="166"/>
    <x v="7"/>
    <x v="413"/>
    <x v="2"/>
    <x v="5"/>
    <x v="26"/>
    <x v="178"/>
    <x v="7"/>
    <s v="China"/>
    <m/>
    <x v="1"/>
    <s v="U"/>
    <x v="0"/>
    <d v="1964-01-01T00:00:00"/>
    <s v="Lin"/>
    <s v="Muqin"/>
    <m/>
    <d v="2023-04-04T05:01:00"/>
    <m/>
    <m/>
    <n v="1964"/>
    <n v="125.08"/>
    <n v="2.9"/>
    <n v="19910000000000"/>
    <n v="50.6"/>
    <n v="100.2"/>
    <n v="9.4"/>
    <n v="59.2"/>
    <n v="1397715000"/>
  </r>
  <r>
    <x v="166"/>
    <x v="166"/>
    <x v="10"/>
    <x v="414"/>
    <x v="2"/>
    <x v="5"/>
    <x v="114"/>
    <x v="213"/>
    <x v="10"/>
    <s v="Hong Kong"/>
    <m/>
    <x v="1"/>
    <s v="U"/>
    <x v="0"/>
    <d v="1964-01-01T00:00:00"/>
    <s v="Ruan"/>
    <s v="Liping"/>
    <m/>
    <d v="2023-04-04T05:01:00"/>
    <m/>
    <m/>
    <n v="1964"/>
    <n v="125.08"/>
    <n v="2.9"/>
    <n v="19910000000000"/>
    <n v="50.6"/>
    <n v="100.2"/>
    <n v="9.4"/>
    <n v="59.2"/>
    <n v="1397715000"/>
  </r>
  <r>
    <x v="166"/>
    <x v="166"/>
    <x v="10"/>
    <x v="415"/>
    <x v="1"/>
    <x v="5"/>
    <x v="114"/>
    <x v="214"/>
    <x v="10"/>
    <s v="Hong Kong"/>
    <m/>
    <x v="1"/>
    <s v="U"/>
    <x v="0"/>
    <d v="1972-01-01T00:00:00"/>
    <s v="Ruan"/>
    <s v="Xueping"/>
    <m/>
    <d v="2023-04-04T05:01:00"/>
    <m/>
    <m/>
    <n v="1972"/>
    <n v="125.08"/>
    <n v="2.9"/>
    <n v="19910000000000"/>
    <n v="50.6"/>
    <n v="100.2"/>
    <n v="9.4"/>
    <n v="59.2"/>
    <n v="1397715000"/>
  </r>
  <r>
    <x v="166"/>
    <x v="166"/>
    <x v="3"/>
    <x v="416"/>
    <x v="15"/>
    <x v="42"/>
    <x v="201"/>
    <x v="38"/>
    <x v="3"/>
    <s v="Poland"/>
    <m/>
    <x v="1"/>
    <s v="E"/>
    <x v="0"/>
    <d v="1962-07-11T00:00:00"/>
    <s v="Solowow"/>
    <s v="Michal"/>
    <m/>
    <d v="2023-04-04T05:01:00"/>
    <m/>
    <m/>
    <n v="1962"/>
    <n v="114.11"/>
    <n v="2.2000000000000002"/>
    <n v="592164400688"/>
    <n v="67.8"/>
    <n v="100"/>
    <n v="17.399999999999999"/>
    <n v="40.799999999999997"/>
    <n v="37970874"/>
  </r>
  <r>
    <x v="167"/>
    <x v="167"/>
    <x v="6"/>
    <x v="417"/>
    <x v="9"/>
    <x v="26"/>
    <x v="77"/>
    <x v="215"/>
    <x v="6"/>
    <s v="Nigeria"/>
    <m/>
    <x v="1"/>
    <s v="D"/>
    <x v="0"/>
    <d v="1953-04-29T00:00:00"/>
    <s v="Adenuga"/>
    <s v="Mike"/>
    <m/>
    <d v="2023-04-04T05:01:00"/>
    <m/>
    <m/>
    <n v="1953"/>
    <n v="267.51"/>
    <n v="11.4"/>
    <n v="448120428859"/>
    <n v="10.199999999999999"/>
    <n v="84.7"/>
    <n v="1.5"/>
    <n v="34.799999999999997"/>
    <n v="200963599"/>
  </r>
  <r>
    <x v="167"/>
    <x v="167"/>
    <x v="3"/>
    <x v="418"/>
    <x v="17"/>
    <x v="1"/>
    <x v="125"/>
    <x v="122"/>
    <x v="3"/>
    <s v="United States"/>
    <m/>
    <x v="1"/>
    <s v="U"/>
    <x v="0"/>
    <d v="1964-07-31T00:00:00"/>
    <s v="Gores"/>
    <s v="Tom"/>
    <m/>
    <d v="2023-04-04T05:01:00"/>
    <s v="California"/>
    <s v="West"/>
    <n v="1964"/>
    <n v="117.24"/>
    <n v="7.5"/>
    <n v="21427700000000"/>
    <n v="88.2"/>
    <n v="101.8"/>
    <n v="9.6"/>
    <n v="36.6"/>
    <n v="328239523"/>
  </r>
  <r>
    <x v="167"/>
    <x v="167"/>
    <x v="0"/>
    <x v="419"/>
    <x v="55"/>
    <x v="7"/>
    <x v="127"/>
    <x v="216"/>
    <x v="0"/>
    <s v="Germany"/>
    <m/>
    <x v="0"/>
    <s v="U"/>
    <x v="0"/>
    <d v="1943-09-28T00:00:00"/>
    <s v="Herz"/>
    <s v="Michael"/>
    <m/>
    <d v="2023-04-04T05:01:00"/>
    <m/>
    <m/>
    <n v="1943"/>
    <n v="112.85"/>
    <n v="1.4"/>
    <n v="3845630030824"/>
    <n v="70.2"/>
    <n v="104"/>
    <n v="11.5"/>
    <n v="48.8"/>
    <n v="83132799"/>
  </r>
  <r>
    <x v="167"/>
    <x v="167"/>
    <x v="0"/>
    <x v="420"/>
    <x v="25"/>
    <x v="7"/>
    <x v="127"/>
    <x v="216"/>
    <x v="0"/>
    <s v="Germany"/>
    <m/>
    <x v="0"/>
    <s v="U"/>
    <x v="0"/>
    <d v="1951-01-01T00:00:00"/>
    <s v="Herz"/>
    <s v="Wolfgang"/>
    <m/>
    <d v="2023-04-04T05:01:00"/>
    <m/>
    <m/>
    <n v="1951"/>
    <n v="112.85"/>
    <n v="1.4"/>
    <n v="3845630030824"/>
    <n v="70.2"/>
    <n v="104"/>
    <n v="11.5"/>
    <n v="48.8"/>
    <n v="83132799"/>
  </r>
  <r>
    <x v="167"/>
    <x v="167"/>
    <x v="13"/>
    <x v="421"/>
    <x v="6"/>
    <x v="10"/>
    <x v="36"/>
    <x v="217"/>
    <x v="13"/>
    <s v="Hong Kong"/>
    <m/>
    <x v="0"/>
    <s v="D"/>
    <x v="0"/>
    <d v="1941-07-19T00:00:00"/>
    <s v="Kadoorie"/>
    <s v="Michael"/>
    <m/>
    <d v="2023-04-04T05:01:00"/>
    <m/>
    <m/>
    <n v="1941"/>
    <m/>
    <m/>
    <m/>
    <m/>
    <m/>
    <m/>
    <m/>
    <m/>
  </r>
  <r>
    <x v="167"/>
    <x v="167"/>
    <x v="5"/>
    <x v="422"/>
    <x v="8"/>
    <x v="22"/>
    <x v="25"/>
    <x v="7"/>
    <x v="5"/>
    <s v="India"/>
    <m/>
    <x v="1"/>
    <s v="Split Family Fortune"/>
    <x v="0"/>
    <d v="1957-10-23T00:00:00"/>
    <s v="Mittal"/>
    <s v="Sunil"/>
    <m/>
    <d v="2023-04-04T05:01:00"/>
    <m/>
    <m/>
    <n v="1957"/>
    <m/>
    <m/>
    <m/>
    <m/>
    <m/>
    <m/>
    <m/>
    <m/>
  </r>
  <r>
    <x v="167"/>
    <x v="167"/>
    <x v="2"/>
    <x v="423"/>
    <x v="52"/>
    <x v="10"/>
    <x v="36"/>
    <x v="218"/>
    <x v="2"/>
    <s v="Hong Kong"/>
    <s v="Lens Technology"/>
    <x v="1"/>
    <s v="D"/>
    <x v="1"/>
    <m/>
    <s v="Zhou"/>
    <s v="Qunfei"/>
    <s v="Founder and CEO"/>
    <d v="2023-04-04T05:01:00"/>
    <m/>
    <m/>
    <m/>
    <m/>
    <m/>
    <m/>
    <m/>
    <m/>
    <m/>
    <m/>
    <m/>
  </r>
  <r>
    <x v="168"/>
    <x v="168"/>
    <x v="12"/>
    <x v="424"/>
    <x v="29"/>
    <x v="17"/>
    <x v="48"/>
    <x v="219"/>
    <x v="12"/>
    <s v="Russia"/>
    <m/>
    <x v="1"/>
    <s v="U"/>
    <x v="0"/>
    <d v="1959-02-20T00:00:00"/>
    <s v="Abramov"/>
    <s v="Alexander"/>
    <m/>
    <d v="2023-04-04T05:01:00"/>
    <m/>
    <m/>
    <n v="1959"/>
    <n v="180.75"/>
    <n v="4.5"/>
    <n v="1699876578871"/>
    <n v="81.900000000000006"/>
    <n v="102.6"/>
    <n v="11.4"/>
    <n v="46.2"/>
    <n v="144373535"/>
  </r>
  <r>
    <x v="168"/>
    <x v="168"/>
    <x v="11"/>
    <x v="425"/>
    <x v="62"/>
    <x v="11"/>
    <x v="25"/>
    <x v="220"/>
    <x v="11"/>
    <s v="Austria"/>
    <m/>
    <x v="1"/>
    <s v="U"/>
    <x v="0"/>
    <d v="1977-03-20T00:00:00"/>
    <s v="Benko"/>
    <s v="Rene"/>
    <m/>
    <d v="2023-04-04T05:01:00"/>
    <m/>
    <m/>
    <n v="1977"/>
    <n v="118.06"/>
    <n v="1.5"/>
    <n v="446314739528"/>
    <n v="85.1"/>
    <n v="103.1"/>
    <n v="25.4"/>
    <n v="51.4"/>
    <n v="8877067"/>
  </r>
  <r>
    <x v="168"/>
    <x v="168"/>
    <x v="11"/>
    <x v="426"/>
    <x v="18"/>
    <x v="1"/>
    <x v="54"/>
    <x v="36"/>
    <x v="11"/>
    <s v="United States"/>
    <m/>
    <x v="1"/>
    <s v="U"/>
    <x v="0"/>
    <d v="1938-01-12T00:00:00"/>
    <s v="Bluhm"/>
    <s v="Neil"/>
    <m/>
    <d v="2023-04-04T05:01:00"/>
    <s v="Illinois"/>
    <s v="Midwest"/>
    <n v="1938"/>
    <n v="117.24"/>
    <n v="7.5"/>
    <n v="21427700000000"/>
    <n v="88.2"/>
    <n v="101.8"/>
    <n v="9.6"/>
    <n v="36.6"/>
    <n v="328239523"/>
  </r>
  <r>
    <x v="168"/>
    <x v="168"/>
    <x v="0"/>
    <x v="427"/>
    <x v="0"/>
    <x v="6"/>
    <x v="202"/>
    <x v="221"/>
    <x v="0"/>
    <s v="Canada"/>
    <s v="Alimentation Couche Tard Inc. Cl A"/>
    <x v="1"/>
    <s v="U"/>
    <x v="0"/>
    <d v="1949-02-18T00:00:00"/>
    <s v="Bouchard"/>
    <s v="Alain"/>
    <s v="Chairman and CEO"/>
    <d v="2023-04-04T05:01:00"/>
    <m/>
    <m/>
    <n v="1949"/>
    <n v="116.76"/>
    <n v="1.9"/>
    <n v="1736425629520"/>
    <n v="68.900000000000006"/>
    <n v="100.9"/>
    <n v="12.8"/>
    <n v="24.5"/>
    <n v="36991981"/>
  </r>
  <r>
    <x v="168"/>
    <x v="168"/>
    <x v="2"/>
    <x v="428"/>
    <x v="53"/>
    <x v="1"/>
    <x v="203"/>
    <x v="222"/>
    <x v="2"/>
    <s v="United States"/>
    <m/>
    <x v="1"/>
    <s v="D"/>
    <x v="0"/>
    <d v="1959-08-26T00:00:00"/>
    <s v="Chaudhry"/>
    <s v="Jay"/>
    <m/>
    <d v="2023-04-04T05:01:00"/>
    <s v="Nevada"/>
    <s v="West"/>
    <n v="1959"/>
    <n v="117.24"/>
    <n v="7.5"/>
    <n v="21427700000000"/>
    <n v="88.2"/>
    <n v="101.8"/>
    <n v="9.6"/>
    <n v="36.6"/>
    <n v="328239523"/>
  </r>
  <r>
    <x v="168"/>
    <x v="168"/>
    <x v="0"/>
    <x v="429"/>
    <x v="8"/>
    <x v="3"/>
    <x v="7"/>
    <x v="85"/>
    <x v="0"/>
    <s v="India"/>
    <m/>
    <x v="1"/>
    <s v="D"/>
    <x v="0"/>
    <d v="1958-01-01T00:00:00"/>
    <s v="Damani"/>
    <s v="Gopikishan"/>
    <m/>
    <d v="2023-04-04T05:01:00"/>
    <m/>
    <m/>
    <n v="1958"/>
    <n v="180.44"/>
    <n v="7.7"/>
    <n v="2611000000000"/>
    <n v="28.1"/>
    <n v="113"/>
    <n v="11.2"/>
    <n v="49.7"/>
    <n v="1366417754"/>
  </r>
  <r>
    <x v="168"/>
    <x v="168"/>
    <x v="6"/>
    <x v="430"/>
    <x v="50"/>
    <x v="23"/>
    <x v="73"/>
    <x v="8"/>
    <x v="6"/>
    <s v="Thailand"/>
    <m/>
    <x v="0"/>
    <s v="U"/>
    <x v="0"/>
    <d v="1934-11-02T00:00:00"/>
    <s v="Jiaravanon"/>
    <s v="Sumet"/>
    <m/>
    <d v="2023-04-04T05:01:00"/>
    <m/>
    <m/>
    <n v="1934"/>
    <n v="113.27"/>
    <n v="0.7"/>
    <n v="543649976166"/>
    <n v="49.3"/>
    <n v="99.8"/>
    <n v="14.9"/>
    <n v="29.5"/>
    <n v="69625582"/>
  </r>
  <r>
    <x v="168"/>
    <x v="168"/>
    <x v="3"/>
    <x v="431"/>
    <x v="20"/>
    <x v="43"/>
    <x v="204"/>
    <x v="38"/>
    <x v="3"/>
    <s v="United Kingdom"/>
    <m/>
    <x v="1"/>
    <s v="U"/>
    <x v="0"/>
    <d v="1937-02-05T00:00:00"/>
    <s v="Lewis"/>
    <s v="Joe"/>
    <m/>
    <d v="2023-04-04T05:01:00"/>
    <m/>
    <m/>
    <n v="1937"/>
    <m/>
    <m/>
    <m/>
    <m/>
    <m/>
    <m/>
    <m/>
    <m/>
  </r>
  <r>
    <x v="168"/>
    <x v="168"/>
    <x v="3"/>
    <x v="432"/>
    <x v="4"/>
    <x v="27"/>
    <x v="199"/>
    <x v="38"/>
    <x v="3"/>
    <s v="Australia"/>
    <m/>
    <x v="1"/>
    <s v="D"/>
    <x v="0"/>
    <d v="1930-10-22T00:00:00"/>
    <s v="Lowy"/>
    <s v="Frank"/>
    <m/>
    <d v="2023-04-04T05:01:00"/>
    <m/>
    <m/>
    <n v="1930"/>
    <n v="108.15"/>
    <n v="0.8"/>
    <n v="395098666122"/>
    <n v="63.4"/>
    <n v="104.9"/>
    <n v="23.1"/>
    <n v="25.3"/>
    <n v="9053300"/>
  </r>
  <r>
    <x v="168"/>
    <x v="168"/>
    <x v="3"/>
    <x v="433"/>
    <x v="31"/>
    <x v="1"/>
    <x v="115"/>
    <x v="38"/>
    <x v="3"/>
    <s v="United States"/>
    <m/>
    <x v="1"/>
    <s v="U"/>
    <x v="0"/>
    <d v="1946-07-04T00:00:00"/>
    <s v="Milken"/>
    <s v="Michael"/>
    <m/>
    <d v="2023-04-04T05:01:00"/>
    <s v="California"/>
    <s v="West"/>
    <n v="1946"/>
    <n v="117.24"/>
    <n v="7.5"/>
    <n v="21427700000000"/>
    <n v="88.2"/>
    <n v="101.8"/>
    <n v="9.6"/>
    <n v="36.6"/>
    <n v="328239523"/>
  </r>
  <r>
    <x v="168"/>
    <x v="168"/>
    <x v="2"/>
    <x v="434"/>
    <x v="48"/>
    <x v="1"/>
    <x v="171"/>
    <x v="223"/>
    <x v="2"/>
    <s v="United States"/>
    <m/>
    <x v="1"/>
    <s v="U"/>
    <x v="0"/>
    <d v="1951-07-02T00:00:00"/>
    <s v="Steward"/>
    <s v="David"/>
    <m/>
    <d v="2023-04-04T05:01:00"/>
    <s v="Missouri"/>
    <s v="Midwest"/>
    <n v="1951"/>
    <n v="117.24"/>
    <n v="7.5"/>
    <n v="21427700000000"/>
    <n v="88.2"/>
    <n v="101.8"/>
    <n v="9.6"/>
    <n v="36.6"/>
    <n v="328239523"/>
  </r>
  <r>
    <x v="168"/>
    <x v="168"/>
    <x v="0"/>
    <x v="435"/>
    <x v="18"/>
    <x v="1"/>
    <x v="205"/>
    <x v="21"/>
    <x v="0"/>
    <s v="United States"/>
    <m/>
    <x v="1"/>
    <s v="U"/>
    <x v="0"/>
    <d v="1937-09-08T00:00:00"/>
    <s v="Wexner"/>
    <s v="Les"/>
    <m/>
    <d v="2023-04-04T05:01:00"/>
    <s v="Ohio"/>
    <s v="Midwest"/>
    <n v="1937"/>
    <n v="117.24"/>
    <n v="7.5"/>
    <n v="21427700000000"/>
    <n v="88.2"/>
    <n v="101.8"/>
    <n v="9.6"/>
    <n v="36.6"/>
    <n v="328239523"/>
  </r>
  <r>
    <x v="169"/>
    <x v="169"/>
    <x v="11"/>
    <x v="436"/>
    <x v="15"/>
    <x v="5"/>
    <x v="90"/>
    <x v="36"/>
    <x v="11"/>
    <s v="China"/>
    <m/>
    <x v="1"/>
    <s v="D"/>
    <x v="0"/>
    <d v="1963-01-01T00:00:00"/>
    <s v="Cai"/>
    <s v="Kui"/>
    <m/>
    <d v="2023-04-04T05:01:00"/>
    <m/>
    <m/>
    <n v="1963"/>
    <n v="125.08"/>
    <n v="2.9"/>
    <n v="19910000000000"/>
    <n v="50.6"/>
    <n v="100.2"/>
    <n v="9.4"/>
    <n v="59.2"/>
    <n v="1397715000"/>
  </r>
  <r>
    <x v="169"/>
    <x v="169"/>
    <x v="6"/>
    <x v="437"/>
    <x v="46"/>
    <x v="23"/>
    <x v="73"/>
    <x v="8"/>
    <x v="6"/>
    <s v="Thailand"/>
    <m/>
    <x v="0"/>
    <s v="U"/>
    <x v="0"/>
    <d v="1930-04-01T00:00:00"/>
    <s v="Chiaravanont"/>
    <s v="Jaran"/>
    <m/>
    <d v="2023-04-04T05:01:00"/>
    <m/>
    <m/>
    <n v="1930"/>
    <n v="113.27"/>
    <n v="0.7"/>
    <n v="543649976166"/>
    <n v="49.3"/>
    <n v="99.8"/>
    <n v="14.9"/>
    <n v="29.5"/>
    <n v="69625582"/>
  </r>
  <r>
    <x v="169"/>
    <x v="169"/>
    <x v="3"/>
    <x v="438"/>
    <x v="38"/>
    <x v="1"/>
    <x v="206"/>
    <x v="28"/>
    <x v="3"/>
    <s v="Norway"/>
    <s v="Viking Global Investors"/>
    <x v="1"/>
    <s v="D"/>
    <x v="0"/>
    <d v="1961-04-23T00:00:00"/>
    <s v="Halvorsen"/>
    <s v="Andreas"/>
    <s v="Investor"/>
    <d v="2023-04-04T05:01:00"/>
    <s v="Connecticut"/>
    <s v="Northeast"/>
    <n v="1961"/>
    <n v="117.24"/>
    <n v="7.5"/>
    <n v="21427700000000"/>
    <n v="88.2"/>
    <n v="101.8"/>
    <n v="9.6"/>
    <n v="36.6"/>
    <n v="328239523"/>
  </r>
  <r>
    <x v="169"/>
    <x v="169"/>
    <x v="3"/>
    <x v="439"/>
    <x v="34"/>
    <x v="1"/>
    <x v="115"/>
    <x v="224"/>
    <x v="3"/>
    <s v="United States"/>
    <m/>
    <x v="1"/>
    <s v="U"/>
    <x v="0"/>
    <d v="1960-10-12T00:00:00"/>
    <s v="Ressler"/>
    <s v="Antony"/>
    <m/>
    <d v="2023-04-04T05:01:00"/>
    <s v="California"/>
    <s v="West"/>
    <n v="1960"/>
    <n v="117.24"/>
    <n v="7.5"/>
    <n v="21427700000000"/>
    <n v="88.2"/>
    <n v="101.8"/>
    <n v="9.6"/>
    <n v="36.6"/>
    <n v="328239523"/>
  </r>
  <r>
    <x v="169"/>
    <x v="169"/>
    <x v="7"/>
    <x v="440"/>
    <x v="37"/>
    <x v="5"/>
    <x v="34"/>
    <x v="225"/>
    <x v="7"/>
    <s v="Taiwan"/>
    <m/>
    <x v="0"/>
    <s v="D"/>
    <x v="0"/>
    <d v="1957-01-15T00:00:00"/>
    <s v="Tsai"/>
    <s v="Eng-meng"/>
    <m/>
    <d v="2023-04-04T05:01:00"/>
    <m/>
    <m/>
    <n v="1957"/>
    <n v="125.08"/>
    <n v="2.9"/>
    <n v="19910000000000"/>
    <n v="50.6"/>
    <n v="100.2"/>
    <n v="9.4"/>
    <n v="59.2"/>
    <n v="1397715000"/>
  </r>
  <r>
    <x v="170"/>
    <x v="170"/>
    <x v="3"/>
    <x v="441"/>
    <x v="17"/>
    <x v="1"/>
    <x v="28"/>
    <x v="122"/>
    <x v="3"/>
    <s v="United States"/>
    <m/>
    <x v="1"/>
    <s v="E"/>
    <x v="0"/>
    <d v="1964-12-29T00:00:00"/>
    <s v="Harris"/>
    <s v="Josh"/>
    <m/>
    <d v="2023-04-04T05:01:00"/>
    <s v="Florida"/>
    <s v="South"/>
    <n v="1964"/>
    <n v="117.24"/>
    <n v="7.5"/>
    <n v="21427700000000"/>
    <n v="88.2"/>
    <n v="101.8"/>
    <n v="9.6"/>
    <n v="36.6"/>
    <n v="328239523"/>
  </r>
  <r>
    <x v="170"/>
    <x v="170"/>
    <x v="14"/>
    <x v="442"/>
    <x v="43"/>
    <x v="38"/>
    <x v="207"/>
    <x v="78"/>
    <x v="14"/>
    <s v="Denmark"/>
    <m/>
    <x v="0"/>
    <s v="D"/>
    <x v="0"/>
    <d v="1947-10-25T00:00:00"/>
    <s v="Louis-Hansen"/>
    <s v="Niels Peter"/>
    <m/>
    <d v="2023-04-04T05:01:00"/>
    <m/>
    <m/>
    <n v="1947"/>
    <n v="110.35"/>
    <n v="0.8"/>
    <n v="348078018464"/>
    <n v="80.599999999999994"/>
    <n v="101.3"/>
    <n v="32.4"/>
    <n v="23.8"/>
    <n v="5818553"/>
  </r>
  <r>
    <x v="170"/>
    <x v="170"/>
    <x v="14"/>
    <x v="443"/>
    <x v="36"/>
    <x v="1"/>
    <x v="115"/>
    <x v="83"/>
    <x v="14"/>
    <s v="United States"/>
    <m/>
    <x v="1"/>
    <s v="D"/>
    <x v="0"/>
    <d v="1952-07-29T00:00:00"/>
    <s v="Soon-Shiong"/>
    <s v="Patrick"/>
    <m/>
    <d v="2023-04-04T05:01:00"/>
    <s v="California"/>
    <s v="West"/>
    <n v="1952"/>
    <n v="117.24"/>
    <n v="7.5"/>
    <n v="21427700000000"/>
    <n v="88.2"/>
    <n v="101.8"/>
    <n v="9.6"/>
    <n v="36.6"/>
    <n v="328239523"/>
  </r>
  <r>
    <x v="171"/>
    <x v="171"/>
    <x v="12"/>
    <x v="444"/>
    <x v="32"/>
    <x v="44"/>
    <x v="208"/>
    <x v="226"/>
    <x v="12"/>
    <s v="Ukraine"/>
    <m/>
    <x v="1"/>
    <s v="U"/>
    <x v="0"/>
    <d v="1966-09-21T00:00:00"/>
    <s v="Akhmetov"/>
    <s v="Rinat"/>
    <m/>
    <d v="2023-04-04T05:01:00"/>
    <m/>
    <m/>
    <n v="1966"/>
    <n v="281.66000000000003"/>
    <n v="7.9"/>
    <n v="153781069118"/>
    <n v="82.7"/>
    <n v="99"/>
    <n v="20.100000000000001"/>
    <n v="45.2"/>
    <n v="44385155"/>
  </r>
  <r>
    <x v="171"/>
    <x v="171"/>
    <x v="14"/>
    <x v="445"/>
    <x v="50"/>
    <x v="1"/>
    <x v="139"/>
    <x v="191"/>
    <x v="14"/>
    <s v="United States"/>
    <m/>
    <x v="1"/>
    <s v="U"/>
    <x v="0"/>
    <d v="1934-09-15T00:00:00"/>
    <s v="Brown"/>
    <s v="John"/>
    <m/>
    <d v="2023-04-04T05:01:00"/>
    <s v="Georgia"/>
    <s v="South"/>
    <n v="1934"/>
    <n v="117.24"/>
    <n v="7.5"/>
    <n v="21427700000000"/>
    <n v="88.2"/>
    <n v="101.8"/>
    <n v="9.6"/>
    <n v="36.6"/>
    <n v="328239523"/>
  </r>
  <r>
    <x v="171"/>
    <x v="171"/>
    <x v="4"/>
    <x v="446"/>
    <x v="31"/>
    <x v="45"/>
    <x v="209"/>
    <x v="227"/>
    <x v="4"/>
    <s v="United Kingdom"/>
    <m/>
    <x v="1"/>
    <s v="E"/>
    <x v="0"/>
    <d v="1946-12-13T00:00:00"/>
    <s v="Calder"/>
    <s v="Clive"/>
    <m/>
    <d v="2023-04-04T05:01:00"/>
    <m/>
    <m/>
    <n v="1946"/>
    <m/>
    <m/>
    <m/>
    <m/>
    <m/>
    <m/>
    <m/>
    <m/>
  </r>
  <r>
    <x v="171"/>
    <x v="171"/>
    <x v="13"/>
    <x v="447"/>
    <x v="46"/>
    <x v="6"/>
    <x v="210"/>
    <x v="62"/>
    <x v="13"/>
    <s v="Canada"/>
    <m/>
    <x v="0"/>
    <s v="U"/>
    <x v="0"/>
    <d v="1930-01-01T00:00:00"/>
    <s v="Irving"/>
    <s v="Arthur"/>
    <m/>
    <d v="2023-04-04T05:01:00"/>
    <m/>
    <m/>
    <n v="1930"/>
    <n v="116.76"/>
    <n v="1.9"/>
    <n v="1736425629520"/>
    <n v="68.900000000000006"/>
    <n v="100.9"/>
    <n v="12.8"/>
    <n v="24.5"/>
    <n v="36991981"/>
  </r>
  <r>
    <x v="171"/>
    <x v="171"/>
    <x v="11"/>
    <x v="448"/>
    <x v="48"/>
    <x v="21"/>
    <x v="69"/>
    <x v="173"/>
    <x v="11"/>
    <s v="Sweden"/>
    <m/>
    <x v="0"/>
    <s v="D"/>
    <x v="0"/>
    <d v="1951-08-05T00:00:00"/>
    <s v="Lundberg"/>
    <s v="Fredrik"/>
    <m/>
    <d v="2023-04-04T05:01:00"/>
    <m/>
    <m/>
    <n v="1951"/>
    <n v="110.51"/>
    <n v="1.8"/>
    <n v="530832908738"/>
    <n v="67"/>
    <n v="126.6"/>
    <n v="27.9"/>
    <n v="49.1"/>
    <n v="10285453"/>
  </r>
  <r>
    <x v="171"/>
    <x v="171"/>
    <x v="16"/>
    <x v="449"/>
    <x v="22"/>
    <x v="8"/>
    <x v="211"/>
    <x v="168"/>
    <x v="16"/>
    <s v="Switzerland"/>
    <m/>
    <x v="0"/>
    <s v="U"/>
    <x v="0"/>
    <d v="1945-12-17T00:00:00"/>
    <s v="Schmidheiny"/>
    <s v="Thomas"/>
    <m/>
    <d v="2023-04-04T05:01:00"/>
    <m/>
    <m/>
    <n v="1945"/>
    <n v="99.55"/>
    <n v="0.4"/>
    <n v="703082435360"/>
    <n v="59.6"/>
    <n v="105.2"/>
    <n v="10.1"/>
    <n v="28.8"/>
    <n v="8574832"/>
  </r>
  <r>
    <x v="171"/>
    <x v="171"/>
    <x v="8"/>
    <x v="450"/>
    <x v="7"/>
    <x v="10"/>
    <x v="36"/>
    <x v="23"/>
    <x v="8"/>
    <s v="Austria"/>
    <m/>
    <x v="0"/>
    <s v="U"/>
    <x v="0"/>
    <d v="1939-12-10T00:00:00"/>
    <s v="Sohmen"/>
    <s v="Helmut"/>
    <m/>
    <d v="2023-04-04T05:01:00"/>
    <m/>
    <m/>
    <n v="1939"/>
    <m/>
    <m/>
    <m/>
    <m/>
    <m/>
    <m/>
    <m/>
    <m/>
  </r>
  <r>
    <x v="171"/>
    <x v="171"/>
    <x v="3"/>
    <x v="451"/>
    <x v="1"/>
    <x v="1"/>
    <x v="5"/>
    <x v="38"/>
    <x v="3"/>
    <s v="United States"/>
    <m/>
    <x v="0"/>
    <s v="U"/>
    <x v="0"/>
    <d v="1971-11-02T00:00:00"/>
    <s v="Ziff"/>
    <s v="Daniel"/>
    <m/>
    <d v="2023-04-04T05:01:00"/>
    <s v="New York"/>
    <s v="Northeast"/>
    <n v="1971"/>
    <n v="117.24"/>
    <n v="7.5"/>
    <n v="21427700000000"/>
    <n v="88.2"/>
    <n v="101.8"/>
    <n v="9.6"/>
    <n v="36.6"/>
    <n v="328239523"/>
  </r>
  <r>
    <x v="171"/>
    <x v="171"/>
    <x v="3"/>
    <x v="452"/>
    <x v="2"/>
    <x v="1"/>
    <x v="212"/>
    <x v="38"/>
    <x v="3"/>
    <s v="United States"/>
    <m/>
    <x v="0"/>
    <s v="U"/>
    <x v="0"/>
    <d v="1964-04-01T00:00:00"/>
    <s v="Ziff"/>
    <s v="Dirk"/>
    <m/>
    <d v="2023-04-04T05:01:00"/>
    <s v="Florida"/>
    <s v="South"/>
    <n v="1964"/>
    <n v="117.24"/>
    <n v="7.5"/>
    <n v="21427700000000"/>
    <n v="88.2"/>
    <n v="101.8"/>
    <n v="9.6"/>
    <n v="36.6"/>
    <n v="328239523"/>
  </r>
  <r>
    <x v="171"/>
    <x v="171"/>
    <x v="3"/>
    <x v="453"/>
    <x v="32"/>
    <x v="1"/>
    <x v="5"/>
    <x v="38"/>
    <x v="3"/>
    <s v="United States"/>
    <m/>
    <x v="0"/>
    <s v="U"/>
    <x v="0"/>
    <d v="1966-08-12T00:00:00"/>
    <s v="Ziff"/>
    <s v="Robert"/>
    <m/>
    <d v="2023-04-04T05:01:00"/>
    <s v="New York"/>
    <s v="Northeast"/>
    <n v="1966"/>
    <n v="117.24"/>
    <n v="7.5"/>
    <n v="21427700000000"/>
    <n v="88.2"/>
    <n v="101.8"/>
    <n v="9.6"/>
    <n v="36.6"/>
    <n v="328239523"/>
  </r>
  <r>
    <x v="172"/>
    <x v="172"/>
    <x v="8"/>
    <x v="454"/>
    <x v="51"/>
    <x v="46"/>
    <x v="25"/>
    <x v="23"/>
    <x v="8"/>
    <s v="Greece"/>
    <m/>
    <x v="0"/>
    <s v="N"/>
    <x v="1"/>
    <d v="1982-02-18T00:00:00"/>
    <s v="Angelicoussis"/>
    <s v="Maria"/>
    <m/>
    <d v="2023-04-04T05:01:00"/>
    <m/>
    <m/>
    <n v="1982"/>
    <n v="101.87"/>
    <n v="0.2"/>
    <n v="209852761469"/>
    <n v="136.6"/>
    <n v="99.6"/>
    <n v="26.2"/>
    <n v="51.9"/>
    <n v="10716322"/>
  </r>
  <r>
    <x v="172"/>
    <x v="172"/>
    <x v="13"/>
    <x v="455"/>
    <x v="55"/>
    <x v="1"/>
    <x v="80"/>
    <x v="228"/>
    <x v="13"/>
    <s v="United States"/>
    <m/>
    <x v="0"/>
    <s v="D"/>
    <x v="0"/>
    <d v="1943-04-06T00:00:00"/>
    <s v="Hunt"/>
    <s v="Ray Lee"/>
    <m/>
    <d v="2023-04-04T05:01:00"/>
    <s v="Texas"/>
    <s v="South"/>
    <n v="1943"/>
    <n v="117.24"/>
    <n v="7.5"/>
    <n v="21427700000000"/>
    <n v="88.2"/>
    <n v="101.8"/>
    <n v="9.6"/>
    <n v="36.6"/>
    <n v="328239523"/>
  </r>
  <r>
    <x v="172"/>
    <x v="172"/>
    <x v="8"/>
    <x v="456"/>
    <x v="33"/>
    <x v="5"/>
    <x v="34"/>
    <x v="57"/>
    <x v="8"/>
    <s v="China"/>
    <m/>
    <x v="1"/>
    <s v="U"/>
    <x v="0"/>
    <d v="1970-12-01T00:00:00"/>
    <s v="Lai"/>
    <s v="Meisong"/>
    <m/>
    <d v="2023-04-04T05:01:00"/>
    <m/>
    <m/>
    <n v="1970"/>
    <n v="125.08"/>
    <n v="2.9"/>
    <n v="19910000000000"/>
    <n v="50.6"/>
    <n v="100.2"/>
    <n v="9.4"/>
    <n v="59.2"/>
    <n v="1397715000"/>
  </r>
  <r>
    <x v="172"/>
    <x v="172"/>
    <x v="1"/>
    <x v="457"/>
    <x v="6"/>
    <x v="3"/>
    <x v="41"/>
    <x v="229"/>
    <x v="1"/>
    <s v="India"/>
    <m/>
    <x v="0"/>
    <s v="U"/>
    <x v="0"/>
    <d v="1942-03-05T00:00:00"/>
    <s v="Lal"/>
    <s v="Vikram"/>
    <m/>
    <d v="2023-04-04T05:01:00"/>
    <m/>
    <m/>
    <n v="1942"/>
    <n v="180.44"/>
    <n v="7.7"/>
    <n v="2611000000000"/>
    <n v="28.1"/>
    <n v="113"/>
    <n v="11.2"/>
    <n v="49.7"/>
    <n v="1366417754"/>
  </r>
  <r>
    <x v="172"/>
    <x v="172"/>
    <x v="3"/>
    <x v="458"/>
    <x v="11"/>
    <x v="1"/>
    <x v="213"/>
    <x v="38"/>
    <x v="3"/>
    <s v="United States"/>
    <m/>
    <x v="1"/>
    <s v="D"/>
    <x v="0"/>
    <d v="1935-09-16T00:00:00"/>
    <s v="Langone"/>
    <s v="Ken"/>
    <m/>
    <d v="2023-04-04T05:01:00"/>
    <s v="New York"/>
    <s v="Northeast"/>
    <n v="1935"/>
    <n v="117.24"/>
    <n v="7.5"/>
    <n v="21427700000000"/>
    <n v="88.2"/>
    <n v="101.8"/>
    <n v="9.6"/>
    <n v="36.6"/>
    <n v="328239523"/>
  </r>
  <r>
    <x v="172"/>
    <x v="172"/>
    <x v="14"/>
    <x v="459"/>
    <x v="32"/>
    <x v="5"/>
    <x v="34"/>
    <x v="230"/>
    <x v="14"/>
    <s v="United States"/>
    <m/>
    <x v="1"/>
    <s v="Split Family Fortune"/>
    <x v="0"/>
    <d v="1967-01-01T00:00:00"/>
    <s v="Li"/>
    <s v="Ge"/>
    <m/>
    <d v="2023-04-04T05:01:00"/>
    <m/>
    <m/>
    <n v="1967"/>
    <n v="125.08"/>
    <n v="2.9"/>
    <n v="19910000000000"/>
    <n v="50.6"/>
    <n v="100.2"/>
    <n v="9.4"/>
    <n v="59.2"/>
    <n v="1397715000"/>
  </r>
  <r>
    <x v="172"/>
    <x v="172"/>
    <x v="3"/>
    <x v="460"/>
    <x v="8"/>
    <x v="1"/>
    <x v="214"/>
    <x v="231"/>
    <x v="3"/>
    <s v="United States"/>
    <m/>
    <x v="0"/>
    <s v="D"/>
    <x v="1"/>
    <d v="1958-01-07T00:00:00"/>
    <s v="Pritzker"/>
    <s v="Karen"/>
    <m/>
    <d v="2023-04-04T05:01:00"/>
    <s v="Connecticut"/>
    <s v="Northeast"/>
    <n v="1958"/>
    <n v="117.24"/>
    <n v="7.5"/>
    <n v="21427700000000"/>
    <n v="88.2"/>
    <n v="101.8"/>
    <n v="9.6"/>
    <n v="36.6"/>
    <n v="328239523"/>
  </r>
  <r>
    <x v="172"/>
    <x v="172"/>
    <x v="15"/>
    <x v="461"/>
    <x v="9"/>
    <x v="1"/>
    <x v="80"/>
    <x v="231"/>
    <x v="15"/>
    <s v="United States"/>
    <m/>
    <x v="0"/>
    <s v="U"/>
    <x v="0"/>
    <d v="1953-09-26T00:00:00"/>
    <s v="Rowling"/>
    <s v="Robert"/>
    <m/>
    <d v="2023-04-04T05:01:00"/>
    <s v="Texas"/>
    <s v="South"/>
    <n v="1953"/>
    <n v="117.24"/>
    <n v="7.5"/>
    <n v="21427700000000"/>
    <n v="88.2"/>
    <n v="101.8"/>
    <n v="9.6"/>
    <n v="36.6"/>
    <n v="328239523"/>
  </r>
  <r>
    <x v="172"/>
    <x v="172"/>
    <x v="9"/>
    <x v="462"/>
    <x v="1"/>
    <x v="27"/>
    <x v="199"/>
    <x v="232"/>
    <x v="9"/>
    <s v="Israel"/>
    <m/>
    <x v="1"/>
    <s v="E"/>
    <x v="0"/>
    <d v="1971-11-01T00:00:00"/>
    <s v="Sagi"/>
    <s v="Teddy"/>
    <m/>
    <d v="2023-04-04T05:01:00"/>
    <m/>
    <m/>
    <n v="1971"/>
    <n v="108.15"/>
    <n v="0.8"/>
    <n v="395098666122"/>
    <n v="63.4"/>
    <n v="104.9"/>
    <n v="23.1"/>
    <n v="25.3"/>
    <n v="9053300"/>
  </r>
  <r>
    <x v="172"/>
    <x v="172"/>
    <x v="14"/>
    <x v="463"/>
    <x v="8"/>
    <x v="32"/>
    <x v="109"/>
    <x v="233"/>
    <x v="14"/>
    <s v="South Korea"/>
    <s v="Celltrion Inc."/>
    <x v="1"/>
    <s v="D"/>
    <x v="0"/>
    <d v="1957-10-23T00:00:00"/>
    <s v="Seo"/>
    <s v="Jung-jin"/>
    <m/>
    <d v="2023-04-04T05:01:00"/>
    <m/>
    <m/>
    <n v="1957"/>
    <n v="115.16"/>
    <n v="0.4"/>
    <n v="2029000000000"/>
    <n v="94.3"/>
    <n v="98.1"/>
    <n v="15.6"/>
    <n v="33.200000000000003"/>
    <n v="51709098"/>
  </r>
  <r>
    <x v="172"/>
    <x v="172"/>
    <x v="1"/>
    <x v="464"/>
    <x v="2"/>
    <x v="5"/>
    <x v="114"/>
    <x v="101"/>
    <x v="1"/>
    <s v="Hong Kong"/>
    <m/>
    <x v="1"/>
    <s v="D"/>
    <x v="0"/>
    <d v="1964-01-01T00:00:00"/>
    <s v="Wu"/>
    <s v="Jianshu"/>
    <m/>
    <d v="2023-04-04T05:01:00"/>
    <m/>
    <m/>
    <n v="1964"/>
    <n v="125.08"/>
    <n v="2.9"/>
    <n v="19910000000000"/>
    <n v="50.6"/>
    <n v="100.2"/>
    <n v="9.4"/>
    <n v="59.2"/>
    <n v="1397715000"/>
  </r>
  <r>
    <x v="173"/>
    <x v="173"/>
    <x v="15"/>
    <x v="465"/>
    <x v="16"/>
    <x v="1"/>
    <x v="215"/>
    <x v="234"/>
    <x v="15"/>
    <s v="United States"/>
    <s v="Carnival Corp."/>
    <x v="0"/>
    <s v="D"/>
    <x v="0"/>
    <d v="1949-06-29T00:00:00"/>
    <s v="Arison"/>
    <s v="Micky"/>
    <s v="Chairman and CEO"/>
    <d v="2023-04-04T05:01:00"/>
    <s v="Florida"/>
    <s v="South"/>
    <n v="1949"/>
    <n v="117.24"/>
    <n v="7.5"/>
    <n v="21427700000000"/>
    <n v="88.2"/>
    <n v="101.8"/>
    <n v="9.6"/>
    <n v="36.6"/>
    <n v="328239523"/>
  </r>
  <r>
    <x v="173"/>
    <x v="173"/>
    <x v="4"/>
    <x v="466"/>
    <x v="8"/>
    <x v="1"/>
    <x v="216"/>
    <x v="142"/>
    <x v="4"/>
    <s v="United States"/>
    <m/>
    <x v="0"/>
    <s v="U"/>
    <x v="0"/>
    <d v="1957-04-12T00:00:00"/>
    <s v="Chambers"/>
    <s v="James"/>
    <m/>
    <d v="2023-04-04T05:01:00"/>
    <s v="New York"/>
    <s v="Northeast"/>
    <n v="1957"/>
    <n v="117.24"/>
    <n v="7.5"/>
    <n v="21427700000000"/>
    <n v="88.2"/>
    <n v="101.8"/>
    <n v="9.6"/>
    <n v="36.6"/>
    <n v="328239523"/>
  </r>
  <r>
    <x v="173"/>
    <x v="173"/>
    <x v="2"/>
    <x v="467"/>
    <x v="37"/>
    <x v="35"/>
    <x v="152"/>
    <x v="172"/>
    <x v="2"/>
    <s v="Taiwan"/>
    <m/>
    <x v="1"/>
    <s v="U"/>
    <x v="0"/>
    <d v="1956-09-28T00:00:00"/>
    <s v="Chen"/>
    <s v="Pierre"/>
    <m/>
    <d v="2023-04-04T05:01:00"/>
    <m/>
    <m/>
    <n v="1956"/>
    <m/>
    <m/>
    <m/>
    <m/>
    <m/>
    <m/>
    <m/>
    <m/>
  </r>
  <r>
    <x v="173"/>
    <x v="173"/>
    <x v="2"/>
    <x v="468"/>
    <x v="63"/>
    <x v="1"/>
    <x v="120"/>
    <x v="235"/>
    <x v="2"/>
    <s v="Ireland"/>
    <s v="Stripe"/>
    <x v="1"/>
    <s v="D"/>
    <x v="0"/>
    <d v="1990-08-06T00:00:00"/>
    <s v="Collison"/>
    <s v="John"/>
    <s v="Cofounder"/>
    <d v="2023-04-04T05:01:00"/>
    <s v="California"/>
    <s v="West"/>
    <n v="1990"/>
    <n v="117.24"/>
    <n v="7.5"/>
    <n v="21427700000000"/>
    <n v="88.2"/>
    <n v="101.8"/>
    <n v="9.6"/>
    <n v="36.6"/>
    <n v="328239523"/>
  </r>
  <r>
    <x v="173"/>
    <x v="173"/>
    <x v="2"/>
    <x v="469"/>
    <x v="64"/>
    <x v="1"/>
    <x v="120"/>
    <x v="236"/>
    <x v="2"/>
    <s v="Ireland"/>
    <s v="Stripe"/>
    <x v="1"/>
    <s v="D"/>
    <x v="0"/>
    <d v="1988-09-09T00:00:00"/>
    <s v="Collison"/>
    <s v="Patrick"/>
    <s v="Cofounder"/>
    <d v="2023-04-04T05:01:00"/>
    <s v="California"/>
    <s v="West"/>
    <n v="1988"/>
    <n v="117.24"/>
    <n v="7.5"/>
    <n v="21427700000000"/>
    <n v="88.2"/>
    <n v="101.8"/>
    <n v="9.6"/>
    <n v="36.6"/>
    <n v="328239523"/>
  </r>
  <r>
    <x v="173"/>
    <x v="173"/>
    <x v="10"/>
    <x v="470"/>
    <x v="46"/>
    <x v="1"/>
    <x v="217"/>
    <x v="237"/>
    <x v="10"/>
    <s v="United States"/>
    <m/>
    <x v="1"/>
    <s v="U"/>
    <x v="0"/>
    <d v="1929-04-10T00:00:00"/>
    <s v="Emmerson"/>
    <s v="Archie Aldis"/>
    <m/>
    <d v="2023-04-04T05:01:00"/>
    <s v="California"/>
    <s v="West"/>
    <n v="1929"/>
    <n v="117.24"/>
    <n v="7.5"/>
    <n v="21427700000000"/>
    <n v="88.2"/>
    <n v="101.8"/>
    <n v="9.6"/>
    <n v="36.6"/>
    <n v="328239523"/>
  </r>
  <r>
    <x v="173"/>
    <x v="173"/>
    <x v="1"/>
    <x v="471"/>
    <x v="22"/>
    <x v="28"/>
    <x v="218"/>
    <x v="64"/>
    <x v="1"/>
    <s v="Italy"/>
    <m/>
    <x v="0"/>
    <s v="U"/>
    <x v="0"/>
    <d v="1945-05-22T00:00:00"/>
    <s v="Ferrari"/>
    <s v="Piero"/>
    <m/>
    <d v="2023-04-04T05:01:00"/>
    <m/>
    <m/>
    <n v="1945"/>
    <n v="110.62"/>
    <n v="0.6"/>
    <n v="2001244392042"/>
    <n v="61.9"/>
    <n v="101.9"/>
    <n v="24.3"/>
    <n v="59.1"/>
    <n v="60297396"/>
  </r>
  <r>
    <x v="173"/>
    <x v="173"/>
    <x v="1"/>
    <x v="472"/>
    <x v="17"/>
    <x v="1"/>
    <x v="102"/>
    <x v="238"/>
    <x v="1"/>
    <s v="United States"/>
    <s v="Gulf States Toyota"/>
    <x v="0"/>
    <s v="U"/>
    <x v="0"/>
    <d v="1965-02-27T00:00:00"/>
    <s v="Friedkin"/>
    <s v="Dan"/>
    <s v="owner and ceo"/>
    <d v="2023-04-04T05:01:00"/>
    <s v="Texas"/>
    <s v="South"/>
    <n v="1965"/>
    <n v="117.24"/>
    <n v="7.5"/>
    <n v="21427700000000"/>
    <n v="88.2"/>
    <n v="101.8"/>
    <n v="9.6"/>
    <n v="36.6"/>
    <n v="328239523"/>
  </r>
  <r>
    <x v="173"/>
    <x v="173"/>
    <x v="6"/>
    <x v="473"/>
    <x v="28"/>
    <x v="6"/>
    <x v="210"/>
    <x v="8"/>
    <x v="6"/>
    <s v="Canada"/>
    <m/>
    <x v="0"/>
    <s v="U"/>
    <x v="0"/>
    <d v="1928-03-20T00:00:00"/>
    <s v="Irving"/>
    <s v="James"/>
    <m/>
    <d v="2023-04-04T05:01:00"/>
    <m/>
    <m/>
    <n v="1928"/>
    <n v="116.76"/>
    <n v="1.9"/>
    <n v="1736425629520"/>
    <n v="68.900000000000006"/>
    <n v="100.9"/>
    <n v="12.8"/>
    <n v="24.5"/>
    <n v="36991981"/>
  </r>
  <r>
    <x v="173"/>
    <x v="173"/>
    <x v="10"/>
    <x v="474"/>
    <x v="13"/>
    <x v="5"/>
    <x v="90"/>
    <x v="50"/>
    <x v="10"/>
    <s v="China"/>
    <m/>
    <x v="1"/>
    <s v="D"/>
    <x v="0"/>
    <d v="1955-03-01T00:00:00"/>
    <s v="Jiang"/>
    <s v="Weiping"/>
    <m/>
    <d v="2023-04-04T05:01:00"/>
    <m/>
    <m/>
    <n v="1955"/>
    <n v="125.08"/>
    <n v="2.9"/>
    <n v="19910000000000"/>
    <n v="50.6"/>
    <n v="100.2"/>
    <n v="9.4"/>
    <n v="59.2"/>
    <n v="1397715000"/>
  </r>
  <r>
    <x v="173"/>
    <x v="173"/>
    <x v="14"/>
    <x v="475"/>
    <x v="6"/>
    <x v="7"/>
    <x v="135"/>
    <x v="83"/>
    <x v="14"/>
    <s v="Germany"/>
    <m/>
    <x v="1"/>
    <s v="U"/>
    <x v="0"/>
    <d v="1941-06-04T00:00:00"/>
    <s v="Marguerre"/>
    <s v="Wolfgang"/>
    <m/>
    <d v="2023-04-04T05:01:00"/>
    <m/>
    <m/>
    <n v="1941"/>
    <n v="112.85"/>
    <n v="1.4"/>
    <n v="3845630030824"/>
    <n v="70.2"/>
    <n v="104"/>
    <n v="11.5"/>
    <n v="48.8"/>
    <n v="83132799"/>
  </r>
  <r>
    <x v="173"/>
    <x v="173"/>
    <x v="3"/>
    <x v="476"/>
    <x v="17"/>
    <x v="7"/>
    <x v="219"/>
    <x v="83"/>
    <x v="3"/>
    <s v="Germany"/>
    <m/>
    <x v="0"/>
    <s v="D"/>
    <x v="0"/>
    <d v="1965-01-01T00:00:00"/>
    <s v="Merckle"/>
    <s v="Ludwig"/>
    <m/>
    <d v="2023-04-04T05:01:00"/>
    <m/>
    <m/>
    <n v="1965"/>
    <n v="112.85"/>
    <n v="1.4"/>
    <n v="3845630030824"/>
    <n v="70.2"/>
    <n v="104"/>
    <n v="11.5"/>
    <n v="48.8"/>
    <n v="83132799"/>
  </r>
  <r>
    <x v="173"/>
    <x v="173"/>
    <x v="10"/>
    <x v="477"/>
    <x v="37"/>
    <x v="1"/>
    <x v="220"/>
    <x v="165"/>
    <x v="10"/>
    <s v="United States"/>
    <m/>
    <x v="1"/>
    <s v="D"/>
    <x v="0"/>
    <d v="1956-08-21T00:00:00"/>
    <s v="Rales"/>
    <s v="Mitchell"/>
    <m/>
    <d v="2023-04-04T05:01:00"/>
    <s v="Maryland"/>
    <s v="South"/>
    <n v="1956"/>
    <n v="117.24"/>
    <n v="7.5"/>
    <n v="21427700000000"/>
    <n v="88.2"/>
    <n v="101.8"/>
    <n v="9.6"/>
    <n v="36.6"/>
    <n v="328239523"/>
  </r>
  <r>
    <x v="173"/>
    <x v="173"/>
    <x v="4"/>
    <x v="478"/>
    <x v="3"/>
    <x v="1"/>
    <x v="221"/>
    <x v="142"/>
    <x v="4"/>
    <s v="United States"/>
    <m/>
    <x v="0"/>
    <s v="U"/>
    <x v="1"/>
    <d v="1945-01-12T00:00:00"/>
    <s v="Rayner"/>
    <s v="Katharine"/>
    <m/>
    <d v="2023-04-04T05:01:00"/>
    <s v="New York"/>
    <s v="Northeast"/>
    <n v="1945"/>
    <n v="117.24"/>
    <n v="7.5"/>
    <n v="21427700000000"/>
    <n v="88.2"/>
    <n v="101.8"/>
    <n v="9.6"/>
    <n v="36.6"/>
    <n v="328239523"/>
  </r>
  <r>
    <x v="173"/>
    <x v="173"/>
    <x v="3"/>
    <x v="479"/>
    <x v="41"/>
    <x v="10"/>
    <x v="36"/>
    <x v="224"/>
    <x v="3"/>
    <s v="Chile"/>
    <m/>
    <x v="1"/>
    <s v="U"/>
    <x v="0"/>
    <d v="1965-12-01T00:00:00"/>
    <s v="Salata"/>
    <s v="Jean"/>
    <m/>
    <d v="2023-04-04T05:01:00"/>
    <m/>
    <m/>
    <n v="1965"/>
    <m/>
    <m/>
    <m/>
    <m/>
    <m/>
    <m/>
    <m/>
    <m/>
  </r>
  <r>
    <x v="173"/>
    <x v="173"/>
    <x v="3"/>
    <x v="480"/>
    <x v="3"/>
    <x v="1"/>
    <x v="5"/>
    <x v="28"/>
    <x v="3"/>
    <s v="United States"/>
    <s v="Elliott Management"/>
    <x v="1"/>
    <s v="U"/>
    <x v="0"/>
    <d v="1944-08-22T00:00:00"/>
    <s v="Singer"/>
    <s v="Paul"/>
    <s v="Investor"/>
    <d v="2023-04-04T05:01:00"/>
    <s v="New York"/>
    <s v="Northeast"/>
    <n v="1944"/>
    <n v="117.24"/>
    <n v="7.5"/>
    <n v="21427700000000"/>
    <n v="88.2"/>
    <n v="101.8"/>
    <n v="9.6"/>
    <n v="36.6"/>
    <n v="328239523"/>
  </r>
  <r>
    <x v="173"/>
    <x v="173"/>
    <x v="14"/>
    <x v="481"/>
    <x v="35"/>
    <x v="28"/>
    <x v="222"/>
    <x v="239"/>
    <x v="14"/>
    <s v="Italy"/>
    <m/>
    <x v="1"/>
    <s v="U"/>
    <x v="0"/>
    <d v="1943-03-20T00:00:00"/>
    <s v="Stevanato"/>
    <s v="Sergio"/>
    <m/>
    <d v="2023-04-04T05:01:00"/>
    <m/>
    <m/>
    <n v="1943"/>
    <n v="110.62"/>
    <n v="0.6"/>
    <n v="2001244392042"/>
    <n v="61.9"/>
    <n v="101.9"/>
    <n v="24.3"/>
    <n v="59.1"/>
    <n v="60297396"/>
  </r>
  <r>
    <x v="173"/>
    <x v="173"/>
    <x v="4"/>
    <x v="482"/>
    <x v="35"/>
    <x v="1"/>
    <x v="223"/>
    <x v="142"/>
    <x v="4"/>
    <s v="United States"/>
    <m/>
    <x v="0"/>
    <s v="U"/>
    <x v="1"/>
    <d v="1942-04-15T00:00:00"/>
    <s v="Taylor"/>
    <s v="Margaretta"/>
    <m/>
    <d v="2023-04-04T05:01:00"/>
    <s v="New York"/>
    <s v="Northeast"/>
    <n v="1942"/>
    <n v="117.24"/>
    <n v="7.5"/>
    <n v="21427700000000"/>
    <n v="88.2"/>
    <n v="101.8"/>
    <n v="9.6"/>
    <n v="36.6"/>
    <n v="328239523"/>
  </r>
  <r>
    <x v="173"/>
    <x v="173"/>
    <x v="2"/>
    <x v="483"/>
    <x v="13"/>
    <x v="14"/>
    <x v="83"/>
    <x v="117"/>
    <x v="2"/>
    <s v="Australia"/>
    <m/>
    <x v="1"/>
    <s v="U"/>
    <x v="0"/>
    <d v="1955-04-01T00:00:00"/>
    <s v="White"/>
    <s v="Richard"/>
    <m/>
    <d v="2023-04-04T05:01:00"/>
    <m/>
    <m/>
    <n v="1955"/>
    <n v="119.8"/>
    <n v="1.6"/>
    <n v="1392680589329"/>
    <n v="113.1"/>
    <n v="100.3"/>
    <n v="23"/>
    <n v="47.4"/>
    <n v="25766605"/>
  </r>
  <r>
    <x v="173"/>
    <x v="173"/>
    <x v="6"/>
    <x v="484"/>
    <x v="32"/>
    <x v="5"/>
    <x v="19"/>
    <x v="233"/>
    <x v="6"/>
    <s v="China"/>
    <m/>
    <x v="1"/>
    <s v="D"/>
    <x v="1"/>
    <d v="1967-01-01T00:00:00"/>
    <s v="Zhao"/>
    <s v="Yan"/>
    <m/>
    <d v="2023-04-04T05:01:00"/>
    <m/>
    <m/>
    <n v="1967"/>
    <n v="125.08"/>
    <n v="2.9"/>
    <n v="19910000000000"/>
    <n v="50.6"/>
    <n v="100.2"/>
    <n v="9.4"/>
    <n v="59.2"/>
    <n v="1397715000"/>
  </r>
  <r>
    <x v="174"/>
    <x v="174"/>
    <x v="0"/>
    <x v="485"/>
    <x v="22"/>
    <x v="28"/>
    <x v="95"/>
    <x v="22"/>
    <x v="0"/>
    <s v="Italy"/>
    <m/>
    <x v="1"/>
    <s v="U"/>
    <x v="0"/>
    <d v="1946-01-01T00:00:00"/>
    <s v="Bertelli"/>
    <s v="Patrizio"/>
    <m/>
    <d v="2023-04-04T05:01:00"/>
    <m/>
    <m/>
    <n v="1946"/>
    <n v="110.62"/>
    <n v="0.6"/>
    <n v="2001244392042"/>
    <n v="61.9"/>
    <n v="101.9"/>
    <n v="24.3"/>
    <n v="59.1"/>
    <n v="60297396"/>
  </r>
  <r>
    <x v="174"/>
    <x v="174"/>
    <x v="10"/>
    <x v="486"/>
    <x v="6"/>
    <x v="3"/>
    <x v="7"/>
    <x v="89"/>
    <x v="10"/>
    <s v="India"/>
    <m/>
    <x v="0"/>
    <s v="D"/>
    <x v="0"/>
    <d v="1941-04-19T00:00:00"/>
    <s v="Choksi"/>
    <s v="Mahendra"/>
    <m/>
    <d v="2023-04-04T05:01:00"/>
    <m/>
    <m/>
    <n v="1941"/>
    <n v="180.44"/>
    <n v="7.7"/>
    <n v="2611000000000"/>
    <n v="28.1"/>
    <n v="113"/>
    <n v="11.2"/>
    <n v="49.7"/>
    <n v="1366417754"/>
  </r>
  <r>
    <x v="174"/>
    <x v="174"/>
    <x v="3"/>
    <x v="487"/>
    <x v="27"/>
    <x v="1"/>
    <x v="224"/>
    <x v="240"/>
    <x v="3"/>
    <s v="United States"/>
    <m/>
    <x v="0"/>
    <s v="U"/>
    <x v="0"/>
    <d v="1980-01-06T00:00:00"/>
    <s v="Ishbia"/>
    <s v="Mat"/>
    <m/>
    <d v="2023-04-04T05:01:00"/>
    <s v="Michigan"/>
    <s v="Midwest"/>
    <n v="1980"/>
    <n v="117.24"/>
    <n v="7.5"/>
    <n v="21427700000000"/>
    <n v="88.2"/>
    <n v="101.8"/>
    <n v="9.6"/>
    <n v="36.6"/>
    <n v="328239523"/>
  </r>
  <r>
    <x v="174"/>
    <x v="174"/>
    <x v="2"/>
    <x v="488"/>
    <x v="13"/>
    <x v="25"/>
    <x v="76"/>
    <x v="223"/>
    <x v="2"/>
    <s v="United States"/>
    <m/>
    <x v="1"/>
    <s v="D"/>
    <x v="0"/>
    <d v="1955-02-15T00:00:00"/>
    <s v="Koguan"/>
    <s v="Leo"/>
    <m/>
    <d v="2023-04-04T05:01:00"/>
    <m/>
    <m/>
    <n v="1955"/>
    <n v="114.41"/>
    <n v="0.6"/>
    <n v="372062527489"/>
    <n v="84.8"/>
    <n v="100.6"/>
    <n v="13.1"/>
    <n v="21"/>
    <n v="5703569"/>
  </r>
  <r>
    <x v="174"/>
    <x v="174"/>
    <x v="6"/>
    <x v="489"/>
    <x v="17"/>
    <x v="5"/>
    <x v="225"/>
    <x v="241"/>
    <x v="6"/>
    <s v="China"/>
    <m/>
    <x v="1"/>
    <s v="D"/>
    <x v="0"/>
    <d v="1965-01-01T00:00:00"/>
    <s v="Miao"/>
    <s v="Hangen"/>
    <m/>
    <d v="2023-04-04T05:01:00"/>
    <m/>
    <m/>
    <n v="1965"/>
    <n v="125.08"/>
    <n v="2.9"/>
    <n v="19910000000000"/>
    <n v="50.6"/>
    <n v="100.2"/>
    <n v="9.4"/>
    <n v="59.2"/>
    <n v="1397715000"/>
  </r>
  <r>
    <x v="174"/>
    <x v="174"/>
    <x v="10"/>
    <x v="490"/>
    <x v="22"/>
    <x v="8"/>
    <x v="226"/>
    <x v="242"/>
    <x v="10"/>
    <s v="Switzerland"/>
    <s v="Artemis Real Estate Partners"/>
    <x v="1"/>
    <s v="U"/>
    <x v="0"/>
    <d v="1946-02-05T00:00:00"/>
    <s v="Pieper"/>
    <s v="Michael"/>
    <s v="CEO of Artemis Group"/>
    <d v="2023-04-04T05:01:00"/>
    <m/>
    <m/>
    <n v="1946"/>
    <n v="99.55"/>
    <n v="0.4"/>
    <n v="703082435360"/>
    <n v="59.6"/>
    <n v="105.2"/>
    <n v="10.1"/>
    <n v="28.8"/>
    <n v="8574832"/>
  </r>
  <r>
    <x v="174"/>
    <x v="174"/>
    <x v="0"/>
    <x v="491"/>
    <x v="16"/>
    <x v="28"/>
    <x v="95"/>
    <x v="22"/>
    <x v="0"/>
    <s v="Italy"/>
    <s v="Prada"/>
    <x v="0"/>
    <s v="U"/>
    <x v="1"/>
    <d v="1949-05-10T00:00:00"/>
    <s v="Prada"/>
    <s v="Miuccia"/>
    <s v="CEO, Fashion Designer"/>
    <d v="2023-04-04T05:01:00"/>
    <m/>
    <m/>
    <n v="1949"/>
    <n v="110.62"/>
    <n v="0.6"/>
    <n v="2001244392042"/>
    <n v="61.9"/>
    <n v="101.9"/>
    <n v="24.3"/>
    <n v="59.1"/>
    <n v="60297396"/>
  </r>
  <r>
    <x v="174"/>
    <x v="174"/>
    <x v="0"/>
    <x v="492"/>
    <x v="36"/>
    <x v="7"/>
    <x v="227"/>
    <x v="243"/>
    <x v="0"/>
    <s v="Germany"/>
    <m/>
    <x v="0"/>
    <s v="D"/>
    <x v="0"/>
    <d v="1952-10-04T00:00:00"/>
    <s v="Reimann"/>
    <s v="Wolfgang"/>
    <m/>
    <d v="2023-04-04T05:01:00"/>
    <m/>
    <m/>
    <n v="1952"/>
    <n v="112.85"/>
    <n v="1.4"/>
    <n v="3845630030824"/>
    <n v="70.2"/>
    <n v="104"/>
    <n v="11.5"/>
    <n v="48.8"/>
    <n v="83132799"/>
  </r>
  <r>
    <x v="174"/>
    <x v="174"/>
    <x v="0"/>
    <x v="493"/>
    <x v="17"/>
    <x v="7"/>
    <x v="189"/>
    <x v="243"/>
    <x v="0"/>
    <s v="Germany"/>
    <m/>
    <x v="0"/>
    <s v="D"/>
    <x v="0"/>
    <d v="1965-03-30T00:00:00"/>
    <s v="Reimann-Andersen"/>
    <s v="Matthias"/>
    <m/>
    <d v="2023-04-04T05:01:00"/>
    <m/>
    <m/>
    <n v="1965"/>
    <n v="112.85"/>
    <n v="1.4"/>
    <n v="3845630030824"/>
    <n v="70.2"/>
    <n v="104"/>
    <n v="11.5"/>
    <n v="48.8"/>
    <n v="83132799"/>
  </r>
  <r>
    <x v="174"/>
    <x v="174"/>
    <x v="0"/>
    <x v="494"/>
    <x v="2"/>
    <x v="11"/>
    <x v="150"/>
    <x v="243"/>
    <x v="0"/>
    <s v="Germany"/>
    <m/>
    <x v="0"/>
    <s v="D"/>
    <x v="0"/>
    <d v="1963-07-13T00:00:00"/>
    <s v="Reimann-Andersen"/>
    <s v="Stefan"/>
    <m/>
    <d v="2023-04-04T05:01:00"/>
    <m/>
    <m/>
    <n v="1963"/>
    <n v="118.06"/>
    <n v="1.5"/>
    <n v="446314739528"/>
    <n v="85.1"/>
    <n v="103.1"/>
    <n v="25.4"/>
    <n v="51.4"/>
    <n v="8877067"/>
  </r>
  <r>
    <x v="174"/>
    <x v="174"/>
    <x v="0"/>
    <x v="495"/>
    <x v="48"/>
    <x v="11"/>
    <x v="150"/>
    <x v="243"/>
    <x v="0"/>
    <s v="Germany"/>
    <m/>
    <x v="0"/>
    <s v="D"/>
    <x v="1"/>
    <d v="1951-10-08T00:00:00"/>
    <s v="Reimann-Haas"/>
    <s v="Renate"/>
    <m/>
    <d v="2023-04-04T05:01:00"/>
    <m/>
    <m/>
    <n v="1951"/>
    <n v="118.06"/>
    <n v="1.5"/>
    <n v="446314739528"/>
    <n v="85.1"/>
    <n v="103.1"/>
    <n v="25.4"/>
    <n v="51.4"/>
    <n v="8877067"/>
  </r>
  <r>
    <x v="175"/>
    <x v="175"/>
    <x v="3"/>
    <x v="496"/>
    <x v="12"/>
    <x v="1"/>
    <x v="206"/>
    <x v="224"/>
    <x v="3"/>
    <s v="United States"/>
    <m/>
    <x v="1"/>
    <s v="U"/>
    <x v="0"/>
    <d v="1973-09-20T00:00:00"/>
    <s v="Boehly"/>
    <s v="Todd"/>
    <m/>
    <d v="2023-04-04T05:01:00"/>
    <s v="Connecticut"/>
    <s v="Northeast"/>
    <n v="1973"/>
    <n v="117.24"/>
    <n v="7.5"/>
    <n v="21427700000000"/>
    <n v="88.2"/>
    <n v="101.8"/>
    <n v="9.6"/>
    <n v="36.6"/>
    <n v="328239523"/>
  </r>
  <r>
    <x v="175"/>
    <x v="175"/>
    <x v="11"/>
    <x v="497"/>
    <x v="29"/>
    <x v="1"/>
    <x v="115"/>
    <x v="36"/>
    <x v="11"/>
    <s v="United States"/>
    <m/>
    <x v="1"/>
    <s v="U"/>
    <x v="0"/>
    <d v="1959-01-07T00:00:00"/>
    <s v="Caruso"/>
    <s v="Rick"/>
    <m/>
    <d v="2023-04-04T05:01:00"/>
    <s v="California"/>
    <s v="West"/>
    <n v="1959"/>
    <n v="117.24"/>
    <n v="7.5"/>
    <n v="21427700000000"/>
    <n v="88.2"/>
    <n v="101.8"/>
    <n v="9.6"/>
    <n v="36.6"/>
    <n v="328239523"/>
  </r>
  <r>
    <x v="175"/>
    <x v="175"/>
    <x v="10"/>
    <x v="498"/>
    <x v="15"/>
    <x v="47"/>
    <x v="228"/>
    <x v="244"/>
    <x v="10"/>
    <s v="Turkey"/>
    <m/>
    <x v="1"/>
    <s v="U"/>
    <x v="0"/>
    <d v="1962-09-26T00:00:00"/>
    <s v="Erdemoglu"/>
    <s v="Ibrahim"/>
    <m/>
    <d v="2023-04-04T05:01:00"/>
    <m/>
    <m/>
    <n v="1962"/>
    <n v="234.44"/>
    <n v="15.2"/>
    <n v="754411708203"/>
    <n v="23.9"/>
    <n v="93.2"/>
    <n v="17.899999999999999"/>
    <n v="42.3"/>
    <n v="83429615"/>
  </r>
  <r>
    <x v="175"/>
    <x v="175"/>
    <x v="3"/>
    <x v="499"/>
    <x v="2"/>
    <x v="1"/>
    <x v="176"/>
    <x v="55"/>
    <x v="3"/>
    <s v="United States"/>
    <m/>
    <x v="0"/>
    <s v="U"/>
    <x v="1"/>
    <d v="1963-05-07T00:00:00"/>
    <s v="Johnson"/>
    <s v="Elizabeth"/>
    <m/>
    <d v="2023-04-04T05:01:00"/>
    <s v="Massachusetts"/>
    <s v="Northeast"/>
    <n v="1963"/>
    <n v="117.24"/>
    <n v="7.5"/>
    <n v="21427700000000"/>
    <n v="88.2"/>
    <n v="101.8"/>
    <n v="9.6"/>
    <n v="36.6"/>
    <n v="328239523"/>
  </r>
  <r>
    <x v="175"/>
    <x v="175"/>
    <x v="3"/>
    <x v="500"/>
    <x v="8"/>
    <x v="1"/>
    <x v="70"/>
    <x v="137"/>
    <x v="3"/>
    <s v="United States"/>
    <s v="Sequoia"/>
    <x v="1"/>
    <s v="D"/>
    <x v="0"/>
    <d v="1957-07-04T00:00:00"/>
    <s v="Leone"/>
    <s v="Douglas"/>
    <s v="Global Managing Partner"/>
    <d v="2023-04-04T05:01:00"/>
    <s v="California"/>
    <s v="West"/>
    <n v="1957"/>
    <n v="117.24"/>
    <n v="7.5"/>
    <n v="21427700000000"/>
    <n v="88.2"/>
    <n v="101.8"/>
    <n v="9.6"/>
    <n v="36.6"/>
    <n v="328239523"/>
  </r>
  <r>
    <x v="175"/>
    <x v="175"/>
    <x v="6"/>
    <x v="501"/>
    <x v="3"/>
    <x v="15"/>
    <x v="42"/>
    <x v="156"/>
    <x v="6"/>
    <s v="Indonesia"/>
    <m/>
    <x v="0"/>
    <s v="D"/>
    <x v="0"/>
    <d v="1944-05-13T00:00:00"/>
    <s v="Pangestu"/>
    <s v="Prajogo"/>
    <m/>
    <d v="2023-04-04T05:01:00"/>
    <m/>
    <m/>
    <n v="1944"/>
    <n v="151.18"/>
    <n v="3"/>
    <n v="1119190780753"/>
    <n v="36.299999999999997"/>
    <n v="106.4"/>
    <n v="10.199999999999999"/>
    <n v="30.1"/>
    <n v="270203917"/>
  </r>
  <r>
    <x v="175"/>
    <x v="175"/>
    <x v="3"/>
    <x v="502"/>
    <x v="25"/>
    <x v="1"/>
    <x v="54"/>
    <x v="231"/>
    <x v="3"/>
    <s v="United States"/>
    <s v="Hyatt Hotels"/>
    <x v="0"/>
    <s v="U"/>
    <x v="0"/>
    <d v="1950-06-06T00:00:00"/>
    <s v="Pritzker"/>
    <s v="Thomas"/>
    <s v="Executive Chairman"/>
    <d v="2023-04-04T05:01:00"/>
    <s v="Illinois"/>
    <s v="Midwest"/>
    <n v="1950"/>
    <n v="117.24"/>
    <n v="7.5"/>
    <n v="21427700000000"/>
    <n v="88.2"/>
    <n v="101.8"/>
    <n v="9.6"/>
    <n v="36.6"/>
    <n v="328239523"/>
  </r>
  <r>
    <x v="175"/>
    <x v="175"/>
    <x v="7"/>
    <x v="503"/>
    <x v="35"/>
    <x v="1"/>
    <x v="125"/>
    <x v="167"/>
    <x v="7"/>
    <s v="United States"/>
    <m/>
    <x v="1"/>
    <s v="Split Family Fortune"/>
    <x v="1"/>
    <d v="1943-01-02T00:00:00"/>
    <s v="Resnick"/>
    <s v="Lynda"/>
    <m/>
    <d v="2023-04-04T05:01:00"/>
    <s v="California"/>
    <s v="West"/>
    <n v="1943"/>
    <n v="117.24"/>
    <n v="7.5"/>
    <n v="21427700000000"/>
    <n v="88.2"/>
    <n v="101.8"/>
    <n v="9.6"/>
    <n v="36.6"/>
    <n v="328239523"/>
  </r>
  <r>
    <x v="175"/>
    <x v="175"/>
    <x v="7"/>
    <x v="504"/>
    <x v="20"/>
    <x v="1"/>
    <x v="125"/>
    <x v="167"/>
    <x v="7"/>
    <s v="United States"/>
    <m/>
    <x v="1"/>
    <s v="Split Family Fortune"/>
    <x v="0"/>
    <d v="1936-12-24T00:00:00"/>
    <s v="Resnick"/>
    <s v="Stewart"/>
    <m/>
    <d v="2023-04-04T05:01:00"/>
    <s v="California"/>
    <s v="West"/>
    <n v="1936"/>
    <n v="117.24"/>
    <n v="7.5"/>
    <n v="21427700000000"/>
    <n v="88.2"/>
    <n v="101.8"/>
    <n v="9.6"/>
    <n v="36.6"/>
    <n v="328239523"/>
  </r>
  <r>
    <x v="175"/>
    <x v="175"/>
    <x v="15"/>
    <x v="505"/>
    <x v="3"/>
    <x v="1"/>
    <x v="139"/>
    <x v="245"/>
    <x v="15"/>
    <s v="United States"/>
    <m/>
    <x v="0"/>
    <s v="E"/>
    <x v="0"/>
    <d v="1944-08-30T00:00:00"/>
    <s v="Rollins"/>
    <s v="Gary"/>
    <m/>
    <d v="2023-04-04T05:01:00"/>
    <s v="Georgia"/>
    <s v="South"/>
    <n v="1944"/>
    <n v="117.24"/>
    <n v="7.5"/>
    <n v="21427700000000"/>
    <n v="88.2"/>
    <n v="101.8"/>
    <n v="9.6"/>
    <n v="36.6"/>
    <n v="328239523"/>
  </r>
  <r>
    <x v="175"/>
    <x v="175"/>
    <x v="3"/>
    <x v="506"/>
    <x v="34"/>
    <x v="1"/>
    <x v="54"/>
    <x v="246"/>
    <x v="3"/>
    <s v="United States"/>
    <s v="Guggenheim Partners LLC"/>
    <x v="1"/>
    <s v="U"/>
    <x v="0"/>
    <d v="1960-05-22T00:00:00"/>
    <s v="Walter"/>
    <s v="Mark"/>
    <s v="CEO"/>
    <d v="2023-04-04T05:01:00"/>
    <s v="Illinois"/>
    <s v="Midwest"/>
    <n v="1960"/>
    <n v="117.24"/>
    <n v="7.5"/>
    <n v="21427700000000"/>
    <n v="88.2"/>
    <n v="101.8"/>
    <n v="9.6"/>
    <n v="36.6"/>
    <n v="328239523"/>
  </r>
  <r>
    <x v="175"/>
    <x v="175"/>
    <x v="10"/>
    <x v="507"/>
    <x v="6"/>
    <x v="1"/>
    <x v="229"/>
    <x v="158"/>
    <x v="10"/>
    <s v="United States"/>
    <m/>
    <x v="1"/>
    <s v="D"/>
    <x v="0"/>
    <d v="1941-05-19T00:00:00"/>
    <s v="Wanek"/>
    <s v="Ronald"/>
    <m/>
    <d v="2023-04-04T05:01:00"/>
    <s v="Florida"/>
    <s v="South"/>
    <n v="1941"/>
    <n v="117.24"/>
    <n v="7.5"/>
    <n v="21427700000000"/>
    <n v="88.2"/>
    <n v="101.8"/>
    <n v="9.6"/>
    <n v="36.6"/>
    <n v="328239523"/>
  </r>
  <r>
    <x v="175"/>
    <x v="175"/>
    <x v="7"/>
    <x v="508"/>
    <x v="22"/>
    <x v="7"/>
    <x v="230"/>
    <x v="247"/>
    <x v="7"/>
    <s v="Germany"/>
    <m/>
    <x v="1"/>
    <s v="D"/>
    <x v="0"/>
    <d v="1945-06-02T00:00:00"/>
    <s v="Wesjohann"/>
    <s v="Erich"/>
    <m/>
    <d v="2023-04-04T05:01:00"/>
    <m/>
    <m/>
    <n v="1945"/>
    <n v="112.85"/>
    <n v="1.4"/>
    <n v="3845630030824"/>
    <n v="70.2"/>
    <n v="104"/>
    <n v="11.5"/>
    <n v="48.8"/>
    <n v="83132799"/>
  </r>
  <r>
    <x v="175"/>
    <x v="175"/>
    <x v="0"/>
    <x v="509"/>
    <x v="5"/>
    <x v="16"/>
    <x v="231"/>
    <x v="21"/>
    <x v="0"/>
    <s v="India"/>
    <m/>
    <x v="1"/>
    <s v="D"/>
    <x v="0"/>
    <d v="1955-11-15T00:00:00"/>
    <s v="Yusuff Ali"/>
    <s v="M.A."/>
    <m/>
    <d v="2023-04-04T05:01:00"/>
    <m/>
    <m/>
    <n v="1955"/>
    <n v="114.52"/>
    <n v="-1.9"/>
    <n v="421142267938"/>
    <n v="36.799999999999997"/>
    <n v="108.4"/>
    <n v="0.1"/>
    <n v="15.9"/>
    <n v="9770529"/>
  </r>
  <r>
    <x v="176"/>
    <x v="176"/>
    <x v="3"/>
    <x v="510"/>
    <x v="32"/>
    <x v="1"/>
    <x v="57"/>
    <x v="38"/>
    <x v="3"/>
    <s v="Brazil"/>
    <m/>
    <x v="1"/>
    <s v="U"/>
    <x v="0"/>
    <d v="1967-02-20T00:00:00"/>
    <s v="Behring"/>
    <s v="Alexandre"/>
    <m/>
    <d v="2023-04-04T05:01:00"/>
    <s v="Connecticut"/>
    <s v="Northeast"/>
    <n v="1967"/>
    <n v="117.24"/>
    <n v="7.5"/>
    <n v="21427700000000"/>
    <n v="88.2"/>
    <n v="101.8"/>
    <n v="9.6"/>
    <n v="36.6"/>
    <n v="328239523"/>
  </r>
  <r>
    <x v="176"/>
    <x v="176"/>
    <x v="7"/>
    <x v="511"/>
    <x v="52"/>
    <x v="5"/>
    <x v="49"/>
    <x v="80"/>
    <x v="7"/>
    <s v="China"/>
    <m/>
    <x v="1"/>
    <s v="D"/>
    <x v="1"/>
    <d v="1970-02-26T00:00:00"/>
    <s v="Cheng"/>
    <s v="Xue"/>
    <m/>
    <d v="2023-04-04T05:01:00"/>
    <m/>
    <m/>
    <n v="1970"/>
    <n v="125.08"/>
    <n v="2.9"/>
    <n v="19910000000000"/>
    <n v="50.6"/>
    <n v="100.2"/>
    <n v="9.4"/>
    <n v="59.2"/>
    <n v="1397715000"/>
  </r>
  <r>
    <x v="176"/>
    <x v="176"/>
    <x v="11"/>
    <x v="512"/>
    <x v="2"/>
    <x v="1"/>
    <x v="232"/>
    <x v="248"/>
    <x v="11"/>
    <s v="United States"/>
    <m/>
    <x v="1"/>
    <s v="N"/>
    <x v="0"/>
    <d v="1963-10-03T00:00:00"/>
    <s v="Faith"/>
    <s v="Robert"/>
    <m/>
    <d v="2023-04-04T05:01:00"/>
    <s v="South Carolina"/>
    <s v="South"/>
    <n v="1963"/>
    <n v="117.24"/>
    <n v="7.5"/>
    <n v="21427700000000"/>
    <n v="88.2"/>
    <n v="101.8"/>
    <n v="9.6"/>
    <n v="36.6"/>
    <n v="328239523"/>
  </r>
  <r>
    <x v="176"/>
    <x v="176"/>
    <x v="0"/>
    <x v="513"/>
    <x v="48"/>
    <x v="5"/>
    <x v="233"/>
    <x v="185"/>
    <x v="0"/>
    <s v="China"/>
    <m/>
    <x v="1"/>
    <s v="U"/>
    <x v="0"/>
    <d v="1952-02-01T00:00:00"/>
    <s v="Gao"/>
    <s v="Dekang"/>
    <m/>
    <d v="2023-04-04T05:01:00"/>
    <m/>
    <m/>
    <n v="1952"/>
    <n v="125.08"/>
    <n v="2.9"/>
    <n v="19910000000000"/>
    <n v="50.6"/>
    <n v="100.2"/>
    <n v="9.4"/>
    <n v="59.2"/>
    <n v="1397715000"/>
  </r>
  <r>
    <x v="176"/>
    <x v="176"/>
    <x v="0"/>
    <x v="514"/>
    <x v="48"/>
    <x v="16"/>
    <x v="88"/>
    <x v="21"/>
    <x v="0"/>
    <s v="India"/>
    <m/>
    <x v="0"/>
    <s v="U"/>
    <x v="0"/>
    <d v="1951-09-28T00:00:00"/>
    <s v="Jagtiani"/>
    <s v="Micky"/>
    <m/>
    <d v="2023-04-04T05:01:00"/>
    <m/>
    <m/>
    <n v="1951"/>
    <n v="114.52"/>
    <n v="-1.9"/>
    <n v="421142267938"/>
    <n v="36.799999999999997"/>
    <n v="108.4"/>
    <n v="0.1"/>
    <n v="15.9"/>
    <n v="9770529"/>
  </r>
  <r>
    <x v="176"/>
    <x v="176"/>
    <x v="5"/>
    <x v="515"/>
    <x v="18"/>
    <x v="31"/>
    <x v="105"/>
    <x v="249"/>
    <x v="5"/>
    <s v="Malaysia"/>
    <m/>
    <x v="1"/>
    <s v="D"/>
    <x v="0"/>
    <d v="1938-04-01T00:00:00"/>
    <s v="Krishnan"/>
    <s v="Ananda"/>
    <m/>
    <d v="2023-04-04T05:01:00"/>
    <m/>
    <m/>
    <n v="1938"/>
    <n v="121.46"/>
    <n v="0.7"/>
    <n v="364701517788"/>
    <n v="45.1"/>
    <n v="105.3"/>
    <n v="12"/>
    <n v="38.700000000000003"/>
    <n v="32447385"/>
  </r>
  <r>
    <x v="176"/>
    <x v="176"/>
    <x v="2"/>
    <x v="516"/>
    <x v="16"/>
    <x v="35"/>
    <x v="152"/>
    <x v="172"/>
    <x v="2"/>
    <s v="Taiwan"/>
    <m/>
    <x v="1"/>
    <s v="D"/>
    <x v="0"/>
    <d v="1949-04-24T00:00:00"/>
    <s v="Lam"/>
    <s v="Barry"/>
    <m/>
    <d v="2023-04-04T05:01:00"/>
    <m/>
    <m/>
    <n v="1949"/>
    <m/>
    <m/>
    <m/>
    <m/>
    <m/>
    <m/>
    <m/>
    <m/>
  </r>
  <r>
    <x v="176"/>
    <x v="176"/>
    <x v="7"/>
    <x v="517"/>
    <x v="26"/>
    <x v="1"/>
    <x v="234"/>
    <x v="250"/>
    <x v="7"/>
    <s v="United States"/>
    <m/>
    <x v="0"/>
    <s v="U"/>
    <x v="0"/>
    <d v="1941-01-25T00:00:00"/>
    <s v="Rich"/>
    <s v="Robert"/>
    <m/>
    <d v="2023-04-04T05:01:00"/>
    <s v="Florida"/>
    <s v="South"/>
    <n v="1941"/>
    <n v="117.24"/>
    <n v="7.5"/>
    <n v="21427700000000"/>
    <n v="88.2"/>
    <n v="101.8"/>
    <n v="9.6"/>
    <n v="36.6"/>
    <n v="328239523"/>
  </r>
  <r>
    <x v="176"/>
    <x v="176"/>
    <x v="9"/>
    <x v="518"/>
    <x v="12"/>
    <x v="13"/>
    <x v="235"/>
    <x v="192"/>
    <x v="9"/>
    <s v="Canada"/>
    <m/>
    <x v="1"/>
    <s v="D"/>
    <x v="0"/>
    <d v="1973-12-27T00:00:00"/>
    <s v="Scheinberg"/>
    <s v="Mark"/>
    <m/>
    <d v="2023-04-04T05:01:00"/>
    <m/>
    <m/>
    <n v="1973"/>
    <n v="119.62"/>
    <n v="1.7"/>
    <n v="2827113184696"/>
    <n v="60"/>
    <n v="101.2"/>
    <n v="25.5"/>
    <n v="30.6"/>
    <n v="66834405"/>
  </r>
  <r>
    <x v="176"/>
    <x v="176"/>
    <x v="2"/>
    <x v="519"/>
    <x v="0"/>
    <x v="1"/>
    <x v="2"/>
    <x v="5"/>
    <x v="2"/>
    <s v="United States"/>
    <m/>
    <x v="1"/>
    <s v="D"/>
    <x v="0"/>
    <d v="1948-09-10T00:00:00"/>
    <s v="Simonyi"/>
    <s v="Charles"/>
    <m/>
    <d v="2023-04-04T05:01:00"/>
    <s v="Washington"/>
    <s v="West"/>
    <n v="1948"/>
    <n v="117.24"/>
    <n v="7.5"/>
    <n v="21427700000000"/>
    <n v="88.2"/>
    <n v="101.8"/>
    <n v="9.6"/>
    <n v="36.6"/>
    <n v="328239523"/>
  </r>
  <r>
    <x v="176"/>
    <x v="176"/>
    <x v="11"/>
    <x v="520"/>
    <x v="3"/>
    <x v="1"/>
    <x v="236"/>
    <x v="251"/>
    <x v="11"/>
    <s v="United States"/>
    <m/>
    <x v="1"/>
    <s v="U"/>
    <x v="0"/>
    <d v="1944-09-03T00:00:00"/>
    <s v="Warner"/>
    <s v="Ty"/>
    <m/>
    <d v="2023-04-04T05:01:00"/>
    <s v="Illinois"/>
    <s v="Midwest"/>
    <n v="1944"/>
    <n v="117.24"/>
    <n v="7.5"/>
    <n v="21427700000000"/>
    <n v="88.2"/>
    <n v="101.8"/>
    <n v="9.6"/>
    <n v="36.6"/>
    <n v="328239523"/>
  </r>
  <r>
    <x v="176"/>
    <x v="176"/>
    <x v="11"/>
    <x v="521"/>
    <x v="6"/>
    <x v="1"/>
    <x v="54"/>
    <x v="252"/>
    <x v="11"/>
    <s v="United States"/>
    <m/>
    <x v="1"/>
    <s v="D"/>
    <x v="0"/>
    <d v="1941-09-28T00:00:00"/>
    <s v="Zell"/>
    <s v="Sam"/>
    <m/>
    <d v="2023-04-04T05:01:00"/>
    <s v="Illinois"/>
    <m/>
    <n v="1941"/>
    <n v="117.24"/>
    <n v="7.5"/>
    <n v="21427700000000"/>
    <n v="88.2"/>
    <n v="101.8"/>
    <n v="9.6"/>
    <n v="36.6"/>
    <n v="328239523"/>
  </r>
  <r>
    <x v="177"/>
    <x v="177"/>
    <x v="10"/>
    <x v="522"/>
    <x v="12"/>
    <x v="5"/>
    <x v="19"/>
    <x v="72"/>
    <x v="10"/>
    <s v="China"/>
    <m/>
    <x v="1"/>
    <s v="U"/>
    <x v="0"/>
    <d v="1973-09-04T00:00:00"/>
    <s v="Fang"/>
    <s v="Wei"/>
    <m/>
    <d v="2023-04-04T05:01:00"/>
    <m/>
    <m/>
    <n v="1973"/>
    <n v="125.08"/>
    <n v="2.9"/>
    <n v="19910000000000"/>
    <n v="50.6"/>
    <n v="100.2"/>
    <n v="9.4"/>
    <n v="59.2"/>
    <n v="1397715000"/>
  </r>
  <r>
    <x v="177"/>
    <x v="177"/>
    <x v="3"/>
    <x v="523"/>
    <x v="2"/>
    <x v="3"/>
    <x v="7"/>
    <x v="38"/>
    <x v="3"/>
    <s v="India"/>
    <m/>
    <x v="0"/>
    <s v="N"/>
    <x v="1"/>
    <d v="1963-09-12T00:00:00"/>
    <s v="Jhunjhunwala"/>
    <s v="Rekha"/>
    <m/>
    <d v="2023-04-04T05:01:00"/>
    <m/>
    <m/>
    <n v="1963"/>
    <n v="180.44"/>
    <n v="7.7"/>
    <n v="2611000000000"/>
    <n v="28.1"/>
    <n v="113"/>
    <n v="11.2"/>
    <n v="49.7"/>
    <n v="1366417754"/>
  </r>
  <r>
    <x v="177"/>
    <x v="177"/>
    <x v="3"/>
    <x v="524"/>
    <x v="40"/>
    <x v="1"/>
    <x v="43"/>
    <x v="253"/>
    <x v="3"/>
    <s v="United States"/>
    <s v="Franklin Resources Inc."/>
    <x v="0"/>
    <s v="E"/>
    <x v="0"/>
    <d v="1933-01-06T00:00:00"/>
    <s v="Johnson"/>
    <s v="Charles B."/>
    <s v="Former Chairman and CEO"/>
    <d v="2023-04-04T05:01:00"/>
    <s v="Florida"/>
    <s v="South"/>
    <n v="1933"/>
    <n v="117.24"/>
    <n v="7.5"/>
    <n v="21427700000000"/>
    <n v="88.2"/>
    <n v="101.8"/>
    <n v="9.6"/>
    <n v="36.6"/>
    <n v="328239523"/>
  </r>
  <r>
    <x v="177"/>
    <x v="177"/>
    <x v="4"/>
    <x v="525"/>
    <x v="12"/>
    <x v="32"/>
    <x v="109"/>
    <x v="41"/>
    <x v="4"/>
    <s v="South Korea"/>
    <s v="Smilegate Holdings"/>
    <x v="1"/>
    <s v="D"/>
    <x v="0"/>
    <d v="1974-01-01T00:00:00"/>
    <s v="Kwon"/>
    <s v="Hyuk-bin"/>
    <m/>
    <d v="2023-04-04T05:01:00"/>
    <m/>
    <m/>
    <n v="1974"/>
    <n v="115.16"/>
    <n v="0.4"/>
    <n v="2029000000000"/>
    <n v="94.3"/>
    <n v="98.1"/>
    <n v="15.6"/>
    <n v="33.200000000000003"/>
    <n v="51709098"/>
  </r>
  <r>
    <x v="177"/>
    <x v="177"/>
    <x v="3"/>
    <x v="526"/>
    <x v="38"/>
    <x v="1"/>
    <x v="147"/>
    <x v="122"/>
    <x v="3"/>
    <s v="United States"/>
    <m/>
    <x v="1"/>
    <s v="U"/>
    <x v="0"/>
    <d v="1961-07-13T00:00:00"/>
    <s v="Mnaymneh"/>
    <s v="Sami"/>
    <m/>
    <d v="2023-04-04T05:01:00"/>
    <s v="Florida"/>
    <s v="South"/>
    <n v="1961"/>
    <n v="117.24"/>
    <n v="7.5"/>
    <n v="21427700000000"/>
    <n v="88.2"/>
    <n v="101.8"/>
    <n v="9.6"/>
    <n v="36.6"/>
    <n v="328239523"/>
  </r>
  <r>
    <x v="177"/>
    <x v="177"/>
    <x v="8"/>
    <x v="527"/>
    <x v="29"/>
    <x v="36"/>
    <x v="237"/>
    <x v="254"/>
    <x v="8"/>
    <s v="Norway"/>
    <m/>
    <x v="1"/>
    <s v="D"/>
    <x v="0"/>
    <d v="1958-10-25T00:00:00"/>
    <s v="Rokke"/>
    <s v="Kjell Inge"/>
    <m/>
    <d v="2023-04-04T05:01:00"/>
    <m/>
    <m/>
    <n v="1958"/>
    <n v="120.27"/>
    <n v="2.2000000000000002"/>
    <n v="403336363636"/>
    <n v="82"/>
    <n v="100.3"/>
    <n v="23.9"/>
    <n v="36.200000000000003"/>
    <n v="5347896"/>
  </r>
  <r>
    <x v="177"/>
    <x v="177"/>
    <x v="3"/>
    <x v="528"/>
    <x v="8"/>
    <x v="1"/>
    <x v="5"/>
    <x v="122"/>
    <x v="3"/>
    <s v="United States"/>
    <m/>
    <x v="1"/>
    <s v="U"/>
    <x v="0"/>
    <d v="1957-10-12T00:00:00"/>
    <s v="Tamer"/>
    <s v="Tony"/>
    <m/>
    <d v="2023-04-04T05:01:00"/>
    <s v="New York"/>
    <s v="Northeast"/>
    <n v="1957"/>
    <n v="117.24"/>
    <n v="7.5"/>
    <n v="21427700000000"/>
    <n v="88.2"/>
    <n v="101.8"/>
    <n v="9.6"/>
    <n v="36.6"/>
    <n v="328239523"/>
  </r>
  <r>
    <x v="177"/>
    <x v="177"/>
    <x v="14"/>
    <x v="529"/>
    <x v="48"/>
    <x v="10"/>
    <x v="36"/>
    <x v="83"/>
    <x v="14"/>
    <s v="China"/>
    <m/>
    <x v="1"/>
    <s v="D"/>
    <x v="0"/>
    <d v="1952-01-03T00:00:00"/>
    <s v="Tse"/>
    <s v="Ping"/>
    <m/>
    <d v="2023-04-04T05:01:00"/>
    <m/>
    <m/>
    <n v="1952"/>
    <m/>
    <m/>
    <m/>
    <m/>
    <m/>
    <m/>
    <m/>
    <m/>
  </r>
  <r>
    <x v="177"/>
    <x v="177"/>
    <x v="2"/>
    <x v="530"/>
    <x v="43"/>
    <x v="1"/>
    <x v="9"/>
    <x v="117"/>
    <x v="2"/>
    <s v="United States"/>
    <s v="Symphony Technology Group"/>
    <x v="1"/>
    <s v="U"/>
    <x v="0"/>
    <d v="1947-08-25T00:00:00"/>
    <s v="Wadhwani"/>
    <s v="Romesh T."/>
    <s v="Founder and Chairman"/>
    <d v="2023-04-04T05:01:00"/>
    <s v="California"/>
    <s v="West"/>
    <n v="1947"/>
    <n v="117.24"/>
    <n v="7.5"/>
    <n v="21427700000000"/>
    <n v="88.2"/>
    <n v="101.8"/>
    <n v="9.6"/>
    <n v="36.6"/>
    <n v="328239523"/>
  </r>
  <r>
    <x v="177"/>
    <x v="177"/>
    <x v="14"/>
    <x v="531"/>
    <x v="50"/>
    <x v="1"/>
    <x v="238"/>
    <x v="78"/>
    <x v="14"/>
    <s v="Switzerland"/>
    <m/>
    <x v="1"/>
    <s v="U"/>
    <x v="0"/>
    <d v="1935-01-01T00:00:00"/>
    <s v="Wyss"/>
    <s v="Hansjoerg"/>
    <m/>
    <d v="2023-04-04T05:01:00"/>
    <s v="Wyoming"/>
    <s v="South"/>
    <n v="1935"/>
    <n v="117.24"/>
    <n v="7.5"/>
    <n v="21427700000000"/>
    <n v="88.2"/>
    <n v="101.8"/>
    <n v="9.6"/>
    <n v="36.6"/>
    <n v="328239523"/>
  </r>
  <r>
    <x v="177"/>
    <x v="177"/>
    <x v="17"/>
    <x v="532"/>
    <x v="25"/>
    <x v="1"/>
    <x v="239"/>
    <x v="255"/>
    <x v="17"/>
    <s v="United States"/>
    <s v="San Francisco 49ers"/>
    <x v="0"/>
    <s v="U"/>
    <x v="1"/>
    <d v="1950-10-21T00:00:00"/>
    <s v="York"/>
    <s v="Denise"/>
    <s v="Co-Chairman"/>
    <d v="2023-04-04T05:01:00"/>
    <s v="Ohio"/>
    <s v="Midwest"/>
    <n v="1950"/>
    <n v="117.24"/>
    <n v="7.5"/>
    <n v="21427700000000"/>
    <n v="88.2"/>
    <n v="101.8"/>
    <n v="9.6"/>
    <n v="36.6"/>
    <n v="328239523"/>
  </r>
  <r>
    <x v="178"/>
    <x v="178"/>
    <x v="3"/>
    <x v="533"/>
    <x v="55"/>
    <x v="1"/>
    <x v="5"/>
    <x v="196"/>
    <x v="3"/>
    <s v="United States"/>
    <m/>
    <x v="1"/>
    <s v="U"/>
    <x v="0"/>
    <d v="1943-05-23T00:00:00"/>
    <s v="Baron"/>
    <s v="Ron"/>
    <m/>
    <d v="2023-04-04T05:01:00"/>
    <s v="New York"/>
    <s v="Northeast"/>
    <n v="1943"/>
    <n v="117.24"/>
    <n v="7.5"/>
    <n v="21427700000000"/>
    <n v="88.2"/>
    <n v="101.8"/>
    <n v="9.6"/>
    <n v="36.6"/>
    <n v="328239523"/>
  </r>
  <r>
    <x v="178"/>
    <x v="178"/>
    <x v="13"/>
    <x v="534"/>
    <x v="43"/>
    <x v="1"/>
    <x v="15"/>
    <x v="256"/>
    <x v="13"/>
    <s v="United States"/>
    <m/>
    <x v="0"/>
    <s v="D"/>
    <x v="0"/>
    <d v="1948-03-19T00:00:00"/>
    <s v="Bass"/>
    <s v="Robert"/>
    <m/>
    <d v="2023-04-04T05:01:00"/>
    <s v="Texas"/>
    <s v="South"/>
    <n v="1948"/>
    <n v="117.24"/>
    <n v="7.5"/>
    <n v="21427700000000"/>
    <n v="88.2"/>
    <n v="101.8"/>
    <n v="9.6"/>
    <n v="36.6"/>
    <n v="328239523"/>
  </r>
  <r>
    <x v="178"/>
    <x v="178"/>
    <x v="14"/>
    <x v="535"/>
    <x v="42"/>
    <x v="8"/>
    <x v="119"/>
    <x v="257"/>
    <x v="14"/>
    <s v="Switzerland"/>
    <m/>
    <x v="0"/>
    <s v="U"/>
    <x v="1"/>
    <d v="1968-01-01T00:00:00"/>
    <s v="Bertarelli"/>
    <s v="Dona"/>
    <m/>
    <d v="2023-04-04T05:01:00"/>
    <m/>
    <m/>
    <n v="1968"/>
    <n v="99.55"/>
    <n v="0.4"/>
    <n v="703082435360"/>
    <n v="59.6"/>
    <n v="105.2"/>
    <n v="10.1"/>
    <n v="28.8"/>
    <n v="8574832"/>
  </r>
  <r>
    <x v="178"/>
    <x v="178"/>
    <x v="3"/>
    <x v="536"/>
    <x v="27"/>
    <x v="13"/>
    <x v="32"/>
    <x v="258"/>
    <x v="3"/>
    <s v="United Kingdom"/>
    <m/>
    <x v="1"/>
    <s v="N"/>
    <x v="0"/>
    <d v="1979-12-03T00:00:00"/>
    <s v="Gerko"/>
    <s v="Alexander"/>
    <m/>
    <d v="2023-04-04T05:01:00"/>
    <m/>
    <m/>
    <n v="1979"/>
    <n v="119.62"/>
    <n v="1.7"/>
    <n v="2827113184696"/>
    <n v="60"/>
    <n v="101.2"/>
    <n v="25.5"/>
    <n v="30.6"/>
    <n v="66834405"/>
  </r>
  <r>
    <x v="178"/>
    <x v="178"/>
    <x v="2"/>
    <x v="537"/>
    <x v="9"/>
    <x v="8"/>
    <x v="71"/>
    <x v="259"/>
    <x v="2"/>
    <s v="Switzerland"/>
    <m/>
    <x v="0"/>
    <s v="U"/>
    <x v="0"/>
    <d v="1954-01-01T00:00:00"/>
    <s v="Haefner"/>
    <s v="Martin"/>
    <m/>
    <d v="2023-04-04T05:01:00"/>
    <m/>
    <m/>
    <n v="1954"/>
    <n v="99.55"/>
    <n v="0.4"/>
    <n v="703082435360"/>
    <n v="59.6"/>
    <n v="105.2"/>
    <n v="10.1"/>
    <n v="28.8"/>
    <n v="8574832"/>
  </r>
  <r>
    <x v="178"/>
    <x v="178"/>
    <x v="5"/>
    <x v="538"/>
    <x v="32"/>
    <x v="1"/>
    <x v="176"/>
    <x v="7"/>
    <x v="5"/>
    <s v="United States"/>
    <m/>
    <x v="1"/>
    <s v="U"/>
    <x v="0"/>
    <d v="1966-07-08T00:00:00"/>
    <s v="Hale"/>
    <s v="Robert"/>
    <m/>
    <d v="2023-04-04T05:01:00"/>
    <s v="Massachusetts"/>
    <s v="Northeast"/>
    <n v="1966"/>
    <n v="117.24"/>
    <n v="7.5"/>
    <n v="21427700000000"/>
    <n v="88.2"/>
    <n v="101.8"/>
    <n v="9.6"/>
    <n v="36.6"/>
    <n v="328239523"/>
  </r>
  <r>
    <x v="178"/>
    <x v="178"/>
    <x v="14"/>
    <x v="539"/>
    <x v="10"/>
    <x v="17"/>
    <x v="48"/>
    <x v="83"/>
    <x v="14"/>
    <s v="Russia"/>
    <m/>
    <x v="1"/>
    <s v="U"/>
    <x v="0"/>
    <d v="1972-11-20T00:00:00"/>
    <s v="Kharitonin"/>
    <s v="Viktor"/>
    <m/>
    <d v="2023-04-04T05:01:00"/>
    <m/>
    <m/>
    <n v="1972"/>
    <n v="180.75"/>
    <n v="4.5"/>
    <n v="1699876578871"/>
    <n v="81.900000000000006"/>
    <n v="102.6"/>
    <n v="11.4"/>
    <n v="46.2"/>
    <n v="144373535"/>
  </r>
  <r>
    <x v="178"/>
    <x v="178"/>
    <x v="2"/>
    <x v="540"/>
    <x v="41"/>
    <x v="32"/>
    <x v="109"/>
    <x v="260"/>
    <x v="2"/>
    <s v="South Korea"/>
    <m/>
    <x v="1"/>
    <s v="D"/>
    <x v="0"/>
    <d v="1966-03-27T00:00:00"/>
    <s v="Kim"/>
    <s v="Beom-su"/>
    <m/>
    <d v="2023-04-04T05:01:00"/>
    <m/>
    <m/>
    <n v="1966"/>
    <n v="115.16"/>
    <n v="0.4"/>
    <n v="2029000000000"/>
    <n v="94.3"/>
    <n v="98.1"/>
    <n v="15.6"/>
    <n v="33.200000000000003"/>
    <n v="51709098"/>
  </r>
  <r>
    <x v="178"/>
    <x v="178"/>
    <x v="0"/>
    <x v="541"/>
    <x v="10"/>
    <x v="1"/>
    <x v="5"/>
    <x v="261"/>
    <x v="0"/>
    <s v="United States"/>
    <m/>
    <x v="0"/>
    <s v="D"/>
    <x v="1"/>
    <d v="1973-01-01T00:00:00"/>
    <s v="Lauder"/>
    <s v="Jane"/>
    <m/>
    <d v="2023-04-04T05:01:00"/>
    <s v="New York"/>
    <s v="Northeast"/>
    <n v="1973"/>
    <n v="117.24"/>
    <n v="7.5"/>
    <n v="21427700000000"/>
    <n v="88.2"/>
    <n v="101.8"/>
    <n v="9.6"/>
    <n v="36.6"/>
    <n v="328239523"/>
  </r>
  <r>
    <x v="178"/>
    <x v="178"/>
    <x v="0"/>
    <x v="542"/>
    <x v="7"/>
    <x v="0"/>
    <x v="240"/>
    <x v="262"/>
    <x v="0"/>
    <s v="France"/>
    <m/>
    <x v="0"/>
    <s v="U"/>
    <x v="0"/>
    <d v="1939-05-27T00:00:00"/>
    <s v="Leclercq"/>
    <s v="Michel"/>
    <m/>
    <d v="2023-04-04T05:01:00"/>
    <m/>
    <m/>
    <n v="1939"/>
    <n v="110.05"/>
    <n v="1.1000000000000001"/>
    <n v="2715518274227"/>
    <n v="65.599999999999994"/>
    <n v="102.5"/>
    <n v="24.2"/>
    <n v="60.7"/>
    <n v="67059887"/>
  </r>
  <r>
    <x v="178"/>
    <x v="178"/>
    <x v="4"/>
    <x v="543"/>
    <x v="3"/>
    <x v="1"/>
    <x v="241"/>
    <x v="263"/>
    <x v="4"/>
    <s v="United States"/>
    <m/>
    <x v="1"/>
    <s v="D"/>
    <x v="0"/>
    <d v="1944-05-14T00:00:00"/>
    <s v="Lucas"/>
    <s v="George"/>
    <m/>
    <d v="2023-04-04T05:01:00"/>
    <s v="California"/>
    <s v="West"/>
    <n v="1944"/>
    <n v="117.24"/>
    <n v="7.5"/>
    <n v="21427700000000"/>
    <n v="88.2"/>
    <n v="101.8"/>
    <n v="9.6"/>
    <n v="36.6"/>
    <n v="328239523"/>
  </r>
  <r>
    <x v="178"/>
    <x v="178"/>
    <x v="17"/>
    <x v="544"/>
    <x v="20"/>
    <x v="1"/>
    <x v="102"/>
    <x v="264"/>
    <x v="17"/>
    <s v="United States"/>
    <m/>
    <x v="0"/>
    <s v="U"/>
    <x v="1"/>
    <d v="1936-09-30T00:00:00"/>
    <s v="McNair"/>
    <s v="Janice"/>
    <m/>
    <d v="2023-04-04T05:01:00"/>
    <s v="Texas"/>
    <s v="South"/>
    <n v="1936"/>
    <n v="117.24"/>
    <n v="7.5"/>
    <n v="21427700000000"/>
    <n v="88.2"/>
    <n v="101.8"/>
    <n v="9.6"/>
    <n v="36.6"/>
    <n v="328239523"/>
  </r>
  <r>
    <x v="178"/>
    <x v="178"/>
    <x v="14"/>
    <x v="545"/>
    <x v="41"/>
    <x v="7"/>
    <x v="242"/>
    <x v="265"/>
    <x v="14"/>
    <s v="Germany"/>
    <m/>
    <x v="1"/>
    <s v="D"/>
    <x v="0"/>
    <d v="1965-09-19T00:00:00"/>
    <s v="Sahin"/>
    <s v="Ugur"/>
    <m/>
    <d v="2023-04-04T05:01:00"/>
    <m/>
    <m/>
    <n v="1965"/>
    <n v="112.85"/>
    <n v="1.4"/>
    <n v="3845630030824"/>
    <n v="70.2"/>
    <n v="104"/>
    <n v="11.5"/>
    <n v="48.8"/>
    <n v="83132799"/>
  </r>
  <r>
    <x v="178"/>
    <x v="178"/>
    <x v="11"/>
    <x v="546"/>
    <x v="29"/>
    <x v="7"/>
    <x v="189"/>
    <x v="36"/>
    <x v="11"/>
    <s v="Germany"/>
    <m/>
    <x v="0"/>
    <s v="U"/>
    <x v="1"/>
    <d v="1958-07-24T00:00:00"/>
    <s v="Schoerghuber"/>
    <s v="Alexandra"/>
    <m/>
    <d v="2023-04-04T05:01:00"/>
    <m/>
    <m/>
    <n v="1958"/>
    <n v="112.85"/>
    <n v="1.4"/>
    <n v="3845630030824"/>
    <n v="70.2"/>
    <n v="104"/>
    <n v="11.5"/>
    <n v="48.8"/>
    <n v="83132799"/>
  </r>
  <r>
    <x v="178"/>
    <x v="178"/>
    <x v="14"/>
    <x v="547"/>
    <x v="2"/>
    <x v="8"/>
    <x v="243"/>
    <x v="266"/>
    <x v="14"/>
    <s v="Switzerland"/>
    <m/>
    <x v="0"/>
    <s v="D"/>
    <x v="0"/>
    <d v="1963-07-22T00:00:00"/>
    <s v="Straumann"/>
    <s v="Thomas"/>
    <m/>
    <d v="2023-04-04T05:01:00"/>
    <m/>
    <m/>
    <n v="1963"/>
    <n v="99.55"/>
    <n v="0.4"/>
    <n v="703082435360"/>
    <n v="59.6"/>
    <n v="105.2"/>
    <n v="10.1"/>
    <n v="28.8"/>
    <n v="8574832"/>
  </r>
  <r>
    <x v="178"/>
    <x v="178"/>
    <x v="7"/>
    <x v="548"/>
    <x v="29"/>
    <x v="47"/>
    <x v="228"/>
    <x v="267"/>
    <x v="7"/>
    <s v="Turkey"/>
    <m/>
    <x v="0"/>
    <s v="U"/>
    <x v="0"/>
    <d v="1959-03-23T00:00:00"/>
    <s v="Ulker"/>
    <s v="Murat"/>
    <m/>
    <d v="2023-04-04T05:01:00"/>
    <m/>
    <m/>
    <n v="1959"/>
    <n v="234.44"/>
    <n v="15.2"/>
    <n v="754411708203"/>
    <n v="23.9"/>
    <n v="93.2"/>
    <n v="17.899999999999999"/>
    <n v="42.3"/>
    <n v="83429615"/>
  </r>
  <r>
    <x v="178"/>
    <x v="178"/>
    <x v="0"/>
    <x v="549"/>
    <x v="37"/>
    <x v="6"/>
    <x v="118"/>
    <x v="268"/>
    <x v="0"/>
    <s v="Canada"/>
    <s v="Lululemon"/>
    <x v="1"/>
    <s v="D"/>
    <x v="0"/>
    <d v="1957-01-01T00:00:00"/>
    <s v="Wilson"/>
    <s v="Chip"/>
    <s v="Chairman"/>
    <d v="2023-04-04T05:01:00"/>
    <m/>
    <m/>
    <n v="1957"/>
    <n v="116.76"/>
    <n v="1.9"/>
    <n v="1736425629520"/>
    <n v="68.900000000000006"/>
    <n v="100.9"/>
    <n v="12.8"/>
    <n v="24.5"/>
    <n v="36991981"/>
  </r>
  <r>
    <x v="178"/>
    <x v="178"/>
    <x v="11"/>
    <x v="550"/>
    <x v="44"/>
    <x v="5"/>
    <x v="19"/>
    <x v="36"/>
    <x v="11"/>
    <s v="China"/>
    <m/>
    <x v="0"/>
    <s v="U"/>
    <x v="1"/>
    <m/>
    <s v="Zhu"/>
    <s v="Yan"/>
    <m/>
    <d v="2023-04-04T05:01:00"/>
    <m/>
    <m/>
    <m/>
    <n v="125.08"/>
    <n v="2.9"/>
    <n v="19910000000000"/>
    <n v="50.6"/>
    <n v="100.2"/>
    <n v="9.4"/>
    <n v="59.2"/>
    <n v="1397715000"/>
  </r>
  <r>
    <x v="179"/>
    <x v="179"/>
    <x v="10"/>
    <x v="551"/>
    <x v="55"/>
    <x v="1"/>
    <x v="244"/>
    <x v="269"/>
    <x v="10"/>
    <s v="United States"/>
    <s v="New Balance"/>
    <x v="1"/>
    <s v="D"/>
    <x v="0"/>
    <d v="1943-05-17T00:00:00"/>
    <s v="Davis"/>
    <s v="Jim"/>
    <s v="Chairman"/>
    <d v="2023-04-04T05:01:00"/>
    <s v="Massachusetts"/>
    <s v="Northeast"/>
    <n v="1943"/>
    <n v="117.24"/>
    <n v="7.5"/>
    <n v="21427700000000"/>
    <n v="88.2"/>
    <n v="101.8"/>
    <n v="9.6"/>
    <n v="36.6"/>
    <n v="328239523"/>
  </r>
  <r>
    <x v="179"/>
    <x v="179"/>
    <x v="14"/>
    <x v="552"/>
    <x v="25"/>
    <x v="3"/>
    <x v="245"/>
    <x v="83"/>
    <x v="14"/>
    <s v="India"/>
    <m/>
    <x v="1"/>
    <s v="D"/>
    <x v="0"/>
    <d v="1951-03-17T00:00:00"/>
    <s v="Divi"/>
    <s v="Murali"/>
    <m/>
    <d v="2023-04-04T05:01:00"/>
    <m/>
    <m/>
    <n v="1951"/>
    <n v="180.44"/>
    <n v="7.7"/>
    <n v="2611000000000"/>
    <n v="28.1"/>
    <n v="113"/>
    <n v="11.2"/>
    <n v="49.7"/>
    <n v="1366417754"/>
  </r>
  <r>
    <x v="179"/>
    <x v="179"/>
    <x v="2"/>
    <x v="553"/>
    <x v="6"/>
    <x v="1"/>
    <x v="120"/>
    <x v="270"/>
    <x v="2"/>
    <s v="United States"/>
    <m/>
    <x v="0"/>
    <s v="U"/>
    <x v="1"/>
    <d v="1941-06-28T00:00:00"/>
    <s v="Dolby"/>
    <s v="Dagmar"/>
    <m/>
    <d v="2023-04-04T05:01:00"/>
    <s v="California"/>
    <s v="West"/>
    <n v="1941"/>
    <n v="117.24"/>
    <n v="7.5"/>
    <n v="21427700000000"/>
    <n v="88.2"/>
    <n v="101.8"/>
    <n v="9.6"/>
    <n v="36.6"/>
    <n v="328239523"/>
  </r>
  <r>
    <x v="179"/>
    <x v="179"/>
    <x v="2"/>
    <x v="554"/>
    <x v="44"/>
    <x v="48"/>
    <x v="246"/>
    <x v="34"/>
    <x v="2"/>
    <s v="Argentina"/>
    <m/>
    <x v="1"/>
    <s v="U"/>
    <x v="0"/>
    <m/>
    <s v="Galperin"/>
    <s v="Marcos"/>
    <m/>
    <d v="2023-04-04T05:01:00"/>
    <m/>
    <m/>
    <m/>
    <n v="232.75"/>
    <n v="53.5"/>
    <n v="449663446954"/>
    <n v="90"/>
    <n v="109.7"/>
    <n v="10.1"/>
    <n v="106.3"/>
    <n v="44938712"/>
  </r>
  <r>
    <x v="179"/>
    <x v="179"/>
    <x v="15"/>
    <x v="555"/>
    <x v="6"/>
    <x v="1"/>
    <x v="87"/>
    <x v="271"/>
    <x v="15"/>
    <s v="United States"/>
    <m/>
    <x v="1"/>
    <s v="D"/>
    <x v="0"/>
    <d v="1941-11-14T00:00:00"/>
    <s v="Golisano"/>
    <s v="Tom"/>
    <m/>
    <d v="2023-04-04T05:01:00"/>
    <s v="Florida"/>
    <s v="South"/>
    <n v="1941"/>
    <n v="117.24"/>
    <n v="7.5"/>
    <n v="21427700000000"/>
    <n v="88.2"/>
    <n v="101.8"/>
    <n v="9.6"/>
    <n v="36.6"/>
    <n v="328239523"/>
  </r>
  <r>
    <x v="179"/>
    <x v="179"/>
    <x v="3"/>
    <x v="556"/>
    <x v="52"/>
    <x v="1"/>
    <x v="5"/>
    <x v="38"/>
    <x v="3"/>
    <s v="United States"/>
    <m/>
    <x v="1"/>
    <s v="D"/>
    <x v="0"/>
    <d v="1970-02-04T00:00:00"/>
    <s v="Gray"/>
    <s v="Jonathan"/>
    <m/>
    <d v="2023-04-04T05:01:00"/>
    <s v="New York"/>
    <s v="Northeast"/>
    <n v="1970"/>
    <n v="117.24"/>
    <n v="7.5"/>
    <n v="21427700000000"/>
    <n v="88.2"/>
    <n v="101.8"/>
    <n v="9.6"/>
    <n v="36.6"/>
    <n v="328239523"/>
  </r>
  <r>
    <x v="179"/>
    <x v="179"/>
    <x v="3"/>
    <x v="557"/>
    <x v="5"/>
    <x v="49"/>
    <x v="247"/>
    <x v="38"/>
    <x v="3"/>
    <s v="Georgia"/>
    <m/>
    <x v="1"/>
    <s v="U"/>
    <x v="0"/>
    <d v="1956-02-18T00:00:00"/>
    <s v="Ivanishvili"/>
    <s v="Bidzina"/>
    <m/>
    <d v="2023-04-04T05:01:00"/>
    <m/>
    <m/>
    <n v="1956"/>
    <n v="133.61000000000001"/>
    <n v="4.9000000000000004"/>
    <n v="17743195770"/>
    <n v="63.9"/>
    <n v="98.6"/>
    <n v="21.7"/>
    <n v="9.9"/>
    <n v="3720382"/>
  </r>
  <r>
    <x v="179"/>
    <x v="179"/>
    <x v="12"/>
    <x v="558"/>
    <x v="21"/>
    <x v="15"/>
    <x v="42"/>
    <x v="272"/>
    <x v="12"/>
    <s v="Indonesia"/>
    <m/>
    <x v="1"/>
    <s v="U"/>
    <x v="0"/>
    <d v="1928-11-01T00:00:00"/>
    <s v="Lim"/>
    <s v="Hariyanto Wijaya Sarwono"/>
    <m/>
    <d v="2023-04-04T05:01:00"/>
    <m/>
    <m/>
    <n v="1928"/>
    <n v="151.18"/>
    <n v="3"/>
    <n v="1119190780753"/>
    <n v="36.299999999999997"/>
    <n v="106.4"/>
    <n v="10.199999999999999"/>
    <n v="30.1"/>
    <n v="270203917"/>
  </r>
  <r>
    <x v="179"/>
    <x v="179"/>
    <x v="14"/>
    <x v="559"/>
    <x v="22"/>
    <x v="8"/>
    <x v="248"/>
    <x v="78"/>
    <x v="14"/>
    <s v="Switzerland"/>
    <m/>
    <x v="1"/>
    <s v="D"/>
    <x v="0"/>
    <d v="1946-01-31T00:00:00"/>
    <s v="Maag"/>
    <s v="Rudolf"/>
    <m/>
    <d v="2023-04-04T05:01:00"/>
    <m/>
    <m/>
    <n v="1946"/>
    <n v="99.55"/>
    <n v="0.4"/>
    <n v="703082435360"/>
    <n v="59.6"/>
    <n v="105.2"/>
    <n v="10.1"/>
    <n v="28.8"/>
    <n v="8574832"/>
  </r>
  <r>
    <x v="179"/>
    <x v="179"/>
    <x v="7"/>
    <x v="560"/>
    <x v="20"/>
    <x v="6"/>
    <x v="202"/>
    <x v="54"/>
    <x v="7"/>
    <s v="Canada"/>
    <s v="Saputo"/>
    <x v="0"/>
    <s v="U"/>
    <x v="0"/>
    <d v="1937-01-01T00:00:00"/>
    <s v="Saputo"/>
    <s v="Emanuele (Lino)"/>
    <s v="Chairman"/>
    <d v="2023-04-04T05:01:00"/>
    <m/>
    <m/>
    <n v="1937"/>
    <n v="116.76"/>
    <n v="1.9"/>
    <n v="1736425629520"/>
    <n v="68.900000000000006"/>
    <n v="100.9"/>
    <n v="12.8"/>
    <n v="24.5"/>
    <n v="36991981"/>
  </r>
  <r>
    <x v="179"/>
    <x v="179"/>
    <x v="1"/>
    <x v="561"/>
    <x v="25"/>
    <x v="1"/>
    <x v="249"/>
    <x v="273"/>
    <x v="1"/>
    <s v="United States"/>
    <m/>
    <x v="0"/>
    <s v="U"/>
    <x v="0"/>
    <d v="1950-11-20T00:00:00"/>
    <s v="Shoen"/>
    <s v="Mark"/>
    <m/>
    <d v="2023-04-04T05:01:00"/>
    <s v="Arizona"/>
    <s v="West"/>
    <n v="1950"/>
    <n v="117.24"/>
    <n v="7.5"/>
    <n v="21427700000000"/>
    <n v="88.2"/>
    <n v="101.8"/>
    <n v="9.6"/>
    <n v="36.6"/>
    <n v="328239523"/>
  </r>
  <r>
    <x v="179"/>
    <x v="179"/>
    <x v="17"/>
    <x v="562"/>
    <x v="17"/>
    <x v="1"/>
    <x v="220"/>
    <x v="274"/>
    <x v="17"/>
    <s v="United States"/>
    <m/>
    <x v="1"/>
    <s v="U"/>
    <x v="0"/>
    <d v="1964-11-23T00:00:00"/>
    <s v="Snyder"/>
    <s v="Dan"/>
    <m/>
    <d v="2023-04-04T05:01:00"/>
    <s v="Maryland"/>
    <s v="South"/>
    <n v="1964"/>
    <n v="117.24"/>
    <n v="7.5"/>
    <n v="21427700000000"/>
    <n v="88.2"/>
    <n v="101.8"/>
    <n v="9.6"/>
    <n v="36.6"/>
    <n v="328239523"/>
  </r>
  <r>
    <x v="179"/>
    <x v="179"/>
    <x v="6"/>
    <x v="563"/>
    <x v="15"/>
    <x v="15"/>
    <x v="42"/>
    <x v="8"/>
    <x v="6"/>
    <s v="Indonesia"/>
    <m/>
    <x v="1"/>
    <s v="D"/>
    <x v="0"/>
    <d v="1962-06-18T00:00:00"/>
    <s v="Tanjung"/>
    <s v="Chairul"/>
    <m/>
    <d v="2023-04-04T05:01:00"/>
    <m/>
    <m/>
    <n v="1962"/>
    <n v="151.18"/>
    <n v="3"/>
    <n v="1119190780753"/>
    <n v="36.299999999999997"/>
    <n v="106.4"/>
    <n v="10.199999999999999"/>
    <n v="30.1"/>
    <n v="270203917"/>
  </r>
  <r>
    <x v="179"/>
    <x v="179"/>
    <x v="13"/>
    <x v="564"/>
    <x v="5"/>
    <x v="1"/>
    <x v="80"/>
    <x v="175"/>
    <x v="13"/>
    <s v="United States"/>
    <m/>
    <x v="1"/>
    <s v="U"/>
    <x v="0"/>
    <d v="1955-11-09T00:00:00"/>
    <s v="Warren"/>
    <s v="Kelcy"/>
    <m/>
    <d v="2023-04-04T05:01:00"/>
    <s v="Texas"/>
    <s v="South"/>
    <n v="1955"/>
    <n v="117.24"/>
    <n v="7.5"/>
    <n v="21427700000000"/>
    <n v="88.2"/>
    <n v="101.8"/>
    <n v="9.6"/>
    <n v="36.6"/>
    <n v="328239523"/>
  </r>
  <r>
    <x v="179"/>
    <x v="179"/>
    <x v="0"/>
    <x v="565"/>
    <x v="10"/>
    <x v="5"/>
    <x v="19"/>
    <x v="34"/>
    <x v="0"/>
    <s v="China"/>
    <m/>
    <x v="1"/>
    <s v="D"/>
    <x v="0"/>
    <d v="1972-11-01T00:00:00"/>
    <s v="Zhang"/>
    <s v="Tao"/>
    <m/>
    <d v="2023-04-04T05:01:00"/>
    <m/>
    <m/>
    <n v="1972"/>
    <n v="125.08"/>
    <n v="2.9"/>
    <n v="19910000000000"/>
    <n v="50.6"/>
    <n v="100.2"/>
    <n v="9.4"/>
    <n v="59.2"/>
    <n v="1397715000"/>
  </r>
  <r>
    <x v="180"/>
    <x v="180"/>
    <x v="0"/>
    <x v="566"/>
    <x v="17"/>
    <x v="13"/>
    <x v="250"/>
    <x v="275"/>
    <x v="0"/>
    <s v="United Kingdom"/>
    <m/>
    <x v="1"/>
    <s v="U"/>
    <x v="0"/>
    <d v="1964-09-12T00:00:00"/>
    <s v="Ashley"/>
    <s v="Michael"/>
    <m/>
    <d v="2023-04-04T05:01:00"/>
    <m/>
    <m/>
    <n v="1964"/>
    <n v="119.62"/>
    <n v="1.7"/>
    <n v="2827113184696"/>
    <n v="60"/>
    <n v="101.2"/>
    <n v="25.5"/>
    <n v="30.6"/>
    <n v="66834405"/>
  </r>
  <r>
    <x v="180"/>
    <x v="180"/>
    <x v="0"/>
    <x v="567"/>
    <x v="10"/>
    <x v="42"/>
    <x v="251"/>
    <x v="81"/>
    <x v="0"/>
    <s v="Poland"/>
    <m/>
    <x v="1"/>
    <s v="U"/>
    <x v="0"/>
    <d v="1973-01-01T00:00:00"/>
    <s v="Biernacki"/>
    <s v="Tomasz"/>
    <m/>
    <d v="2023-04-04T05:01:00"/>
    <m/>
    <m/>
    <n v="1973"/>
    <n v="114.11"/>
    <n v="2.2000000000000002"/>
    <n v="592164400688"/>
    <n v="67.8"/>
    <n v="100"/>
    <n v="17.399999999999999"/>
    <n v="40.799999999999997"/>
    <n v="37970874"/>
  </r>
  <r>
    <x v="180"/>
    <x v="180"/>
    <x v="14"/>
    <x v="568"/>
    <x v="55"/>
    <x v="7"/>
    <x v="252"/>
    <x v="63"/>
    <x v="14"/>
    <s v="Germany"/>
    <m/>
    <x v="1"/>
    <s v="U"/>
    <x v="0"/>
    <d v="1943-11-22T00:00:00"/>
    <s v="Broermann"/>
    <s v="Bernard"/>
    <m/>
    <d v="2023-04-04T05:01:00"/>
    <m/>
    <m/>
    <n v="1943"/>
    <n v="112.85"/>
    <n v="1.4"/>
    <n v="3845630030824"/>
    <n v="70.2"/>
    <n v="104"/>
    <n v="11.5"/>
    <n v="48.8"/>
    <n v="83132799"/>
  </r>
  <r>
    <x v="180"/>
    <x v="180"/>
    <x v="0"/>
    <x v="569"/>
    <x v="9"/>
    <x v="1"/>
    <x v="253"/>
    <x v="276"/>
    <x v="0"/>
    <s v="United States"/>
    <s v="Pilot Flying J"/>
    <x v="0"/>
    <s v="U"/>
    <x v="0"/>
    <d v="1954-03-09T00:00:00"/>
    <s v="Haslam"/>
    <s v="Jimmy"/>
    <s v="CEO"/>
    <d v="2023-04-04T05:01:00"/>
    <s v="Tennessee"/>
    <s v="South"/>
    <n v="1954"/>
    <n v="117.24"/>
    <n v="7.5"/>
    <n v="21427700000000"/>
    <n v="88.2"/>
    <n v="101.8"/>
    <n v="9.6"/>
    <n v="36.6"/>
    <n v="328239523"/>
  </r>
  <r>
    <x v="180"/>
    <x v="180"/>
    <x v="10"/>
    <x v="570"/>
    <x v="29"/>
    <x v="1"/>
    <x v="254"/>
    <x v="277"/>
    <x v="10"/>
    <s v="United States"/>
    <m/>
    <x v="0"/>
    <s v="U"/>
    <x v="0"/>
    <d v="1958-05-19T00:00:00"/>
    <s v="Johnson"/>
    <s v="H. Fisk"/>
    <m/>
    <d v="2023-04-04T05:01:00"/>
    <s v="Wisconsin"/>
    <s v="Midwest"/>
    <n v="1958"/>
    <n v="117.24"/>
    <n v="7.5"/>
    <n v="21427700000000"/>
    <n v="88.2"/>
    <n v="101.8"/>
    <n v="9.6"/>
    <n v="36.6"/>
    <n v="328239523"/>
  </r>
  <r>
    <x v="180"/>
    <x v="180"/>
    <x v="10"/>
    <x v="571"/>
    <x v="5"/>
    <x v="1"/>
    <x v="254"/>
    <x v="277"/>
    <x v="10"/>
    <s v="United States"/>
    <m/>
    <x v="0"/>
    <s v="U"/>
    <x v="0"/>
    <d v="1955-05-05T00:00:00"/>
    <s v="Johnson"/>
    <s v="S. Curtis"/>
    <m/>
    <d v="2023-04-04T05:01:00"/>
    <s v="Wisconsin"/>
    <s v="Midwest"/>
    <n v="1955"/>
    <n v="117.24"/>
    <n v="7.5"/>
    <n v="21427700000000"/>
    <n v="88.2"/>
    <n v="101.8"/>
    <n v="9.6"/>
    <n v="36.6"/>
    <n v="328239523"/>
  </r>
  <r>
    <x v="180"/>
    <x v="180"/>
    <x v="10"/>
    <x v="572"/>
    <x v="37"/>
    <x v="1"/>
    <x v="254"/>
    <x v="277"/>
    <x v="10"/>
    <s v="United States"/>
    <m/>
    <x v="0"/>
    <s v="U"/>
    <x v="1"/>
    <d v="1956-12-30T00:00:00"/>
    <s v="Johnson-Leipold"/>
    <s v="Helen"/>
    <m/>
    <d v="2023-04-04T05:01:00"/>
    <s v="Wisconsin"/>
    <s v="Midwest"/>
    <n v="1956"/>
    <n v="117.24"/>
    <n v="7.5"/>
    <n v="21427700000000"/>
    <n v="88.2"/>
    <n v="101.8"/>
    <n v="9.6"/>
    <n v="36.6"/>
    <n v="328239523"/>
  </r>
  <r>
    <x v="180"/>
    <x v="180"/>
    <x v="2"/>
    <x v="573"/>
    <x v="13"/>
    <x v="1"/>
    <x v="255"/>
    <x v="137"/>
    <x v="2"/>
    <s v="United States"/>
    <s v="Khosla Ventures"/>
    <x v="1"/>
    <s v="D"/>
    <x v="0"/>
    <d v="1955-01-28T00:00:00"/>
    <s v="Khosla"/>
    <s v="Vinod"/>
    <s v="Investor"/>
    <d v="2023-04-04T05:01:00"/>
    <s v="California"/>
    <s v="West"/>
    <n v="1955"/>
    <n v="117.24"/>
    <n v="7.5"/>
    <n v="21427700000000"/>
    <n v="88.2"/>
    <n v="101.8"/>
    <n v="9.6"/>
    <n v="36.6"/>
    <n v="328239523"/>
  </r>
  <r>
    <x v="180"/>
    <x v="180"/>
    <x v="2"/>
    <x v="574"/>
    <x v="29"/>
    <x v="1"/>
    <x v="1"/>
    <x v="223"/>
    <x v="2"/>
    <s v="United States"/>
    <m/>
    <x v="1"/>
    <s v="U"/>
    <x v="1"/>
    <d v="1958-11-27T00:00:00"/>
    <s v="Lee"/>
    <s v="Thai"/>
    <m/>
    <d v="2023-04-04T05:01:00"/>
    <s v="Texas"/>
    <s v="South"/>
    <n v="1958"/>
    <n v="117.24"/>
    <n v="7.5"/>
    <n v="21427700000000"/>
    <n v="88.2"/>
    <n v="101.8"/>
    <n v="9.6"/>
    <n v="36.6"/>
    <n v="328239523"/>
  </r>
  <r>
    <x v="180"/>
    <x v="180"/>
    <x v="10"/>
    <x v="575"/>
    <x v="53"/>
    <x v="1"/>
    <x v="256"/>
    <x v="277"/>
    <x v="10"/>
    <s v="United States"/>
    <m/>
    <x v="0"/>
    <s v="U"/>
    <x v="1"/>
    <d v="1959-04-06T00:00:00"/>
    <s v="Marquart"/>
    <s v="Winifred J."/>
    <m/>
    <d v="2023-04-04T05:01:00"/>
    <s v="Virginia"/>
    <s v="South"/>
    <n v="1959"/>
    <n v="117.24"/>
    <n v="7.5"/>
    <n v="21427700000000"/>
    <n v="88.2"/>
    <n v="101.8"/>
    <n v="9.6"/>
    <n v="36.6"/>
    <n v="328239523"/>
  </r>
  <r>
    <x v="180"/>
    <x v="180"/>
    <x v="14"/>
    <x v="576"/>
    <x v="36"/>
    <x v="3"/>
    <x v="17"/>
    <x v="83"/>
    <x v="14"/>
    <s v="India"/>
    <m/>
    <x v="0"/>
    <s v="U"/>
    <x v="0"/>
    <d v="1953-03-19T00:00:00"/>
    <s v="Patel"/>
    <s v="Pankaj"/>
    <m/>
    <d v="2023-04-04T05:01:00"/>
    <m/>
    <m/>
    <n v="1953"/>
    <n v="180.44"/>
    <n v="7.7"/>
    <n v="2611000000000"/>
    <n v="28.1"/>
    <n v="113"/>
    <n v="11.2"/>
    <n v="49.7"/>
    <n v="1366417754"/>
  </r>
  <r>
    <x v="180"/>
    <x v="180"/>
    <x v="10"/>
    <x v="577"/>
    <x v="3"/>
    <x v="10"/>
    <x v="36"/>
    <x v="108"/>
    <x v="10"/>
    <s v="Germany"/>
    <m/>
    <x v="1"/>
    <s v="D"/>
    <x v="0"/>
    <d v="1944-10-23T00:00:00"/>
    <s v="Pudwill"/>
    <s v="Horst Julius"/>
    <m/>
    <d v="2023-04-04T05:01:00"/>
    <m/>
    <m/>
    <n v="1944"/>
    <m/>
    <m/>
    <m/>
    <m/>
    <m/>
    <m/>
    <m/>
    <m/>
  </r>
  <r>
    <x v="180"/>
    <x v="180"/>
    <x v="3"/>
    <x v="578"/>
    <x v="34"/>
    <x v="5"/>
    <x v="34"/>
    <x v="40"/>
    <x v="3"/>
    <s v="China"/>
    <m/>
    <x v="1"/>
    <s v="U"/>
    <x v="0"/>
    <d v="1961-02-01T00:00:00"/>
    <s v="Yu"/>
    <s v="Yong"/>
    <m/>
    <d v="2023-04-04T05:01:00"/>
    <m/>
    <m/>
    <n v="1961"/>
    <n v="125.08"/>
    <n v="2.9"/>
    <n v="19910000000000"/>
    <n v="50.6"/>
    <n v="100.2"/>
    <n v="9.4"/>
    <n v="59.2"/>
    <n v="1397715000"/>
  </r>
  <r>
    <x v="181"/>
    <x v="181"/>
    <x v="6"/>
    <x v="579"/>
    <x v="50"/>
    <x v="50"/>
    <x v="257"/>
    <x v="130"/>
    <x v="6"/>
    <s v="Portugal"/>
    <m/>
    <x v="0"/>
    <s v="E"/>
    <x v="1"/>
    <d v="1935-01-16T00:00:00"/>
    <s v="Amorim"/>
    <s v="Maria Fernanda"/>
    <m/>
    <d v="2023-04-04T05:01:00"/>
    <m/>
    <m/>
    <n v="1935"/>
    <n v="110.62"/>
    <n v="0.3"/>
    <n v="237686075635"/>
    <n v="63.9"/>
    <n v="106.2"/>
    <n v="22.8"/>
    <n v="39.799999999999997"/>
    <n v="10269417"/>
  </r>
  <r>
    <x v="181"/>
    <x v="181"/>
    <x v="17"/>
    <x v="580"/>
    <x v="31"/>
    <x v="1"/>
    <x v="258"/>
    <x v="278"/>
    <x v="17"/>
    <s v="United States"/>
    <m/>
    <x v="0"/>
    <s v="U"/>
    <x v="1"/>
    <d v="1947-01-26T00:00:00"/>
    <s v="Benson"/>
    <s v="Gayle"/>
    <m/>
    <d v="2023-04-04T05:01:00"/>
    <s v="Louisiana"/>
    <s v="South"/>
    <n v="1947"/>
    <n v="117.24"/>
    <n v="7.5"/>
    <n v="21427700000000"/>
    <n v="88.2"/>
    <n v="101.8"/>
    <n v="9.6"/>
    <n v="36.6"/>
    <n v="328239523"/>
  </r>
  <r>
    <x v="181"/>
    <x v="181"/>
    <x v="2"/>
    <x v="581"/>
    <x v="3"/>
    <x v="35"/>
    <x v="152"/>
    <x v="172"/>
    <x v="2"/>
    <s v="Singapore"/>
    <m/>
    <x v="1"/>
    <s v="U"/>
    <x v="0"/>
    <d v="1944-05-01T00:00:00"/>
    <s v="Chang"/>
    <s v="Jason"/>
    <m/>
    <d v="2023-04-04T05:01:00"/>
    <m/>
    <m/>
    <n v="1944"/>
    <m/>
    <m/>
    <m/>
    <m/>
    <m/>
    <m/>
    <m/>
    <m/>
  </r>
  <r>
    <x v="181"/>
    <x v="181"/>
    <x v="10"/>
    <x v="582"/>
    <x v="53"/>
    <x v="47"/>
    <x v="228"/>
    <x v="244"/>
    <x v="10"/>
    <s v="Turkey"/>
    <m/>
    <x v="1"/>
    <s v="U"/>
    <x v="0"/>
    <d v="1959-11-20T00:00:00"/>
    <s v="Erdemoglu"/>
    <s v="Ali"/>
    <m/>
    <d v="2023-04-04T05:01:00"/>
    <m/>
    <m/>
    <n v="1959"/>
    <n v="234.44"/>
    <n v="15.2"/>
    <n v="754411708203"/>
    <n v="23.9"/>
    <n v="93.2"/>
    <n v="17.899999999999999"/>
    <n v="42.3"/>
    <n v="83429615"/>
  </r>
  <r>
    <x v="181"/>
    <x v="181"/>
    <x v="3"/>
    <x v="583"/>
    <x v="23"/>
    <x v="30"/>
    <x v="99"/>
    <x v="75"/>
    <x v="3"/>
    <s v="Brazil"/>
    <m/>
    <x v="1"/>
    <s v="D"/>
    <x v="0"/>
    <d v="1968-07-12T00:00:00"/>
    <s v="Esteves"/>
    <s v="Andre"/>
    <m/>
    <d v="2023-04-04T05:01:00"/>
    <m/>
    <m/>
    <n v="1968"/>
    <n v="167.4"/>
    <n v="3.7"/>
    <n v="1839758040766"/>
    <n v="51.3"/>
    <n v="115.4"/>
    <n v="14.2"/>
    <n v="65.099999999999994"/>
    <n v="212559417"/>
  </r>
  <r>
    <x v="181"/>
    <x v="181"/>
    <x v="11"/>
    <x v="584"/>
    <x v="13"/>
    <x v="6"/>
    <x v="16"/>
    <x v="36"/>
    <x v="11"/>
    <s v="Canada"/>
    <s v="Orlando Corporation"/>
    <x v="0"/>
    <s v="U"/>
    <x v="0"/>
    <d v="1955-01-01T00:00:00"/>
    <s v="Fidani"/>
    <s v="Carlo"/>
    <s v="Chairman"/>
    <d v="2023-04-04T05:01:00"/>
    <m/>
    <m/>
    <n v="1955"/>
    <n v="116.76"/>
    <n v="1.9"/>
    <n v="1736425629520"/>
    <n v="68.900000000000006"/>
    <n v="100.9"/>
    <n v="12.8"/>
    <n v="24.5"/>
    <n v="36991981"/>
  </r>
  <r>
    <x v="181"/>
    <x v="181"/>
    <x v="2"/>
    <x v="585"/>
    <x v="22"/>
    <x v="32"/>
    <x v="109"/>
    <x v="153"/>
    <x v="2"/>
    <s v="South Korea"/>
    <m/>
    <x v="0"/>
    <s v="D"/>
    <x v="1"/>
    <d v="1945-07-15T00:00:00"/>
    <s v="Hong"/>
    <s v="Ra-hee"/>
    <m/>
    <d v="2023-04-04T05:01:00"/>
    <m/>
    <m/>
    <n v="1945"/>
    <n v="115.16"/>
    <n v="0.4"/>
    <n v="2029000000000"/>
    <n v="94.3"/>
    <n v="98.1"/>
    <n v="15.6"/>
    <n v="33.200000000000003"/>
    <n v="51709098"/>
  </r>
  <r>
    <x v="181"/>
    <x v="181"/>
    <x v="10"/>
    <x v="586"/>
    <x v="10"/>
    <x v="5"/>
    <x v="34"/>
    <x v="279"/>
    <x v="10"/>
    <s v="China"/>
    <m/>
    <x v="1"/>
    <s v="U"/>
    <x v="0"/>
    <d v="1972-04-08T00:00:00"/>
    <s v="Li"/>
    <s v="Gaiteng"/>
    <m/>
    <d v="2023-04-04T05:01:00"/>
    <m/>
    <m/>
    <n v="1972"/>
    <n v="125.08"/>
    <n v="2.9"/>
    <n v="19910000000000"/>
    <n v="50.6"/>
    <n v="100.2"/>
    <n v="9.4"/>
    <n v="59.2"/>
    <n v="1397715000"/>
  </r>
  <r>
    <x v="181"/>
    <x v="181"/>
    <x v="4"/>
    <x v="587"/>
    <x v="13"/>
    <x v="1"/>
    <x v="259"/>
    <x v="6"/>
    <x v="4"/>
    <s v="United States"/>
    <m/>
    <x v="1"/>
    <s v="U"/>
    <x v="0"/>
    <d v="1954-06-23T00:00:00"/>
    <s v="Secunda"/>
    <s v="Thomas"/>
    <m/>
    <d v="2023-04-04T05:01:00"/>
    <s v="New York"/>
    <s v="Northeast"/>
    <n v="1954"/>
    <n v="117.24"/>
    <n v="7.5"/>
    <n v="21427700000000"/>
    <n v="88.2"/>
    <n v="101.8"/>
    <n v="9.6"/>
    <n v="36.6"/>
    <n v="328239523"/>
  </r>
  <r>
    <x v="181"/>
    <x v="181"/>
    <x v="6"/>
    <x v="588"/>
    <x v="31"/>
    <x v="5"/>
    <x v="260"/>
    <x v="280"/>
    <x v="6"/>
    <s v="China"/>
    <m/>
    <x v="1"/>
    <s v="U"/>
    <x v="0"/>
    <d v="1947-03-19T00:00:00"/>
    <s v="Song"/>
    <s v="Zuowen"/>
    <m/>
    <d v="2023-04-04T05:01:00"/>
    <m/>
    <m/>
    <n v="1947"/>
    <n v="125.08"/>
    <n v="2.9"/>
    <n v="19910000000000"/>
    <n v="50.6"/>
    <n v="100.2"/>
    <n v="9.4"/>
    <n v="59.2"/>
    <n v="1397715000"/>
  </r>
  <r>
    <x v="181"/>
    <x v="181"/>
    <x v="4"/>
    <x v="589"/>
    <x v="33"/>
    <x v="1"/>
    <x v="157"/>
    <x v="281"/>
    <x v="4"/>
    <s v="United States"/>
    <m/>
    <x v="1"/>
    <s v="D"/>
    <x v="0"/>
    <d v="1970-12-13T00:00:00"/>
    <s v="Sweeney"/>
    <s v="Tim"/>
    <m/>
    <d v="2023-04-04T05:01:00"/>
    <s v="North Carolina"/>
    <s v="South"/>
    <n v="1970"/>
    <n v="117.24"/>
    <n v="7.5"/>
    <n v="21427700000000"/>
    <n v="88.2"/>
    <n v="101.8"/>
    <n v="9.6"/>
    <n v="36.6"/>
    <n v="328239523"/>
  </r>
  <r>
    <x v="182"/>
    <x v="182"/>
    <x v="7"/>
    <x v="590"/>
    <x v="38"/>
    <x v="1"/>
    <x v="1"/>
    <x v="282"/>
    <x v="7"/>
    <s v="United States"/>
    <m/>
    <x v="1"/>
    <s v="U"/>
    <x v="0"/>
    <d v="1962-01-01T00:00:00"/>
    <s v="Beveridge"/>
    <s v="Bert"/>
    <m/>
    <d v="2023-04-04T05:01:00"/>
    <s v="Texas"/>
    <s v="South"/>
    <n v="1962"/>
    <n v="117.24"/>
    <n v="7.5"/>
    <n v="21427700000000"/>
    <n v="88.2"/>
    <n v="101.8"/>
    <n v="9.6"/>
    <n v="36.6"/>
    <n v="328239523"/>
  </r>
  <r>
    <x v="182"/>
    <x v="182"/>
    <x v="4"/>
    <x v="591"/>
    <x v="29"/>
    <x v="1"/>
    <x v="80"/>
    <x v="283"/>
    <x v="4"/>
    <s v="United States"/>
    <s v="Dallas Mavericks"/>
    <x v="1"/>
    <s v="D"/>
    <x v="0"/>
    <d v="1958-07-31T00:00:00"/>
    <s v="Cuban"/>
    <s v="Mark"/>
    <s v="Owner"/>
    <d v="2023-04-04T05:01:00"/>
    <s v="Texas"/>
    <s v="South"/>
    <n v="1958"/>
    <n v="117.24"/>
    <n v="7.5"/>
    <n v="21427700000000"/>
    <n v="88.2"/>
    <n v="101.8"/>
    <n v="9.6"/>
    <n v="36.6"/>
    <n v="328239523"/>
  </r>
  <r>
    <x v="182"/>
    <x v="182"/>
    <x v="4"/>
    <x v="592"/>
    <x v="61"/>
    <x v="1"/>
    <x v="261"/>
    <x v="131"/>
    <x v="4"/>
    <s v="United States"/>
    <s v="Cablevision Systems Corp."/>
    <x v="1"/>
    <s v="D"/>
    <x v="0"/>
    <d v="1926-10-16T00:00:00"/>
    <s v="Dolan"/>
    <s v="Charles"/>
    <s v="Chairman and Founder"/>
    <d v="2023-04-04T05:01:00"/>
    <s v="New York"/>
    <s v="Northeast"/>
    <n v="1926"/>
    <n v="117.24"/>
    <n v="7.5"/>
    <n v="21427700000000"/>
    <n v="88.2"/>
    <n v="101.8"/>
    <n v="9.6"/>
    <n v="36.6"/>
    <n v="328239523"/>
  </r>
  <r>
    <x v="182"/>
    <x v="182"/>
    <x v="2"/>
    <x v="593"/>
    <x v="62"/>
    <x v="1"/>
    <x v="120"/>
    <x v="284"/>
    <x v="2"/>
    <s v="United States"/>
    <s v="Twitter"/>
    <x v="1"/>
    <s v="D"/>
    <x v="0"/>
    <d v="1976-11-19T00:00:00"/>
    <s v="Dorsey"/>
    <s v="Jack"/>
    <s v="Cofounder"/>
    <d v="2023-04-04T05:01:00"/>
    <s v="California"/>
    <s v="West"/>
    <n v="1976"/>
    <n v="117.24"/>
    <n v="7.5"/>
    <n v="21427700000000"/>
    <n v="88.2"/>
    <n v="101.8"/>
    <n v="9.6"/>
    <n v="36.6"/>
    <n v="328239523"/>
  </r>
  <r>
    <x v="182"/>
    <x v="182"/>
    <x v="13"/>
    <x v="594"/>
    <x v="32"/>
    <x v="5"/>
    <x v="133"/>
    <x v="156"/>
    <x v="13"/>
    <s v="China"/>
    <m/>
    <x v="1"/>
    <s v="D"/>
    <x v="1"/>
    <d v="1967-01-01T00:00:00"/>
    <s v="Fan"/>
    <s v="Hongwei"/>
    <m/>
    <d v="2023-04-04T05:01:00"/>
    <m/>
    <m/>
    <n v="1967"/>
    <n v="125.08"/>
    <n v="2.9"/>
    <n v="19910000000000"/>
    <n v="50.6"/>
    <n v="100.2"/>
    <n v="9.4"/>
    <n v="59.2"/>
    <n v="1397715000"/>
  </r>
  <r>
    <x v="182"/>
    <x v="182"/>
    <x v="12"/>
    <x v="595"/>
    <x v="34"/>
    <x v="51"/>
    <x v="262"/>
    <x v="40"/>
    <x v="12"/>
    <s v="Kazakhstan"/>
    <m/>
    <x v="1"/>
    <s v="D"/>
    <x v="0"/>
    <d v="1960-10-29T00:00:00"/>
    <s v="Kim"/>
    <s v="Vladimir"/>
    <m/>
    <d v="2023-04-04T05:01:00"/>
    <m/>
    <m/>
    <n v="1960"/>
    <n v="182.75"/>
    <n v="5.2"/>
    <n v="180161741180"/>
    <n v="61.7"/>
    <n v="104.4"/>
    <n v="11.7"/>
    <n v="28.4"/>
    <n v="18513930"/>
  </r>
  <r>
    <x v="182"/>
    <x v="182"/>
    <x v="3"/>
    <x v="596"/>
    <x v="42"/>
    <x v="35"/>
    <x v="152"/>
    <x v="285"/>
    <x v="3"/>
    <s v="Taiwan"/>
    <m/>
    <x v="0"/>
    <s v="D"/>
    <x v="0"/>
    <d v="1967-05-25T00:00:00"/>
    <s v="Koo"/>
    <s v="Andre"/>
    <m/>
    <d v="2023-04-04T05:01:00"/>
    <m/>
    <m/>
    <n v="1967"/>
    <m/>
    <m/>
    <m/>
    <m/>
    <m/>
    <m/>
    <m/>
    <m/>
  </r>
  <r>
    <x v="182"/>
    <x v="182"/>
    <x v="0"/>
    <x v="597"/>
    <x v="55"/>
    <x v="1"/>
    <x v="5"/>
    <x v="59"/>
    <x v="0"/>
    <s v="United States"/>
    <m/>
    <x v="0"/>
    <s v="D"/>
    <x v="0"/>
    <d v="1944-02-26T00:00:00"/>
    <s v="Lauder"/>
    <s v="Ronald"/>
    <m/>
    <d v="2023-04-04T05:01:00"/>
    <s v="New York"/>
    <s v="Northeast"/>
    <n v="1944"/>
    <n v="117.24"/>
    <n v="7.5"/>
    <n v="21427700000000"/>
    <n v="88.2"/>
    <n v="101.8"/>
    <n v="9.6"/>
    <n v="36.6"/>
    <n v="328239523"/>
  </r>
  <r>
    <x v="182"/>
    <x v="182"/>
    <x v="10"/>
    <x v="598"/>
    <x v="23"/>
    <x v="5"/>
    <x v="263"/>
    <x v="286"/>
    <x v="10"/>
    <s v="China"/>
    <m/>
    <x v="1"/>
    <s v="D"/>
    <x v="0"/>
    <d v="1968-10-10T00:00:00"/>
    <s v="Li"/>
    <s v="Chunan"/>
    <m/>
    <d v="2023-04-04T05:01:00"/>
    <m/>
    <m/>
    <n v="1968"/>
    <n v="125.08"/>
    <n v="2.9"/>
    <n v="19910000000000"/>
    <n v="50.6"/>
    <n v="100.2"/>
    <n v="9.4"/>
    <n v="59.2"/>
    <n v="1397715000"/>
  </r>
  <r>
    <x v="182"/>
    <x v="182"/>
    <x v="4"/>
    <x v="599"/>
    <x v="45"/>
    <x v="25"/>
    <x v="76"/>
    <x v="287"/>
    <x v="4"/>
    <s v="Singapore"/>
    <m/>
    <x v="1"/>
    <s v="D"/>
    <x v="0"/>
    <d v="1978-01-01T00:00:00"/>
    <s v="Li"/>
    <s v="Forrest"/>
    <m/>
    <d v="2023-04-04T05:01:00"/>
    <m/>
    <m/>
    <n v="1978"/>
    <n v="114.41"/>
    <n v="0.6"/>
    <n v="372062527489"/>
    <n v="84.8"/>
    <n v="100.6"/>
    <n v="13.1"/>
    <n v="21"/>
    <n v="5703569"/>
  </r>
  <r>
    <x v="182"/>
    <x v="182"/>
    <x v="5"/>
    <x v="600"/>
    <x v="32"/>
    <x v="10"/>
    <x v="36"/>
    <x v="7"/>
    <x v="5"/>
    <s v="Hong Kong"/>
    <m/>
    <x v="0"/>
    <s v="D"/>
    <x v="0"/>
    <d v="1966-11-08T00:00:00"/>
    <s v="Li"/>
    <s v="Richard"/>
    <m/>
    <d v="2023-04-04T05:01:00"/>
    <m/>
    <m/>
    <n v="1966"/>
    <m/>
    <m/>
    <m/>
    <m/>
    <m/>
    <m/>
    <m/>
    <m/>
  </r>
  <r>
    <x v="182"/>
    <x v="182"/>
    <x v="0"/>
    <x v="601"/>
    <x v="9"/>
    <x v="1"/>
    <x v="264"/>
    <x v="81"/>
    <x v="0"/>
    <s v="United States"/>
    <m/>
    <x v="0"/>
    <s v="Split Family Fortune"/>
    <x v="0"/>
    <d v="1954-01-22T00:00:00"/>
    <s v="Meijer"/>
    <s v="Doug"/>
    <m/>
    <d v="2023-04-04T05:01:00"/>
    <s v="Michigan"/>
    <s v="Midwest"/>
    <n v="1954"/>
    <n v="117.24"/>
    <n v="7.5"/>
    <n v="21427700000000"/>
    <n v="88.2"/>
    <n v="101.8"/>
    <n v="9.6"/>
    <n v="36.6"/>
    <n v="328239523"/>
  </r>
  <r>
    <x v="182"/>
    <x v="182"/>
    <x v="0"/>
    <x v="602"/>
    <x v="48"/>
    <x v="1"/>
    <x v="264"/>
    <x v="81"/>
    <x v="0"/>
    <s v="United States"/>
    <m/>
    <x v="0"/>
    <s v="Split Family Fortune"/>
    <x v="0"/>
    <d v="1952-02-15T00:00:00"/>
    <s v="Meijer"/>
    <s v="Hank"/>
    <m/>
    <d v="2023-04-04T05:01:00"/>
    <s v="Michigan"/>
    <s v="Midwest"/>
    <n v="1952"/>
    <n v="117.24"/>
    <n v="7.5"/>
    <n v="21427700000000"/>
    <n v="88.2"/>
    <n v="101.8"/>
    <n v="9.6"/>
    <n v="36.6"/>
    <n v="328239523"/>
  </r>
  <r>
    <x v="182"/>
    <x v="182"/>
    <x v="0"/>
    <x v="603"/>
    <x v="8"/>
    <x v="1"/>
    <x v="264"/>
    <x v="81"/>
    <x v="0"/>
    <s v="United States"/>
    <m/>
    <x v="0"/>
    <s v="Split Family Fortune"/>
    <x v="0"/>
    <d v="1957-10-21T00:00:00"/>
    <s v="Meijer"/>
    <s v="Mark"/>
    <m/>
    <d v="2023-04-04T05:01:00"/>
    <s v="Michigan"/>
    <s v="Midwest"/>
    <n v="1957"/>
    <n v="117.24"/>
    <n v="7.5"/>
    <n v="21427700000000"/>
    <n v="88.2"/>
    <n v="101.8"/>
    <n v="9.6"/>
    <n v="36.6"/>
    <n v="328239523"/>
  </r>
  <r>
    <x v="182"/>
    <x v="182"/>
    <x v="7"/>
    <x v="604"/>
    <x v="55"/>
    <x v="52"/>
    <x v="265"/>
    <x v="267"/>
    <x v="7"/>
    <s v="Algeria"/>
    <m/>
    <x v="1"/>
    <s v="D"/>
    <x v="0"/>
    <d v="1944-01-01T00:00:00"/>
    <s v="Rebrab"/>
    <s v="Issad"/>
    <m/>
    <d v="2023-04-04T05:01:00"/>
    <m/>
    <m/>
    <n v="1944"/>
    <n v="151.36000000000001"/>
    <n v="2"/>
    <n v="169988236398"/>
    <n v="51.4"/>
    <n v="109.9"/>
    <n v="37.200000000000003"/>
    <n v="66.099999999999994"/>
    <n v="43053054"/>
  </r>
  <r>
    <x v="182"/>
    <x v="182"/>
    <x v="8"/>
    <x v="605"/>
    <x v="3"/>
    <x v="1"/>
    <x v="266"/>
    <x v="288"/>
    <x v="8"/>
    <s v="United States"/>
    <s v="FedEx Corp."/>
    <x v="1"/>
    <s v="D"/>
    <x v="0"/>
    <d v="1944-08-11T00:00:00"/>
    <s v="Smith"/>
    <s v="Fred"/>
    <s v="Chairman and CEO"/>
    <d v="2023-04-04T05:01:00"/>
    <s v="Tennessee"/>
    <s v="South"/>
    <n v="1944"/>
    <n v="117.24"/>
    <n v="7.5"/>
    <n v="21427700000000"/>
    <n v="88.2"/>
    <n v="101.8"/>
    <n v="9.6"/>
    <n v="36.6"/>
    <n v="328239523"/>
  </r>
  <r>
    <x v="182"/>
    <x v="182"/>
    <x v="3"/>
    <x v="606"/>
    <x v="34"/>
    <x v="1"/>
    <x v="28"/>
    <x v="122"/>
    <x v="3"/>
    <s v="United States"/>
    <m/>
    <x v="1"/>
    <s v="U"/>
    <x v="0"/>
    <d v="1960-11-27T00:00:00"/>
    <s v="Sternlicht"/>
    <s v="Barry"/>
    <m/>
    <d v="2023-04-04T05:01:00"/>
    <s v="Florida"/>
    <s v="South"/>
    <n v="1960"/>
    <n v="117.24"/>
    <n v="7.5"/>
    <n v="21427700000000"/>
    <n v="88.2"/>
    <n v="101.8"/>
    <n v="9.6"/>
    <n v="36.6"/>
    <n v="328239523"/>
  </r>
  <r>
    <x v="182"/>
    <x v="182"/>
    <x v="10"/>
    <x v="607"/>
    <x v="64"/>
    <x v="7"/>
    <x v="267"/>
    <x v="289"/>
    <x v="10"/>
    <s v="Germany"/>
    <m/>
    <x v="0"/>
    <s v="D"/>
    <x v="0"/>
    <d v="1989-02-11T00:00:00"/>
    <s v="Viessmann"/>
    <s v="Maximilian"/>
    <m/>
    <d v="2023-04-04T05:01:00"/>
    <m/>
    <m/>
    <n v="1989"/>
    <n v="112.85"/>
    <n v="1.4"/>
    <n v="3845630030824"/>
    <n v="70.2"/>
    <n v="104"/>
    <n v="11.5"/>
    <n v="48.8"/>
    <n v="83132799"/>
  </r>
  <r>
    <x v="182"/>
    <x v="182"/>
    <x v="7"/>
    <x v="608"/>
    <x v="33"/>
    <x v="1"/>
    <x v="268"/>
    <x v="290"/>
    <x v="7"/>
    <s v="United States"/>
    <m/>
    <x v="1"/>
    <s v="U"/>
    <x v="0"/>
    <d v="1970-05-05T00:00:00"/>
    <s v="Weiner"/>
    <s v="Russ"/>
    <m/>
    <d v="2023-04-04T05:01:00"/>
    <s v="Florida"/>
    <s v="South"/>
    <n v="1970"/>
    <n v="117.24"/>
    <n v="7.5"/>
    <n v="21427700000000"/>
    <n v="88.2"/>
    <n v="101.8"/>
    <n v="9.6"/>
    <n v="36.6"/>
    <n v="328239523"/>
  </r>
  <r>
    <x v="182"/>
    <x v="182"/>
    <x v="14"/>
    <x v="609"/>
    <x v="37"/>
    <x v="5"/>
    <x v="269"/>
    <x v="291"/>
    <x v="14"/>
    <s v="China"/>
    <m/>
    <x v="1"/>
    <s v="N"/>
    <x v="0"/>
    <d v="1957-01-01T00:00:00"/>
    <s v="Xue"/>
    <s v="Min"/>
    <m/>
    <d v="2023-04-04T05:01:00"/>
    <m/>
    <m/>
    <n v="1957"/>
    <n v="125.08"/>
    <n v="2.9"/>
    <n v="19910000000000"/>
    <n v="50.6"/>
    <n v="100.2"/>
    <n v="9.4"/>
    <n v="59.2"/>
    <n v="1397715000"/>
  </r>
  <r>
    <x v="183"/>
    <x v="183"/>
    <x v="7"/>
    <x v="610"/>
    <x v="42"/>
    <x v="2"/>
    <x v="25"/>
    <x v="292"/>
    <x v="7"/>
    <s v="Mexico"/>
    <m/>
    <x v="0"/>
    <s v="U"/>
    <x v="0"/>
    <d v="1967-07-01T00:00:00"/>
    <s v="Beckmann Legorreta"/>
    <s v="Juan Domingo"/>
    <m/>
    <d v="2023-04-04T05:01:00"/>
    <m/>
    <m/>
    <n v="1967"/>
    <n v="141.54"/>
    <n v="3.6"/>
    <n v="1258286717125"/>
    <n v="40.200000000000003"/>
    <n v="105.8"/>
    <n v="13.1"/>
    <n v="55.1"/>
    <n v="126014024"/>
  </r>
  <r>
    <x v="183"/>
    <x v="183"/>
    <x v="2"/>
    <x v="611"/>
    <x v="26"/>
    <x v="7"/>
    <x v="270"/>
    <x v="117"/>
    <x v="2"/>
    <s v="Germany"/>
    <m/>
    <x v="1"/>
    <s v="D"/>
    <x v="0"/>
    <d v="1940-04-26T00:00:00"/>
    <s v="Hopp"/>
    <s v="Dietmar"/>
    <m/>
    <d v="2023-04-04T05:01:00"/>
    <m/>
    <m/>
    <n v="1940"/>
    <n v="112.85"/>
    <n v="1.4"/>
    <n v="3845630030824"/>
    <n v="70.2"/>
    <n v="104"/>
    <n v="11.5"/>
    <n v="48.8"/>
    <n v="83132799"/>
  </r>
  <r>
    <x v="183"/>
    <x v="183"/>
    <x v="2"/>
    <x v="612"/>
    <x v="32"/>
    <x v="5"/>
    <x v="271"/>
    <x v="293"/>
    <x v="2"/>
    <s v="China"/>
    <m/>
    <x v="1"/>
    <s v="D"/>
    <x v="0"/>
    <d v="1966-09-16T00:00:00"/>
    <s v="Jiang"/>
    <s v="Bin"/>
    <m/>
    <d v="2023-04-04T05:01:00"/>
    <m/>
    <m/>
    <n v="1966"/>
    <n v="125.08"/>
    <n v="2.9"/>
    <n v="19910000000000"/>
    <n v="50.6"/>
    <n v="100.2"/>
    <n v="9.4"/>
    <n v="59.2"/>
    <n v="1397715000"/>
  </r>
  <r>
    <x v="183"/>
    <x v="183"/>
    <x v="2"/>
    <x v="613"/>
    <x v="23"/>
    <x v="1"/>
    <x v="1"/>
    <x v="117"/>
    <x v="2"/>
    <s v="United States"/>
    <m/>
    <x v="1"/>
    <s v="U"/>
    <x v="0"/>
    <d v="1968-08-05T00:00:00"/>
    <s v="Liemandt"/>
    <s v="Joseph"/>
    <m/>
    <d v="2023-04-04T05:01:00"/>
    <s v="Texas"/>
    <s v="South"/>
    <n v="1968"/>
    <n v="117.24"/>
    <n v="7.5"/>
    <n v="21427700000000"/>
    <n v="88.2"/>
    <n v="101.8"/>
    <n v="9.6"/>
    <n v="36.6"/>
    <n v="328239523"/>
  </r>
  <r>
    <x v="183"/>
    <x v="183"/>
    <x v="7"/>
    <x v="614"/>
    <x v="7"/>
    <x v="8"/>
    <x v="71"/>
    <x v="294"/>
    <x v="7"/>
    <s v="Germany"/>
    <m/>
    <x v="0"/>
    <s v="D"/>
    <x v="0"/>
    <d v="1940-01-30T00:00:00"/>
    <s v="Mueller"/>
    <s v="Theo"/>
    <m/>
    <d v="2023-04-04T05:01:00"/>
    <m/>
    <m/>
    <n v="1940"/>
    <n v="99.55"/>
    <n v="0.4"/>
    <n v="703082435360"/>
    <n v="59.6"/>
    <n v="105.2"/>
    <n v="10.1"/>
    <n v="28.8"/>
    <n v="8574832"/>
  </r>
  <r>
    <x v="183"/>
    <x v="183"/>
    <x v="2"/>
    <x v="615"/>
    <x v="31"/>
    <x v="3"/>
    <x v="123"/>
    <x v="42"/>
    <x v="2"/>
    <s v="India"/>
    <m/>
    <x v="1"/>
    <s v="U"/>
    <x v="0"/>
    <d v="1946-08-20T00:00:00"/>
    <s v="Murthy"/>
    <s v="N.R. Narayana"/>
    <m/>
    <d v="2023-04-04T05:01:00"/>
    <m/>
    <m/>
    <n v="1946"/>
    <n v="180.44"/>
    <n v="7.7"/>
    <n v="2611000000000"/>
    <n v="28.1"/>
    <n v="113"/>
    <n v="11.2"/>
    <n v="49.7"/>
    <n v="1366417754"/>
  </r>
  <r>
    <x v="183"/>
    <x v="183"/>
    <x v="0"/>
    <x v="616"/>
    <x v="48"/>
    <x v="36"/>
    <x v="272"/>
    <x v="139"/>
    <x v="0"/>
    <s v="Norway"/>
    <m/>
    <x v="0"/>
    <s v="D"/>
    <x v="0"/>
    <d v="1951-09-11T00:00:00"/>
    <s v="Reitan"/>
    <s v="Odd"/>
    <m/>
    <d v="2023-04-04T05:01:00"/>
    <m/>
    <m/>
    <n v="1951"/>
    <n v="120.27"/>
    <n v="2.2000000000000002"/>
    <n v="403336363636"/>
    <n v="82"/>
    <n v="100.3"/>
    <n v="23.9"/>
    <n v="36.200000000000003"/>
    <n v="5347896"/>
  </r>
  <r>
    <x v="183"/>
    <x v="183"/>
    <x v="3"/>
    <x v="617"/>
    <x v="15"/>
    <x v="1"/>
    <x v="5"/>
    <x v="122"/>
    <x v="3"/>
    <s v="United States"/>
    <m/>
    <x v="1"/>
    <s v="D"/>
    <x v="0"/>
    <d v="1962-08-19T00:00:00"/>
    <s v="Rowan"/>
    <s v="Marc"/>
    <m/>
    <d v="2023-04-04T05:01:00"/>
    <s v="New York"/>
    <s v="Northeast"/>
    <n v="1962"/>
    <n v="117.24"/>
    <n v="7.5"/>
    <n v="21427700000000"/>
    <n v="88.2"/>
    <n v="101.8"/>
    <n v="9.6"/>
    <n v="36.6"/>
    <n v="328239523"/>
  </r>
  <r>
    <x v="183"/>
    <x v="183"/>
    <x v="11"/>
    <x v="618"/>
    <x v="36"/>
    <x v="16"/>
    <x v="88"/>
    <x v="36"/>
    <x v="11"/>
    <s v="United Arab Emirates"/>
    <m/>
    <x v="1"/>
    <s v="U"/>
    <x v="0"/>
    <d v="1953-03-01T00:00:00"/>
    <s v="Sajwani"/>
    <s v="Hussain"/>
    <m/>
    <d v="2023-04-04T05:01:00"/>
    <m/>
    <m/>
    <n v="1953"/>
    <n v="114.52"/>
    <n v="-1.9"/>
    <n v="421142267938"/>
    <n v="36.799999999999997"/>
    <n v="108.4"/>
    <n v="0.1"/>
    <n v="15.9"/>
    <n v="9770529"/>
  </r>
  <r>
    <x v="183"/>
    <x v="183"/>
    <x v="3"/>
    <x v="619"/>
    <x v="51"/>
    <x v="30"/>
    <x v="99"/>
    <x v="176"/>
    <x v="3"/>
    <s v="Colombia"/>
    <m/>
    <x v="1"/>
    <s v="D"/>
    <x v="0"/>
    <d v="1981-10-02T00:00:00"/>
    <s v="Velez"/>
    <s v="David"/>
    <m/>
    <d v="2023-04-04T05:01:00"/>
    <m/>
    <m/>
    <n v="1981"/>
    <n v="167.4"/>
    <n v="3.7"/>
    <n v="1839758040766"/>
    <n v="51.3"/>
    <n v="115.4"/>
    <n v="14.2"/>
    <n v="65.099999999999994"/>
    <n v="212559417"/>
  </r>
  <r>
    <x v="183"/>
    <x v="183"/>
    <x v="10"/>
    <x v="620"/>
    <x v="2"/>
    <x v="5"/>
    <x v="82"/>
    <x v="50"/>
    <x v="10"/>
    <s v="China"/>
    <m/>
    <x v="1"/>
    <s v="D"/>
    <x v="0"/>
    <d v="1964-01-01T00:00:00"/>
    <s v="Xu"/>
    <s v="Jinfu"/>
    <m/>
    <d v="2023-04-04T05:01:00"/>
    <m/>
    <m/>
    <n v="1964"/>
    <n v="125.08"/>
    <n v="2.9"/>
    <n v="19910000000000"/>
    <n v="50.6"/>
    <n v="100.2"/>
    <n v="9.4"/>
    <n v="59.2"/>
    <n v="1397715000"/>
  </r>
  <r>
    <x v="183"/>
    <x v="183"/>
    <x v="6"/>
    <x v="621"/>
    <x v="25"/>
    <x v="35"/>
    <x v="152"/>
    <x v="21"/>
    <x v="6"/>
    <s v="Taiwan"/>
    <m/>
    <x v="0"/>
    <s v="D"/>
    <x v="0"/>
    <d v="1950-08-16T00:00:00"/>
    <s v="Yin"/>
    <s v="Samuel"/>
    <m/>
    <d v="2023-04-04T05:01:00"/>
    <m/>
    <m/>
    <n v="1950"/>
    <m/>
    <m/>
    <m/>
    <m/>
    <m/>
    <m/>
    <m/>
    <m/>
  </r>
  <r>
    <x v="183"/>
    <x v="183"/>
    <x v="10"/>
    <x v="622"/>
    <x v="8"/>
    <x v="5"/>
    <x v="273"/>
    <x v="295"/>
    <x v="10"/>
    <s v="China"/>
    <m/>
    <x v="1"/>
    <s v="D"/>
    <x v="0"/>
    <d v="1958-01-21T00:00:00"/>
    <s v="You"/>
    <s v="Xiaoping"/>
    <m/>
    <d v="2023-04-04T05:01:00"/>
    <m/>
    <m/>
    <n v="1958"/>
    <n v="125.08"/>
    <n v="2.9"/>
    <n v="19910000000000"/>
    <n v="50.6"/>
    <n v="100.2"/>
    <n v="9.4"/>
    <n v="59.2"/>
    <n v="1397715000"/>
  </r>
  <r>
    <x v="184"/>
    <x v="184"/>
    <x v="14"/>
    <x v="623"/>
    <x v="10"/>
    <x v="1"/>
    <x v="176"/>
    <x v="296"/>
    <x v="14"/>
    <s v="France"/>
    <m/>
    <x v="1"/>
    <s v="D"/>
    <x v="0"/>
    <d v="1972-07-20T00:00:00"/>
    <s v="Bancel"/>
    <s v="Stéphane"/>
    <m/>
    <d v="2023-04-04T05:01:00"/>
    <s v="Massachusetts"/>
    <s v="Northeast"/>
    <n v="1972"/>
    <n v="117.24"/>
    <n v="7.5"/>
    <n v="21427700000000"/>
    <n v="88.2"/>
    <n v="101.8"/>
    <n v="9.6"/>
    <n v="36.6"/>
    <n v="328239523"/>
  </r>
  <r>
    <x v="184"/>
    <x v="184"/>
    <x v="2"/>
    <x v="624"/>
    <x v="58"/>
    <x v="1"/>
    <x v="80"/>
    <x v="297"/>
    <x v="2"/>
    <s v="United States"/>
    <m/>
    <x v="0"/>
    <s v="U"/>
    <x v="1"/>
    <d v="1933-11-15T00:00:00"/>
    <s v="Birmingham Perot"/>
    <s v="Margot"/>
    <m/>
    <d v="2023-04-04T05:01:00"/>
    <s v="Texas"/>
    <s v="South"/>
    <n v="1933"/>
    <n v="117.24"/>
    <n v="7.5"/>
    <n v="21427700000000"/>
    <n v="88.2"/>
    <n v="101.8"/>
    <n v="9.6"/>
    <n v="36.6"/>
    <n v="328239523"/>
  </r>
  <r>
    <x v="184"/>
    <x v="184"/>
    <x v="10"/>
    <x v="625"/>
    <x v="50"/>
    <x v="1"/>
    <x v="274"/>
    <x v="298"/>
    <x v="10"/>
    <s v="United States"/>
    <m/>
    <x v="1"/>
    <s v="U"/>
    <x v="0"/>
    <d v="1935-04-04T00:00:00"/>
    <s v="Blue"/>
    <s v="Neal"/>
    <m/>
    <d v="2023-04-04T05:01:00"/>
    <s v="California"/>
    <s v="West"/>
    <n v="1935"/>
    <n v="117.24"/>
    <n v="7.5"/>
    <n v="21427700000000"/>
    <n v="88.2"/>
    <n v="101.8"/>
    <n v="9.6"/>
    <n v="36.6"/>
    <n v="328239523"/>
  </r>
  <r>
    <x v="184"/>
    <x v="184"/>
    <x v="15"/>
    <x v="626"/>
    <x v="53"/>
    <x v="1"/>
    <x v="275"/>
    <x v="299"/>
    <x v="15"/>
    <s v="United States"/>
    <m/>
    <x v="1"/>
    <s v="U"/>
    <x v="0"/>
    <d v="1960-03-13T00:00:00"/>
    <s v="Davis"/>
    <s v="Jim"/>
    <m/>
    <d v="2023-04-04T05:01:00"/>
    <s v="Maryland"/>
    <s v="South"/>
    <n v="1960"/>
    <n v="117.24"/>
    <n v="7.5"/>
    <n v="21427700000000"/>
    <n v="88.2"/>
    <n v="101.8"/>
    <n v="9.6"/>
    <n v="36.6"/>
    <n v="328239523"/>
  </r>
  <r>
    <x v="184"/>
    <x v="184"/>
    <x v="16"/>
    <x v="627"/>
    <x v="29"/>
    <x v="4"/>
    <x v="276"/>
    <x v="300"/>
    <x v="16"/>
    <s v="Spain"/>
    <m/>
    <x v="0"/>
    <s v="U"/>
    <x v="0"/>
    <d v="1958-07-18T00:00:00"/>
    <s v="Del Pino"/>
    <s v="Rafael"/>
    <m/>
    <d v="2023-04-04T05:01:00"/>
    <m/>
    <m/>
    <n v="1958"/>
    <n v="110.96"/>
    <n v="0.7"/>
    <n v="1394116310769"/>
    <n v="88.9"/>
    <n v="102.7"/>
    <n v="14.2"/>
    <n v="47"/>
    <n v="47076781"/>
  </r>
  <r>
    <x v="184"/>
    <x v="184"/>
    <x v="14"/>
    <x v="628"/>
    <x v="6"/>
    <x v="8"/>
    <x v="277"/>
    <x v="301"/>
    <x v="14"/>
    <s v="Switzerland"/>
    <m/>
    <x v="1"/>
    <s v="D"/>
    <x v="0"/>
    <d v="1942-01-10T00:00:00"/>
    <s v="Grogg"/>
    <s v="Peter"/>
    <m/>
    <d v="2023-04-04T05:01:00"/>
    <m/>
    <m/>
    <n v="1942"/>
    <n v="99.55"/>
    <n v="0.4"/>
    <n v="703082435360"/>
    <n v="59.6"/>
    <n v="105.2"/>
    <n v="10.1"/>
    <n v="28.8"/>
    <n v="8574832"/>
  </r>
  <r>
    <x v="184"/>
    <x v="184"/>
    <x v="0"/>
    <x v="629"/>
    <x v="17"/>
    <x v="7"/>
    <x v="189"/>
    <x v="21"/>
    <x v="0"/>
    <s v="Germany"/>
    <m/>
    <x v="0"/>
    <s v="E"/>
    <x v="0"/>
    <d v="1964-07-22T00:00:00"/>
    <s v="Haub"/>
    <s v="Christian"/>
    <m/>
    <d v="2023-04-04T05:01:00"/>
    <m/>
    <m/>
    <n v="1964"/>
    <n v="112.85"/>
    <n v="1.4"/>
    <n v="3845630030824"/>
    <n v="70.2"/>
    <n v="104"/>
    <n v="11.5"/>
    <n v="48.8"/>
    <n v="83132799"/>
  </r>
  <r>
    <x v="184"/>
    <x v="184"/>
    <x v="11"/>
    <x v="630"/>
    <x v="5"/>
    <x v="3"/>
    <x v="7"/>
    <x v="36"/>
    <x v="11"/>
    <s v="India"/>
    <m/>
    <x v="1"/>
    <s v="D"/>
    <x v="0"/>
    <d v="1955-12-01T00:00:00"/>
    <s v="Lodha"/>
    <s v="Mangal Prabhat"/>
    <m/>
    <d v="2023-04-04T05:01:00"/>
    <m/>
    <m/>
    <n v="1955"/>
    <n v="180.44"/>
    <n v="7.7"/>
    <n v="2611000000000"/>
    <n v="28.1"/>
    <n v="113"/>
    <n v="11.2"/>
    <n v="49.7"/>
    <n v="1366417754"/>
  </r>
  <r>
    <x v="184"/>
    <x v="184"/>
    <x v="17"/>
    <x v="631"/>
    <x v="48"/>
    <x v="1"/>
    <x v="278"/>
    <x v="302"/>
    <x v="17"/>
    <s v="United States"/>
    <m/>
    <x v="0"/>
    <s v="U"/>
    <x v="0"/>
    <d v="1951-09-08T00:00:00"/>
    <s v="Lurie"/>
    <s v="Jeffrey"/>
    <m/>
    <d v="2023-04-04T05:01:00"/>
    <s v="Pennsylvania"/>
    <s v="Northeast"/>
    <n v="1951"/>
    <n v="117.24"/>
    <n v="7.5"/>
    <n v="21427700000000"/>
    <n v="88.2"/>
    <n v="101.8"/>
    <n v="9.6"/>
    <n v="36.6"/>
    <n v="328239523"/>
  </r>
  <r>
    <x v="184"/>
    <x v="184"/>
    <x v="3"/>
    <x v="632"/>
    <x v="37"/>
    <x v="1"/>
    <x v="54"/>
    <x v="303"/>
    <x v="3"/>
    <s v="United States"/>
    <s v="Morningstar Inc."/>
    <x v="1"/>
    <s v="D"/>
    <x v="0"/>
    <d v="1956-09-03T00:00:00"/>
    <s v="Mansueto"/>
    <s v="Joe"/>
    <s v="Entrepreneur, Investor"/>
    <d v="2023-04-04T05:01:00"/>
    <s v="Illinois"/>
    <s v="Midwest"/>
    <n v="1956"/>
    <n v="117.24"/>
    <n v="7.5"/>
    <n v="21427700000000"/>
    <n v="88.2"/>
    <n v="101.8"/>
    <n v="9.6"/>
    <n v="36.6"/>
    <n v="328239523"/>
  </r>
  <r>
    <x v="184"/>
    <x v="184"/>
    <x v="10"/>
    <x v="633"/>
    <x v="8"/>
    <x v="5"/>
    <x v="225"/>
    <x v="304"/>
    <x v="10"/>
    <s v="China"/>
    <m/>
    <x v="1"/>
    <s v="D"/>
    <x v="0"/>
    <d v="1958-01-01T00:00:00"/>
    <s v="Qian"/>
    <s v="Dongqi"/>
    <m/>
    <d v="2023-04-04T05:01:00"/>
    <m/>
    <m/>
    <n v="1958"/>
    <n v="125.08"/>
    <n v="2.9"/>
    <n v="19910000000000"/>
    <n v="50.6"/>
    <n v="100.2"/>
    <n v="9.4"/>
    <n v="59.2"/>
    <n v="1397715000"/>
  </r>
  <r>
    <x v="184"/>
    <x v="184"/>
    <x v="12"/>
    <x v="634"/>
    <x v="23"/>
    <x v="17"/>
    <x v="48"/>
    <x v="305"/>
    <x v="12"/>
    <s v="Russia"/>
    <m/>
    <x v="1"/>
    <s v="U"/>
    <x v="0"/>
    <d v="1968-05-30T00:00:00"/>
    <s v="Shelkov"/>
    <s v="Mikhail"/>
    <m/>
    <d v="2023-04-04T05:01:00"/>
    <m/>
    <m/>
    <n v="1968"/>
    <n v="180.75"/>
    <n v="4.5"/>
    <n v="1699876578871"/>
    <n v="81.900000000000006"/>
    <n v="102.6"/>
    <n v="11.4"/>
    <n v="46.2"/>
    <n v="144373535"/>
  </r>
  <r>
    <x v="185"/>
    <x v="185"/>
    <x v="5"/>
    <x v="635"/>
    <x v="2"/>
    <x v="8"/>
    <x v="279"/>
    <x v="7"/>
    <x v="5"/>
    <s v="France"/>
    <m/>
    <x v="1"/>
    <s v="D"/>
    <x v="0"/>
    <d v="1963-08-20T00:00:00"/>
    <s v="Drahi"/>
    <s v="Patrick"/>
    <m/>
    <d v="2023-04-04T05:01:00"/>
    <m/>
    <m/>
    <n v="1963"/>
    <n v="99.55"/>
    <n v="0.4"/>
    <n v="703082435360"/>
    <n v="59.6"/>
    <n v="105.2"/>
    <n v="10.1"/>
    <n v="28.8"/>
    <n v="8574832"/>
  </r>
  <r>
    <x v="185"/>
    <x v="185"/>
    <x v="3"/>
    <x v="636"/>
    <x v="62"/>
    <x v="1"/>
    <x v="115"/>
    <x v="122"/>
    <x v="3"/>
    <s v="United States"/>
    <m/>
    <x v="1"/>
    <s v="U"/>
    <x v="0"/>
    <d v="1976-05-06T00:00:00"/>
    <s v="Eghbali"/>
    <s v="Behdad"/>
    <m/>
    <d v="2023-04-04T05:01:00"/>
    <s v="California"/>
    <s v="West"/>
    <n v="1976"/>
    <n v="117.24"/>
    <n v="7.5"/>
    <n v="21427700000000"/>
    <n v="88.2"/>
    <n v="101.8"/>
    <n v="9.6"/>
    <n v="36.6"/>
    <n v="328239523"/>
  </r>
  <r>
    <x v="185"/>
    <x v="185"/>
    <x v="3"/>
    <x v="637"/>
    <x v="53"/>
    <x v="4"/>
    <x v="280"/>
    <x v="75"/>
    <x v="3"/>
    <s v="Venezuela"/>
    <m/>
    <x v="1"/>
    <s v="U"/>
    <x v="0"/>
    <d v="1959-07-23T00:00:00"/>
    <s v="Escotet"/>
    <s v="Juan Carlos"/>
    <m/>
    <d v="2023-04-04T05:01:00"/>
    <m/>
    <m/>
    <n v="1959"/>
    <n v="110.96"/>
    <n v="0.7"/>
    <n v="1394116310769"/>
    <n v="88.9"/>
    <n v="102.7"/>
    <n v="14.2"/>
    <n v="47"/>
    <n v="47076781"/>
  </r>
  <r>
    <x v="185"/>
    <x v="185"/>
    <x v="3"/>
    <x v="638"/>
    <x v="12"/>
    <x v="1"/>
    <x v="115"/>
    <x v="122"/>
    <x v="3"/>
    <s v="United States"/>
    <m/>
    <x v="1"/>
    <s v="U"/>
    <x v="0"/>
    <d v="1973-05-29T00:00:00"/>
    <s v="Feliciano"/>
    <s v="Jose E."/>
    <m/>
    <d v="2023-04-04T05:01:00"/>
    <s v="California"/>
    <s v="West"/>
    <n v="1973"/>
    <n v="117.24"/>
    <n v="7.5"/>
    <n v="21427700000000"/>
    <n v="88.2"/>
    <n v="101.8"/>
    <n v="9.6"/>
    <n v="36.6"/>
    <n v="328239523"/>
  </r>
  <r>
    <x v="185"/>
    <x v="185"/>
    <x v="14"/>
    <x v="639"/>
    <x v="38"/>
    <x v="5"/>
    <x v="19"/>
    <x v="83"/>
    <x v="14"/>
    <s v="China"/>
    <m/>
    <x v="1"/>
    <s v="U"/>
    <x v="0"/>
    <d v="1962-01-01T00:00:00"/>
    <s v="Hu"/>
    <s v="Kaijun"/>
    <m/>
    <d v="2023-04-04T05:01:00"/>
    <m/>
    <m/>
    <n v="1962"/>
    <n v="125.08"/>
    <n v="2.9"/>
    <n v="19910000000000"/>
    <n v="50.6"/>
    <n v="100.2"/>
    <n v="9.4"/>
    <n v="59.2"/>
    <n v="1397715000"/>
  </r>
  <r>
    <x v="185"/>
    <x v="185"/>
    <x v="8"/>
    <x v="640"/>
    <x v="56"/>
    <x v="1"/>
    <x v="281"/>
    <x v="306"/>
    <x v="8"/>
    <s v="United States"/>
    <m/>
    <x v="1"/>
    <s v="D"/>
    <x v="1"/>
    <d v="1932-01-04T00:00:00"/>
    <s v="Hunt"/>
    <s v="Johnelle"/>
    <m/>
    <d v="2023-04-04T05:01:00"/>
    <s v="Arkansas"/>
    <s v="South"/>
    <n v="1932"/>
    <n v="117.24"/>
    <n v="7.5"/>
    <n v="21427700000000"/>
    <n v="88.2"/>
    <n v="101.8"/>
    <n v="9.6"/>
    <n v="36.6"/>
    <n v="328239523"/>
  </r>
  <r>
    <x v="185"/>
    <x v="185"/>
    <x v="7"/>
    <x v="641"/>
    <x v="40"/>
    <x v="1"/>
    <x v="282"/>
    <x v="307"/>
    <x v="7"/>
    <s v="United States"/>
    <m/>
    <x v="1"/>
    <s v="D"/>
    <x v="1"/>
    <d v="1933-01-07T00:00:00"/>
    <s v="Ilitch"/>
    <s v="Marian"/>
    <m/>
    <d v="2023-04-04T05:01:00"/>
    <s v="Michigan"/>
    <s v="Midwest"/>
    <n v="1933"/>
    <n v="117.24"/>
    <n v="7.5"/>
    <n v="21427700000000"/>
    <n v="88.2"/>
    <n v="101.8"/>
    <n v="9.6"/>
    <n v="36.6"/>
    <n v="328239523"/>
  </r>
  <r>
    <x v="185"/>
    <x v="185"/>
    <x v="6"/>
    <x v="642"/>
    <x v="38"/>
    <x v="6"/>
    <x v="283"/>
    <x v="308"/>
    <x v="6"/>
    <s v="Canada"/>
    <s v="Katz Group"/>
    <x v="1"/>
    <s v="D"/>
    <x v="0"/>
    <d v="1961-09-01T00:00:00"/>
    <s v="Katz"/>
    <s v="Daryl"/>
    <s v="Founder and Chairman"/>
    <d v="2023-04-04T05:01:00"/>
    <m/>
    <m/>
    <n v="1961"/>
    <n v="116.76"/>
    <n v="1.9"/>
    <n v="1736425629520"/>
    <n v="68.900000000000006"/>
    <n v="100.9"/>
    <n v="12.8"/>
    <n v="24.5"/>
    <n v="36991981"/>
  </r>
  <r>
    <x v="185"/>
    <x v="185"/>
    <x v="12"/>
    <x v="643"/>
    <x v="34"/>
    <x v="17"/>
    <x v="284"/>
    <x v="48"/>
    <x v="12"/>
    <s v="Russia"/>
    <m/>
    <x v="1"/>
    <s v="U"/>
    <x v="0"/>
    <d v="1960-06-09T00:00:00"/>
    <s v="Kozitsyn"/>
    <s v="Andrei"/>
    <m/>
    <d v="2023-04-04T05:01:00"/>
    <m/>
    <m/>
    <n v="1960"/>
    <n v="180.75"/>
    <n v="4.5"/>
    <n v="1699876578871"/>
    <n v="81.900000000000006"/>
    <n v="102.6"/>
    <n v="11.4"/>
    <n v="46.2"/>
    <n v="144373535"/>
  </r>
  <r>
    <x v="185"/>
    <x v="185"/>
    <x v="3"/>
    <x v="644"/>
    <x v="32"/>
    <x v="51"/>
    <x v="262"/>
    <x v="75"/>
    <x v="3"/>
    <s v="Kazakhstan"/>
    <m/>
    <x v="1"/>
    <s v="U"/>
    <x v="0"/>
    <d v="1966-09-10T00:00:00"/>
    <s v="Kulibaev"/>
    <s v="Timur"/>
    <m/>
    <d v="2023-04-04T05:01:00"/>
    <m/>
    <m/>
    <n v="1966"/>
    <n v="182.75"/>
    <n v="5.2"/>
    <n v="180161741180"/>
    <n v="61.7"/>
    <n v="104.4"/>
    <n v="11.7"/>
    <n v="28.4"/>
    <n v="18513930"/>
  </r>
  <r>
    <x v="185"/>
    <x v="185"/>
    <x v="3"/>
    <x v="645"/>
    <x v="42"/>
    <x v="51"/>
    <x v="262"/>
    <x v="75"/>
    <x v="3"/>
    <s v="Kazakhstan"/>
    <m/>
    <x v="0"/>
    <s v="U"/>
    <x v="1"/>
    <d v="1967-08-19T00:00:00"/>
    <s v="Kulibaeva"/>
    <s v="Dinara"/>
    <m/>
    <d v="2023-04-04T05:01:00"/>
    <m/>
    <m/>
    <n v="1967"/>
    <n v="182.75"/>
    <n v="5.2"/>
    <n v="180161741180"/>
    <n v="61.7"/>
    <n v="104.4"/>
    <n v="11.7"/>
    <n v="28.4"/>
    <n v="18513930"/>
  </r>
  <r>
    <x v="185"/>
    <x v="185"/>
    <x v="11"/>
    <x v="646"/>
    <x v="15"/>
    <x v="22"/>
    <x v="25"/>
    <x v="36"/>
    <x v="11"/>
    <s v="United Kingdom"/>
    <m/>
    <x v="1"/>
    <s v="Split Family Fortune"/>
    <x v="0"/>
    <d v="1962-05-22T00:00:00"/>
    <s v="Livingstone"/>
    <s v="Ian"/>
    <m/>
    <d v="2023-04-04T05:01:00"/>
    <m/>
    <m/>
    <n v="1962"/>
    <m/>
    <m/>
    <m/>
    <m/>
    <m/>
    <m/>
    <m/>
    <m/>
  </r>
  <r>
    <x v="185"/>
    <x v="185"/>
    <x v="11"/>
    <x v="647"/>
    <x v="17"/>
    <x v="22"/>
    <x v="25"/>
    <x v="36"/>
    <x v="11"/>
    <s v="United Kingdom"/>
    <m/>
    <x v="1"/>
    <s v="Split Family Fortune"/>
    <x v="0"/>
    <d v="1964-11-29T00:00:00"/>
    <s v="Livingstone"/>
    <s v="Richard"/>
    <m/>
    <d v="2023-04-04T05:01:00"/>
    <m/>
    <m/>
    <n v="1964"/>
    <m/>
    <m/>
    <m/>
    <m/>
    <m/>
    <m/>
    <m/>
    <m/>
  </r>
  <r>
    <x v="185"/>
    <x v="185"/>
    <x v="7"/>
    <x v="648"/>
    <x v="38"/>
    <x v="1"/>
    <x v="285"/>
    <x v="188"/>
    <x v="7"/>
    <s v="United States"/>
    <m/>
    <x v="0"/>
    <s v="D"/>
    <x v="1"/>
    <d v="1961-10-27T00:00:00"/>
    <s v="Meyer"/>
    <s v="Gwendolyn Sontheim"/>
    <m/>
    <d v="2023-04-04T05:01:00"/>
    <s v="California"/>
    <s v="West"/>
    <n v="1961"/>
    <n v="117.24"/>
    <n v="7.5"/>
    <n v="21427700000000"/>
    <n v="88.2"/>
    <n v="101.8"/>
    <n v="9.6"/>
    <n v="36.6"/>
    <n v="328239523"/>
  </r>
  <r>
    <x v="185"/>
    <x v="185"/>
    <x v="11"/>
    <x v="649"/>
    <x v="43"/>
    <x v="1"/>
    <x v="120"/>
    <x v="36"/>
    <x v="11"/>
    <s v="United States"/>
    <m/>
    <x v="1"/>
    <s v="U"/>
    <x v="0"/>
    <d v="1947-07-08T00:00:00"/>
    <s v="Paul"/>
    <s v="Jay"/>
    <m/>
    <d v="2023-04-04T05:01:00"/>
    <s v="California"/>
    <s v="West"/>
    <n v="1947"/>
    <n v="117.24"/>
    <n v="7.5"/>
    <n v="21427700000000"/>
    <n v="88.2"/>
    <n v="101.8"/>
    <n v="9.6"/>
    <n v="36.6"/>
    <n v="328239523"/>
  </r>
  <r>
    <x v="185"/>
    <x v="185"/>
    <x v="6"/>
    <x v="650"/>
    <x v="23"/>
    <x v="53"/>
    <x v="286"/>
    <x v="8"/>
    <x v="6"/>
    <s v="Vietnam"/>
    <m/>
    <x v="1"/>
    <s v="D"/>
    <x v="0"/>
    <d v="1968-08-05T00:00:00"/>
    <s v="Pham"/>
    <s v="Nhat Vuong"/>
    <m/>
    <d v="2023-04-04T05:01:00"/>
    <m/>
    <m/>
    <n v="1968"/>
    <n v="163.52000000000001"/>
    <n v="2.8"/>
    <n v="261921244843"/>
    <n v="28.5"/>
    <n v="110.6"/>
    <n v="19.100000000000001"/>
    <n v="37.6"/>
    <n v="96462106"/>
  </r>
  <r>
    <x v="185"/>
    <x v="185"/>
    <x v="14"/>
    <x v="651"/>
    <x v="29"/>
    <x v="1"/>
    <x v="5"/>
    <x v="191"/>
    <x v="14"/>
    <s v="United States"/>
    <m/>
    <x v="0"/>
    <s v="U"/>
    <x v="0"/>
    <d v="1958-05-03T00:00:00"/>
    <s v="Stryker"/>
    <s v="Jon"/>
    <m/>
    <d v="2023-04-04T05:01:00"/>
    <s v="New York"/>
    <s v="Northeast"/>
    <n v="1958"/>
    <n v="117.24"/>
    <n v="7.5"/>
    <n v="21427700000000"/>
    <n v="88.2"/>
    <n v="101.8"/>
    <n v="9.6"/>
    <n v="36.6"/>
    <n v="328239523"/>
  </r>
  <r>
    <x v="185"/>
    <x v="185"/>
    <x v="3"/>
    <x v="652"/>
    <x v="37"/>
    <x v="35"/>
    <x v="152"/>
    <x v="224"/>
    <x v="3"/>
    <s v="Taiwan"/>
    <m/>
    <x v="0"/>
    <s v="D"/>
    <x v="0"/>
    <d v="1956-04-25T00:00:00"/>
    <s v="Tsai"/>
    <s v="Daniel"/>
    <m/>
    <d v="2023-04-04T05:01:00"/>
    <m/>
    <m/>
    <n v="1956"/>
    <m/>
    <m/>
    <m/>
    <m/>
    <m/>
    <m/>
    <m/>
    <m/>
  </r>
  <r>
    <x v="185"/>
    <x v="185"/>
    <x v="3"/>
    <x v="653"/>
    <x v="8"/>
    <x v="35"/>
    <x v="152"/>
    <x v="224"/>
    <x v="3"/>
    <s v="Taiwan"/>
    <m/>
    <x v="0"/>
    <s v="D"/>
    <x v="0"/>
    <d v="1957-06-02T00:00:00"/>
    <s v="Tsai"/>
    <s v="Richard"/>
    <m/>
    <d v="2023-04-04T05:01:00"/>
    <m/>
    <m/>
    <n v="1957"/>
    <m/>
    <m/>
    <m/>
    <m/>
    <m/>
    <m/>
    <m/>
    <m/>
  </r>
  <r>
    <x v="185"/>
    <x v="185"/>
    <x v="2"/>
    <x v="654"/>
    <x v="57"/>
    <x v="5"/>
    <x v="26"/>
    <x v="309"/>
    <x v="2"/>
    <s v="China"/>
    <s v="DJI Technology Co."/>
    <x v="1"/>
    <s v="D"/>
    <x v="0"/>
    <d v="1980-10-30T00:00:00"/>
    <s v="Wang"/>
    <s v="Frank"/>
    <s v="Founder and CEO"/>
    <d v="2023-04-04T05:01:00"/>
    <m/>
    <m/>
    <n v="1980"/>
    <n v="125.08"/>
    <n v="2.9"/>
    <n v="19910000000000"/>
    <n v="50.6"/>
    <n v="100.2"/>
    <n v="9.4"/>
    <n v="59.2"/>
    <n v="1397715000"/>
  </r>
  <r>
    <x v="185"/>
    <x v="185"/>
    <x v="10"/>
    <x v="655"/>
    <x v="0"/>
    <x v="5"/>
    <x v="114"/>
    <x v="310"/>
    <x v="10"/>
    <s v="China"/>
    <m/>
    <x v="1"/>
    <s v="D"/>
    <x v="0"/>
    <d v="1949-01-01T00:00:00"/>
    <s v="Wang"/>
    <s v="Junshi"/>
    <m/>
    <d v="2023-04-04T05:01:00"/>
    <m/>
    <m/>
    <n v="1949"/>
    <n v="125.08"/>
    <n v="2.9"/>
    <n v="19910000000000"/>
    <n v="50.6"/>
    <n v="100.2"/>
    <n v="9.4"/>
    <n v="59.2"/>
    <n v="1397715000"/>
  </r>
  <r>
    <x v="185"/>
    <x v="185"/>
    <x v="2"/>
    <x v="656"/>
    <x v="17"/>
    <x v="5"/>
    <x v="19"/>
    <x v="118"/>
    <x v="2"/>
    <s v="China"/>
    <m/>
    <x v="1"/>
    <s v="D"/>
    <x v="0"/>
    <d v="1964-12-05T00:00:00"/>
    <s v="Wang"/>
    <s v="Wenjing"/>
    <m/>
    <d v="2023-04-04T05:01:00"/>
    <m/>
    <m/>
    <n v="1964"/>
    <n v="125.08"/>
    <n v="2.9"/>
    <n v="19910000000000"/>
    <n v="50.6"/>
    <n v="100.2"/>
    <n v="9.4"/>
    <n v="59.2"/>
    <n v="1397715000"/>
  </r>
  <r>
    <x v="185"/>
    <x v="185"/>
    <x v="3"/>
    <x v="657"/>
    <x v="7"/>
    <x v="1"/>
    <x v="287"/>
    <x v="38"/>
    <x v="3"/>
    <s v="United States"/>
    <m/>
    <x v="1"/>
    <s v="U"/>
    <x v="0"/>
    <d v="1939-05-23T00:00:00"/>
    <s v="Wertheim"/>
    <s v="Herbert"/>
    <m/>
    <d v="2023-04-04T05:01:00"/>
    <s v="Florida"/>
    <s v="South"/>
    <n v="1939"/>
    <n v="117.24"/>
    <n v="7.5"/>
    <n v="21427700000000"/>
    <n v="88.2"/>
    <n v="101.8"/>
    <n v="9.6"/>
    <n v="36.6"/>
    <n v="328239523"/>
  </r>
  <r>
    <x v="186"/>
    <x v="186"/>
    <x v="15"/>
    <x v="658"/>
    <x v="8"/>
    <x v="27"/>
    <x v="199"/>
    <x v="234"/>
    <x v="15"/>
    <s v="Israel"/>
    <m/>
    <x v="0"/>
    <s v="D"/>
    <x v="1"/>
    <d v="1957-09-09T00:00:00"/>
    <s v="Arison"/>
    <s v="Shari"/>
    <s v="Investor, Philanthropist"/>
    <d v="2023-04-04T05:01:00"/>
    <m/>
    <m/>
    <n v="1957"/>
    <n v="108.15"/>
    <n v="0.8"/>
    <n v="395098666122"/>
    <n v="63.4"/>
    <n v="104.9"/>
    <n v="23.1"/>
    <n v="25.3"/>
    <n v="9053300"/>
  </r>
  <r>
    <x v="186"/>
    <x v="186"/>
    <x v="3"/>
    <x v="659"/>
    <x v="13"/>
    <x v="54"/>
    <x v="25"/>
    <x v="99"/>
    <x v="3"/>
    <s v="Russia"/>
    <m/>
    <x v="1"/>
    <s v="D"/>
    <x v="0"/>
    <d v="1955-03-16T00:00:00"/>
    <s v="Aven"/>
    <s v="Pyotr"/>
    <m/>
    <d v="2023-04-04T05:01:00"/>
    <m/>
    <m/>
    <n v="1955"/>
    <n v="116.86"/>
    <n v="2.8"/>
    <n v="34117202555"/>
    <n v="88.1"/>
    <n v="99.4"/>
    <n v="22.9"/>
    <n v="38.1"/>
    <n v="1912789"/>
  </r>
  <r>
    <x v="186"/>
    <x v="186"/>
    <x v="11"/>
    <x v="660"/>
    <x v="26"/>
    <x v="5"/>
    <x v="19"/>
    <x v="36"/>
    <x v="11"/>
    <s v="China"/>
    <m/>
    <x v="1"/>
    <s v="D"/>
    <x v="1"/>
    <d v="1941-01-01T00:00:00"/>
    <s v="Chan"/>
    <s v="Laiwa"/>
    <s v="Philanthropist"/>
    <d v="2023-04-04T05:01:00"/>
    <m/>
    <m/>
    <n v="1941"/>
    <n v="125.08"/>
    <n v="2.9"/>
    <n v="19910000000000"/>
    <n v="50.6"/>
    <n v="100.2"/>
    <n v="9.4"/>
    <n v="59.2"/>
    <n v="1397715000"/>
  </r>
  <r>
    <x v="186"/>
    <x v="186"/>
    <x v="11"/>
    <x v="661"/>
    <x v="41"/>
    <x v="5"/>
    <x v="26"/>
    <x v="36"/>
    <x v="11"/>
    <s v="China"/>
    <m/>
    <x v="1"/>
    <s v="U"/>
    <x v="0"/>
    <d v="1966-01-01T00:00:00"/>
    <s v="Chen"/>
    <s v="Hua"/>
    <m/>
    <d v="2023-04-04T05:01:00"/>
    <m/>
    <m/>
    <n v="1966"/>
    <n v="125.08"/>
    <n v="2.9"/>
    <n v="19910000000000"/>
    <n v="50.6"/>
    <n v="100.2"/>
    <n v="9.4"/>
    <n v="59.2"/>
    <n v="1397715000"/>
  </r>
  <r>
    <x v="186"/>
    <x v="186"/>
    <x v="3"/>
    <x v="662"/>
    <x v="11"/>
    <x v="1"/>
    <x v="288"/>
    <x v="150"/>
    <x v="3"/>
    <s v="United States"/>
    <m/>
    <x v="0"/>
    <s v="U"/>
    <x v="0"/>
    <d v="1936-01-01T00:00:00"/>
    <s v="Hagen"/>
    <s v="Thomas"/>
    <m/>
    <d v="2023-04-04T05:01:00"/>
    <s v="Pennsylvania"/>
    <s v="Northeast"/>
    <n v="1936"/>
    <n v="117.24"/>
    <n v="7.5"/>
    <n v="21427700000000"/>
    <n v="88.2"/>
    <n v="101.8"/>
    <n v="9.6"/>
    <n v="36.6"/>
    <n v="328239523"/>
  </r>
  <r>
    <x v="186"/>
    <x v="186"/>
    <x v="3"/>
    <x v="663"/>
    <x v="26"/>
    <x v="1"/>
    <x v="289"/>
    <x v="253"/>
    <x v="3"/>
    <s v="United States"/>
    <s v="Franklin Resources Inc."/>
    <x v="0"/>
    <s v="D"/>
    <x v="0"/>
    <d v="1940-08-10T00:00:00"/>
    <s v="Johnson"/>
    <s v="Rupert"/>
    <s v="Vice Chairman and Director"/>
    <d v="2023-04-04T05:01:00"/>
    <s v="California"/>
    <s v="West"/>
    <n v="1940"/>
    <n v="117.24"/>
    <n v="7.5"/>
    <n v="21427700000000"/>
    <n v="88.2"/>
    <n v="101.8"/>
    <n v="9.6"/>
    <n v="36.6"/>
    <n v="328239523"/>
  </r>
  <r>
    <x v="186"/>
    <x v="186"/>
    <x v="13"/>
    <x v="664"/>
    <x v="25"/>
    <x v="15"/>
    <x v="42"/>
    <x v="43"/>
    <x v="13"/>
    <s v="Indonesia"/>
    <m/>
    <x v="1"/>
    <s v="N"/>
    <x v="1"/>
    <d v="1950-07-23T00:00:00"/>
    <s v="Kam"/>
    <s v="Dewi"/>
    <m/>
    <d v="2023-04-04T05:01:00"/>
    <m/>
    <m/>
    <n v="1950"/>
    <n v="151.18"/>
    <n v="3"/>
    <n v="1119190780753"/>
    <n v="36.299999999999997"/>
    <n v="106.4"/>
    <n v="10.199999999999999"/>
    <n v="30.1"/>
    <n v="270203917"/>
  </r>
  <r>
    <x v="186"/>
    <x v="186"/>
    <x v="2"/>
    <x v="665"/>
    <x v="0"/>
    <x v="1"/>
    <x v="290"/>
    <x v="311"/>
    <x v="2"/>
    <s v="United States"/>
    <m/>
    <x v="1"/>
    <s v="D"/>
    <x v="0"/>
    <d v="1949-01-10T00:00:00"/>
    <s v="Kao"/>
    <s v="Min"/>
    <m/>
    <d v="2023-04-04T05:01:00"/>
    <s v="Kansas"/>
    <s v="Midwest"/>
    <n v="1949"/>
    <n v="117.24"/>
    <n v="7.5"/>
    <n v="21427700000000"/>
    <n v="88.2"/>
    <n v="101.8"/>
    <n v="9.6"/>
    <n v="36.6"/>
    <n v="328239523"/>
  </r>
  <r>
    <x v="186"/>
    <x v="186"/>
    <x v="3"/>
    <x v="666"/>
    <x v="26"/>
    <x v="0"/>
    <x v="0"/>
    <x v="224"/>
    <x v="3"/>
    <s v="France"/>
    <m/>
    <x v="1"/>
    <s v="U"/>
    <x v="0"/>
    <d v="1940-11-06T00:00:00"/>
    <s v="Ladreit de Lacharriere"/>
    <s v="Marc"/>
    <m/>
    <d v="2023-04-04T05:01:00"/>
    <m/>
    <m/>
    <n v="1940"/>
    <n v="110.05"/>
    <n v="1.1000000000000001"/>
    <n v="2715518274227"/>
    <n v="65.599999999999994"/>
    <n v="102.5"/>
    <n v="24.2"/>
    <n v="60.7"/>
    <n v="67059887"/>
  </r>
  <r>
    <x v="186"/>
    <x v="186"/>
    <x v="2"/>
    <x v="667"/>
    <x v="52"/>
    <x v="1"/>
    <x v="291"/>
    <x v="312"/>
    <x v="2"/>
    <s v="United States"/>
    <s v="Groupon"/>
    <x v="1"/>
    <s v="U"/>
    <x v="0"/>
    <d v="1969-09-02T00:00:00"/>
    <s v="Lefkofsky"/>
    <s v="Eric"/>
    <s v="Chairman"/>
    <d v="2023-04-04T05:01:00"/>
    <s v="Illinois"/>
    <s v="Midwest"/>
    <n v="1969"/>
    <n v="117.24"/>
    <n v="7.5"/>
    <n v="21427700000000"/>
    <n v="88.2"/>
    <n v="101.8"/>
    <n v="9.6"/>
    <n v="36.6"/>
    <n v="328239523"/>
  </r>
  <r>
    <x v="186"/>
    <x v="186"/>
    <x v="2"/>
    <x v="668"/>
    <x v="42"/>
    <x v="5"/>
    <x v="26"/>
    <x v="123"/>
    <x v="2"/>
    <s v="United States"/>
    <m/>
    <x v="1"/>
    <s v="D"/>
    <x v="0"/>
    <d v="1968-02-01T00:00:00"/>
    <s v="Lin"/>
    <s v="Bin"/>
    <m/>
    <d v="2023-04-04T05:01:00"/>
    <m/>
    <m/>
    <n v="1968"/>
    <n v="125.08"/>
    <n v="2.9"/>
    <n v="19910000000000"/>
    <n v="50.6"/>
    <n v="100.2"/>
    <n v="9.4"/>
    <n v="59.2"/>
    <n v="1397715000"/>
  </r>
  <r>
    <x v="186"/>
    <x v="186"/>
    <x v="3"/>
    <x v="669"/>
    <x v="2"/>
    <x v="5"/>
    <x v="26"/>
    <x v="38"/>
    <x v="3"/>
    <s v="China"/>
    <m/>
    <x v="1"/>
    <s v="D"/>
    <x v="0"/>
    <d v="1963-05-01T00:00:00"/>
    <s v="Lin"/>
    <s v="Li"/>
    <m/>
    <d v="2023-04-04T05:01:00"/>
    <m/>
    <m/>
    <n v="1963"/>
    <n v="125.08"/>
    <n v="2.9"/>
    <n v="19910000000000"/>
    <n v="50.6"/>
    <n v="100.2"/>
    <n v="9.4"/>
    <n v="59.2"/>
    <n v="1397715000"/>
  </r>
  <r>
    <x v="186"/>
    <x v="186"/>
    <x v="2"/>
    <x v="670"/>
    <x v="13"/>
    <x v="1"/>
    <x v="120"/>
    <x v="137"/>
    <x v="2"/>
    <s v="United States"/>
    <s v="Sequoia"/>
    <x v="1"/>
    <s v="D"/>
    <x v="0"/>
    <d v="1954-09-12T00:00:00"/>
    <s v="Moritz"/>
    <s v="Michael"/>
    <s v="Investor"/>
    <d v="2023-04-04T05:01:00"/>
    <s v="California"/>
    <s v="West"/>
    <n v="1954"/>
    <n v="117.24"/>
    <n v="7.5"/>
    <n v="21427700000000"/>
    <n v="88.2"/>
    <n v="101.8"/>
    <n v="9.6"/>
    <n v="36.6"/>
    <n v="328239523"/>
  </r>
  <r>
    <x v="186"/>
    <x v="186"/>
    <x v="15"/>
    <x v="671"/>
    <x v="15"/>
    <x v="1"/>
    <x v="115"/>
    <x v="231"/>
    <x v="15"/>
    <s v="United States"/>
    <m/>
    <x v="0"/>
    <s v="U"/>
    <x v="1"/>
    <d v="1962-07-01T00:00:00"/>
    <s v="Pritzker"/>
    <s v="Jean (Gigi)"/>
    <m/>
    <d v="2023-04-04T05:01:00"/>
    <s v="California"/>
    <s v="West"/>
    <n v="1962"/>
    <n v="117.24"/>
    <n v="7.5"/>
    <n v="21427700000000"/>
    <n v="88.2"/>
    <n v="101.8"/>
    <n v="9.6"/>
    <n v="36.6"/>
    <n v="328239523"/>
  </r>
  <r>
    <x v="186"/>
    <x v="186"/>
    <x v="1"/>
    <x v="672"/>
    <x v="16"/>
    <x v="1"/>
    <x v="249"/>
    <x v="273"/>
    <x v="1"/>
    <s v="United States"/>
    <m/>
    <x v="0"/>
    <s v="U"/>
    <x v="0"/>
    <d v="1949-10-28T00:00:00"/>
    <s v="Shoen"/>
    <s v="E. Joe"/>
    <m/>
    <d v="2023-04-04T05:01:00"/>
    <s v="Arizona"/>
    <s v="West"/>
    <n v="1949"/>
    <n v="117.24"/>
    <n v="7.5"/>
    <n v="21427700000000"/>
    <n v="88.2"/>
    <n v="101.8"/>
    <n v="9.6"/>
    <n v="36.6"/>
    <n v="328239523"/>
  </r>
  <r>
    <x v="186"/>
    <x v="186"/>
    <x v="2"/>
    <x v="673"/>
    <x v="17"/>
    <x v="1"/>
    <x v="115"/>
    <x v="313"/>
    <x v="2"/>
    <s v="United States"/>
    <m/>
    <x v="1"/>
    <s v="D"/>
    <x v="0"/>
    <d v="1965-01-16T00:00:00"/>
    <s v="Skoll"/>
    <s v="Jeff"/>
    <m/>
    <d v="2023-04-04T05:01:00"/>
    <s v="California"/>
    <s v="West"/>
    <n v="1965"/>
    <n v="117.24"/>
    <n v="7.5"/>
    <n v="21427700000000"/>
    <n v="88.2"/>
    <n v="101.8"/>
    <n v="9.6"/>
    <n v="36.6"/>
    <n v="328239523"/>
  </r>
  <r>
    <x v="186"/>
    <x v="186"/>
    <x v="7"/>
    <x v="674"/>
    <x v="60"/>
    <x v="1"/>
    <x v="292"/>
    <x v="314"/>
    <x v="7"/>
    <s v="United States"/>
    <m/>
    <x v="0"/>
    <s v="E"/>
    <x v="1"/>
    <d v="1982-05-05T00:00:00"/>
    <s v="Snyder"/>
    <s v="Lynsi"/>
    <m/>
    <d v="2023-04-04T05:01:00"/>
    <s v="California"/>
    <s v="West"/>
    <n v="1982"/>
    <n v="117.24"/>
    <n v="7.5"/>
    <n v="21427700000000"/>
    <n v="88.2"/>
    <n v="101.8"/>
    <n v="9.6"/>
    <n v="36.6"/>
    <n v="328239523"/>
  </r>
  <r>
    <x v="186"/>
    <x v="186"/>
    <x v="0"/>
    <x v="675"/>
    <x v="16"/>
    <x v="15"/>
    <x v="42"/>
    <x v="81"/>
    <x v="0"/>
    <s v="Indonesia"/>
    <m/>
    <x v="1"/>
    <s v="U"/>
    <x v="0"/>
    <d v="1950-02-09T00:00:00"/>
    <s v="Susanto"/>
    <s v="Djoko"/>
    <m/>
    <d v="2023-04-04T05:01:00"/>
    <m/>
    <m/>
    <n v="1950"/>
    <n v="151.18"/>
    <n v="3"/>
    <n v="1119190780753"/>
    <n v="36.299999999999997"/>
    <n v="106.4"/>
    <n v="10.199999999999999"/>
    <n v="30.1"/>
    <n v="270203917"/>
  </r>
  <r>
    <x v="186"/>
    <x v="186"/>
    <x v="6"/>
    <x v="676"/>
    <x v="48"/>
    <x v="15"/>
    <x v="42"/>
    <x v="8"/>
    <x v="6"/>
    <s v="Indonesia"/>
    <m/>
    <x v="1"/>
    <s v="U"/>
    <x v="0"/>
    <d v="1952-03-26T00:00:00"/>
    <s v="Tahir"/>
    <m/>
    <m/>
    <d v="2023-04-04T05:01:00"/>
    <m/>
    <m/>
    <n v="1952"/>
    <n v="151.18"/>
    <n v="3"/>
    <n v="1119190780753"/>
    <n v="36.299999999999997"/>
    <n v="106.4"/>
    <n v="10.199999999999999"/>
    <n v="30.1"/>
    <n v="270203917"/>
  </r>
  <r>
    <x v="186"/>
    <x v="186"/>
    <x v="3"/>
    <x v="677"/>
    <x v="42"/>
    <x v="1"/>
    <x v="115"/>
    <x v="315"/>
    <x v="3"/>
    <s v="United States"/>
    <s v="Founders Fund"/>
    <x v="1"/>
    <s v="D"/>
    <x v="0"/>
    <d v="1967-10-11T00:00:00"/>
    <s v="Thiel"/>
    <s v="Peter"/>
    <s v="Investor"/>
    <d v="2023-04-04T05:01:00"/>
    <s v="California"/>
    <s v="West"/>
    <n v="1967"/>
    <n v="117.24"/>
    <n v="7.5"/>
    <n v="21427700000000"/>
    <n v="88.2"/>
    <n v="101.8"/>
    <n v="9.6"/>
    <n v="36.6"/>
    <n v="328239523"/>
  </r>
  <r>
    <x v="187"/>
    <x v="187"/>
    <x v="7"/>
    <x v="678"/>
    <x v="13"/>
    <x v="20"/>
    <x v="68"/>
    <x v="167"/>
    <x v="7"/>
    <s v="Czech Republic"/>
    <m/>
    <x v="1"/>
    <s v="D"/>
    <x v="0"/>
    <d v="1954-09-02T00:00:00"/>
    <s v="Babis"/>
    <s v="Andrej"/>
    <m/>
    <d v="2023-04-04T05:01:00"/>
    <m/>
    <m/>
    <n v="1954"/>
    <n v="116.48"/>
    <n v="2.8"/>
    <n v="246489245495"/>
    <n v="64.099999999999994"/>
    <n v="100.7"/>
    <n v="14.9"/>
    <n v="46.1"/>
    <n v="10669709"/>
  </r>
  <r>
    <x v="187"/>
    <x v="187"/>
    <x v="15"/>
    <x v="679"/>
    <x v="7"/>
    <x v="0"/>
    <x v="0"/>
    <x v="316"/>
    <x v="15"/>
    <s v="France"/>
    <m/>
    <x v="0"/>
    <s v="U"/>
    <x v="1"/>
    <d v="1940-02-08T00:00:00"/>
    <s v="Bellon"/>
    <s v="Danielle"/>
    <m/>
    <d v="2023-04-04T05:01:00"/>
    <m/>
    <m/>
    <n v="1940"/>
    <n v="110.05"/>
    <n v="1.1000000000000001"/>
    <n v="2715518274227"/>
    <n v="65.599999999999994"/>
    <n v="102.5"/>
    <n v="24.2"/>
    <n v="60.7"/>
    <n v="67059887"/>
  </r>
  <r>
    <x v="187"/>
    <x v="187"/>
    <x v="4"/>
    <x v="680"/>
    <x v="7"/>
    <x v="7"/>
    <x v="189"/>
    <x v="317"/>
    <x v="4"/>
    <s v="Germany"/>
    <m/>
    <x v="0"/>
    <s v="U"/>
    <x v="0"/>
    <d v="1940-02-09T00:00:00"/>
    <s v="Burda"/>
    <s v="Hubert"/>
    <m/>
    <d v="2023-04-04T05:01:00"/>
    <m/>
    <m/>
    <n v="1940"/>
    <n v="112.85"/>
    <n v="1.4"/>
    <n v="3845630030824"/>
    <n v="70.2"/>
    <n v="104"/>
    <n v="11.5"/>
    <n v="48.8"/>
    <n v="83132799"/>
  </r>
  <r>
    <x v="187"/>
    <x v="187"/>
    <x v="7"/>
    <x v="681"/>
    <x v="11"/>
    <x v="1"/>
    <x v="293"/>
    <x v="178"/>
    <x v="7"/>
    <s v="United States"/>
    <m/>
    <x v="1"/>
    <s v="U"/>
    <x v="0"/>
    <d v="1936-01-15T00:00:00"/>
    <s v="Caporella"/>
    <s v="Nick"/>
    <m/>
    <d v="2023-04-04T05:01:00"/>
    <s v="Florida"/>
    <s v="South"/>
    <n v="1936"/>
    <n v="117.24"/>
    <n v="7.5"/>
    <n v="21427700000000"/>
    <n v="88.2"/>
    <n v="101.8"/>
    <n v="9.6"/>
    <n v="36.6"/>
    <n v="328239523"/>
  </r>
  <r>
    <x v="187"/>
    <x v="187"/>
    <x v="13"/>
    <x v="682"/>
    <x v="0"/>
    <x v="1"/>
    <x v="5"/>
    <x v="228"/>
    <x v="13"/>
    <s v="United States"/>
    <m/>
    <x v="1"/>
    <s v="U"/>
    <x v="0"/>
    <d v="1948-09-07T00:00:00"/>
    <s v="Catsimatidis"/>
    <s v="John"/>
    <m/>
    <d v="2023-04-04T05:01:00"/>
    <s v="New York"/>
    <s v="Northeast"/>
    <n v="1948"/>
    <n v="117.24"/>
    <n v="7.5"/>
    <n v="21427700000000"/>
    <n v="88.2"/>
    <n v="101.8"/>
    <n v="9.6"/>
    <n v="36.6"/>
    <n v="328239523"/>
  </r>
  <r>
    <x v="187"/>
    <x v="187"/>
    <x v="2"/>
    <x v="683"/>
    <x v="36"/>
    <x v="1"/>
    <x v="124"/>
    <x v="117"/>
    <x v="2"/>
    <s v="United States"/>
    <m/>
    <x v="1"/>
    <s v="D"/>
    <x v="0"/>
    <d v="1952-07-26T00:00:00"/>
    <s v="Cook"/>
    <s v="Scott"/>
    <m/>
    <d v="2023-04-04T05:01:00"/>
    <s v="California"/>
    <s v="West"/>
    <n v="1952"/>
    <n v="117.24"/>
    <n v="7.5"/>
    <n v="21427700000000"/>
    <n v="88.2"/>
    <n v="101.8"/>
    <n v="9.6"/>
    <n v="36.6"/>
    <n v="328239523"/>
  </r>
  <r>
    <x v="187"/>
    <x v="187"/>
    <x v="7"/>
    <x v="684"/>
    <x v="23"/>
    <x v="28"/>
    <x v="95"/>
    <x v="318"/>
    <x v="7"/>
    <s v="Italy"/>
    <m/>
    <x v="0"/>
    <s v="U"/>
    <x v="0"/>
    <d v="1969-02-27T00:00:00"/>
    <s v="Garavoglia"/>
    <s v="Luca"/>
    <m/>
    <d v="2023-04-04T05:01:00"/>
    <m/>
    <m/>
    <n v="1969"/>
    <n v="110.62"/>
    <n v="0.6"/>
    <n v="2001244392042"/>
    <n v="61.9"/>
    <n v="101.9"/>
    <n v="24.3"/>
    <n v="59.1"/>
    <n v="60297396"/>
  </r>
  <r>
    <x v="187"/>
    <x v="187"/>
    <x v="10"/>
    <x v="685"/>
    <x v="37"/>
    <x v="55"/>
    <x v="294"/>
    <x v="319"/>
    <x v="10"/>
    <s v="Finland"/>
    <m/>
    <x v="0"/>
    <s v="D"/>
    <x v="0"/>
    <d v="1956-11-14T00:00:00"/>
    <s v="Herlin"/>
    <s v="Antti"/>
    <m/>
    <d v="2023-04-04T05:01:00"/>
    <m/>
    <m/>
    <n v="1956"/>
    <n v="112.33"/>
    <n v="1"/>
    <n v="268761201365"/>
    <n v="88.2"/>
    <n v="100.2"/>
    <n v="20.8"/>
    <n v="36.6"/>
    <n v="5520314"/>
  </r>
  <r>
    <x v="187"/>
    <x v="187"/>
    <x v="10"/>
    <x v="686"/>
    <x v="42"/>
    <x v="5"/>
    <x v="295"/>
    <x v="320"/>
    <x v="10"/>
    <s v="China"/>
    <m/>
    <x v="1"/>
    <s v="U"/>
    <x v="0"/>
    <d v="1967-10-01T00:00:00"/>
    <s v="Hong"/>
    <s v="Jie"/>
    <m/>
    <d v="2023-04-04T05:01:00"/>
    <m/>
    <m/>
    <n v="1967"/>
    <n v="125.08"/>
    <n v="2.9"/>
    <n v="19910000000000"/>
    <n v="50.6"/>
    <n v="100.2"/>
    <n v="9.4"/>
    <n v="59.2"/>
    <n v="1397715000"/>
  </r>
  <r>
    <x v="187"/>
    <x v="187"/>
    <x v="15"/>
    <x v="687"/>
    <x v="7"/>
    <x v="1"/>
    <x v="296"/>
    <x v="321"/>
    <x v="15"/>
    <s v="United States"/>
    <m/>
    <x v="0"/>
    <s v="U"/>
    <x v="0"/>
    <d v="1940-01-21T00:00:00"/>
    <s v="Jacobs"/>
    <s v="Jeremy"/>
    <m/>
    <d v="2023-04-04T05:01:00"/>
    <s v="New York"/>
    <s v="Northeast"/>
    <n v="1940"/>
    <n v="117.24"/>
    <n v="7.5"/>
    <n v="21427700000000"/>
    <n v="88.2"/>
    <n v="101.8"/>
    <n v="9.6"/>
    <n v="36.6"/>
    <n v="328239523"/>
  </r>
  <r>
    <x v="187"/>
    <x v="187"/>
    <x v="0"/>
    <x v="688"/>
    <x v="32"/>
    <x v="17"/>
    <x v="48"/>
    <x v="322"/>
    <x v="0"/>
    <s v="Russia"/>
    <m/>
    <x v="1"/>
    <s v="U"/>
    <x v="0"/>
    <d v="1966-10-30T00:00:00"/>
    <s v="Kesaev"/>
    <s v="Igor"/>
    <m/>
    <d v="2023-04-04T05:01:00"/>
    <m/>
    <m/>
    <n v="1966"/>
    <n v="180.75"/>
    <n v="4.5"/>
    <n v="1699876578871"/>
    <n v="81.900000000000006"/>
    <n v="102.6"/>
    <n v="11.4"/>
    <n v="46.2"/>
    <n v="144373535"/>
  </r>
  <r>
    <x v="187"/>
    <x v="187"/>
    <x v="7"/>
    <x v="689"/>
    <x v="16"/>
    <x v="1"/>
    <x v="297"/>
    <x v="323"/>
    <x v="7"/>
    <s v="United States"/>
    <m/>
    <x v="0"/>
    <s v="U"/>
    <x v="1"/>
    <d v="1950-02-03T00:00:00"/>
    <s v="Malone"/>
    <s v="Mary Alice Dorrance"/>
    <m/>
    <d v="2023-04-04T05:01:00"/>
    <s v="Pennsylvania"/>
    <s v="Northeast"/>
    <n v="1950"/>
    <n v="117.24"/>
    <n v="7.5"/>
    <n v="21427700000000"/>
    <n v="88.2"/>
    <n v="101.8"/>
    <n v="9.6"/>
    <n v="36.6"/>
    <n v="328239523"/>
  </r>
  <r>
    <x v="187"/>
    <x v="187"/>
    <x v="6"/>
    <x v="690"/>
    <x v="38"/>
    <x v="30"/>
    <x v="298"/>
    <x v="324"/>
    <x v="6"/>
    <s v="Brazil"/>
    <m/>
    <x v="0"/>
    <s v="U"/>
    <x v="0"/>
    <d v="1962-01-01T00:00:00"/>
    <s v="Moreira Salles"/>
    <s v="Joao"/>
    <m/>
    <d v="2023-04-04T05:01:00"/>
    <m/>
    <m/>
    <n v="1962"/>
    <n v="167.4"/>
    <n v="3.7"/>
    <n v="1839758040766"/>
    <n v="51.3"/>
    <n v="115.4"/>
    <n v="14.2"/>
    <n v="65.099999999999994"/>
    <n v="212559417"/>
  </r>
  <r>
    <x v="187"/>
    <x v="187"/>
    <x v="3"/>
    <x v="691"/>
    <x v="37"/>
    <x v="30"/>
    <x v="298"/>
    <x v="324"/>
    <x v="3"/>
    <s v="Brazil"/>
    <m/>
    <x v="0"/>
    <s v="U"/>
    <x v="0"/>
    <d v="1956-04-12T00:00:00"/>
    <s v="Moreira Salles Junior"/>
    <s v="Walther"/>
    <m/>
    <d v="2023-04-04T05:01:00"/>
    <m/>
    <m/>
    <n v="1956"/>
    <n v="167.4"/>
    <n v="3.7"/>
    <n v="1839758040766"/>
    <n v="51.3"/>
    <n v="115.4"/>
    <n v="14.2"/>
    <n v="65.099999999999994"/>
    <n v="212559417"/>
  </r>
  <r>
    <x v="187"/>
    <x v="187"/>
    <x v="17"/>
    <x v="692"/>
    <x v="31"/>
    <x v="1"/>
    <x v="249"/>
    <x v="325"/>
    <x v="17"/>
    <s v="United States"/>
    <m/>
    <x v="1"/>
    <s v="U"/>
    <x v="0"/>
    <d v="1946-08-14T00:00:00"/>
    <s v="Moreno"/>
    <s v="Arturo"/>
    <m/>
    <d v="2023-04-04T05:01:00"/>
    <s v="Arizona"/>
    <s v="West"/>
    <n v="1946"/>
    <n v="117.24"/>
    <n v="7.5"/>
    <n v="21427700000000"/>
    <n v="88.2"/>
    <n v="101.8"/>
    <n v="9.6"/>
    <n v="36.6"/>
    <n v="328239523"/>
  </r>
  <r>
    <x v="187"/>
    <x v="187"/>
    <x v="10"/>
    <x v="693"/>
    <x v="53"/>
    <x v="8"/>
    <x v="299"/>
    <x v="326"/>
    <x v="10"/>
    <s v="Switzerland"/>
    <m/>
    <x v="1"/>
    <s v="D"/>
    <x v="0"/>
    <d v="1959-09-01T00:00:00"/>
    <s v="Spuhler"/>
    <s v="Peter"/>
    <m/>
    <d v="2023-04-04T05:01:00"/>
    <m/>
    <m/>
    <n v="1959"/>
    <n v="99.55"/>
    <n v="0.4"/>
    <n v="703082435360"/>
    <n v="59.6"/>
    <n v="105.2"/>
    <n v="10.1"/>
    <n v="28.8"/>
    <n v="8574832"/>
  </r>
  <r>
    <x v="187"/>
    <x v="187"/>
    <x v="11"/>
    <x v="694"/>
    <x v="50"/>
    <x v="1"/>
    <x v="125"/>
    <x v="36"/>
    <x v="11"/>
    <s v="United States"/>
    <m/>
    <x v="1"/>
    <s v="U"/>
    <x v="0"/>
    <d v="1934-04-26T00:00:00"/>
    <s v="Sterling"/>
    <s v="Donald"/>
    <m/>
    <d v="2023-04-04T05:01:00"/>
    <s v="California"/>
    <s v="West"/>
    <n v="1934"/>
    <n v="117.24"/>
    <n v="7.5"/>
    <n v="21427700000000"/>
    <n v="88.2"/>
    <n v="101.8"/>
    <n v="9.6"/>
    <n v="36.6"/>
    <n v="328239523"/>
  </r>
  <r>
    <x v="187"/>
    <x v="187"/>
    <x v="6"/>
    <x v="695"/>
    <x v="26"/>
    <x v="14"/>
    <x v="40"/>
    <x v="327"/>
    <x v="6"/>
    <s v="Australia"/>
    <m/>
    <x v="1"/>
    <s v="D"/>
    <x v="0"/>
    <d v="1940-09-13T00:00:00"/>
    <s v="Stokes"/>
    <s v="Kerry"/>
    <m/>
    <d v="2023-04-04T05:01:00"/>
    <m/>
    <m/>
    <n v="1940"/>
    <n v="119.8"/>
    <n v="1.6"/>
    <n v="1392680589329"/>
    <n v="113.1"/>
    <n v="100.3"/>
    <n v="23"/>
    <n v="47.4"/>
    <n v="25766605"/>
  </r>
  <r>
    <x v="187"/>
    <x v="187"/>
    <x v="2"/>
    <x v="696"/>
    <x v="15"/>
    <x v="1"/>
    <x v="300"/>
    <x v="328"/>
    <x v="2"/>
    <s v="United States"/>
    <m/>
    <x v="1"/>
    <s v="D"/>
    <x v="0"/>
    <d v="1963-01-26T00:00:00"/>
    <s v="Xie"/>
    <s v="Ken"/>
    <m/>
    <d v="2023-04-04T05:01:00"/>
    <s v="California"/>
    <s v="West"/>
    <n v="1963"/>
    <n v="117.24"/>
    <n v="7.5"/>
    <n v="21427700000000"/>
    <n v="88.2"/>
    <n v="101.8"/>
    <n v="9.6"/>
    <n v="36.6"/>
    <n v="328239523"/>
  </r>
  <r>
    <x v="187"/>
    <x v="187"/>
    <x v="14"/>
    <x v="697"/>
    <x v="41"/>
    <x v="5"/>
    <x v="19"/>
    <x v="233"/>
    <x v="14"/>
    <s v="China"/>
    <m/>
    <x v="1"/>
    <s v="D"/>
    <x v="0"/>
    <d v="1966-01-01T00:00:00"/>
    <s v="Xie"/>
    <s v="Liangzhi"/>
    <m/>
    <d v="2023-04-04T05:01:00"/>
    <m/>
    <m/>
    <n v="1966"/>
    <n v="125.08"/>
    <n v="2.9"/>
    <n v="19910000000000"/>
    <n v="50.6"/>
    <n v="100.2"/>
    <n v="9.4"/>
    <n v="59.2"/>
    <n v="1397715000"/>
  </r>
  <r>
    <x v="188"/>
    <x v="188"/>
    <x v="13"/>
    <x v="698"/>
    <x v="35"/>
    <x v="1"/>
    <x v="15"/>
    <x v="256"/>
    <x v="13"/>
    <s v="United States"/>
    <m/>
    <x v="0"/>
    <s v="U"/>
    <x v="0"/>
    <d v="1942-04-09T00:00:00"/>
    <s v="Bass"/>
    <s v="Sid"/>
    <m/>
    <d v="2023-04-04T05:01:00"/>
    <s v="Texas"/>
    <s v="South"/>
    <n v="1942"/>
    <n v="117.24"/>
    <n v="7.5"/>
    <n v="21427700000000"/>
    <n v="88.2"/>
    <n v="101.8"/>
    <n v="9.6"/>
    <n v="36.6"/>
    <n v="328239523"/>
  </r>
  <r>
    <x v="188"/>
    <x v="188"/>
    <x v="2"/>
    <x v="699"/>
    <x v="65"/>
    <x v="1"/>
    <x v="139"/>
    <x v="329"/>
    <x v="2"/>
    <s v="United States"/>
    <m/>
    <x v="1"/>
    <s v="D"/>
    <x v="0"/>
    <d v="1974-06-15T00:00:00"/>
    <s v="Chestnut"/>
    <s v="Ben"/>
    <m/>
    <d v="2023-04-04T05:01:00"/>
    <s v="Georgia"/>
    <s v="South"/>
    <n v="1974"/>
    <n v="117.24"/>
    <n v="7.5"/>
    <n v="21427700000000"/>
    <n v="88.2"/>
    <n v="101.8"/>
    <n v="9.6"/>
    <n v="36.6"/>
    <n v="328239523"/>
  </r>
  <r>
    <x v="188"/>
    <x v="188"/>
    <x v="7"/>
    <x v="700"/>
    <x v="43"/>
    <x v="1"/>
    <x v="25"/>
    <x v="330"/>
    <x v="7"/>
    <s v="United States"/>
    <m/>
    <x v="0"/>
    <s v="N"/>
    <x v="1"/>
    <d v="1947-07-25T00:00:00"/>
    <s v="DeLuca"/>
    <s v="Elisabeth"/>
    <m/>
    <d v="2023-04-04T05:01:00"/>
    <m/>
    <s v="South"/>
    <n v="1947"/>
    <n v="117.24"/>
    <n v="7.5"/>
    <n v="21427700000000"/>
    <n v="88.2"/>
    <n v="101.8"/>
    <n v="9.6"/>
    <n v="36.6"/>
    <n v="328239523"/>
  </r>
  <r>
    <x v="188"/>
    <x v="188"/>
    <x v="6"/>
    <x v="701"/>
    <x v="32"/>
    <x v="5"/>
    <x v="34"/>
    <x v="331"/>
    <x v="6"/>
    <s v="China"/>
    <m/>
    <x v="1"/>
    <s v="D"/>
    <x v="0"/>
    <d v="1967-02-16T00:00:00"/>
    <s v="Guo"/>
    <s v="Guangchang"/>
    <m/>
    <d v="2023-04-04T05:01:00"/>
    <m/>
    <m/>
    <n v="1967"/>
    <n v="125.08"/>
    <n v="2.9"/>
    <n v="19910000000000"/>
    <n v="50.6"/>
    <n v="100.2"/>
    <n v="9.4"/>
    <n v="59.2"/>
    <n v="1397715000"/>
  </r>
  <r>
    <x v="188"/>
    <x v="188"/>
    <x v="10"/>
    <x v="702"/>
    <x v="22"/>
    <x v="3"/>
    <x v="41"/>
    <x v="332"/>
    <x v="10"/>
    <s v="India"/>
    <m/>
    <x v="0"/>
    <s v="U"/>
    <x v="1"/>
    <d v="1945-09-15T00:00:00"/>
    <s v="Gupta"/>
    <s v="Vinod Rai"/>
    <m/>
    <d v="2023-04-04T05:01:00"/>
    <m/>
    <m/>
    <n v="1945"/>
    <n v="180.44"/>
    <n v="7.7"/>
    <n v="2611000000000"/>
    <n v="28.1"/>
    <n v="113"/>
    <n v="11.2"/>
    <n v="49.7"/>
    <n v="1366417754"/>
  </r>
  <r>
    <x v="188"/>
    <x v="188"/>
    <x v="17"/>
    <x v="703"/>
    <x v="16"/>
    <x v="1"/>
    <x v="182"/>
    <x v="333"/>
    <x v="17"/>
    <s v="United States"/>
    <m/>
    <x v="1"/>
    <s v="U"/>
    <x v="0"/>
    <d v="1949-09-13T00:00:00"/>
    <s v="Henry"/>
    <s v="John"/>
    <m/>
    <d v="2023-04-04T05:01:00"/>
    <s v="Florida"/>
    <s v="South"/>
    <n v="1949"/>
    <n v="117.24"/>
    <n v="7.5"/>
    <n v="21427700000000"/>
    <n v="88.2"/>
    <n v="101.8"/>
    <n v="9.6"/>
    <n v="36.6"/>
    <n v="328239523"/>
  </r>
  <r>
    <x v="188"/>
    <x v="188"/>
    <x v="2"/>
    <x v="704"/>
    <x v="62"/>
    <x v="1"/>
    <x v="115"/>
    <x v="334"/>
    <x v="2"/>
    <s v="United States"/>
    <s v="Uber Technologies Inc."/>
    <x v="1"/>
    <s v="U"/>
    <x v="0"/>
    <d v="1976-08-06T00:00:00"/>
    <s v="Kalanick"/>
    <s v="Travis"/>
    <s v="Cofounder"/>
    <d v="2023-04-04T05:01:00"/>
    <s v="California"/>
    <s v="West"/>
    <n v="1976"/>
    <n v="117.24"/>
    <n v="7.5"/>
    <n v="21427700000000"/>
    <n v="88.2"/>
    <n v="101.8"/>
    <n v="9.6"/>
    <n v="36.6"/>
    <n v="328239523"/>
  </r>
  <r>
    <x v="188"/>
    <x v="188"/>
    <x v="10"/>
    <x v="705"/>
    <x v="38"/>
    <x v="31"/>
    <x v="301"/>
    <x v="335"/>
    <x v="10"/>
    <s v="Malaysia"/>
    <m/>
    <x v="1"/>
    <s v="D"/>
    <x v="0"/>
    <d v="1961-04-25T00:00:00"/>
    <s v="Koon"/>
    <s v="Poh Keong"/>
    <m/>
    <d v="2023-04-04T05:01:00"/>
    <m/>
    <m/>
    <n v="1961"/>
    <n v="121.46"/>
    <n v="0.7"/>
    <n v="364701517788"/>
    <n v="45.1"/>
    <n v="105.3"/>
    <n v="12"/>
    <n v="38.700000000000003"/>
    <n v="32447385"/>
  </r>
  <r>
    <x v="188"/>
    <x v="188"/>
    <x v="2"/>
    <x v="706"/>
    <x v="1"/>
    <x v="1"/>
    <x v="139"/>
    <x v="329"/>
    <x v="2"/>
    <s v="United States"/>
    <m/>
    <x v="1"/>
    <s v="D"/>
    <x v="0"/>
    <d v="1971-12-01T00:00:00"/>
    <s v="Kurzius"/>
    <s v="Dan"/>
    <m/>
    <d v="2023-04-04T05:01:00"/>
    <s v="Georgia"/>
    <s v="South"/>
    <n v="1971"/>
    <n v="117.24"/>
    <n v="7.5"/>
    <n v="21427700000000"/>
    <n v="88.2"/>
    <n v="101.8"/>
    <n v="9.6"/>
    <n v="36.6"/>
    <n v="328239523"/>
  </r>
  <r>
    <x v="188"/>
    <x v="188"/>
    <x v="10"/>
    <x v="707"/>
    <x v="8"/>
    <x v="5"/>
    <x v="302"/>
    <x v="336"/>
    <x v="10"/>
    <s v="United States"/>
    <m/>
    <x v="1"/>
    <s v="D"/>
    <x v="0"/>
    <d v="1958-01-01T00:00:00"/>
    <s v="Lee"/>
    <s v="Paul"/>
    <m/>
    <d v="2023-04-04T05:01:00"/>
    <m/>
    <m/>
    <n v="1958"/>
    <n v="125.08"/>
    <n v="2.9"/>
    <n v="19910000000000"/>
    <n v="50.6"/>
    <n v="100.2"/>
    <n v="9.4"/>
    <n v="59.2"/>
    <n v="1397715000"/>
  </r>
  <r>
    <x v="188"/>
    <x v="188"/>
    <x v="2"/>
    <x v="708"/>
    <x v="57"/>
    <x v="6"/>
    <x v="303"/>
    <x v="34"/>
    <x v="2"/>
    <s v="Canada"/>
    <m/>
    <x v="1"/>
    <s v="D"/>
    <x v="0"/>
    <d v="1980-07-16T00:00:00"/>
    <s v="Lutke"/>
    <s v="Tobi"/>
    <m/>
    <d v="2023-04-04T05:01:00"/>
    <m/>
    <m/>
    <n v="1980"/>
    <n v="116.76"/>
    <n v="1.9"/>
    <n v="1736425629520"/>
    <n v="68.900000000000006"/>
    <n v="100.9"/>
    <n v="12.8"/>
    <n v="24.5"/>
    <n v="36991981"/>
  </r>
  <r>
    <x v="188"/>
    <x v="188"/>
    <x v="1"/>
    <x v="709"/>
    <x v="55"/>
    <x v="1"/>
    <x v="304"/>
    <x v="337"/>
    <x v="1"/>
    <s v="United States"/>
    <m/>
    <x v="1"/>
    <s v="U"/>
    <x v="1"/>
    <d v="1943-10-14T00:00:00"/>
    <s v="Miller"/>
    <s v="Gail"/>
    <m/>
    <d v="2023-04-04T05:01:00"/>
    <s v="Utah"/>
    <s v="West"/>
    <n v="1943"/>
    <n v="117.24"/>
    <n v="7.5"/>
    <n v="21427700000000"/>
    <n v="88.2"/>
    <n v="101.8"/>
    <n v="9.6"/>
    <n v="36.6"/>
    <n v="328239523"/>
  </r>
  <r>
    <x v="188"/>
    <x v="188"/>
    <x v="5"/>
    <x v="710"/>
    <x v="53"/>
    <x v="3"/>
    <x v="41"/>
    <x v="7"/>
    <x v="5"/>
    <s v="India"/>
    <m/>
    <x v="0"/>
    <s v="Split Family Fortune"/>
    <x v="0"/>
    <d v="1960-01-05T00:00:00"/>
    <s v="Mittal"/>
    <s v="Rajan"/>
    <m/>
    <d v="2023-04-04T05:01:00"/>
    <m/>
    <m/>
    <n v="1960"/>
    <n v="180.44"/>
    <n v="7.7"/>
    <n v="2611000000000"/>
    <n v="28.1"/>
    <n v="113"/>
    <n v="11.2"/>
    <n v="49.7"/>
    <n v="1366417754"/>
  </r>
  <r>
    <x v="188"/>
    <x v="188"/>
    <x v="5"/>
    <x v="711"/>
    <x v="5"/>
    <x v="3"/>
    <x v="41"/>
    <x v="7"/>
    <x v="5"/>
    <s v="India"/>
    <m/>
    <x v="0"/>
    <s v="Split Family Fortune"/>
    <x v="0"/>
    <d v="1955-09-18T00:00:00"/>
    <s v="Mittal"/>
    <s v="Rakesh"/>
    <m/>
    <d v="2023-04-04T05:01:00"/>
    <m/>
    <m/>
    <n v="1955"/>
    <n v="180.44"/>
    <n v="7.7"/>
    <n v="2611000000000"/>
    <n v="28.1"/>
    <n v="113"/>
    <n v="11.2"/>
    <n v="49.7"/>
    <n v="1366417754"/>
  </r>
  <r>
    <x v="188"/>
    <x v="188"/>
    <x v="4"/>
    <x v="712"/>
    <x v="35"/>
    <x v="1"/>
    <x v="43"/>
    <x v="338"/>
    <x v="4"/>
    <s v="United States"/>
    <s v="Marvel Entertainment"/>
    <x v="1"/>
    <s v="D"/>
    <x v="0"/>
    <d v="1942-12-01T00:00:00"/>
    <s v="Perlmutter"/>
    <s v="Isaac"/>
    <s v="Chairman"/>
    <d v="2023-04-04T05:01:00"/>
    <s v="Florida"/>
    <s v="South"/>
    <n v="1942"/>
    <n v="117.24"/>
    <n v="7.5"/>
    <n v="21427700000000"/>
    <n v="88.2"/>
    <n v="101.8"/>
    <n v="9.6"/>
    <n v="36.6"/>
    <n v="328239523"/>
  </r>
  <r>
    <x v="188"/>
    <x v="188"/>
    <x v="3"/>
    <x v="713"/>
    <x v="40"/>
    <x v="1"/>
    <x v="191"/>
    <x v="339"/>
    <x v="3"/>
    <s v="United States"/>
    <s v="Saul Centers"/>
    <x v="0"/>
    <s v="U"/>
    <x v="0"/>
    <d v="1932-04-15T00:00:00"/>
    <s v="Saul"/>
    <s v="Bernard"/>
    <s v="Chairman and CEO"/>
    <d v="2023-04-04T05:01:00"/>
    <s v="Maryland"/>
    <s v="South"/>
    <n v="1932"/>
    <n v="117.24"/>
    <n v="7.5"/>
    <n v="21427700000000"/>
    <n v="88.2"/>
    <n v="101.8"/>
    <n v="9.6"/>
    <n v="36.6"/>
    <n v="328239523"/>
  </r>
  <r>
    <x v="188"/>
    <x v="188"/>
    <x v="5"/>
    <x v="714"/>
    <x v="13"/>
    <x v="28"/>
    <x v="95"/>
    <x v="7"/>
    <x v="5"/>
    <s v="Israel"/>
    <m/>
    <x v="1"/>
    <s v="D"/>
    <x v="0"/>
    <d v="1955-01-01T00:00:00"/>
    <s v="Shani"/>
    <s v="Shaul"/>
    <m/>
    <d v="2023-04-04T05:01:00"/>
    <m/>
    <m/>
    <n v="1955"/>
    <n v="110.62"/>
    <n v="0.6"/>
    <n v="2001244392042"/>
    <n v="61.9"/>
    <n v="101.9"/>
    <n v="24.3"/>
    <n v="59.1"/>
    <n v="60297396"/>
  </r>
  <r>
    <x v="188"/>
    <x v="188"/>
    <x v="4"/>
    <x v="715"/>
    <x v="31"/>
    <x v="1"/>
    <x v="305"/>
    <x v="340"/>
    <x v="4"/>
    <s v="United States"/>
    <m/>
    <x v="1"/>
    <s v="U"/>
    <x v="0"/>
    <d v="1946-12-18T00:00:00"/>
    <s v="Spielberg"/>
    <s v="Steven"/>
    <m/>
    <d v="2023-04-04T05:01:00"/>
    <s v="California"/>
    <s v="West"/>
    <n v="1946"/>
    <n v="117.24"/>
    <n v="7.5"/>
    <n v="21427700000000"/>
    <n v="88.2"/>
    <n v="101.8"/>
    <n v="9.6"/>
    <n v="36.6"/>
    <n v="328239523"/>
  </r>
  <r>
    <x v="188"/>
    <x v="188"/>
    <x v="14"/>
    <x v="716"/>
    <x v="43"/>
    <x v="42"/>
    <x v="306"/>
    <x v="83"/>
    <x v="14"/>
    <s v="Poland"/>
    <m/>
    <x v="1"/>
    <s v="E"/>
    <x v="0"/>
    <d v="1947-12-12T00:00:00"/>
    <s v="Starak"/>
    <s v="Jerzy"/>
    <m/>
    <d v="2023-04-04T05:01:00"/>
    <m/>
    <m/>
    <n v="1947"/>
    <n v="114.11"/>
    <n v="2.2000000000000002"/>
    <n v="592164400688"/>
    <n v="67.8"/>
    <n v="100"/>
    <n v="17.399999999999999"/>
    <n v="40.799999999999997"/>
    <n v="37970874"/>
  </r>
  <r>
    <x v="188"/>
    <x v="188"/>
    <x v="13"/>
    <x v="717"/>
    <x v="9"/>
    <x v="8"/>
    <x v="33"/>
    <x v="341"/>
    <x v="13"/>
    <s v="Sweden"/>
    <m/>
    <x v="1"/>
    <s v="U"/>
    <x v="0"/>
    <d v="1953-11-08T00:00:00"/>
    <s v="Tornqvist"/>
    <s v="Torbjorn"/>
    <m/>
    <d v="2023-04-04T05:01:00"/>
    <m/>
    <m/>
    <n v="1953"/>
    <n v="99.55"/>
    <n v="0.4"/>
    <n v="703082435360"/>
    <n v="59.6"/>
    <n v="105.2"/>
    <n v="10.1"/>
    <n v="28.8"/>
    <n v="8574832"/>
  </r>
  <r>
    <x v="188"/>
    <x v="188"/>
    <x v="12"/>
    <x v="718"/>
    <x v="0"/>
    <x v="2"/>
    <x v="6"/>
    <x v="72"/>
    <x v="12"/>
    <s v="Mexico"/>
    <m/>
    <x v="1"/>
    <s v="U"/>
    <x v="0"/>
    <d v="1948-06-01T00:00:00"/>
    <s v="Vigil Gonzalez"/>
    <s v="Rufino"/>
    <m/>
    <d v="2023-04-04T05:01:00"/>
    <m/>
    <m/>
    <n v="1948"/>
    <n v="141.54"/>
    <n v="3.6"/>
    <n v="1258286717125"/>
    <n v="40.200000000000003"/>
    <n v="105.8"/>
    <n v="13.1"/>
    <n v="55.1"/>
    <n v="126014024"/>
  </r>
  <r>
    <x v="188"/>
    <x v="188"/>
    <x v="6"/>
    <x v="719"/>
    <x v="16"/>
    <x v="5"/>
    <x v="307"/>
    <x v="342"/>
    <x v="6"/>
    <s v="China"/>
    <m/>
    <x v="1"/>
    <s v="U"/>
    <x v="0"/>
    <d v="1950-01-01T00:00:00"/>
    <s v="Zhang"/>
    <s v="Daocai"/>
    <m/>
    <d v="2023-04-04T05:01:00"/>
    <m/>
    <m/>
    <n v="1950"/>
    <n v="125.08"/>
    <n v="2.9"/>
    <n v="19910000000000"/>
    <n v="50.6"/>
    <n v="100.2"/>
    <n v="9.4"/>
    <n v="59.2"/>
    <n v="1397715000"/>
  </r>
  <r>
    <x v="189"/>
    <x v="189"/>
    <x v="10"/>
    <x v="720"/>
    <x v="31"/>
    <x v="7"/>
    <x v="308"/>
    <x v="101"/>
    <x v="10"/>
    <s v="Germany"/>
    <m/>
    <x v="0"/>
    <s v="D"/>
    <x v="0"/>
    <d v="1947-01-01T00:00:00"/>
    <s v="Blickle"/>
    <s v="Juergen"/>
    <m/>
    <d v="2023-04-04T05:01:00"/>
    <m/>
    <m/>
    <n v="1947"/>
    <n v="112.85"/>
    <n v="1.4"/>
    <n v="3845630030824"/>
    <n v="70.2"/>
    <n v="104"/>
    <n v="11.5"/>
    <n v="48.8"/>
    <n v="83132799"/>
  </r>
  <r>
    <x v="189"/>
    <x v="189"/>
    <x v="7"/>
    <x v="721"/>
    <x v="25"/>
    <x v="1"/>
    <x v="309"/>
    <x v="188"/>
    <x v="7"/>
    <s v="United States"/>
    <m/>
    <x v="0"/>
    <s v="D"/>
    <x v="0"/>
    <d v="1951-03-09T00:00:00"/>
    <s v="Cargill"/>
    <s v="Austen"/>
    <m/>
    <d v="2023-04-04T05:01:00"/>
    <s v="Montana"/>
    <s v="West"/>
    <n v="1951"/>
    <n v="117.24"/>
    <n v="7.5"/>
    <n v="21427700000000"/>
    <n v="88.2"/>
    <n v="101.8"/>
    <n v="9.6"/>
    <n v="36.6"/>
    <n v="328239523"/>
  </r>
  <r>
    <x v="189"/>
    <x v="189"/>
    <x v="7"/>
    <x v="722"/>
    <x v="16"/>
    <x v="1"/>
    <x v="310"/>
    <x v="188"/>
    <x v="7"/>
    <s v="United States"/>
    <m/>
    <x v="0"/>
    <s v="D"/>
    <x v="0"/>
    <d v="1949-04-07T00:00:00"/>
    <s v="Cargill"/>
    <s v="James"/>
    <m/>
    <d v="2023-04-04T05:01:00"/>
    <s v="Wisconsin"/>
    <s v="Midwest"/>
    <n v="1949"/>
    <n v="117.24"/>
    <n v="7.5"/>
    <n v="21427700000000"/>
    <n v="88.2"/>
    <n v="101.8"/>
    <n v="9.6"/>
    <n v="36.6"/>
    <n v="328239523"/>
  </r>
  <r>
    <x v="189"/>
    <x v="189"/>
    <x v="3"/>
    <x v="723"/>
    <x v="56"/>
    <x v="23"/>
    <x v="73"/>
    <x v="343"/>
    <x v="3"/>
    <s v="Thailand"/>
    <m/>
    <x v="1"/>
    <s v="U"/>
    <x v="0"/>
    <d v="1932-01-01T00:00:00"/>
    <s v="Chaiyawan"/>
    <s v="Vanich"/>
    <m/>
    <d v="2023-04-04T05:01:00"/>
    <m/>
    <m/>
    <n v="1932"/>
    <n v="113.27"/>
    <n v="0.7"/>
    <n v="543649976166"/>
    <n v="49.3"/>
    <n v="99.8"/>
    <n v="14.9"/>
    <n v="29.5"/>
    <n v="69625582"/>
  </r>
  <r>
    <x v="189"/>
    <x v="189"/>
    <x v="3"/>
    <x v="724"/>
    <x v="8"/>
    <x v="5"/>
    <x v="19"/>
    <x v="150"/>
    <x v="3"/>
    <s v="China"/>
    <m/>
    <x v="1"/>
    <s v="U"/>
    <x v="0"/>
    <d v="1957-12-01T00:00:00"/>
    <s v="Chen"/>
    <s v="Dongsheng"/>
    <m/>
    <d v="2023-04-04T05:01:00"/>
    <m/>
    <m/>
    <n v="1957"/>
    <n v="125.08"/>
    <n v="2.9"/>
    <n v="19910000000000"/>
    <n v="50.6"/>
    <n v="100.2"/>
    <n v="9.4"/>
    <n v="59.2"/>
    <n v="1397715000"/>
  </r>
  <r>
    <x v="189"/>
    <x v="189"/>
    <x v="1"/>
    <x v="725"/>
    <x v="18"/>
    <x v="32"/>
    <x v="109"/>
    <x v="344"/>
    <x v="1"/>
    <s v="South Korea"/>
    <m/>
    <x v="0"/>
    <s v="D"/>
    <x v="0"/>
    <d v="1938-03-19T00:00:00"/>
    <s v="Chung"/>
    <s v="Mong-Koo"/>
    <m/>
    <d v="2023-04-04T05:01:00"/>
    <m/>
    <m/>
    <n v="1938"/>
    <n v="115.16"/>
    <n v="0.4"/>
    <n v="2029000000000"/>
    <n v="94.3"/>
    <n v="98.1"/>
    <n v="15.6"/>
    <n v="33.200000000000003"/>
    <n v="51709098"/>
  </r>
  <r>
    <x v="189"/>
    <x v="189"/>
    <x v="3"/>
    <x v="726"/>
    <x v="5"/>
    <x v="45"/>
    <x v="311"/>
    <x v="38"/>
    <x v="3"/>
    <s v="Belize"/>
    <m/>
    <x v="0"/>
    <s v="U"/>
    <x v="0"/>
    <d v="1955-04-21T00:00:00"/>
    <s v="Dart"/>
    <s v="Kenneth"/>
    <m/>
    <d v="2023-04-04T05:01:00"/>
    <m/>
    <m/>
    <n v="1955"/>
    <m/>
    <m/>
    <m/>
    <m/>
    <m/>
    <m/>
    <m/>
    <m/>
  </r>
  <r>
    <x v="189"/>
    <x v="189"/>
    <x v="0"/>
    <x v="727"/>
    <x v="7"/>
    <x v="28"/>
    <x v="312"/>
    <x v="345"/>
    <x v="0"/>
    <s v="Italy"/>
    <m/>
    <x v="0"/>
    <s v="D"/>
    <x v="0"/>
    <d v="1939-04-24T00:00:00"/>
    <s v="De'Longhi"/>
    <s v="Giuseppe"/>
    <m/>
    <d v="2023-04-04T05:01:00"/>
    <m/>
    <m/>
    <n v="1939"/>
    <n v="110.62"/>
    <n v="0.6"/>
    <n v="2001244392042"/>
    <n v="61.9"/>
    <n v="101.9"/>
    <n v="24.3"/>
    <n v="59.1"/>
    <n v="60297396"/>
  </r>
  <r>
    <x v="189"/>
    <x v="189"/>
    <x v="14"/>
    <x v="728"/>
    <x v="7"/>
    <x v="7"/>
    <x v="127"/>
    <x v="346"/>
    <x v="14"/>
    <s v="Germany"/>
    <m/>
    <x v="1"/>
    <s v="D"/>
    <x v="0"/>
    <d v="1939-09-17T00:00:00"/>
    <s v="Fielmann"/>
    <s v="Guenther"/>
    <m/>
    <d v="2023-04-04T05:01:00"/>
    <m/>
    <m/>
    <n v="1939"/>
    <n v="112.85"/>
    <n v="1.4"/>
    <n v="3845630030824"/>
    <n v="70.2"/>
    <n v="104"/>
    <n v="11.5"/>
    <n v="48.8"/>
    <n v="83132799"/>
  </r>
  <r>
    <x v="189"/>
    <x v="189"/>
    <x v="13"/>
    <x v="729"/>
    <x v="21"/>
    <x v="1"/>
    <x v="80"/>
    <x v="62"/>
    <x v="13"/>
    <s v="United States"/>
    <m/>
    <x v="0"/>
    <s v="D"/>
    <x v="0"/>
    <d v="1929-03-06T00:00:00"/>
    <s v="Hunt"/>
    <s v="W. Herbert"/>
    <s v="Investor"/>
    <d v="2023-04-04T05:01:00"/>
    <s v="Texas"/>
    <s v="South"/>
    <n v="1929"/>
    <n v="117.24"/>
    <n v="7.5"/>
    <n v="21427700000000"/>
    <n v="88.2"/>
    <n v="101.8"/>
    <n v="9.6"/>
    <n v="36.6"/>
    <n v="328239523"/>
  </r>
  <r>
    <x v="189"/>
    <x v="189"/>
    <x v="17"/>
    <x v="730"/>
    <x v="53"/>
    <x v="1"/>
    <x v="313"/>
    <x v="347"/>
    <x v="17"/>
    <s v="United States"/>
    <s v="Indianapolis Colts"/>
    <x v="0"/>
    <s v="U"/>
    <x v="0"/>
    <d v="1959-06-13T00:00:00"/>
    <s v="Irsay"/>
    <s v="James"/>
    <s v="CEO"/>
    <d v="2023-04-04T05:01:00"/>
    <s v="Indiana"/>
    <s v="Midwest"/>
    <n v="1959"/>
    <n v="117.24"/>
    <n v="7.5"/>
    <n v="21427700000000"/>
    <n v="88.2"/>
    <n v="101.8"/>
    <n v="9.6"/>
    <n v="36.6"/>
    <n v="328239523"/>
  </r>
  <r>
    <x v="189"/>
    <x v="189"/>
    <x v="6"/>
    <x v="731"/>
    <x v="44"/>
    <x v="23"/>
    <x v="73"/>
    <x v="8"/>
    <x v="6"/>
    <s v="Thailand"/>
    <m/>
    <x v="0"/>
    <s v="N"/>
    <x v="1"/>
    <m/>
    <s v="Jaruphnit"/>
    <s v="Somurai"/>
    <m/>
    <d v="2023-04-04T05:01:00"/>
    <m/>
    <m/>
    <m/>
    <n v="113.27"/>
    <n v="0.7"/>
    <n v="543649976166"/>
    <n v="49.3"/>
    <n v="99.8"/>
    <n v="14.9"/>
    <n v="29.5"/>
    <n v="69625582"/>
  </r>
  <r>
    <x v="189"/>
    <x v="189"/>
    <x v="7"/>
    <x v="732"/>
    <x v="9"/>
    <x v="1"/>
    <x v="314"/>
    <x v="188"/>
    <x v="7"/>
    <s v="United States"/>
    <m/>
    <x v="0"/>
    <s v="D"/>
    <x v="1"/>
    <d v="1953-07-11T00:00:00"/>
    <s v="Liebmann"/>
    <s v="Marianne"/>
    <m/>
    <d v="2023-04-04T05:01:00"/>
    <s v="Montana"/>
    <s v="West"/>
    <n v="1953"/>
    <n v="117.24"/>
    <n v="7.5"/>
    <n v="21427700000000"/>
    <n v="88.2"/>
    <n v="101.8"/>
    <n v="9.6"/>
    <n v="36.6"/>
    <n v="328239523"/>
  </r>
  <r>
    <x v="189"/>
    <x v="189"/>
    <x v="14"/>
    <x v="733"/>
    <x v="3"/>
    <x v="30"/>
    <x v="298"/>
    <x v="63"/>
    <x v="14"/>
    <s v="Brazil"/>
    <m/>
    <x v="1"/>
    <s v="D"/>
    <x v="0"/>
    <d v="1945-01-01T00:00:00"/>
    <s v="Moll Filho"/>
    <s v="Jorge"/>
    <m/>
    <d v="2023-04-04T05:01:00"/>
    <m/>
    <m/>
    <n v="1945"/>
    <n v="167.4"/>
    <n v="3.7"/>
    <n v="1839758040766"/>
    <n v="51.3"/>
    <n v="115.4"/>
    <n v="14.2"/>
    <n v="65.099999999999994"/>
    <n v="212559417"/>
  </r>
  <r>
    <x v="189"/>
    <x v="189"/>
    <x v="6"/>
    <x v="734"/>
    <x v="31"/>
    <x v="30"/>
    <x v="99"/>
    <x v="324"/>
    <x v="6"/>
    <s v="Brazil"/>
    <m/>
    <x v="0"/>
    <s v="U"/>
    <x v="0"/>
    <d v="1946-05-29T00:00:00"/>
    <s v="Moreira Salles"/>
    <s v="Fernando Roberto"/>
    <m/>
    <d v="2023-04-04T05:01:00"/>
    <m/>
    <m/>
    <n v="1946"/>
    <n v="167.4"/>
    <n v="3.7"/>
    <n v="1839758040766"/>
    <n v="51.3"/>
    <n v="115.4"/>
    <n v="14.2"/>
    <n v="65.099999999999994"/>
    <n v="212559417"/>
  </r>
  <r>
    <x v="189"/>
    <x v="189"/>
    <x v="6"/>
    <x v="735"/>
    <x v="53"/>
    <x v="30"/>
    <x v="99"/>
    <x v="324"/>
    <x v="6"/>
    <s v="Brazil"/>
    <m/>
    <x v="0"/>
    <s v="U"/>
    <x v="0"/>
    <d v="1959-10-20T00:00:00"/>
    <s v="Moreira Salles"/>
    <s v="Pedro"/>
    <m/>
    <d v="2023-04-04T05:01:00"/>
    <m/>
    <m/>
    <n v="1959"/>
    <n v="167.4"/>
    <n v="3.7"/>
    <n v="1839758040766"/>
    <n v="51.3"/>
    <n v="115.4"/>
    <n v="14.2"/>
    <n v="65.099999999999994"/>
    <n v="212559417"/>
  </r>
  <r>
    <x v="189"/>
    <x v="189"/>
    <x v="9"/>
    <x v="736"/>
    <x v="15"/>
    <x v="1"/>
    <x v="46"/>
    <x v="348"/>
    <x v="9"/>
    <s v="United States"/>
    <s v="Valve Corporation"/>
    <x v="1"/>
    <s v="E"/>
    <x v="0"/>
    <d v="1962-11-03T00:00:00"/>
    <s v="Newell"/>
    <s v="Gabe"/>
    <s v="Cofounder and CEO"/>
    <d v="2023-04-04T05:01:00"/>
    <s v="Washington"/>
    <s v="West"/>
    <n v="1962"/>
    <n v="117.24"/>
    <n v="7.5"/>
    <n v="21427700000000"/>
    <n v="88.2"/>
    <n v="101.8"/>
    <n v="9.6"/>
    <n v="36.6"/>
    <n v="328239523"/>
  </r>
  <r>
    <x v="189"/>
    <x v="189"/>
    <x v="0"/>
    <x v="737"/>
    <x v="32"/>
    <x v="7"/>
    <x v="315"/>
    <x v="243"/>
    <x v="0"/>
    <s v="Germany"/>
    <m/>
    <x v="0"/>
    <s v="U"/>
    <x v="0"/>
    <d v="1967-01-01T00:00:00"/>
    <s v="Oetker"/>
    <s v="Alfred"/>
    <m/>
    <d v="2023-04-04T05:01:00"/>
    <m/>
    <m/>
    <n v="1967"/>
    <n v="112.85"/>
    <n v="1.4"/>
    <n v="3845630030824"/>
    <n v="70.2"/>
    <n v="104"/>
    <n v="11.5"/>
    <n v="48.8"/>
    <n v="83132799"/>
  </r>
  <r>
    <x v="189"/>
    <x v="189"/>
    <x v="0"/>
    <x v="738"/>
    <x v="10"/>
    <x v="7"/>
    <x v="315"/>
    <x v="243"/>
    <x v="0"/>
    <s v="Germany"/>
    <m/>
    <x v="0"/>
    <s v="U"/>
    <x v="0"/>
    <d v="1972-10-03T00:00:00"/>
    <s v="Oetker"/>
    <s v="Carl Ferdinand"/>
    <m/>
    <d v="2023-04-04T05:01:00"/>
    <m/>
    <m/>
    <n v="1972"/>
    <n v="112.85"/>
    <n v="1.4"/>
    <n v="3845630030824"/>
    <n v="70.2"/>
    <n v="104"/>
    <n v="11.5"/>
    <n v="48.8"/>
    <n v="83132799"/>
  </r>
  <r>
    <x v="189"/>
    <x v="189"/>
    <x v="0"/>
    <x v="739"/>
    <x v="54"/>
    <x v="7"/>
    <x v="315"/>
    <x v="243"/>
    <x v="0"/>
    <s v="Germany"/>
    <m/>
    <x v="0"/>
    <s v="U"/>
    <x v="1"/>
    <d v="1979-01-26T00:00:00"/>
    <s v="Oetker"/>
    <s v="Julia"/>
    <m/>
    <d v="2023-04-04T05:01:00"/>
    <m/>
    <m/>
    <n v="1979"/>
    <n v="112.85"/>
    <n v="1.4"/>
    <n v="3845630030824"/>
    <n v="70.2"/>
    <n v="104"/>
    <n v="11.5"/>
    <n v="48.8"/>
    <n v="83132799"/>
  </r>
  <r>
    <x v="189"/>
    <x v="189"/>
    <x v="10"/>
    <x v="740"/>
    <x v="34"/>
    <x v="5"/>
    <x v="316"/>
    <x v="349"/>
    <x v="10"/>
    <s v="China"/>
    <m/>
    <x v="1"/>
    <s v="D"/>
    <x v="0"/>
    <d v="1961-01-01T00:00:00"/>
    <s v="Ruan"/>
    <s v="Hongliang"/>
    <m/>
    <d v="2023-04-04T05:01:00"/>
    <m/>
    <m/>
    <n v="1961"/>
    <n v="125.08"/>
    <n v="2.9"/>
    <n v="19910000000000"/>
    <n v="50.6"/>
    <n v="100.2"/>
    <n v="9.4"/>
    <n v="59.2"/>
    <n v="1397715000"/>
  </r>
  <r>
    <x v="189"/>
    <x v="189"/>
    <x v="3"/>
    <x v="741"/>
    <x v="53"/>
    <x v="1"/>
    <x v="317"/>
    <x v="137"/>
    <x v="3"/>
    <s v="United States"/>
    <m/>
    <x v="1"/>
    <s v="D"/>
    <x v="0"/>
    <d v="1960-02-17T00:00:00"/>
    <s v="Stevens"/>
    <s v="Mark"/>
    <m/>
    <d v="2023-04-04T05:01:00"/>
    <s v="Colorado"/>
    <s v="West"/>
    <n v="1960"/>
    <n v="117.24"/>
    <n v="7.5"/>
    <n v="21427700000000"/>
    <n v="88.2"/>
    <n v="101.8"/>
    <n v="9.6"/>
    <n v="36.6"/>
    <n v="328239523"/>
  </r>
  <r>
    <x v="189"/>
    <x v="189"/>
    <x v="3"/>
    <x v="742"/>
    <x v="36"/>
    <x v="35"/>
    <x v="152"/>
    <x v="224"/>
    <x v="3"/>
    <s v="Taiwan"/>
    <m/>
    <x v="0"/>
    <s v="D"/>
    <x v="0"/>
    <d v="1952-08-01T00:00:00"/>
    <s v="Tsai"/>
    <s v="Hong-tu"/>
    <m/>
    <d v="2023-04-04T05:01:00"/>
    <m/>
    <m/>
    <n v="1952"/>
    <m/>
    <m/>
    <m/>
    <m/>
    <m/>
    <m/>
    <m/>
    <m/>
  </r>
  <r>
    <x v="189"/>
    <x v="189"/>
    <x v="7"/>
    <x v="743"/>
    <x v="55"/>
    <x v="3"/>
    <x v="7"/>
    <x v="243"/>
    <x v="7"/>
    <s v="India"/>
    <m/>
    <x v="0"/>
    <s v="U"/>
    <x v="0"/>
    <d v="1944-02-15T00:00:00"/>
    <s v="Wadia"/>
    <s v="Nusli"/>
    <m/>
    <d v="2023-04-04T05:01:00"/>
    <m/>
    <m/>
    <n v="1944"/>
    <n v="180.44"/>
    <n v="7.7"/>
    <n v="2611000000000"/>
    <n v="28.1"/>
    <n v="113"/>
    <n v="11.2"/>
    <n v="49.7"/>
    <n v="1366417754"/>
  </r>
  <r>
    <x v="189"/>
    <x v="189"/>
    <x v="14"/>
    <x v="744"/>
    <x v="16"/>
    <x v="5"/>
    <x v="318"/>
    <x v="83"/>
    <x v="14"/>
    <s v="China"/>
    <m/>
    <x v="1"/>
    <s v="E"/>
    <x v="0"/>
    <d v="1949-10-24T00:00:00"/>
    <s v="Wu"/>
    <s v="Yiling"/>
    <m/>
    <d v="2023-04-04T05:01:00"/>
    <m/>
    <m/>
    <n v="1949"/>
    <n v="125.08"/>
    <n v="2.9"/>
    <n v="19910000000000"/>
    <n v="50.6"/>
    <n v="100.2"/>
    <n v="9.4"/>
    <n v="59.2"/>
    <n v="1397715000"/>
  </r>
  <r>
    <x v="189"/>
    <x v="189"/>
    <x v="10"/>
    <x v="745"/>
    <x v="41"/>
    <x v="5"/>
    <x v="114"/>
    <x v="58"/>
    <x v="10"/>
    <s v="China"/>
    <m/>
    <x v="1"/>
    <s v="D"/>
    <x v="0"/>
    <d v="1966-04-01T00:00:00"/>
    <s v="Yu"/>
    <s v="Renrong"/>
    <m/>
    <d v="2023-04-04T05:01:00"/>
    <m/>
    <m/>
    <n v="1966"/>
    <n v="125.08"/>
    <n v="2.9"/>
    <n v="19910000000000"/>
    <n v="50.6"/>
    <n v="100.2"/>
    <n v="9.4"/>
    <n v="59.2"/>
    <n v="1397715000"/>
  </r>
  <r>
    <x v="189"/>
    <x v="189"/>
    <x v="14"/>
    <x v="746"/>
    <x v="15"/>
    <x v="5"/>
    <x v="26"/>
    <x v="83"/>
    <x v="14"/>
    <s v="China"/>
    <m/>
    <x v="1"/>
    <s v="D"/>
    <x v="0"/>
    <d v="1962-04-25T00:00:00"/>
    <s v="Zhu"/>
    <s v="Baoguo"/>
    <m/>
    <d v="2023-04-04T05:01:00"/>
    <m/>
    <m/>
    <n v="1962"/>
    <n v="125.08"/>
    <n v="2.9"/>
    <n v="19910000000000"/>
    <n v="50.6"/>
    <n v="100.2"/>
    <n v="9.4"/>
    <n v="59.2"/>
    <n v="1397715000"/>
  </r>
  <r>
    <x v="190"/>
    <x v="190"/>
    <x v="15"/>
    <x v="747"/>
    <x v="53"/>
    <x v="3"/>
    <x v="41"/>
    <x v="350"/>
    <x v="15"/>
    <s v="India"/>
    <m/>
    <x v="0"/>
    <s v="Split Family Fortune"/>
    <x v="0"/>
    <d v="1959-06-10T00:00:00"/>
    <s v="Bhatia"/>
    <s v="Rahul"/>
    <m/>
    <d v="2023-04-04T05:01:00"/>
    <m/>
    <m/>
    <n v="1959"/>
    <n v="180.44"/>
    <n v="7.7"/>
    <n v="2611000000000"/>
    <n v="28.1"/>
    <n v="113"/>
    <n v="11.2"/>
    <n v="49.7"/>
    <n v="1366417754"/>
  </r>
  <r>
    <x v="190"/>
    <x v="190"/>
    <x v="16"/>
    <x v="748"/>
    <x v="35"/>
    <x v="28"/>
    <x v="319"/>
    <x v="351"/>
    <x v="16"/>
    <s v="Italy"/>
    <m/>
    <x v="1"/>
    <s v="D"/>
    <x v="0"/>
    <d v="1943-03-21T00:00:00"/>
    <s v="Caltagirone"/>
    <s v="Francesco Gaetano"/>
    <m/>
    <d v="2023-04-04T05:01:00"/>
    <m/>
    <m/>
    <n v="1943"/>
    <n v="110.62"/>
    <n v="0.6"/>
    <n v="2001244392042"/>
    <n v="61.9"/>
    <n v="101.9"/>
    <n v="24.3"/>
    <n v="59.1"/>
    <n v="60297396"/>
  </r>
  <r>
    <x v="190"/>
    <x v="190"/>
    <x v="4"/>
    <x v="749"/>
    <x v="6"/>
    <x v="1"/>
    <x v="5"/>
    <x v="352"/>
    <x v="4"/>
    <s v="United States"/>
    <m/>
    <x v="1"/>
    <s v="D"/>
    <x v="0"/>
    <d v="1942-02-02T00:00:00"/>
    <s v="Diller"/>
    <s v="Barry"/>
    <m/>
    <d v="2023-04-04T05:01:00"/>
    <s v="New York"/>
    <s v="Northeast"/>
    <n v="1942"/>
    <n v="117.24"/>
    <n v="7.5"/>
    <n v="21427700000000"/>
    <n v="88.2"/>
    <n v="101.8"/>
    <n v="9.6"/>
    <n v="36.6"/>
    <n v="328239523"/>
  </r>
  <r>
    <x v="190"/>
    <x v="190"/>
    <x v="3"/>
    <x v="750"/>
    <x v="38"/>
    <x v="1"/>
    <x v="5"/>
    <x v="38"/>
    <x v="3"/>
    <s v="United States"/>
    <m/>
    <x v="1"/>
    <s v="U"/>
    <x v="0"/>
    <d v="1961-10-31T00:00:00"/>
    <s v="Edens"/>
    <s v="Wesley"/>
    <m/>
    <d v="2023-04-04T05:01:00"/>
    <s v="New York"/>
    <s v="Northeast"/>
    <n v="1961"/>
    <n v="117.24"/>
    <n v="7.5"/>
    <n v="21427700000000"/>
    <n v="88.2"/>
    <n v="101.8"/>
    <n v="9.6"/>
    <n v="36.6"/>
    <n v="328239523"/>
  </r>
  <r>
    <x v="190"/>
    <x v="190"/>
    <x v="3"/>
    <x v="751"/>
    <x v="53"/>
    <x v="1"/>
    <x v="5"/>
    <x v="122"/>
    <x v="3"/>
    <s v="United States"/>
    <s v="Cerberus Capital Management"/>
    <x v="1"/>
    <s v="U"/>
    <x v="0"/>
    <d v="1960-03-29T00:00:00"/>
    <s v="Feinberg"/>
    <s v="Stephen"/>
    <s v="Co-founder and CEO"/>
    <d v="2023-04-04T05:01:00"/>
    <s v="New York"/>
    <s v="Northeast"/>
    <n v="1960"/>
    <n v="117.24"/>
    <n v="7.5"/>
    <n v="21427700000000"/>
    <n v="88.2"/>
    <n v="101.8"/>
    <n v="9.6"/>
    <n v="36.6"/>
    <n v="328239523"/>
  </r>
  <r>
    <x v="190"/>
    <x v="190"/>
    <x v="15"/>
    <x v="752"/>
    <x v="9"/>
    <x v="1"/>
    <x v="28"/>
    <x v="353"/>
    <x v="15"/>
    <s v="United States"/>
    <m/>
    <x v="1"/>
    <s v="D"/>
    <x v="0"/>
    <d v="1953-07-25T00:00:00"/>
    <s v="Gangwal"/>
    <s v="Rakesh"/>
    <m/>
    <d v="2023-04-04T05:01:00"/>
    <s v="Florida"/>
    <s v="South"/>
    <n v="1953"/>
    <n v="117.24"/>
    <n v="7.5"/>
    <n v="21427700000000"/>
    <n v="88.2"/>
    <n v="101.8"/>
    <n v="9.6"/>
    <n v="36.6"/>
    <n v="328239523"/>
  </r>
  <r>
    <x v="190"/>
    <x v="190"/>
    <x v="7"/>
    <x v="753"/>
    <x v="38"/>
    <x v="1"/>
    <x v="54"/>
    <x v="354"/>
    <x v="7"/>
    <s v="United States"/>
    <m/>
    <x v="1"/>
    <s v="U"/>
    <x v="0"/>
    <d v="1961-12-01T00:00:00"/>
    <s v="Grendys"/>
    <s v="Joseph"/>
    <m/>
    <d v="2023-04-04T05:01:00"/>
    <s v="Illinois"/>
    <s v="Midwest"/>
    <n v="1961"/>
    <n v="117.24"/>
    <n v="7.5"/>
    <n v="21427700000000"/>
    <n v="88.2"/>
    <n v="101.8"/>
    <n v="9.6"/>
    <n v="36.6"/>
    <n v="328239523"/>
  </r>
  <r>
    <x v="190"/>
    <x v="190"/>
    <x v="4"/>
    <x v="754"/>
    <x v="11"/>
    <x v="1"/>
    <x v="56"/>
    <x v="355"/>
    <x v="4"/>
    <s v="United States"/>
    <s v="Ingram Industries, Inc."/>
    <x v="0"/>
    <s v="D"/>
    <x v="1"/>
    <d v="1935-08-20T00:00:00"/>
    <s v="Ingram"/>
    <s v="Martha"/>
    <s v="Former Chairman"/>
    <d v="2023-04-04T05:01:00"/>
    <s v="Tennessee"/>
    <s v="South"/>
    <n v="1935"/>
    <n v="117.24"/>
    <n v="7.5"/>
    <n v="21427700000000"/>
    <n v="88.2"/>
    <n v="101.8"/>
    <n v="9.6"/>
    <n v="36.6"/>
    <n v="328239523"/>
  </r>
  <r>
    <x v="190"/>
    <x v="190"/>
    <x v="1"/>
    <x v="755"/>
    <x v="51"/>
    <x v="5"/>
    <x v="19"/>
    <x v="356"/>
    <x v="1"/>
    <s v="China"/>
    <m/>
    <x v="1"/>
    <s v="D"/>
    <x v="0"/>
    <d v="1981-10-01T00:00:00"/>
    <s v="Li"/>
    <s v="Xiang"/>
    <m/>
    <d v="2023-04-04T05:01:00"/>
    <m/>
    <m/>
    <n v="1981"/>
    <n v="125.08"/>
    <n v="2.9"/>
    <n v="19910000000000"/>
    <n v="50.6"/>
    <n v="100.2"/>
    <n v="9.4"/>
    <n v="59.2"/>
    <n v="1397715000"/>
  </r>
  <r>
    <x v="190"/>
    <x v="190"/>
    <x v="11"/>
    <x v="756"/>
    <x v="29"/>
    <x v="1"/>
    <x v="80"/>
    <x v="36"/>
    <x v="11"/>
    <s v="United States"/>
    <m/>
    <x v="0"/>
    <s v="U"/>
    <x v="0"/>
    <d v="1958-11-07T00:00:00"/>
    <s v="Perot"/>
    <s v="H. Ross"/>
    <m/>
    <d v="2023-04-04T05:01:00"/>
    <s v="Texas"/>
    <s v="South"/>
    <n v="1958"/>
    <n v="117.24"/>
    <n v="7.5"/>
    <n v="21427700000000"/>
    <n v="88.2"/>
    <n v="101.8"/>
    <n v="9.6"/>
    <n v="36.6"/>
    <n v="328239523"/>
  </r>
  <r>
    <x v="190"/>
    <x v="190"/>
    <x v="11"/>
    <x v="757"/>
    <x v="26"/>
    <x v="3"/>
    <x v="7"/>
    <x v="36"/>
    <x v="11"/>
    <s v="India"/>
    <m/>
    <x v="0"/>
    <s v="U"/>
    <x v="0"/>
    <d v="1940-10-01T00:00:00"/>
    <s v="Raheja"/>
    <s v="Chandru"/>
    <m/>
    <d v="2023-04-04T05:01:00"/>
    <m/>
    <m/>
    <n v="1940"/>
    <n v="180.44"/>
    <n v="7.7"/>
    <n v="2611000000000"/>
    <n v="28.1"/>
    <n v="113"/>
    <n v="11.2"/>
    <n v="49.7"/>
    <n v="1366417754"/>
  </r>
  <r>
    <x v="190"/>
    <x v="190"/>
    <x v="13"/>
    <x v="758"/>
    <x v="48"/>
    <x v="1"/>
    <x v="80"/>
    <x v="69"/>
    <x v="13"/>
    <s v="United States"/>
    <m/>
    <x v="1"/>
    <s v="D"/>
    <x v="0"/>
    <d v="1951-08-12T00:00:00"/>
    <s v="Rees-Jones"/>
    <s v="Trevor"/>
    <m/>
    <d v="2023-04-04T05:01:00"/>
    <s v="Texas"/>
    <s v="South"/>
    <n v="1951"/>
    <n v="117.24"/>
    <n v="7.5"/>
    <n v="21427700000000"/>
    <n v="88.2"/>
    <n v="101.8"/>
    <n v="9.6"/>
    <n v="36.6"/>
    <n v="328239523"/>
  </r>
  <r>
    <x v="190"/>
    <x v="190"/>
    <x v="5"/>
    <x v="759"/>
    <x v="17"/>
    <x v="12"/>
    <x v="31"/>
    <x v="357"/>
    <x v="5"/>
    <s v="Japan"/>
    <m/>
    <x v="1"/>
    <s v="U"/>
    <x v="0"/>
    <d v="1965-02-25T00:00:00"/>
    <s v="Shigeta"/>
    <s v="Yasumitsu"/>
    <m/>
    <d v="2023-04-04T05:01:00"/>
    <m/>
    <m/>
    <n v="1965"/>
    <n v="105.48"/>
    <n v="0.5"/>
    <n v="5081769542380"/>
    <n v="63.2"/>
    <n v="98.8"/>
    <n v="11.9"/>
    <n v="46.7"/>
    <n v="126226568"/>
  </r>
  <r>
    <x v="190"/>
    <x v="190"/>
    <x v="14"/>
    <x v="760"/>
    <x v="23"/>
    <x v="5"/>
    <x v="320"/>
    <x v="291"/>
    <x v="14"/>
    <s v="China"/>
    <m/>
    <x v="1"/>
    <s v="N"/>
    <x v="0"/>
    <d v="1969-01-01T00:00:00"/>
    <s v="Su"/>
    <s v="Qingcan"/>
    <m/>
    <d v="2023-04-04T05:01:00"/>
    <m/>
    <m/>
    <n v="1969"/>
    <n v="125.08"/>
    <n v="2.9"/>
    <n v="19910000000000"/>
    <n v="50.6"/>
    <n v="100.2"/>
    <n v="9.4"/>
    <n v="59.2"/>
    <n v="1397715000"/>
  </r>
  <r>
    <x v="190"/>
    <x v="190"/>
    <x v="3"/>
    <x v="761"/>
    <x v="16"/>
    <x v="35"/>
    <x v="152"/>
    <x v="224"/>
    <x v="3"/>
    <s v="Taiwan"/>
    <m/>
    <x v="0"/>
    <s v="D"/>
    <x v="0"/>
    <d v="1950-04-01T00:00:00"/>
    <s v="Tsai"/>
    <s v="Cheng-ta"/>
    <m/>
    <d v="2023-04-04T05:01:00"/>
    <m/>
    <m/>
    <n v="1950"/>
    <m/>
    <m/>
    <m/>
    <m/>
    <m/>
    <m/>
    <m/>
    <m/>
  </r>
  <r>
    <x v="190"/>
    <x v="190"/>
    <x v="15"/>
    <x v="762"/>
    <x v="22"/>
    <x v="1"/>
    <x v="321"/>
    <x v="358"/>
    <x v="15"/>
    <s v="United States"/>
    <s v="Air Lease Corp."/>
    <x v="1"/>
    <s v="D"/>
    <x v="0"/>
    <d v="1946-02-23T00:00:00"/>
    <s v="Udvar-Hazy"/>
    <s v="Steven"/>
    <s v="CEO and Chairman"/>
    <d v="2023-04-04T05:01:00"/>
    <s v="Texas"/>
    <s v="South"/>
    <n v="1946"/>
    <n v="117.24"/>
    <n v="7.5"/>
    <n v="21427700000000"/>
    <n v="88.2"/>
    <n v="101.8"/>
    <n v="9.6"/>
    <n v="36.6"/>
    <n v="328239523"/>
  </r>
  <r>
    <x v="190"/>
    <x v="190"/>
    <x v="10"/>
    <x v="763"/>
    <x v="22"/>
    <x v="1"/>
    <x v="322"/>
    <x v="359"/>
    <x v="10"/>
    <s v="United States"/>
    <m/>
    <x v="1"/>
    <s v="N"/>
    <x v="1"/>
    <d v="1945-07-07T00:00:00"/>
    <s v="Uihlein"/>
    <s v="Elizabeth"/>
    <s v="Entrepreneur"/>
    <d v="2023-04-04T05:01:00"/>
    <s v="Illinois"/>
    <s v="Midwest"/>
    <n v="1945"/>
    <n v="117.24"/>
    <n v="7.5"/>
    <n v="21427700000000"/>
    <n v="88.2"/>
    <n v="101.8"/>
    <n v="9.6"/>
    <n v="36.6"/>
    <n v="328239523"/>
  </r>
  <r>
    <x v="190"/>
    <x v="190"/>
    <x v="10"/>
    <x v="764"/>
    <x v="22"/>
    <x v="1"/>
    <x v="322"/>
    <x v="359"/>
    <x v="10"/>
    <s v="United States"/>
    <m/>
    <x v="1"/>
    <s v="N"/>
    <x v="0"/>
    <d v="1945-08-27T00:00:00"/>
    <s v="Uihlein"/>
    <s v="Richard"/>
    <m/>
    <d v="2023-04-04T05:01:00"/>
    <s v="Illinois"/>
    <s v="Midwest"/>
    <n v="1945"/>
    <n v="117.24"/>
    <n v="7.5"/>
    <n v="21427700000000"/>
    <n v="88.2"/>
    <n v="101.8"/>
    <n v="9.6"/>
    <n v="36.6"/>
    <n v="328239523"/>
  </r>
  <r>
    <x v="191"/>
    <x v="191"/>
    <x v="3"/>
    <x v="765"/>
    <x v="1"/>
    <x v="1"/>
    <x v="1"/>
    <x v="176"/>
    <x v="3"/>
    <s v="United States"/>
    <m/>
    <x v="1"/>
    <s v="N"/>
    <x v="0"/>
    <d v="1972-02-15T00:00:00"/>
    <s v="Barnard"/>
    <s v="Hayes"/>
    <m/>
    <d v="2023-04-04T05:01:00"/>
    <s v="Texas"/>
    <s v="South"/>
    <n v="1972"/>
    <n v="117.24"/>
    <n v="7.5"/>
    <n v="21427700000000"/>
    <n v="88.2"/>
    <n v="101.8"/>
    <n v="9.6"/>
    <n v="36.6"/>
    <n v="328239523"/>
  </r>
  <r>
    <x v="191"/>
    <x v="191"/>
    <x v="3"/>
    <x v="766"/>
    <x v="31"/>
    <x v="1"/>
    <x v="323"/>
    <x v="150"/>
    <x v="3"/>
    <s v="United States"/>
    <s v="WR Berkley"/>
    <x v="1"/>
    <s v="E"/>
    <x v="0"/>
    <d v="1946-09-01T00:00:00"/>
    <s v="Berkley"/>
    <s v="William"/>
    <s v="Chairman and CEO"/>
    <d v="2023-04-04T05:01:00"/>
    <s v="Florida"/>
    <s v="South"/>
    <n v="1946"/>
    <n v="117.24"/>
    <n v="7.5"/>
    <n v="21427700000000"/>
    <n v="88.2"/>
    <n v="101.8"/>
    <n v="9.6"/>
    <n v="36.6"/>
    <n v="328239523"/>
  </r>
  <r>
    <x v="191"/>
    <x v="191"/>
    <x v="11"/>
    <x v="767"/>
    <x v="48"/>
    <x v="1"/>
    <x v="5"/>
    <x v="36"/>
    <x v="11"/>
    <s v="United States"/>
    <m/>
    <x v="0"/>
    <s v="U"/>
    <x v="0"/>
    <d v="1952-02-08T00:00:00"/>
    <s v="Cohen"/>
    <s v="Charles"/>
    <m/>
    <d v="2023-04-04T05:01:00"/>
    <s v="New York"/>
    <s v="Northeast"/>
    <n v="1952"/>
    <n v="117.24"/>
    <n v="7.5"/>
    <n v="21427700000000"/>
    <n v="88.2"/>
    <n v="101.8"/>
    <n v="9.6"/>
    <n v="36.6"/>
    <n v="328239523"/>
  </r>
  <r>
    <x v="191"/>
    <x v="191"/>
    <x v="11"/>
    <x v="768"/>
    <x v="32"/>
    <x v="13"/>
    <x v="32"/>
    <x v="36"/>
    <x v="11"/>
    <s v="Cyprus"/>
    <m/>
    <x v="1"/>
    <s v="D"/>
    <x v="0"/>
    <d v="1966-04-13T00:00:00"/>
    <s v="Gabay"/>
    <s v="Yakir"/>
    <m/>
    <d v="2023-04-04T05:01:00"/>
    <m/>
    <m/>
    <n v="1966"/>
    <n v="119.62"/>
    <n v="1.7"/>
    <n v="2827113184696"/>
    <n v="60"/>
    <n v="101.2"/>
    <n v="25.5"/>
    <n v="30.6"/>
    <n v="66834405"/>
  </r>
  <r>
    <x v="191"/>
    <x v="191"/>
    <x v="2"/>
    <x v="769"/>
    <x v="2"/>
    <x v="5"/>
    <x v="269"/>
    <x v="360"/>
    <x v="2"/>
    <s v="China"/>
    <m/>
    <x v="1"/>
    <s v="D"/>
    <x v="0"/>
    <d v="1963-06-27T00:00:00"/>
    <s v="Huang"/>
    <s v="Li"/>
    <m/>
    <d v="2023-04-04T05:01:00"/>
    <m/>
    <m/>
    <n v="1963"/>
    <n v="125.08"/>
    <n v="2.9"/>
    <n v="19910000000000"/>
    <n v="50.6"/>
    <n v="100.2"/>
    <n v="9.4"/>
    <n v="59.2"/>
    <n v="1397715000"/>
  </r>
  <r>
    <x v="191"/>
    <x v="191"/>
    <x v="8"/>
    <x v="770"/>
    <x v="37"/>
    <x v="1"/>
    <x v="57"/>
    <x v="361"/>
    <x v="8"/>
    <s v="United States"/>
    <m/>
    <x v="1"/>
    <s v="E"/>
    <x v="0"/>
    <d v="1956-07-01T00:00:00"/>
    <s v="Jacobs"/>
    <s v="Brad"/>
    <m/>
    <d v="2023-04-04T05:01:00"/>
    <s v="Connecticut"/>
    <s v="Northeast"/>
    <n v="1956"/>
    <n v="117.24"/>
    <n v="7.5"/>
    <n v="21427700000000"/>
    <n v="88.2"/>
    <n v="101.8"/>
    <n v="9.6"/>
    <n v="36.6"/>
    <n v="328239523"/>
  </r>
  <r>
    <x v="191"/>
    <x v="191"/>
    <x v="11"/>
    <x v="771"/>
    <x v="32"/>
    <x v="5"/>
    <x v="34"/>
    <x v="362"/>
    <x v="11"/>
    <s v="China"/>
    <m/>
    <x v="1"/>
    <s v="U"/>
    <x v="0"/>
    <d v="1966-10-01T00:00:00"/>
    <s v="Ji"/>
    <s v="Qi"/>
    <m/>
    <d v="2023-04-04T05:01:00"/>
    <m/>
    <m/>
    <n v="1966"/>
    <n v="125.08"/>
    <n v="2.9"/>
    <n v="19910000000000"/>
    <n v="50.6"/>
    <n v="100.2"/>
    <n v="9.4"/>
    <n v="59.2"/>
    <n v="1397715000"/>
  </r>
  <r>
    <x v="191"/>
    <x v="191"/>
    <x v="4"/>
    <x v="772"/>
    <x v="10"/>
    <x v="5"/>
    <x v="34"/>
    <x v="363"/>
    <x v="4"/>
    <s v="Singapore"/>
    <m/>
    <x v="1"/>
    <s v="D"/>
    <x v="0"/>
    <d v="1973-01-01T00:00:00"/>
    <s v="Jiang"/>
    <s v="Jason"/>
    <m/>
    <d v="2023-04-04T05:01:00"/>
    <m/>
    <m/>
    <n v="1973"/>
    <n v="125.08"/>
    <n v="2.9"/>
    <n v="19910000000000"/>
    <n v="50.6"/>
    <n v="100.2"/>
    <n v="9.4"/>
    <n v="59.2"/>
    <n v="1397715000"/>
  </r>
  <r>
    <x v="191"/>
    <x v="191"/>
    <x v="2"/>
    <x v="773"/>
    <x v="15"/>
    <x v="1"/>
    <x v="171"/>
    <x v="223"/>
    <x v="2"/>
    <s v="United States"/>
    <m/>
    <x v="1"/>
    <s v="U"/>
    <x v="0"/>
    <d v="1962-10-17T00:00:00"/>
    <s v="Kavanaugh"/>
    <s v="Jim"/>
    <m/>
    <d v="2023-04-04T05:01:00"/>
    <s v="Missouri"/>
    <s v="Midwest"/>
    <n v="1962"/>
    <n v="117.24"/>
    <n v="7.5"/>
    <n v="21427700000000"/>
    <n v="88.2"/>
    <n v="101.8"/>
    <n v="9.6"/>
    <n v="36.6"/>
    <n v="328239523"/>
  </r>
  <r>
    <x v="191"/>
    <x v="191"/>
    <x v="11"/>
    <x v="774"/>
    <x v="22"/>
    <x v="1"/>
    <x v="5"/>
    <x v="36"/>
    <x v="11"/>
    <s v="United States"/>
    <m/>
    <x v="0"/>
    <s v="E"/>
    <x v="0"/>
    <d v="1945-08-29T00:00:00"/>
    <s v="LeFrak"/>
    <s v="Richard"/>
    <m/>
    <d v="2023-04-04T05:01:00"/>
    <s v="New York"/>
    <s v="Northeast"/>
    <n v="1945"/>
    <n v="117.24"/>
    <n v="7.5"/>
    <n v="21427700000000"/>
    <n v="88.2"/>
    <n v="101.8"/>
    <n v="9.6"/>
    <n v="36.6"/>
    <n v="328239523"/>
  </r>
  <r>
    <x v="191"/>
    <x v="191"/>
    <x v="3"/>
    <x v="775"/>
    <x v="47"/>
    <x v="51"/>
    <x v="262"/>
    <x v="176"/>
    <x v="3"/>
    <s v="Georgia"/>
    <m/>
    <x v="1"/>
    <s v="U"/>
    <x v="0"/>
    <d v="1975-10-17T00:00:00"/>
    <s v="Lomtadze"/>
    <s v="Mikhail"/>
    <m/>
    <d v="2023-04-04T05:01:00"/>
    <m/>
    <m/>
    <n v="1975"/>
    <n v="182.75"/>
    <n v="5.2"/>
    <n v="180161741180"/>
    <n v="61.7"/>
    <n v="104.4"/>
    <n v="11.7"/>
    <n v="28.4"/>
    <n v="18513930"/>
  </r>
  <r>
    <x v="191"/>
    <x v="191"/>
    <x v="0"/>
    <x v="776"/>
    <x v="13"/>
    <x v="13"/>
    <x v="324"/>
    <x v="21"/>
    <x v="0"/>
    <s v="United Kingdom"/>
    <m/>
    <x v="1"/>
    <s v="U"/>
    <x v="0"/>
    <d v="1954-10-02T00:00:00"/>
    <s v="Morris"/>
    <s v="Tom"/>
    <m/>
    <d v="2023-04-04T05:01:00"/>
    <m/>
    <m/>
    <n v="1954"/>
    <n v="119.62"/>
    <n v="1.7"/>
    <n v="2827113184696"/>
    <n v="60"/>
    <n v="101.2"/>
    <n v="25.5"/>
    <n v="30.6"/>
    <n v="66834405"/>
  </r>
  <r>
    <x v="191"/>
    <x v="191"/>
    <x v="10"/>
    <x v="777"/>
    <x v="3"/>
    <x v="12"/>
    <x v="325"/>
    <x v="364"/>
    <x v="10"/>
    <s v="Japan"/>
    <m/>
    <x v="1"/>
    <s v="D"/>
    <x v="0"/>
    <d v="1944-08-28T00:00:00"/>
    <s v="Nagamori"/>
    <s v="Shigenobu"/>
    <m/>
    <d v="2023-04-04T05:01:00"/>
    <m/>
    <m/>
    <n v="1944"/>
    <n v="105.48"/>
    <n v="0.5"/>
    <n v="5081769542380"/>
    <n v="63.2"/>
    <n v="98.8"/>
    <n v="11.9"/>
    <n v="46.7"/>
    <n v="126226568"/>
  </r>
  <r>
    <x v="191"/>
    <x v="191"/>
    <x v="3"/>
    <x v="778"/>
    <x v="34"/>
    <x v="1"/>
    <x v="147"/>
    <x v="28"/>
    <x v="3"/>
    <s v="United States"/>
    <s v="Och-Ziff Capital Management"/>
    <x v="1"/>
    <s v="D"/>
    <x v="0"/>
    <d v="1961-01-27T00:00:00"/>
    <s v="Och"/>
    <s v="Daniel"/>
    <s v="Founder"/>
    <d v="2023-04-04T05:01:00"/>
    <s v="Florida"/>
    <s v="South"/>
    <n v="1961"/>
    <n v="117.24"/>
    <n v="7.5"/>
    <n v="21427700000000"/>
    <n v="88.2"/>
    <n v="101.8"/>
    <n v="9.6"/>
    <n v="36.6"/>
    <n v="328239523"/>
  </r>
  <r>
    <x v="191"/>
    <x v="191"/>
    <x v="0"/>
    <x v="779"/>
    <x v="50"/>
    <x v="18"/>
    <x v="50"/>
    <x v="21"/>
    <x v="0"/>
    <s v="Chile"/>
    <m/>
    <x v="1"/>
    <s v="U"/>
    <x v="0"/>
    <d v="1935-01-01T00:00:00"/>
    <s v="Paulmann"/>
    <s v="Horst"/>
    <m/>
    <d v="2023-04-04T05:01:00"/>
    <m/>
    <m/>
    <n v="1935"/>
    <n v="131.91"/>
    <n v="2.6"/>
    <n v="282318159745"/>
    <n v="88.5"/>
    <n v="101.4"/>
    <n v="18.2"/>
    <n v="34"/>
    <n v="18952038"/>
  </r>
  <r>
    <x v="191"/>
    <x v="191"/>
    <x v="15"/>
    <x v="780"/>
    <x v="34"/>
    <x v="1"/>
    <x v="115"/>
    <x v="231"/>
    <x v="15"/>
    <s v="United States"/>
    <m/>
    <x v="0"/>
    <s v="E"/>
    <x v="0"/>
    <d v="1961-01-07T00:00:00"/>
    <s v="Pritzker"/>
    <s v="Anthony"/>
    <m/>
    <d v="2023-04-04T05:01:00"/>
    <s v="California"/>
    <s v="West"/>
    <n v="1961"/>
    <n v="117.24"/>
    <n v="7.5"/>
    <n v="21427700000000"/>
    <n v="88.2"/>
    <n v="101.8"/>
    <n v="9.6"/>
    <n v="36.6"/>
    <n v="328239523"/>
  </r>
  <r>
    <x v="191"/>
    <x v="191"/>
    <x v="2"/>
    <x v="781"/>
    <x v="43"/>
    <x v="1"/>
    <x v="157"/>
    <x v="117"/>
    <x v="2"/>
    <s v="United States"/>
    <s v="SAS Institute"/>
    <x v="1"/>
    <s v="U"/>
    <x v="0"/>
    <d v="1948-04-04T00:00:00"/>
    <s v="Sall"/>
    <s v="John"/>
    <s v="Co-Founder, Executive Vice President"/>
    <d v="2023-04-04T05:01:00"/>
    <s v="North Carolina"/>
    <s v="South"/>
    <n v="1948"/>
    <n v="117.24"/>
    <n v="7.5"/>
    <n v="21427700000000"/>
    <n v="88.2"/>
    <n v="101.8"/>
    <n v="9.6"/>
    <n v="36.6"/>
    <n v="328239523"/>
  </r>
  <r>
    <x v="191"/>
    <x v="191"/>
    <x v="7"/>
    <x v="782"/>
    <x v="9"/>
    <x v="1"/>
    <x v="46"/>
    <x v="365"/>
    <x v="7"/>
    <s v="United States"/>
    <m/>
    <x v="1"/>
    <s v="D"/>
    <x v="0"/>
    <d v="1953-07-19T00:00:00"/>
    <s v="Schultz"/>
    <s v="Howard"/>
    <m/>
    <d v="2023-04-04T05:01:00"/>
    <s v="Washington"/>
    <s v="West"/>
    <n v="1953"/>
    <n v="117.24"/>
    <n v="7.5"/>
    <n v="21427700000000"/>
    <n v="88.2"/>
    <n v="101.8"/>
    <n v="9.6"/>
    <n v="36.6"/>
    <n v="328239523"/>
  </r>
  <r>
    <x v="191"/>
    <x v="191"/>
    <x v="0"/>
    <x v="783"/>
    <x v="26"/>
    <x v="1"/>
    <x v="87"/>
    <x v="366"/>
    <x v="0"/>
    <s v="United States"/>
    <s v="Best Buy Co. Inc."/>
    <x v="1"/>
    <s v="D"/>
    <x v="0"/>
    <d v="1941-01-02T00:00:00"/>
    <s v="Schulze"/>
    <s v="Richard"/>
    <s v="Chairman"/>
    <d v="2023-04-04T05:01:00"/>
    <s v="Florida"/>
    <s v="South"/>
    <n v="1941"/>
    <n v="117.24"/>
    <n v="7.5"/>
    <n v="21427700000000"/>
    <n v="88.2"/>
    <n v="101.8"/>
    <n v="9.6"/>
    <n v="36.6"/>
    <n v="328239523"/>
  </r>
  <r>
    <x v="191"/>
    <x v="191"/>
    <x v="11"/>
    <x v="784"/>
    <x v="0"/>
    <x v="27"/>
    <x v="326"/>
    <x v="36"/>
    <x v="11"/>
    <s v="Israel"/>
    <m/>
    <x v="1"/>
    <s v="D"/>
    <x v="0"/>
    <d v="1948-07-07T00:00:00"/>
    <s v="Tshuva"/>
    <s v="Yitzhak"/>
    <m/>
    <d v="2023-04-04T05:01:00"/>
    <m/>
    <m/>
    <n v="1948"/>
    <n v="108.15"/>
    <n v="0.8"/>
    <n v="395098666122"/>
    <n v="63.4"/>
    <n v="104.9"/>
    <n v="23.1"/>
    <n v="25.3"/>
    <n v="9053300"/>
  </r>
  <r>
    <x v="191"/>
    <x v="191"/>
    <x v="10"/>
    <x v="785"/>
    <x v="32"/>
    <x v="5"/>
    <x v="327"/>
    <x v="332"/>
    <x v="10"/>
    <s v="China"/>
    <m/>
    <x v="1"/>
    <s v="D"/>
    <x v="0"/>
    <d v="1966-04-07T00:00:00"/>
    <s v="Wang"/>
    <s v="Yanqing"/>
    <m/>
    <d v="2023-04-04T05:01:00"/>
    <m/>
    <m/>
    <n v="1966"/>
    <n v="125.08"/>
    <n v="2.9"/>
    <n v="19910000000000"/>
    <n v="50.6"/>
    <n v="100.2"/>
    <n v="9.4"/>
    <n v="59.2"/>
    <n v="1397715000"/>
  </r>
  <r>
    <x v="192"/>
    <x v="192"/>
    <x v="6"/>
    <x v="786"/>
    <x v="32"/>
    <x v="3"/>
    <x v="51"/>
    <x v="8"/>
    <x v="6"/>
    <s v="India"/>
    <m/>
    <x v="0"/>
    <s v="Split Family Fortune"/>
    <x v="0"/>
    <d v="1966-12-21T00:00:00"/>
    <s v="Bajaj"/>
    <s v="Rajiv"/>
    <m/>
    <d v="2023-04-04T05:01:00"/>
    <m/>
    <m/>
    <n v="1966"/>
    <n v="180.44"/>
    <n v="7.7"/>
    <n v="2611000000000"/>
    <n v="28.1"/>
    <n v="113"/>
    <n v="11.2"/>
    <n v="49.7"/>
    <n v="1366417754"/>
  </r>
  <r>
    <x v="192"/>
    <x v="192"/>
    <x v="6"/>
    <x v="787"/>
    <x v="52"/>
    <x v="3"/>
    <x v="51"/>
    <x v="8"/>
    <x v="6"/>
    <s v="India"/>
    <m/>
    <x v="0"/>
    <s v="Split Family Fortune"/>
    <x v="0"/>
    <d v="1969-11-02T00:00:00"/>
    <s v="Bajaj"/>
    <s v="Sanjiv"/>
    <m/>
    <d v="2023-04-04T05:01:00"/>
    <m/>
    <m/>
    <n v="1969"/>
    <n v="180.44"/>
    <n v="7.7"/>
    <n v="2611000000000"/>
    <n v="28.1"/>
    <n v="113"/>
    <n v="11.2"/>
    <n v="49.7"/>
    <n v="1366417754"/>
  </r>
  <r>
    <x v="192"/>
    <x v="192"/>
    <x v="3"/>
    <x v="788"/>
    <x v="48"/>
    <x v="28"/>
    <x v="328"/>
    <x v="137"/>
    <x v="3"/>
    <s v="Canada"/>
    <m/>
    <x v="1"/>
    <s v="D"/>
    <x v="0"/>
    <d v="1951-06-17T00:00:00"/>
    <s v="Boguslavsky"/>
    <s v="Leonid"/>
    <m/>
    <d v="2023-04-04T05:01:00"/>
    <m/>
    <m/>
    <n v="1951"/>
    <n v="110.62"/>
    <n v="0.6"/>
    <n v="2001244392042"/>
    <n v="61.9"/>
    <n v="101.9"/>
    <n v="24.3"/>
    <n v="59.1"/>
    <n v="60297396"/>
  </r>
  <r>
    <x v="192"/>
    <x v="192"/>
    <x v="3"/>
    <x v="789"/>
    <x v="53"/>
    <x v="1"/>
    <x v="120"/>
    <x v="122"/>
    <x v="3"/>
    <s v="United States"/>
    <m/>
    <x v="1"/>
    <s v="U"/>
    <x v="0"/>
    <d v="1959-12-01T00:00:00"/>
    <s v="Coulter"/>
    <s v="Jim"/>
    <m/>
    <d v="2023-04-04T05:01:00"/>
    <s v="California"/>
    <s v="West"/>
    <n v="1959"/>
    <n v="117.24"/>
    <n v="7.5"/>
    <n v="21427700000000"/>
    <n v="88.2"/>
    <n v="101.8"/>
    <n v="9.6"/>
    <n v="36.6"/>
    <n v="328239523"/>
  </r>
  <r>
    <x v="192"/>
    <x v="192"/>
    <x v="1"/>
    <x v="790"/>
    <x v="47"/>
    <x v="8"/>
    <x v="329"/>
    <x v="367"/>
    <x v="1"/>
    <s v="Belgium"/>
    <m/>
    <x v="0"/>
    <s v="N"/>
    <x v="0"/>
    <d v="1975-04-13T00:00:00"/>
    <s v="D'Ieteren"/>
    <s v="Nicolas "/>
    <m/>
    <d v="2023-04-04T05:01:00"/>
    <m/>
    <m/>
    <n v="1975"/>
    <n v="99.55"/>
    <n v="0.4"/>
    <n v="703082435360"/>
    <n v="59.6"/>
    <n v="105.2"/>
    <n v="10.1"/>
    <n v="28.8"/>
    <n v="8574832"/>
  </r>
  <r>
    <x v="192"/>
    <x v="192"/>
    <x v="7"/>
    <x v="791"/>
    <x v="30"/>
    <x v="56"/>
    <x v="25"/>
    <x v="82"/>
    <x v="7"/>
    <s v="Colombia"/>
    <m/>
    <x v="0"/>
    <s v="U"/>
    <x v="1"/>
    <d v="1939-03-07T00:00:00"/>
    <s v="Davila de Santo Domingo"/>
    <s v="Beatriz"/>
    <m/>
    <d v="2023-04-04T05:01:00"/>
    <m/>
    <m/>
    <n v="1939"/>
    <m/>
    <m/>
    <m/>
    <m/>
    <m/>
    <m/>
    <m/>
    <m/>
  </r>
  <r>
    <x v="192"/>
    <x v="192"/>
    <x v="11"/>
    <x v="792"/>
    <x v="26"/>
    <x v="6"/>
    <x v="118"/>
    <x v="368"/>
    <x v="11"/>
    <s v="Canada"/>
    <m/>
    <x v="1"/>
    <s v="U"/>
    <x v="0"/>
    <d v="1941-02-19T00:00:00"/>
    <s v="Gaglardi"/>
    <s v="Bob"/>
    <m/>
    <d v="2023-04-04T05:01:00"/>
    <m/>
    <m/>
    <n v="1941"/>
    <n v="116.76"/>
    <n v="1.9"/>
    <n v="1736425629520"/>
    <n v="68.900000000000006"/>
    <n v="100.9"/>
    <n v="12.8"/>
    <n v="24.5"/>
    <n v="36991981"/>
  </r>
  <r>
    <x v="192"/>
    <x v="192"/>
    <x v="3"/>
    <x v="793"/>
    <x v="8"/>
    <x v="13"/>
    <x v="32"/>
    <x v="75"/>
    <x v="3"/>
    <s v="Colombia"/>
    <m/>
    <x v="0"/>
    <s v="D"/>
    <x v="0"/>
    <d v="1957-12-14T00:00:00"/>
    <s v="Gilinski Bacal"/>
    <s v="Jaime"/>
    <s v="Investor"/>
    <d v="2023-04-04T05:01:00"/>
    <m/>
    <m/>
    <n v="1957"/>
    <n v="119.62"/>
    <n v="1.7"/>
    <n v="2827113184696"/>
    <n v="60"/>
    <n v="101.2"/>
    <n v="25.5"/>
    <n v="30.6"/>
    <n v="66834405"/>
  </r>
  <r>
    <x v="192"/>
    <x v="192"/>
    <x v="9"/>
    <x v="794"/>
    <x v="15"/>
    <x v="10"/>
    <x v="36"/>
    <x v="27"/>
    <x v="9"/>
    <s v="Hong Kong"/>
    <m/>
    <x v="0"/>
    <s v="U"/>
    <x v="1"/>
    <d v="1962-08-26T00:00:00"/>
    <s v="Ho"/>
    <s v="Pansy"/>
    <m/>
    <d v="2023-04-04T05:01:00"/>
    <m/>
    <m/>
    <n v="1962"/>
    <m/>
    <m/>
    <m/>
    <m/>
    <m/>
    <m/>
    <m/>
    <m/>
  </r>
  <r>
    <x v="192"/>
    <x v="192"/>
    <x v="3"/>
    <x v="795"/>
    <x v="2"/>
    <x v="8"/>
    <x v="33"/>
    <x v="28"/>
    <x v="3"/>
    <s v="United Kingdom"/>
    <s v="Brevan Howard Asset Management"/>
    <x v="1"/>
    <s v="U"/>
    <x v="0"/>
    <d v="1963-09-01T00:00:00"/>
    <s v="Howard"/>
    <s v="Alan"/>
    <s v="Founder"/>
    <d v="2023-04-04T05:01:00"/>
    <m/>
    <m/>
    <n v="1963"/>
    <n v="99.55"/>
    <n v="0.4"/>
    <n v="703082435360"/>
    <n v="59.6"/>
    <n v="105.2"/>
    <n v="10.1"/>
    <n v="28.8"/>
    <n v="8574832"/>
  </r>
  <r>
    <x v="192"/>
    <x v="192"/>
    <x v="1"/>
    <x v="796"/>
    <x v="38"/>
    <x v="5"/>
    <x v="19"/>
    <x v="337"/>
    <x v="1"/>
    <s v="Hong Kong"/>
    <m/>
    <x v="1"/>
    <s v="D"/>
    <x v="0"/>
    <d v="1962-01-01T00:00:00"/>
    <s v="Huang"/>
    <s v="Yi"/>
    <m/>
    <d v="2023-04-04T05:01:00"/>
    <m/>
    <m/>
    <n v="1962"/>
    <n v="125.08"/>
    <n v="2.9"/>
    <n v="19910000000000"/>
    <n v="50.6"/>
    <n v="100.2"/>
    <n v="9.4"/>
    <n v="59.2"/>
    <n v="1397715000"/>
  </r>
  <r>
    <x v="192"/>
    <x v="192"/>
    <x v="3"/>
    <x v="797"/>
    <x v="35"/>
    <x v="1"/>
    <x v="330"/>
    <x v="38"/>
    <x v="3"/>
    <s v="United States"/>
    <m/>
    <x v="0"/>
    <s v="E"/>
    <x v="0"/>
    <d v="1942-09-01T00:00:00"/>
    <s v="Kellogg"/>
    <s v="Peter"/>
    <m/>
    <d v="2023-04-04T05:01:00"/>
    <s v="New Jersey"/>
    <s v="Northeast"/>
    <n v="1942"/>
    <n v="117.24"/>
    <n v="7.5"/>
    <n v="21427700000000"/>
    <n v="88.2"/>
    <n v="101.8"/>
    <n v="9.6"/>
    <n v="36.6"/>
    <n v="328239523"/>
  </r>
  <r>
    <x v="192"/>
    <x v="192"/>
    <x v="3"/>
    <x v="798"/>
    <x v="52"/>
    <x v="51"/>
    <x v="262"/>
    <x v="176"/>
    <x v="3"/>
    <s v="Kazakhstan"/>
    <m/>
    <x v="1"/>
    <s v="U"/>
    <x v="0"/>
    <d v="1969-06-12T00:00:00"/>
    <s v="Kim"/>
    <s v="Vyacheslav"/>
    <m/>
    <d v="2023-04-04T05:01:00"/>
    <m/>
    <m/>
    <n v="1969"/>
    <n v="182.75"/>
    <n v="5.2"/>
    <n v="180161741180"/>
    <n v="61.7"/>
    <n v="104.4"/>
    <n v="11.7"/>
    <n v="28.4"/>
    <n v="18513930"/>
  </r>
  <r>
    <x v="192"/>
    <x v="192"/>
    <x v="3"/>
    <x v="799"/>
    <x v="59"/>
    <x v="1"/>
    <x v="331"/>
    <x v="137"/>
    <x v="3"/>
    <s v="United States"/>
    <s v="Thrive Capital"/>
    <x v="1"/>
    <s v="U"/>
    <x v="0"/>
    <d v="1985-06-12T00:00:00"/>
    <s v="Kushner"/>
    <s v="Josh"/>
    <s v="Managing Partner"/>
    <d v="2023-04-04T05:01:00"/>
    <s v="New York"/>
    <s v="Northeast"/>
    <n v="1985"/>
    <n v="117.24"/>
    <n v="7.5"/>
    <n v="21427700000000"/>
    <n v="88.2"/>
    <n v="101.8"/>
    <n v="9.6"/>
    <n v="36.6"/>
    <n v="328239523"/>
  </r>
  <r>
    <x v="192"/>
    <x v="192"/>
    <x v="11"/>
    <x v="800"/>
    <x v="7"/>
    <x v="10"/>
    <x v="36"/>
    <x v="36"/>
    <x v="11"/>
    <s v="Hong Kong"/>
    <m/>
    <x v="0"/>
    <s v="D"/>
    <x v="0"/>
    <d v="1939-04-09T00:00:00"/>
    <s v="Lee"/>
    <s v="Samuel Tak"/>
    <m/>
    <d v="2023-04-04T05:01:00"/>
    <m/>
    <m/>
    <n v="1939"/>
    <m/>
    <m/>
    <m/>
    <m/>
    <m/>
    <m/>
    <m/>
    <m/>
  </r>
  <r>
    <x v="192"/>
    <x v="192"/>
    <x v="11"/>
    <x v="801"/>
    <x v="48"/>
    <x v="10"/>
    <x v="36"/>
    <x v="36"/>
    <x v="11"/>
    <s v="Hong Kong"/>
    <m/>
    <x v="1"/>
    <s v="D"/>
    <x v="0"/>
    <d v="1951-12-04T00:00:00"/>
    <s v="Leong"/>
    <s v="Edwin"/>
    <m/>
    <d v="2023-04-04T05:01:00"/>
    <m/>
    <m/>
    <n v="1951"/>
    <m/>
    <m/>
    <m/>
    <m/>
    <m/>
    <m/>
    <m/>
    <m/>
  </r>
  <r>
    <x v="192"/>
    <x v="192"/>
    <x v="3"/>
    <x v="802"/>
    <x v="5"/>
    <x v="1"/>
    <x v="57"/>
    <x v="28"/>
    <x v="3"/>
    <s v="United States"/>
    <s v="Lone Pine Capital"/>
    <x v="1"/>
    <s v="D"/>
    <x v="0"/>
    <d v="1956-03-12T00:00:00"/>
    <s v="Mandel"/>
    <s v="Stephen"/>
    <s v="Founder"/>
    <d v="2023-04-04T05:01:00"/>
    <s v="Connecticut"/>
    <s v="Northeast"/>
    <n v="1956"/>
    <n v="117.24"/>
    <n v="7.5"/>
    <n v="21427700000000"/>
    <n v="88.2"/>
    <n v="101.8"/>
    <n v="9.6"/>
    <n v="36.6"/>
    <n v="328239523"/>
  </r>
  <r>
    <x v="192"/>
    <x v="192"/>
    <x v="6"/>
    <x v="803"/>
    <x v="43"/>
    <x v="13"/>
    <x v="32"/>
    <x v="8"/>
    <x v="6"/>
    <s v="Egypt"/>
    <m/>
    <x v="1"/>
    <s v="U"/>
    <x v="0"/>
    <d v="1948-01-23T00:00:00"/>
    <s v="Mansour"/>
    <s v="Mohamed"/>
    <m/>
    <d v="2023-04-04T05:01:00"/>
    <m/>
    <m/>
    <n v="1948"/>
    <n v="119.62"/>
    <n v="1.7"/>
    <n v="2827113184696"/>
    <n v="60"/>
    <n v="101.2"/>
    <n v="25.5"/>
    <n v="30.6"/>
    <n v="66834405"/>
  </r>
  <r>
    <x v="192"/>
    <x v="192"/>
    <x v="0"/>
    <x v="804"/>
    <x v="5"/>
    <x v="12"/>
    <x v="31"/>
    <x v="159"/>
    <x v="0"/>
    <s v="Japan"/>
    <m/>
    <x v="1"/>
    <s v="U"/>
    <x v="0"/>
    <d v="1955-07-26T00:00:00"/>
    <s v="Miki"/>
    <s v="Masahiro"/>
    <m/>
    <d v="2023-04-04T05:01:00"/>
    <m/>
    <m/>
    <n v="1955"/>
    <n v="105.48"/>
    <n v="0.5"/>
    <n v="5081769542380"/>
    <n v="63.2"/>
    <n v="98.8"/>
    <n v="11.9"/>
    <n v="46.7"/>
    <n v="126226568"/>
  </r>
  <r>
    <x v="192"/>
    <x v="192"/>
    <x v="2"/>
    <x v="805"/>
    <x v="30"/>
    <x v="12"/>
    <x v="31"/>
    <x v="117"/>
    <x v="2"/>
    <s v="Japan"/>
    <m/>
    <x v="1"/>
    <s v="U"/>
    <x v="0"/>
    <d v="1938-08-24T00:00:00"/>
    <s v="Noda"/>
    <s v="Masahiro"/>
    <m/>
    <d v="2023-04-04T05:01:00"/>
    <m/>
    <m/>
    <n v="1938"/>
    <n v="105.48"/>
    <n v="0.5"/>
    <n v="5081769542380"/>
    <n v="63.2"/>
    <n v="98.8"/>
    <n v="11.9"/>
    <n v="46.7"/>
    <n v="126226568"/>
  </r>
  <r>
    <x v="192"/>
    <x v="192"/>
    <x v="2"/>
    <x v="806"/>
    <x v="59"/>
    <x v="14"/>
    <x v="83"/>
    <x v="117"/>
    <x v="2"/>
    <s v="Australia"/>
    <m/>
    <x v="1"/>
    <s v="D"/>
    <x v="0"/>
    <d v="1985-12-28T00:00:00"/>
    <s v="Obrecht"/>
    <s v="Cliff"/>
    <m/>
    <d v="2023-04-04T05:01:00"/>
    <m/>
    <m/>
    <n v="1985"/>
    <n v="119.8"/>
    <n v="1.6"/>
    <n v="1392680589329"/>
    <n v="113.1"/>
    <n v="100.3"/>
    <n v="23"/>
    <n v="47.4"/>
    <n v="25766605"/>
  </r>
  <r>
    <x v="192"/>
    <x v="192"/>
    <x v="2"/>
    <x v="807"/>
    <x v="66"/>
    <x v="14"/>
    <x v="83"/>
    <x v="117"/>
    <x v="2"/>
    <s v="Australia"/>
    <s v="Canva"/>
    <x v="1"/>
    <s v="D"/>
    <x v="1"/>
    <d v="1987-05-13T00:00:00"/>
    <s v="Perkins"/>
    <s v="Melanie"/>
    <s v="Cofounder &amp; CEO"/>
    <d v="2023-04-04T05:01:00"/>
    <m/>
    <m/>
    <n v="1987"/>
    <n v="119.8"/>
    <n v="1.6"/>
    <n v="1392680589329"/>
    <n v="113.1"/>
    <n v="100.3"/>
    <n v="23"/>
    <n v="47.4"/>
    <n v="25766605"/>
  </r>
  <r>
    <x v="192"/>
    <x v="192"/>
    <x v="3"/>
    <x v="808"/>
    <x v="17"/>
    <x v="1"/>
    <x v="143"/>
    <x v="231"/>
    <x v="3"/>
    <s v="United States"/>
    <m/>
    <x v="0"/>
    <s v="E"/>
    <x v="0"/>
    <d v="1965-01-19T00:00:00"/>
    <s v="Pritzker"/>
    <s v="J.B."/>
    <m/>
    <d v="2023-04-04T05:01:00"/>
    <s v="Illinois"/>
    <s v="Midwest"/>
    <n v="1965"/>
    <n v="117.24"/>
    <n v="7.5"/>
    <n v="21427700000000"/>
    <n v="88.2"/>
    <n v="101.8"/>
    <n v="9.6"/>
    <n v="36.6"/>
    <n v="328239523"/>
  </r>
  <r>
    <x v="192"/>
    <x v="192"/>
    <x v="0"/>
    <x v="809"/>
    <x v="16"/>
    <x v="4"/>
    <x v="332"/>
    <x v="81"/>
    <x v="0"/>
    <s v="Spain"/>
    <m/>
    <x v="0"/>
    <s v="D"/>
    <x v="0"/>
    <d v="1949-10-08T00:00:00"/>
    <s v="Roig"/>
    <s v="Juan"/>
    <m/>
    <d v="2023-04-04T05:01:00"/>
    <m/>
    <m/>
    <n v="1949"/>
    <n v="110.96"/>
    <n v="0.7"/>
    <n v="1394116310769"/>
    <n v="88.9"/>
    <n v="102.7"/>
    <n v="14.2"/>
    <n v="47"/>
    <n v="47076781"/>
  </r>
  <r>
    <x v="192"/>
    <x v="192"/>
    <x v="11"/>
    <x v="810"/>
    <x v="26"/>
    <x v="1"/>
    <x v="5"/>
    <x v="36"/>
    <x v="11"/>
    <s v="United States"/>
    <m/>
    <x v="1"/>
    <s v="E"/>
    <x v="0"/>
    <d v="1940-06-23T00:00:00"/>
    <s v="Speyer"/>
    <s v="Jerry"/>
    <m/>
    <d v="2023-04-04T05:01:00"/>
    <s v="New York"/>
    <s v="Northeast"/>
    <n v="1940"/>
    <n v="117.24"/>
    <n v="7.5"/>
    <n v="21427700000000"/>
    <n v="88.2"/>
    <n v="101.8"/>
    <n v="9.6"/>
    <n v="36.6"/>
    <n v="328239523"/>
  </r>
  <r>
    <x v="192"/>
    <x v="192"/>
    <x v="0"/>
    <x v="811"/>
    <x v="53"/>
    <x v="8"/>
    <x v="33"/>
    <x v="369"/>
    <x v="0"/>
    <s v="Canada"/>
    <m/>
    <x v="1"/>
    <s v="U"/>
    <x v="0"/>
    <d v="1959-07-11T00:00:00"/>
    <s v="Stroll"/>
    <s v="Lawrence"/>
    <m/>
    <d v="2023-04-04T05:01:00"/>
    <m/>
    <m/>
    <n v="1959"/>
    <n v="99.55"/>
    <n v="0.4"/>
    <n v="703082435360"/>
    <n v="59.6"/>
    <n v="105.2"/>
    <n v="10.1"/>
    <n v="28.8"/>
    <n v="8574832"/>
  </r>
  <r>
    <x v="192"/>
    <x v="192"/>
    <x v="8"/>
    <x v="812"/>
    <x v="35"/>
    <x v="10"/>
    <x v="36"/>
    <x v="23"/>
    <x v="8"/>
    <s v="Hong Kong"/>
    <m/>
    <x v="0"/>
    <s v="E"/>
    <x v="0"/>
    <d v="1942-12-15T00:00:00"/>
    <s v="Tung"/>
    <s v="Chee Chen"/>
    <m/>
    <d v="2023-04-04T05:01:00"/>
    <m/>
    <m/>
    <n v="1942"/>
    <m/>
    <m/>
    <m/>
    <m/>
    <m/>
    <m/>
    <m/>
    <m/>
  </r>
  <r>
    <x v="192"/>
    <x v="192"/>
    <x v="7"/>
    <x v="813"/>
    <x v="15"/>
    <x v="5"/>
    <x v="90"/>
    <x v="370"/>
    <x v="7"/>
    <s v="China"/>
    <m/>
    <x v="1"/>
    <s v="D"/>
    <x v="0"/>
    <d v="1962-09-01T00:00:00"/>
    <s v="Wang"/>
    <s v="Junlin"/>
    <m/>
    <d v="2023-04-04T05:01:00"/>
    <m/>
    <m/>
    <n v="1962"/>
    <n v="125.08"/>
    <n v="2.9"/>
    <n v="19910000000000"/>
    <n v="50.6"/>
    <n v="100.2"/>
    <n v="9.4"/>
    <n v="59.2"/>
    <n v="1397715000"/>
  </r>
  <r>
    <x v="192"/>
    <x v="192"/>
    <x v="1"/>
    <x v="814"/>
    <x v="38"/>
    <x v="5"/>
    <x v="26"/>
    <x v="97"/>
    <x v="1"/>
    <s v="China"/>
    <m/>
    <x v="1"/>
    <s v="U"/>
    <x v="0"/>
    <d v="1962-01-01T00:00:00"/>
    <s v="Xia"/>
    <s v="Zuoquan"/>
    <m/>
    <d v="2023-04-04T05:01:00"/>
    <m/>
    <m/>
    <n v="1962"/>
    <n v="125.08"/>
    <n v="2.9"/>
    <n v="19910000000000"/>
    <n v="50.6"/>
    <n v="100.2"/>
    <n v="9.4"/>
    <n v="59.2"/>
    <n v="1397715000"/>
  </r>
  <r>
    <x v="192"/>
    <x v="192"/>
    <x v="2"/>
    <x v="815"/>
    <x v="41"/>
    <x v="5"/>
    <x v="26"/>
    <x v="371"/>
    <x v="2"/>
    <s v="China"/>
    <m/>
    <x v="1"/>
    <s v="D"/>
    <x v="1"/>
    <d v="1965-12-25T00:00:00"/>
    <s v="Zeng"/>
    <s v="Fangqin"/>
    <m/>
    <d v="2023-04-04T05:01:00"/>
    <m/>
    <m/>
    <n v="1965"/>
    <n v="125.08"/>
    <n v="2.9"/>
    <n v="19910000000000"/>
    <n v="50.6"/>
    <n v="100.2"/>
    <n v="9.4"/>
    <n v="59.2"/>
    <n v="1397715000"/>
  </r>
  <r>
    <x v="192"/>
    <x v="192"/>
    <x v="10"/>
    <x v="816"/>
    <x v="23"/>
    <x v="5"/>
    <x v="333"/>
    <x v="372"/>
    <x v="10"/>
    <s v="China"/>
    <m/>
    <x v="1"/>
    <s v="U"/>
    <x v="0"/>
    <d v="1969-01-01T00:00:00"/>
    <s v="Zhang"/>
    <s v="Jian"/>
    <m/>
    <d v="2023-04-04T05:01:00"/>
    <m/>
    <m/>
    <n v="1969"/>
    <n v="125.08"/>
    <n v="2.9"/>
    <n v="19910000000000"/>
    <n v="50.6"/>
    <n v="100.2"/>
    <n v="9.4"/>
    <n v="59.2"/>
    <n v="1397715000"/>
  </r>
  <r>
    <x v="193"/>
    <x v="193"/>
    <x v="0"/>
    <x v="817"/>
    <x v="67"/>
    <x v="1"/>
    <x v="115"/>
    <x v="373"/>
    <x v="0"/>
    <s v="Italy"/>
    <m/>
    <x v="0"/>
    <s v="N"/>
    <x v="0"/>
    <d v="1989-07-11T00:00:00"/>
    <s v="Basilico"/>
    <s v="Rocco"/>
    <m/>
    <d v="2023-04-04T05:01:00"/>
    <s v="California"/>
    <s v="West"/>
    <n v="1989"/>
    <n v="117.24"/>
    <n v="7.5"/>
    <n v="21427700000000"/>
    <n v="88.2"/>
    <n v="101.8"/>
    <n v="9.6"/>
    <n v="36.6"/>
    <n v="328239523"/>
  </r>
  <r>
    <x v="193"/>
    <x v="193"/>
    <x v="14"/>
    <x v="818"/>
    <x v="8"/>
    <x v="30"/>
    <x v="99"/>
    <x v="374"/>
    <x v="14"/>
    <s v="Brazil"/>
    <m/>
    <x v="0"/>
    <s v="U"/>
    <x v="0"/>
    <d v="1957-11-22T00:00:00"/>
    <s v="Billi"/>
    <s v="Maurizio"/>
    <m/>
    <d v="2023-04-04T05:01:00"/>
    <m/>
    <m/>
    <n v="1957"/>
    <n v="167.4"/>
    <n v="3.7"/>
    <n v="1839758040766"/>
    <n v="51.3"/>
    <n v="115.4"/>
    <n v="14.2"/>
    <n v="65.099999999999994"/>
    <n v="212559417"/>
  </r>
  <r>
    <x v="193"/>
    <x v="193"/>
    <x v="3"/>
    <x v="819"/>
    <x v="34"/>
    <x v="5"/>
    <x v="334"/>
    <x v="38"/>
    <x v="3"/>
    <s v="China"/>
    <m/>
    <x v="1"/>
    <s v="D"/>
    <x v="0"/>
    <d v="1960-10-26T00:00:00"/>
    <s v="Chen"/>
    <s v="Fashu"/>
    <m/>
    <d v="2023-04-04T05:01:00"/>
    <m/>
    <m/>
    <n v="1960"/>
    <n v="125.08"/>
    <n v="2.9"/>
    <n v="19910000000000"/>
    <n v="50.6"/>
    <n v="100.2"/>
    <n v="9.4"/>
    <n v="59.2"/>
    <n v="1397715000"/>
  </r>
  <r>
    <x v="193"/>
    <x v="193"/>
    <x v="10"/>
    <x v="820"/>
    <x v="11"/>
    <x v="28"/>
    <x v="335"/>
    <x v="375"/>
    <x v="10"/>
    <s v="Italy"/>
    <m/>
    <x v="1"/>
    <s v="U"/>
    <x v="0"/>
    <d v="1935-05-05T00:00:00"/>
    <s v="Crippa"/>
    <s v="Giuseppe"/>
    <m/>
    <d v="2023-04-04T05:01:00"/>
    <m/>
    <m/>
    <n v="1935"/>
    <n v="110.62"/>
    <n v="0.6"/>
    <n v="2001244392042"/>
    <n v="61.9"/>
    <n v="101.9"/>
    <n v="24.3"/>
    <n v="59.1"/>
    <n v="60297396"/>
  </r>
  <r>
    <x v="193"/>
    <x v="193"/>
    <x v="3"/>
    <x v="821"/>
    <x v="31"/>
    <x v="1"/>
    <x v="150"/>
    <x v="122"/>
    <x v="3"/>
    <s v="United States"/>
    <m/>
    <x v="1"/>
    <s v="D"/>
    <x v="0"/>
    <d v="1946-09-14T00:00:00"/>
    <s v="D'Aniello"/>
    <s v="Daniel"/>
    <m/>
    <d v="2023-04-04T05:01:00"/>
    <s v="Virginia"/>
    <s v="South"/>
    <n v="1946"/>
    <n v="117.24"/>
    <n v="7.5"/>
    <n v="21427700000000"/>
    <n v="88.2"/>
    <n v="101.8"/>
    <n v="9.6"/>
    <n v="36.6"/>
    <n v="328239523"/>
  </r>
  <r>
    <x v="193"/>
    <x v="193"/>
    <x v="0"/>
    <x v="822"/>
    <x v="37"/>
    <x v="1"/>
    <x v="336"/>
    <x v="373"/>
    <x v="0"/>
    <s v="Italy"/>
    <m/>
    <x v="0"/>
    <s v="N"/>
    <x v="0"/>
    <d v="1957-02-26T00:00:00"/>
    <s v="Del Vecchio"/>
    <s v="Claudio"/>
    <m/>
    <d v="2023-04-04T05:01:00"/>
    <s v="New York"/>
    <s v="Northeast"/>
    <n v="1957"/>
    <n v="117.24"/>
    <n v="7.5"/>
    <n v="21427700000000"/>
    <n v="88.2"/>
    <n v="101.8"/>
    <n v="9.6"/>
    <n v="36.6"/>
    <n v="328239523"/>
  </r>
  <r>
    <x v="193"/>
    <x v="193"/>
    <x v="0"/>
    <x v="823"/>
    <x v="68"/>
    <x v="28"/>
    <x v="95"/>
    <x v="376"/>
    <x v="0"/>
    <s v="Italy"/>
    <m/>
    <x v="0"/>
    <s v="N"/>
    <x v="0"/>
    <d v="2004-05-06T00:00:00"/>
    <s v="Del Vecchio"/>
    <s v="Clemente"/>
    <m/>
    <d v="2023-04-04T05:01:00"/>
    <m/>
    <m/>
    <n v="2004"/>
    <n v="110.62"/>
    <n v="0.6"/>
    <n v="2001244392042"/>
    <n v="61.9"/>
    <n v="101.9"/>
    <n v="24.3"/>
    <n v="59.1"/>
    <n v="60297396"/>
  </r>
  <r>
    <x v="193"/>
    <x v="193"/>
    <x v="0"/>
    <x v="824"/>
    <x v="69"/>
    <x v="28"/>
    <x v="95"/>
    <x v="373"/>
    <x v="0"/>
    <s v="Italy"/>
    <m/>
    <x v="0"/>
    <s v="N"/>
    <x v="0"/>
    <d v="1995-05-06T00:00:00"/>
    <s v="Del Vecchio"/>
    <s v="Leonardo Maria"/>
    <m/>
    <d v="2023-04-04T05:01:00"/>
    <m/>
    <m/>
    <n v="1995"/>
    <n v="110.62"/>
    <n v="0.6"/>
    <n v="2001244392042"/>
    <n v="61.9"/>
    <n v="101.9"/>
    <n v="24.3"/>
    <n v="59.1"/>
    <n v="60297396"/>
  </r>
  <r>
    <x v="193"/>
    <x v="193"/>
    <x v="0"/>
    <x v="825"/>
    <x v="70"/>
    <x v="28"/>
    <x v="95"/>
    <x v="373"/>
    <x v="0"/>
    <s v="Italy"/>
    <m/>
    <x v="0"/>
    <s v="N"/>
    <x v="0"/>
    <d v="2001-08-31T00:00:00"/>
    <s v="Del Vecchio"/>
    <s v="Luca"/>
    <m/>
    <d v="2023-04-04T05:01:00"/>
    <m/>
    <m/>
    <n v="2001"/>
    <n v="110.62"/>
    <n v="0.6"/>
    <n v="2001244392042"/>
    <n v="61.9"/>
    <n v="101.9"/>
    <n v="24.3"/>
    <n v="59.1"/>
    <n v="60297396"/>
  </r>
  <r>
    <x v="193"/>
    <x v="193"/>
    <x v="0"/>
    <x v="826"/>
    <x v="29"/>
    <x v="28"/>
    <x v="319"/>
    <x v="373"/>
    <x v="0"/>
    <s v="Italy"/>
    <m/>
    <x v="0"/>
    <s v="N"/>
    <x v="1"/>
    <d v="1958-07-10T00:00:00"/>
    <s v="Del Vecchio"/>
    <s v="Marisa"/>
    <m/>
    <d v="2023-04-04T05:01:00"/>
    <m/>
    <m/>
    <n v="1958"/>
    <n v="110.62"/>
    <n v="0.6"/>
    <n v="2001244392042"/>
    <n v="61.9"/>
    <n v="101.9"/>
    <n v="24.3"/>
    <n v="59.1"/>
    <n v="60297396"/>
  </r>
  <r>
    <x v="193"/>
    <x v="193"/>
    <x v="0"/>
    <x v="827"/>
    <x v="38"/>
    <x v="57"/>
    <x v="337"/>
    <x v="373"/>
    <x v="0"/>
    <s v="Italy"/>
    <m/>
    <x v="0"/>
    <s v="N"/>
    <x v="1"/>
    <d v="1961-05-14T00:00:00"/>
    <s v="Del Vecchio"/>
    <s v="Paola"/>
    <m/>
    <d v="2023-04-04T05:01:00"/>
    <m/>
    <m/>
    <n v="1961"/>
    <n v="115.09"/>
    <n v="1.7"/>
    <n v="71104919108"/>
    <n v="19.2"/>
    <n v="102.3"/>
    <n v="26.5"/>
    <n v="20.399999999999999"/>
    <n v="645397"/>
  </r>
  <r>
    <x v="193"/>
    <x v="193"/>
    <x v="3"/>
    <x v="828"/>
    <x v="36"/>
    <x v="7"/>
    <x v="338"/>
    <x v="377"/>
    <x v="3"/>
    <s v="Germany"/>
    <m/>
    <x v="1"/>
    <s v="D"/>
    <x v="0"/>
    <d v="1952-11-25T00:00:00"/>
    <s v="Droege"/>
    <s v="Walter P.J."/>
    <m/>
    <d v="2023-04-04T05:01:00"/>
    <m/>
    <m/>
    <n v="1952"/>
    <n v="112.85"/>
    <n v="1.4"/>
    <n v="3845630030824"/>
    <n v="70.2"/>
    <n v="104"/>
    <n v="11.5"/>
    <n v="48.8"/>
    <n v="83132799"/>
  </r>
  <r>
    <x v="193"/>
    <x v="193"/>
    <x v="0"/>
    <x v="829"/>
    <x v="41"/>
    <x v="5"/>
    <x v="339"/>
    <x v="378"/>
    <x v="0"/>
    <s v="China"/>
    <m/>
    <x v="1"/>
    <s v="N"/>
    <x v="1"/>
    <d v="1966-01-01T00:00:00"/>
    <s v="Fan "/>
    <s v="Daidi"/>
    <m/>
    <d v="2023-04-04T05:01:00"/>
    <m/>
    <m/>
    <n v="1966"/>
    <n v="125.08"/>
    <n v="2.9"/>
    <n v="19910000000000"/>
    <n v="50.6"/>
    <n v="100.2"/>
    <n v="9.4"/>
    <n v="59.2"/>
    <n v="1397715000"/>
  </r>
  <r>
    <x v="193"/>
    <x v="193"/>
    <x v="2"/>
    <x v="830"/>
    <x v="17"/>
    <x v="1"/>
    <x v="340"/>
    <x v="117"/>
    <x v="2"/>
    <s v="United States"/>
    <m/>
    <x v="1"/>
    <s v="U"/>
    <x v="0"/>
    <d v="1965-02-26T00:00:00"/>
    <s v="Gassner"/>
    <s v="Peter"/>
    <m/>
    <d v="2023-04-04T05:01:00"/>
    <s v="California"/>
    <s v="West"/>
    <n v="1965"/>
    <n v="117.24"/>
    <n v="7.5"/>
    <n v="21427700000000"/>
    <n v="88.2"/>
    <n v="101.8"/>
    <n v="9.6"/>
    <n v="36.6"/>
    <n v="328239523"/>
  </r>
  <r>
    <x v="193"/>
    <x v="193"/>
    <x v="13"/>
    <x v="831"/>
    <x v="8"/>
    <x v="17"/>
    <x v="48"/>
    <x v="379"/>
    <x v="13"/>
    <s v="Russia"/>
    <m/>
    <x v="1"/>
    <s v="U"/>
    <x v="0"/>
    <d v="1958-03-09T00:00:00"/>
    <s v="Gutseriev"/>
    <s v="Mikhail"/>
    <m/>
    <d v="2023-04-04T05:01:00"/>
    <m/>
    <m/>
    <n v="1958"/>
    <n v="180.75"/>
    <n v="4.5"/>
    <n v="1699876578871"/>
    <n v="81.900000000000006"/>
    <n v="102.6"/>
    <n v="11.4"/>
    <n v="46.2"/>
    <n v="144373535"/>
  </r>
  <r>
    <x v="193"/>
    <x v="193"/>
    <x v="10"/>
    <x v="832"/>
    <x v="6"/>
    <x v="10"/>
    <x v="36"/>
    <x v="380"/>
    <x v="10"/>
    <s v="Hong Kong"/>
    <m/>
    <x v="1"/>
    <s v="D"/>
    <x v="0"/>
    <d v="1942-01-01T00:00:00"/>
    <s v="Lee"/>
    <s v="Patrick"/>
    <m/>
    <d v="2023-04-04T05:01:00"/>
    <m/>
    <m/>
    <n v="1942"/>
    <m/>
    <m/>
    <m/>
    <m/>
    <m/>
    <m/>
    <m/>
    <m/>
  </r>
  <r>
    <x v="193"/>
    <x v="193"/>
    <x v="7"/>
    <x v="833"/>
    <x v="23"/>
    <x v="5"/>
    <x v="19"/>
    <x v="381"/>
    <x v="7"/>
    <s v="China"/>
    <m/>
    <x v="1"/>
    <s v="D"/>
    <x v="0"/>
    <d v="1969-01-01T00:00:00"/>
    <s v="Leng"/>
    <s v="Youbin"/>
    <m/>
    <d v="2023-04-04T05:01:00"/>
    <m/>
    <m/>
    <n v="1969"/>
    <n v="125.08"/>
    <n v="2.9"/>
    <n v="19910000000000"/>
    <n v="50.6"/>
    <n v="100.2"/>
    <n v="9.4"/>
    <n v="59.2"/>
    <n v="1397715000"/>
  </r>
  <r>
    <x v="193"/>
    <x v="193"/>
    <x v="3"/>
    <x v="834"/>
    <x v="38"/>
    <x v="1"/>
    <x v="5"/>
    <x v="28"/>
    <x v="3"/>
    <s v="United States"/>
    <s v="Third Point"/>
    <x v="1"/>
    <s v="D"/>
    <x v="0"/>
    <d v="1961-12-18T00:00:00"/>
    <s v="Loeb"/>
    <s v="Daniel"/>
    <s v="Investor"/>
    <d v="2023-04-04T05:01:00"/>
    <s v="New York"/>
    <s v="Northeast"/>
    <n v="1961"/>
    <n v="117.24"/>
    <n v="7.5"/>
    <n v="21427700000000"/>
    <n v="88.2"/>
    <n v="101.8"/>
    <n v="9.6"/>
    <n v="36.6"/>
    <n v="328239523"/>
  </r>
  <r>
    <x v="193"/>
    <x v="193"/>
    <x v="7"/>
    <x v="835"/>
    <x v="15"/>
    <x v="8"/>
    <x v="341"/>
    <x v="90"/>
    <x v="7"/>
    <s v="Switzerland"/>
    <s v="Louis Dreyfus SAS"/>
    <x v="0"/>
    <s v="D"/>
    <x v="1"/>
    <d v="1962-06-01T00:00:00"/>
    <s v="Louis-Dreyfus"/>
    <s v="Margarita"/>
    <s v="President"/>
    <d v="2023-04-04T05:01:00"/>
    <m/>
    <m/>
    <n v="1962"/>
    <n v="99.55"/>
    <n v="0.4"/>
    <n v="703082435360"/>
    <n v="59.6"/>
    <n v="105.2"/>
    <n v="10.1"/>
    <n v="28.8"/>
    <n v="8574832"/>
  </r>
  <r>
    <x v="193"/>
    <x v="193"/>
    <x v="14"/>
    <x v="836"/>
    <x v="40"/>
    <x v="23"/>
    <x v="73"/>
    <x v="63"/>
    <x v="14"/>
    <s v="Thailand"/>
    <m/>
    <x v="1"/>
    <s v="U"/>
    <x v="0"/>
    <d v="1933-03-26T00:00:00"/>
    <s v="Prasarttong-Osoth"/>
    <s v="Prasert"/>
    <m/>
    <d v="2023-04-04T05:01:00"/>
    <m/>
    <m/>
    <n v="1933"/>
    <n v="113.27"/>
    <n v="0.7"/>
    <n v="543649976166"/>
    <n v="49.3"/>
    <n v="99.8"/>
    <n v="14.9"/>
    <n v="29.5"/>
    <n v="69625582"/>
  </r>
  <r>
    <x v="193"/>
    <x v="193"/>
    <x v="3"/>
    <x v="837"/>
    <x v="50"/>
    <x v="1"/>
    <x v="5"/>
    <x v="38"/>
    <x v="3"/>
    <s v="United States"/>
    <m/>
    <x v="1"/>
    <s v="D"/>
    <x v="0"/>
    <d v="1934-05-31T00:00:00"/>
    <s v="Rennert"/>
    <s v="Ira"/>
    <m/>
    <d v="2023-04-04T05:01:00"/>
    <s v="New York"/>
    <s v="Northeast"/>
    <n v="1934"/>
    <n v="117.24"/>
    <n v="7.5"/>
    <n v="21427700000000"/>
    <n v="88.2"/>
    <n v="101.8"/>
    <n v="9.6"/>
    <n v="36.6"/>
    <n v="328239523"/>
  </r>
  <r>
    <x v="193"/>
    <x v="193"/>
    <x v="0"/>
    <x v="838"/>
    <x v="31"/>
    <x v="7"/>
    <x v="342"/>
    <x v="146"/>
    <x v="0"/>
    <s v="Germany"/>
    <m/>
    <x v="1"/>
    <s v="U"/>
    <x v="0"/>
    <d v="1946-09-07T00:00:00"/>
    <s v="Rossmann"/>
    <s v="Dirk"/>
    <m/>
    <d v="2023-04-04T05:01:00"/>
    <m/>
    <m/>
    <n v="1946"/>
    <n v="112.85"/>
    <n v="1.4"/>
    <n v="3845630030824"/>
    <n v="70.2"/>
    <n v="104"/>
    <n v="11.5"/>
    <n v="48.8"/>
    <n v="83132799"/>
  </r>
  <r>
    <x v="193"/>
    <x v="193"/>
    <x v="16"/>
    <x v="839"/>
    <x v="48"/>
    <x v="17"/>
    <x v="48"/>
    <x v="382"/>
    <x v="16"/>
    <s v="Russia"/>
    <m/>
    <x v="1"/>
    <s v="U"/>
    <x v="0"/>
    <d v="1951-12-15T00:00:00"/>
    <s v="Rotenberg"/>
    <s v="Arkady"/>
    <m/>
    <d v="2023-04-04T05:01:00"/>
    <m/>
    <m/>
    <n v="1951"/>
    <n v="180.75"/>
    <n v="4.5"/>
    <n v="1699876578871"/>
    <n v="81.900000000000006"/>
    <n v="102.6"/>
    <n v="11.4"/>
    <n v="46.2"/>
    <n v="144373535"/>
  </r>
  <r>
    <x v="193"/>
    <x v="193"/>
    <x v="0"/>
    <x v="840"/>
    <x v="38"/>
    <x v="28"/>
    <x v="343"/>
    <x v="383"/>
    <x v="0"/>
    <s v="Italy"/>
    <m/>
    <x v="1"/>
    <s v="U"/>
    <x v="0"/>
    <d v="1961-08-27T00:00:00"/>
    <s v="Ruffini"/>
    <s v="Remo"/>
    <m/>
    <d v="2023-04-04T05:01:00"/>
    <m/>
    <m/>
    <n v="1961"/>
    <n v="110.62"/>
    <n v="0.6"/>
    <n v="2001244392042"/>
    <n v="61.9"/>
    <n v="101.9"/>
    <n v="24.3"/>
    <n v="59.1"/>
    <n v="60297396"/>
  </r>
  <r>
    <x v="193"/>
    <x v="193"/>
    <x v="14"/>
    <x v="841"/>
    <x v="44"/>
    <x v="7"/>
    <x v="344"/>
    <x v="384"/>
    <x v="14"/>
    <s v="Germany"/>
    <m/>
    <x v="0"/>
    <s v="U"/>
    <x v="1"/>
    <m/>
    <s v="Sartorius-Herbst"/>
    <s v="Karin"/>
    <m/>
    <d v="2023-04-04T05:01:00"/>
    <m/>
    <m/>
    <m/>
    <n v="112.85"/>
    <n v="1.4"/>
    <n v="3845630030824"/>
    <n v="70.2"/>
    <n v="104"/>
    <n v="11.5"/>
    <n v="48.8"/>
    <n v="83132799"/>
  </r>
  <r>
    <x v="193"/>
    <x v="193"/>
    <x v="1"/>
    <x v="842"/>
    <x v="37"/>
    <x v="3"/>
    <x v="41"/>
    <x v="101"/>
    <x v="1"/>
    <s v="Australia"/>
    <m/>
    <x v="1"/>
    <s v="U"/>
    <x v="0"/>
    <d v="1956-09-28T00:00:00"/>
    <s v="Sehgal"/>
    <s v="Vivek Chaand"/>
    <m/>
    <d v="2023-04-04T05:01:00"/>
    <m/>
    <m/>
    <n v="1956"/>
    <n v="180.44"/>
    <n v="7.7"/>
    <n v="2611000000000"/>
    <n v="28.1"/>
    <n v="113"/>
    <n v="11.2"/>
    <n v="49.7"/>
    <n v="1366417754"/>
  </r>
  <r>
    <x v="193"/>
    <x v="193"/>
    <x v="3"/>
    <x v="843"/>
    <x v="45"/>
    <x v="1"/>
    <x v="5"/>
    <x v="122"/>
    <x v="3"/>
    <s v="United States"/>
    <s v="Tiger Global Management"/>
    <x v="1"/>
    <s v="D"/>
    <x v="0"/>
    <d v="1977-06-14T00:00:00"/>
    <s v="Shleifer"/>
    <s v="Scott"/>
    <s v="Investor"/>
    <d v="2023-04-04T05:01:00"/>
    <s v="New York"/>
    <s v="Northeast"/>
    <n v="1977"/>
    <n v="117.24"/>
    <n v="7.5"/>
    <n v="21427700000000"/>
    <n v="88.2"/>
    <n v="101.8"/>
    <n v="9.6"/>
    <n v="36.6"/>
    <n v="328239523"/>
  </r>
  <r>
    <x v="193"/>
    <x v="193"/>
    <x v="2"/>
    <x v="844"/>
    <x v="36"/>
    <x v="1"/>
    <x v="124"/>
    <x v="118"/>
    <x v="2"/>
    <s v="United States"/>
    <m/>
    <x v="1"/>
    <s v="E"/>
    <x v="0"/>
    <d v="1952-11-22T00:00:00"/>
    <s v="Siebel"/>
    <s v="Thomas"/>
    <m/>
    <d v="2023-04-04T05:01:00"/>
    <s v="California"/>
    <s v="West"/>
    <n v="1952"/>
    <n v="117.24"/>
    <n v="7.5"/>
    <n v="21427700000000"/>
    <n v="88.2"/>
    <n v="101.8"/>
    <n v="9.6"/>
    <n v="36.6"/>
    <n v="328239523"/>
  </r>
  <r>
    <x v="193"/>
    <x v="193"/>
    <x v="10"/>
    <x v="845"/>
    <x v="43"/>
    <x v="41"/>
    <x v="345"/>
    <x v="108"/>
    <x v="10"/>
    <s v="Netherlands"/>
    <m/>
    <x v="0"/>
    <s v="U"/>
    <x v="0"/>
    <d v="1947-08-23T00:00:00"/>
    <s v="van der Leegte"/>
    <s v="Wim"/>
    <m/>
    <d v="2023-04-04T05:01:00"/>
    <m/>
    <m/>
    <n v="1947"/>
    <n v="115.91"/>
    <n v="2.6"/>
    <n v="909070395161"/>
    <n v="85"/>
    <n v="104.2"/>
    <n v="23"/>
    <n v="41.2"/>
    <n v="17332850"/>
  </r>
  <r>
    <x v="193"/>
    <x v="193"/>
    <x v="6"/>
    <x v="846"/>
    <x v="17"/>
    <x v="5"/>
    <x v="19"/>
    <x v="206"/>
    <x v="6"/>
    <s v="China"/>
    <m/>
    <x v="1"/>
    <s v="D"/>
    <x v="0"/>
    <d v="1964-07-01T00:00:00"/>
    <s v="Xiao"/>
    <s v="Yongming"/>
    <m/>
    <d v="2023-04-04T05:01:00"/>
    <m/>
    <m/>
    <n v="1964"/>
    <n v="125.08"/>
    <n v="2.9"/>
    <n v="19910000000000"/>
    <n v="50.6"/>
    <n v="100.2"/>
    <n v="9.4"/>
    <n v="59.2"/>
    <n v="1397715000"/>
  </r>
  <r>
    <x v="193"/>
    <x v="193"/>
    <x v="2"/>
    <x v="847"/>
    <x v="23"/>
    <x v="1"/>
    <x v="300"/>
    <x v="328"/>
    <x v="2"/>
    <s v="United States"/>
    <m/>
    <x v="1"/>
    <s v="U"/>
    <x v="0"/>
    <d v="1969-02-20T00:00:00"/>
    <s v="Xie"/>
    <s v="Michael"/>
    <m/>
    <d v="2023-04-04T05:01:00"/>
    <s v="California"/>
    <s v="West"/>
    <n v="1969"/>
    <n v="117.24"/>
    <n v="7.5"/>
    <n v="21427700000000"/>
    <n v="88.2"/>
    <n v="101.8"/>
    <n v="9.6"/>
    <n v="36.6"/>
    <n v="328239523"/>
  </r>
  <r>
    <x v="193"/>
    <x v="193"/>
    <x v="8"/>
    <x v="848"/>
    <x v="8"/>
    <x v="5"/>
    <x v="346"/>
    <x v="23"/>
    <x v="8"/>
    <s v="China"/>
    <m/>
    <x v="1"/>
    <s v="D"/>
    <x v="0"/>
    <d v="1958-01-01T00:00:00"/>
    <s v="Yang"/>
    <s v="Shaopeng"/>
    <m/>
    <d v="2023-04-04T05:01:00"/>
    <m/>
    <m/>
    <n v="1958"/>
    <n v="125.08"/>
    <n v="2.9"/>
    <n v="19910000000000"/>
    <n v="50.6"/>
    <n v="100.2"/>
    <n v="9.4"/>
    <n v="59.2"/>
    <n v="1397715000"/>
  </r>
  <r>
    <x v="193"/>
    <x v="193"/>
    <x v="0"/>
    <x v="849"/>
    <x v="8"/>
    <x v="19"/>
    <x v="192"/>
    <x v="373"/>
    <x v="0"/>
    <s v="Italy"/>
    <m/>
    <x v="0"/>
    <s v="N"/>
    <x v="1"/>
    <d v="1958-03-28T00:00:00"/>
    <s v="Zampillo"/>
    <s v="Nicoletta"/>
    <m/>
    <d v="2023-04-04T05:01:00"/>
    <m/>
    <m/>
    <n v="1958"/>
    <m/>
    <m/>
    <n v="7184844193"/>
    <m/>
    <m/>
    <m/>
    <m/>
    <n v="38964"/>
  </r>
  <r>
    <x v="193"/>
    <x v="193"/>
    <x v="10"/>
    <x v="850"/>
    <x v="32"/>
    <x v="6"/>
    <x v="347"/>
    <x v="72"/>
    <x v="10"/>
    <s v="Canada"/>
    <m/>
    <x v="0"/>
    <s v="U"/>
    <x v="0"/>
    <d v="1967-01-03T00:00:00"/>
    <s v="Zekelman"/>
    <s v="Barry"/>
    <m/>
    <d v="2023-04-04T05:01:00"/>
    <m/>
    <m/>
    <n v="1967"/>
    <n v="116.76"/>
    <n v="1.9"/>
    <n v="1736425629520"/>
    <n v="68.900000000000006"/>
    <n v="100.9"/>
    <n v="12.8"/>
    <n v="24.5"/>
    <n v="36991981"/>
  </r>
  <r>
    <x v="194"/>
    <x v="194"/>
    <x v="3"/>
    <x v="851"/>
    <x v="32"/>
    <x v="1"/>
    <x v="5"/>
    <x v="28"/>
    <x v="3"/>
    <s v="United States"/>
    <s v="Pershing Square Capital Management, L.P."/>
    <x v="1"/>
    <s v="U"/>
    <x v="0"/>
    <d v="1966-05-11T00:00:00"/>
    <s v="Ackman"/>
    <s v="William"/>
    <s v="Founder, CEO"/>
    <d v="2023-04-04T05:01:00"/>
    <s v="New York"/>
    <s v="Northeast"/>
    <n v="1966"/>
    <n v="117.24"/>
    <n v="7.5"/>
    <n v="21427700000000"/>
    <n v="88.2"/>
    <n v="101.8"/>
    <n v="9.6"/>
    <n v="36.6"/>
    <n v="328239523"/>
  </r>
  <r>
    <x v="194"/>
    <x v="194"/>
    <x v="13"/>
    <x v="852"/>
    <x v="42"/>
    <x v="23"/>
    <x v="73"/>
    <x v="286"/>
    <x v="13"/>
    <s v="Thailand"/>
    <m/>
    <x v="1"/>
    <s v="D"/>
    <x v="0"/>
    <d v="1967-06-01T00:00:00"/>
    <s v="Ahunai"/>
    <s v="Somphote"/>
    <m/>
    <d v="2023-04-04T05:01:00"/>
    <m/>
    <m/>
    <n v="1967"/>
    <n v="113.27"/>
    <n v="0.7"/>
    <n v="543649976166"/>
    <n v="49.3"/>
    <n v="99.8"/>
    <n v="14.9"/>
    <n v="29.5"/>
    <n v="69625582"/>
  </r>
  <r>
    <x v="194"/>
    <x v="194"/>
    <x v="12"/>
    <x v="853"/>
    <x v="33"/>
    <x v="17"/>
    <x v="348"/>
    <x v="48"/>
    <x v="12"/>
    <s v="Russia"/>
    <m/>
    <x v="1"/>
    <s v="U"/>
    <x v="0"/>
    <d v="1970-09-10T00:00:00"/>
    <s v="Altushkin"/>
    <s v="Igor"/>
    <m/>
    <d v="2023-04-04T05:01:00"/>
    <m/>
    <m/>
    <n v="1970"/>
    <n v="180.75"/>
    <n v="4.5"/>
    <n v="1699876578871"/>
    <n v="81.900000000000006"/>
    <n v="102.6"/>
    <n v="11.4"/>
    <n v="46.2"/>
    <n v="144373535"/>
  </r>
  <r>
    <x v="194"/>
    <x v="194"/>
    <x v="7"/>
    <x v="854"/>
    <x v="9"/>
    <x v="34"/>
    <x v="137"/>
    <x v="8"/>
    <x v="7"/>
    <s v="Philippines"/>
    <m/>
    <x v="1"/>
    <s v="U"/>
    <x v="0"/>
    <d v="1954-01-14T00:00:00"/>
    <s v="Ang"/>
    <s v="Ramon"/>
    <m/>
    <d v="2023-04-04T05:01:00"/>
    <m/>
    <m/>
    <n v="1954"/>
    <n v="129.61000000000001"/>
    <n v="2.5"/>
    <n v="376795508680"/>
    <n v="35.5"/>
    <n v="107.5"/>
    <n v="14"/>
    <n v="43.1"/>
    <n v="108116615"/>
  </r>
  <r>
    <x v="194"/>
    <x v="194"/>
    <x v="7"/>
    <x v="855"/>
    <x v="10"/>
    <x v="3"/>
    <x v="349"/>
    <x v="243"/>
    <x v="7"/>
    <s v="India"/>
    <m/>
    <x v="1"/>
    <s v="U"/>
    <x v="0"/>
    <d v="1972-07-25T00:00:00"/>
    <s v="Balkrishna"/>
    <s v="Acharya"/>
    <m/>
    <d v="2023-04-04T05:01:00"/>
    <m/>
    <m/>
    <n v="1972"/>
    <n v="180.44"/>
    <n v="7.7"/>
    <n v="2611000000000"/>
    <n v="28.1"/>
    <n v="113"/>
    <n v="11.2"/>
    <n v="49.7"/>
    <n v="1366417754"/>
  </r>
  <r>
    <x v="194"/>
    <x v="194"/>
    <x v="10"/>
    <x v="856"/>
    <x v="33"/>
    <x v="8"/>
    <x v="186"/>
    <x v="50"/>
    <x v="10"/>
    <s v="Switzerland"/>
    <m/>
    <x v="0"/>
    <s v="U"/>
    <x v="0"/>
    <d v="1971-01-01T00:00:00"/>
    <s v="Blocher"/>
    <s v="Markus"/>
    <m/>
    <d v="2023-04-04T05:01:00"/>
    <m/>
    <m/>
    <n v="1971"/>
    <n v="99.55"/>
    <n v="0.4"/>
    <n v="703082435360"/>
    <n v="59.6"/>
    <n v="105.2"/>
    <n v="10.1"/>
    <n v="28.8"/>
    <n v="8574832"/>
  </r>
  <r>
    <x v="194"/>
    <x v="194"/>
    <x v="6"/>
    <x v="857"/>
    <x v="25"/>
    <x v="58"/>
    <x v="350"/>
    <x v="385"/>
    <x v="6"/>
    <s v="United Kingdom"/>
    <m/>
    <x v="1"/>
    <s v="D"/>
    <x v="0"/>
    <d v="1950-07-18T00:00:00"/>
    <s v="Branson"/>
    <s v="Richard"/>
    <m/>
    <d v="2023-04-04T05:01:00"/>
    <m/>
    <m/>
    <n v="1950"/>
    <m/>
    <m/>
    <m/>
    <m/>
    <m/>
    <m/>
    <m/>
    <m/>
  </r>
  <r>
    <x v="194"/>
    <x v="194"/>
    <x v="3"/>
    <x v="858"/>
    <x v="29"/>
    <x v="32"/>
    <x v="109"/>
    <x v="224"/>
    <x v="3"/>
    <s v="South Korea"/>
    <s v="Meritz Financial Group"/>
    <x v="0"/>
    <s v="U"/>
    <x v="0"/>
    <d v="1958-10-05T00:00:00"/>
    <s v="Cho"/>
    <s v="Jung-ho"/>
    <m/>
    <d v="2023-04-04T05:01:00"/>
    <m/>
    <m/>
    <n v="1958"/>
    <n v="115.16"/>
    <n v="0.4"/>
    <n v="2029000000000"/>
    <n v="94.3"/>
    <n v="98.1"/>
    <n v="15.6"/>
    <n v="33.200000000000003"/>
    <n v="51709098"/>
  </r>
  <r>
    <x v="194"/>
    <x v="194"/>
    <x v="7"/>
    <x v="859"/>
    <x v="53"/>
    <x v="28"/>
    <x v="95"/>
    <x v="318"/>
    <x v="7"/>
    <s v="Italy"/>
    <m/>
    <x v="0"/>
    <s v="U"/>
    <x v="1"/>
    <d v="1960-02-06T00:00:00"/>
    <s v="Garavoglia"/>
    <s v="Alessandra"/>
    <m/>
    <d v="2023-04-04T05:01:00"/>
    <m/>
    <m/>
    <n v="1960"/>
    <n v="110.62"/>
    <n v="0.6"/>
    <n v="2001244392042"/>
    <n v="61.9"/>
    <n v="101.9"/>
    <n v="24.3"/>
    <n v="59.1"/>
    <n v="60297396"/>
  </r>
  <r>
    <x v="194"/>
    <x v="194"/>
    <x v="0"/>
    <x v="860"/>
    <x v="30"/>
    <x v="8"/>
    <x v="119"/>
    <x v="386"/>
    <x v="0"/>
    <s v="United Kingdom"/>
    <m/>
    <x v="1"/>
    <s v="E"/>
    <x v="0"/>
    <d v="1938-06-13T00:00:00"/>
    <s v="Graff"/>
    <s v="Laurence"/>
    <m/>
    <d v="2023-04-04T05:01:00"/>
    <m/>
    <m/>
    <n v="1938"/>
    <n v="99.55"/>
    <n v="0.4"/>
    <n v="703082435360"/>
    <n v="59.6"/>
    <n v="105.2"/>
    <n v="10.1"/>
    <n v="28.8"/>
    <n v="8574832"/>
  </r>
  <r>
    <x v="194"/>
    <x v="194"/>
    <x v="4"/>
    <x v="861"/>
    <x v="20"/>
    <x v="1"/>
    <x v="176"/>
    <x v="131"/>
    <x v="4"/>
    <s v="United States"/>
    <s v="Pilot House Associates"/>
    <x v="1"/>
    <s v="D"/>
    <x v="0"/>
    <d v="1937-01-12T00:00:00"/>
    <s v="Hostetter"/>
    <s v="Amos"/>
    <s v="Chair"/>
    <d v="2023-04-04T05:01:00"/>
    <s v="Massachusetts"/>
    <s v="Northeast"/>
    <n v="1937"/>
    <n v="117.24"/>
    <n v="7.5"/>
    <n v="21427700000000"/>
    <n v="88.2"/>
    <n v="101.8"/>
    <n v="9.6"/>
    <n v="36.6"/>
    <n v="328239523"/>
  </r>
  <r>
    <x v="194"/>
    <x v="194"/>
    <x v="17"/>
    <x v="862"/>
    <x v="43"/>
    <x v="1"/>
    <x v="43"/>
    <x v="387"/>
    <x v="17"/>
    <s v="United States"/>
    <m/>
    <x v="0"/>
    <s v="N"/>
    <x v="0"/>
    <d v="1947-04-12T00:00:00"/>
    <s v="Johnson"/>
    <s v="Robert "/>
    <m/>
    <d v="2023-04-04T05:01:00"/>
    <s v="Florida"/>
    <s v="South"/>
    <n v="1947"/>
    <n v="117.24"/>
    <n v="7.5"/>
    <n v="21427700000000"/>
    <n v="88.2"/>
    <n v="101.8"/>
    <n v="9.6"/>
    <n v="36.6"/>
    <n v="328239523"/>
  </r>
  <r>
    <x v="194"/>
    <x v="194"/>
    <x v="3"/>
    <x v="863"/>
    <x v="37"/>
    <x v="1"/>
    <x v="5"/>
    <x v="38"/>
    <x v="3"/>
    <s v="United States"/>
    <s v="New Mountain Capital"/>
    <x v="1"/>
    <s v="E"/>
    <x v="0"/>
    <d v="1956-05-30T00:00:00"/>
    <s v="Klinsky"/>
    <s v="Steven"/>
    <s v="Founder &amp; CEO"/>
    <d v="2023-04-04T05:01:00"/>
    <s v="New York"/>
    <s v="Northeast"/>
    <n v="1956"/>
    <n v="117.24"/>
    <n v="7.5"/>
    <n v="21427700000000"/>
    <n v="88.2"/>
    <n v="101.8"/>
    <n v="9.6"/>
    <n v="36.6"/>
    <n v="328239523"/>
  </r>
  <r>
    <x v="194"/>
    <x v="194"/>
    <x v="0"/>
    <x v="864"/>
    <x v="34"/>
    <x v="1"/>
    <x v="5"/>
    <x v="59"/>
    <x v="0"/>
    <s v="United States"/>
    <m/>
    <x v="0"/>
    <s v="D"/>
    <x v="0"/>
    <d v="1960-04-11T00:00:00"/>
    <s v="Lauder"/>
    <s v="William"/>
    <m/>
    <d v="2023-04-04T05:01:00"/>
    <s v="New York"/>
    <s v="Northeast"/>
    <n v="1960"/>
    <n v="117.24"/>
    <n v="7.5"/>
    <n v="21427700000000"/>
    <n v="88.2"/>
    <n v="101.8"/>
    <n v="9.6"/>
    <n v="36.6"/>
    <n v="328239523"/>
  </r>
  <r>
    <x v="194"/>
    <x v="194"/>
    <x v="7"/>
    <x v="865"/>
    <x v="13"/>
    <x v="1"/>
    <x v="91"/>
    <x v="388"/>
    <x v="7"/>
    <s v="United States"/>
    <m/>
    <x v="0"/>
    <s v="E"/>
    <x v="0"/>
    <d v="1955-03-02T00:00:00"/>
    <s v="Middleton"/>
    <s v="John"/>
    <m/>
    <d v="2023-04-04T05:01:00"/>
    <s v="Pennsylvania"/>
    <s v="Northeast"/>
    <n v="1955"/>
    <n v="117.24"/>
    <n v="7.5"/>
    <n v="21427700000000"/>
    <n v="88.2"/>
    <n v="101.8"/>
    <n v="9.6"/>
    <n v="36.6"/>
    <n v="328239523"/>
  </r>
  <r>
    <x v="194"/>
    <x v="194"/>
    <x v="0"/>
    <x v="866"/>
    <x v="17"/>
    <x v="12"/>
    <x v="31"/>
    <x v="106"/>
    <x v="0"/>
    <s v="Japan"/>
    <m/>
    <x v="1"/>
    <s v="D"/>
    <x v="0"/>
    <d v="1965-03-11T00:00:00"/>
    <s v="Mikitani"/>
    <s v="Hiroshi"/>
    <m/>
    <d v="2023-04-04T05:01:00"/>
    <m/>
    <m/>
    <n v="1965"/>
    <n v="105.48"/>
    <n v="0.5"/>
    <n v="5081769542380"/>
    <n v="63.2"/>
    <n v="98.8"/>
    <n v="11.9"/>
    <n v="46.7"/>
    <n v="126226568"/>
  </r>
  <r>
    <x v="194"/>
    <x v="194"/>
    <x v="2"/>
    <x v="867"/>
    <x v="25"/>
    <x v="1"/>
    <x v="351"/>
    <x v="389"/>
    <x v="2"/>
    <s v="United States"/>
    <m/>
    <x v="1"/>
    <s v="E"/>
    <x v="0"/>
    <d v="1950-11-27T00:00:00"/>
    <s v="Parsons"/>
    <s v="Bob"/>
    <m/>
    <d v="2023-04-04T05:01:00"/>
    <s v="Arizona"/>
    <s v="West"/>
    <n v="1950"/>
    <n v="117.24"/>
    <n v="7.5"/>
    <n v="21427700000000"/>
    <n v="88.2"/>
    <n v="101.8"/>
    <n v="9.6"/>
    <n v="36.6"/>
    <n v="328239523"/>
  </r>
  <r>
    <x v="194"/>
    <x v="194"/>
    <x v="3"/>
    <x v="868"/>
    <x v="6"/>
    <x v="1"/>
    <x v="352"/>
    <x v="390"/>
    <x v="3"/>
    <s v="United States"/>
    <m/>
    <x v="1"/>
    <s v="D"/>
    <x v="0"/>
    <d v="1941-07-16T00:00:00"/>
    <s v="Ricketts"/>
    <s v="J. Joe"/>
    <m/>
    <d v="2023-04-04T05:01:00"/>
    <s v="Wyoming"/>
    <s v="South"/>
    <n v="1941"/>
    <n v="117.24"/>
    <n v="7.5"/>
    <n v="21427700000000"/>
    <n v="88.2"/>
    <n v="101.8"/>
    <n v="9.6"/>
    <n v="36.6"/>
    <n v="328239523"/>
  </r>
  <r>
    <x v="194"/>
    <x v="194"/>
    <x v="11"/>
    <x v="869"/>
    <x v="50"/>
    <x v="1"/>
    <x v="353"/>
    <x v="36"/>
    <x v="11"/>
    <s v="United States"/>
    <s v="Simon Property Group"/>
    <x v="1"/>
    <s v="D"/>
    <x v="0"/>
    <d v="1934-10-23T00:00:00"/>
    <s v="Simon"/>
    <s v="Herb"/>
    <s v="Chairman Emeritus of the Board of Simon Property Group, Inc."/>
    <d v="2023-04-04T05:01:00"/>
    <s v="Indiana"/>
    <s v="Midwest"/>
    <n v="1934"/>
    <n v="117.24"/>
    <n v="7.5"/>
    <n v="21427700000000"/>
    <n v="88.2"/>
    <n v="101.8"/>
    <n v="9.6"/>
    <n v="36.6"/>
    <n v="328239523"/>
  </r>
  <r>
    <x v="194"/>
    <x v="194"/>
    <x v="14"/>
    <x v="870"/>
    <x v="8"/>
    <x v="3"/>
    <x v="7"/>
    <x v="83"/>
    <x v="14"/>
    <s v="India"/>
    <m/>
    <x v="0"/>
    <s v="D"/>
    <x v="1"/>
    <d v="1957-09-03T00:00:00"/>
    <s v="Tewari"/>
    <s v="Leena"/>
    <m/>
    <d v="2023-04-04T05:01:00"/>
    <m/>
    <m/>
    <n v="1957"/>
    <n v="180.44"/>
    <n v="7.7"/>
    <n v="2611000000000"/>
    <n v="28.1"/>
    <n v="113"/>
    <n v="11.2"/>
    <n v="49.7"/>
    <n v="1366417754"/>
  </r>
  <r>
    <x v="194"/>
    <x v="194"/>
    <x v="4"/>
    <x v="871"/>
    <x v="2"/>
    <x v="7"/>
    <x v="354"/>
    <x v="317"/>
    <x v="4"/>
    <s v="Germany"/>
    <m/>
    <x v="0"/>
    <s v="U"/>
    <x v="0"/>
    <d v="1963-05-15T00:00:00"/>
    <s v="von Holtzbrinck"/>
    <s v="Stefan"/>
    <m/>
    <d v="2023-04-04T05:01:00"/>
    <m/>
    <m/>
    <n v="1963"/>
    <n v="112.85"/>
    <n v="1.4"/>
    <n v="3845630030824"/>
    <n v="70.2"/>
    <n v="104"/>
    <n v="11.5"/>
    <n v="48.8"/>
    <n v="83132799"/>
  </r>
  <r>
    <x v="194"/>
    <x v="194"/>
    <x v="7"/>
    <x v="872"/>
    <x v="6"/>
    <x v="8"/>
    <x v="355"/>
    <x v="391"/>
    <x v="7"/>
    <s v="Switzerland"/>
    <m/>
    <x v="0"/>
    <s v="D"/>
    <x v="0"/>
    <d v="1941-06-16T00:00:00"/>
    <s v="Wild"/>
    <s v="Hans Peter"/>
    <m/>
    <d v="2023-04-04T05:01:00"/>
    <m/>
    <m/>
    <n v="1941"/>
    <n v="99.55"/>
    <n v="0.4"/>
    <n v="703082435360"/>
    <n v="59.6"/>
    <n v="105.2"/>
    <n v="10.1"/>
    <n v="28.8"/>
    <n v="8574832"/>
  </r>
  <r>
    <x v="194"/>
    <x v="194"/>
    <x v="14"/>
    <x v="873"/>
    <x v="23"/>
    <x v="5"/>
    <x v="86"/>
    <x v="83"/>
    <x v="14"/>
    <s v="China"/>
    <m/>
    <x v="1"/>
    <s v="D"/>
    <x v="0"/>
    <d v="1968-12-21T00:00:00"/>
    <s v="Wu"/>
    <s v="Guanjiang"/>
    <m/>
    <d v="2023-04-04T05:01:00"/>
    <m/>
    <m/>
    <n v="1968"/>
    <n v="125.08"/>
    <n v="2.9"/>
    <n v="19910000000000"/>
    <n v="50.6"/>
    <n v="100.2"/>
    <n v="9.4"/>
    <n v="59.2"/>
    <n v="1397715000"/>
  </r>
  <r>
    <x v="194"/>
    <x v="194"/>
    <x v="2"/>
    <x v="874"/>
    <x v="33"/>
    <x v="5"/>
    <x v="12"/>
    <x v="117"/>
    <x v="2"/>
    <s v="China"/>
    <m/>
    <x v="1"/>
    <s v="U"/>
    <x v="0"/>
    <d v="1970-10-15T00:00:00"/>
    <s v="Yi"/>
    <s v="Zheng"/>
    <m/>
    <d v="2023-04-04T05:01:00"/>
    <m/>
    <m/>
    <n v="1970"/>
    <n v="125.08"/>
    <n v="2.9"/>
    <n v="19910000000000"/>
    <n v="50.6"/>
    <n v="100.2"/>
    <n v="9.4"/>
    <n v="59.2"/>
    <n v="1397715000"/>
  </r>
  <r>
    <x v="194"/>
    <x v="194"/>
    <x v="2"/>
    <x v="875"/>
    <x v="52"/>
    <x v="1"/>
    <x v="356"/>
    <x v="392"/>
    <x v="2"/>
    <s v="United States"/>
    <s v="Zoom Video Communications"/>
    <x v="1"/>
    <s v="D"/>
    <x v="0"/>
    <d v="1970-02-20T00:00:00"/>
    <s v="Yuan"/>
    <s v="Eric"/>
    <s v="Founder and CEO"/>
    <d v="2023-04-04T05:01:00"/>
    <s v="California"/>
    <s v="West"/>
    <n v="1970"/>
    <n v="117.24"/>
    <n v="7.5"/>
    <n v="21427700000000"/>
    <n v="88.2"/>
    <n v="101.8"/>
    <n v="9.6"/>
    <n v="36.6"/>
    <n v="328239523"/>
  </r>
  <r>
    <x v="194"/>
    <x v="194"/>
    <x v="4"/>
    <x v="876"/>
    <x v="43"/>
    <x v="1"/>
    <x v="5"/>
    <x v="6"/>
    <x v="4"/>
    <s v="United States"/>
    <m/>
    <x v="1"/>
    <s v="U"/>
    <x v="0"/>
    <d v="1948-02-29T00:00:00"/>
    <s v="Zegar"/>
    <s v="Charles"/>
    <m/>
    <d v="2023-04-04T05:01:00"/>
    <s v="New York"/>
    <s v="Northeast"/>
    <n v="1948"/>
    <n v="117.24"/>
    <n v="7.5"/>
    <n v="21427700000000"/>
    <n v="88.2"/>
    <n v="101.8"/>
    <n v="9.6"/>
    <n v="36.6"/>
    <n v="328239523"/>
  </r>
  <r>
    <x v="195"/>
    <x v="195"/>
    <x v="16"/>
    <x v="877"/>
    <x v="43"/>
    <x v="0"/>
    <x v="357"/>
    <x v="393"/>
    <x v="16"/>
    <s v="France"/>
    <m/>
    <x v="1"/>
    <s v="D"/>
    <x v="0"/>
    <d v="1948-03-09T00:00:00"/>
    <s v="Altrad"/>
    <s v="Mohed"/>
    <m/>
    <d v="2023-04-04T05:01:00"/>
    <m/>
    <m/>
    <n v="1948"/>
    <n v="110.05"/>
    <n v="1.1000000000000001"/>
    <n v="2715518274227"/>
    <n v="65.599999999999994"/>
    <n v="102.5"/>
    <n v="24.2"/>
    <n v="60.7"/>
    <n v="67059887"/>
  </r>
  <r>
    <x v="195"/>
    <x v="195"/>
    <x v="3"/>
    <x v="878"/>
    <x v="12"/>
    <x v="1"/>
    <x v="102"/>
    <x v="28"/>
    <x v="3"/>
    <s v="United States"/>
    <s v="Centaurus Advisors"/>
    <x v="1"/>
    <s v="E"/>
    <x v="0"/>
    <d v="1974-03-09T00:00:00"/>
    <s v="Arnold"/>
    <s v="John"/>
    <s v="Founder"/>
    <d v="2023-04-04T05:01:00"/>
    <s v="Texas"/>
    <s v="South"/>
    <n v="1974"/>
    <n v="117.24"/>
    <n v="7.5"/>
    <n v="21427700000000"/>
    <n v="88.2"/>
    <n v="101.8"/>
    <n v="9.6"/>
    <n v="36.6"/>
    <n v="328239523"/>
  </r>
  <r>
    <x v="195"/>
    <x v="195"/>
    <x v="10"/>
    <x v="879"/>
    <x v="6"/>
    <x v="1"/>
    <x v="358"/>
    <x v="394"/>
    <x v="10"/>
    <s v="United States"/>
    <m/>
    <x v="1"/>
    <s v="U"/>
    <x v="0"/>
    <d v="1942-02-25T00:00:00"/>
    <s v="Austin"/>
    <s v="Bill"/>
    <m/>
    <d v="2023-04-04T05:01:00"/>
    <s v="Texas"/>
    <s v="South"/>
    <n v="1942"/>
    <n v="117.24"/>
    <n v="7.5"/>
    <n v="21427700000000"/>
    <n v="88.2"/>
    <n v="101.8"/>
    <n v="9.6"/>
    <n v="36.6"/>
    <n v="328239523"/>
  </r>
  <r>
    <x v="195"/>
    <x v="195"/>
    <x v="10"/>
    <x v="880"/>
    <x v="32"/>
    <x v="5"/>
    <x v="111"/>
    <x v="395"/>
    <x v="10"/>
    <s v="China"/>
    <m/>
    <x v="1"/>
    <s v="U"/>
    <x v="0"/>
    <d v="1966-11-01T00:00:00"/>
    <s v="Chen"/>
    <s v="Shibin"/>
    <m/>
    <d v="2023-04-04T05:01:00"/>
    <m/>
    <m/>
    <n v="1966"/>
    <n v="125.08"/>
    <n v="2.9"/>
    <n v="19910000000000"/>
    <n v="50.6"/>
    <n v="100.2"/>
    <n v="9.4"/>
    <n v="59.2"/>
    <n v="1397715000"/>
  </r>
  <r>
    <x v="195"/>
    <x v="195"/>
    <x v="7"/>
    <x v="881"/>
    <x v="22"/>
    <x v="1"/>
    <x v="359"/>
    <x v="323"/>
    <x v="7"/>
    <s v="United States"/>
    <m/>
    <x v="0"/>
    <s v="U"/>
    <x v="0"/>
    <d v="1946-02-09T00:00:00"/>
    <s v="Dorrance"/>
    <s v="Bennett"/>
    <m/>
    <d v="2023-04-04T05:01:00"/>
    <s v="Arizona"/>
    <s v="West"/>
    <n v="1946"/>
    <n v="117.24"/>
    <n v="7.5"/>
    <n v="21427700000000"/>
    <n v="88.2"/>
    <n v="101.8"/>
    <n v="9.6"/>
    <n v="36.6"/>
    <n v="328239523"/>
  </r>
  <r>
    <x v="195"/>
    <x v="195"/>
    <x v="7"/>
    <x v="882"/>
    <x v="13"/>
    <x v="30"/>
    <x v="298"/>
    <x v="82"/>
    <x v="7"/>
    <s v="Brazil"/>
    <m/>
    <x v="1"/>
    <s v="E"/>
    <x v="0"/>
    <d v="1955-04-01T00:00:00"/>
    <s v="Faria"/>
    <s v="Walter"/>
    <m/>
    <d v="2023-04-04T05:01:00"/>
    <m/>
    <m/>
    <n v="1955"/>
    <n v="167.4"/>
    <n v="3.7"/>
    <n v="1839758040766"/>
    <n v="51.3"/>
    <n v="115.4"/>
    <n v="14.2"/>
    <n v="65.099999999999994"/>
    <n v="212559417"/>
  </r>
  <r>
    <x v="195"/>
    <x v="195"/>
    <x v="1"/>
    <x v="883"/>
    <x v="55"/>
    <x v="8"/>
    <x v="360"/>
    <x v="337"/>
    <x v="1"/>
    <s v="Switzerland"/>
    <m/>
    <x v="0"/>
    <s v="U"/>
    <x v="0"/>
    <d v="1943-07-30T00:00:00"/>
    <s v="Frey"/>
    <s v="Walter"/>
    <m/>
    <d v="2023-04-04T05:01:00"/>
    <m/>
    <m/>
    <n v="1943"/>
    <n v="99.55"/>
    <n v="0.4"/>
    <n v="703082435360"/>
    <n v="59.6"/>
    <n v="105.2"/>
    <n v="10.1"/>
    <n v="28.8"/>
    <n v="8574832"/>
  </r>
  <r>
    <x v="195"/>
    <x v="195"/>
    <x v="2"/>
    <x v="884"/>
    <x v="42"/>
    <x v="5"/>
    <x v="12"/>
    <x v="396"/>
    <x v="2"/>
    <s v="China"/>
    <m/>
    <x v="1"/>
    <s v="D"/>
    <x v="0"/>
    <d v="1967-08-01T00:00:00"/>
    <s v="Fu"/>
    <s v="Liquan"/>
    <m/>
    <d v="2023-04-04T05:01:00"/>
    <m/>
    <m/>
    <n v="1967"/>
    <n v="125.08"/>
    <n v="2.9"/>
    <n v="19910000000000"/>
    <n v="50.6"/>
    <n v="100.2"/>
    <n v="9.4"/>
    <n v="59.2"/>
    <n v="1397715000"/>
  </r>
  <r>
    <x v="195"/>
    <x v="195"/>
    <x v="11"/>
    <x v="885"/>
    <x v="50"/>
    <x v="14"/>
    <x v="93"/>
    <x v="397"/>
    <x v="11"/>
    <s v="Australia"/>
    <m/>
    <x v="0"/>
    <s v="E"/>
    <x v="0"/>
    <d v="1934-08-13T00:00:00"/>
    <s v="Gandel"/>
    <s v="John"/>
    <m/>
    <d v="2023-04-04T05:01:00"/>
    <m/>
    <m/>
    <n v="1934"/>
    <n v="119.8"/>
    <n v="1.6"/>
    <n v="1392680589329"/>
    <n v="113.1"/>
    <n v="100.3"/>
    <n v="23"/>
    <n v="47.4"/>
    <n v="25766605"/>
  </r>
  <r>
    <x v="195"/>
    <x v="195"/>
    <x v="16"/>
    <x v="886"/>
    <x v="25"/>
    <x v="6"/>
    <x v="361"/>
    <x v="398"/>
    <x v="16"/>
    <s v="Canada"/>
    <s v="Mattamy Group Corp."/>
    <x v="1"/>
    <s v="U"/>
    <x v="0"/>
    <d v="1951-01-01T00:00:00"/>
    <s v="Gilgan"/>
    <s v="Peter"/>
    <s v="Founder, CEO and Chairman"/>
    <d v="2023-04-04T05:01:00"/>
    <m/>
    <m/>
    <n v="1951"/>
    <n v="116.76"/>
    <n v="1.9"/>
    <n v="1736425629520"/>
    <n v="68.900000000000006"/>
    <n v="100.9"/>
    <n v="12.8"/>
    <n v="24.5"/>
    <n v="36991981"/>
  </r>
  <r>
    <x v="195"/>
    <x v="195"/>
    <x v="6"/>
    <x v="887"/>
    <x v="26"/>
    <x v="25"/>
    <x v="76"/>
    <x v="8"/>
    <x v="6"/>
    <s v="Singapore"/>
    <m/>
    <x v="0"/>
    <s v="U"/>
    <x v="0"/>
    <d v="1941-01-01T00:00:00"/>
    <s v="Kwek"/>
    <s v="Leng Beng"/>
    <m/>
    <d v="2023-04-04T05:01:00"/>
    <m/>
    <m/>
    <n v="1941"/>
    <n v="114.41"/>
    <n v="0.6"/>
    <n v="372062527489"/>
    <n v="84.8"/>
    <n v="100.6"/>
    <n v="13.1"/>
    <n v="21"/>
    <n v="5703569"/>
  </r>
  <r>
    <x v="195"/>
    <x v="195"/>
    <x v="3"/>
    <x v="888"/>
    <x v="2"/>
    <x v="1"/>
    <x v="362"/>
    <x v="38"/>
    <x v="3"/>
    <s v="United States"/>
    <m/>
    <x v="1"/>
    <s v="D"/>
    <x v="0"/>
    <d v="1963-10-30T00:00:00"/>
    <s v="Legorreta"/>
    <s v="Pablo"/>
    <m/>
    <d v="2023-04-04T05:01:00"/>
    <s v="New York"/>
    <s v="Northeast"/>
    <n v="1963"/>
    <n v="117.24"/>
    <n v="7.5"/>
    <n v="21427700000000"/>
    <n v="88.2"/>
    <n v="101.8"/>
    <n v="9.6"/>
    <n v="36.6"/>
    <n v="328239523"/>
  </r>
  <r>
    <x v="195"/>
    <x v="195"/>
    <x v="4"/>
    <x v="889"/>
    <x v="3"/>
    <x v="27"/>
    <x v="199"/>
    <x v="399"/>
    <x v="4"/>
    <s v="Israel"/>
    <m/>
    <x v="1"/>
    <s v="D"/>
    <x v="0"/>
    <d v="1944-12-06T00:00:00"/>
    <s v="Milchan"/>
    <s v="Arnon"/>
    <m/>
    <d v="2023-04-04T05:01:00"/>
    <m/>
    <m/>
    <n v="1944"/>
    <n v="108.15"/>
    <n v="0.8"/>
    <n v="395098666122"/>
    <n v="63.4"/>
    <n v="104.9"/>
    <n v="23.1"/>
    <n v="25.3"/>
    <n v="9053300"/>
  </r>
  <r>
    <x v="195"/>
    <x v="195"/>
    <x v="0"/>
    <x v="890"/>
    <x v="55"/>
    <x v="12"/>
    <x v="363"/>
    <x v="400"/>
    <x v="0"/>
    <s v="Japan"/>
    <m/>
    <x v="1"/>
    <s v="D"/>
    <x v="0"/>
    <d v="1944-03-05T00:00:00"/>
    <s v="Nitori"/>
    <s v="Akio"/>
    <m/>
    <d v="2023-04-04T05:01:00"/>
    <m/>
    <m/>
    <n v="1944"/>
    <n v="105.48"/>
    <n v="0.5"/>
    <n v="5081769542380"/>
    <n v="63.2"/>
    <n v="98.8"/>
    <n v="11.9"/>
    <n v="46.7"/>
    <n v="126226568"/>
  </r>
  <r>
    <x v="195"/>
    <x v="195"/>
    <x v="12"/>
    <x v="891"/>
    <x v="22"/>
    <x v="18"/>
    <x v="50"/>
    <x v="206"/>
    <x v="12"/>
    <s v="Chile"/>
    <m/>
    <x v="1"/>
    <s v="D"/>
    <x v="0"/>
    <d v="1945-11-13T00:00:00"/>
    <s v="Ponce Lerou"/>
    <s v="Julio"/>
    <m/>
    <d v="2023-04-04T05:01:00"/>
    <m/>
    <m/>
    <n v="1945"/>
    <n v="131.91"/>
    <n v="2.6"/>
    <n v="282318159745"/>
    <n v="88.5"/>
    <n v="101.4"/>
    <n v="18.2"/>
    <n v="34"/>
    <n v="18952038"/>
  </r>
  <r>
    <x v="195"/>
    <x v="195"/>
    <x v="3"/>
    <x v="892"/>
    <x v="22"/>
    <x v="1"/>
    <x v="171"/>
    <x v="44"/>
    <x v="3"/>
    <s v="United States"/>
    <s v="Scottrade, Inc."/>
    <x v="1"/>
    <s v="D"/>
    <x v="0"/>
    <d v="1946-01-01T00:00:00"/>
    <s v="Riney"/>
    <s v="Rodger"/>
    <s v="Cofounder"/>
    <d v="2023-04-04T05:01:00"/>
    <s v="Missouri"/>
    <s v="Midwest"/>
    <n v="1946"/>
    <n v="117.24"/>
    <n v="7.5"/>
    <n v="21427700000000"/>
    <n v="88.2"/>
    <n v="101.8"/>
    <n v="9.6"/>
    <n v="36.6"/>
    <n v="328239523"/>
  </r>
  <r>
    <x v="195"/>
    <x v="195"/>
    <x v="6"/>
    <x v="893"/>
    <x v="50"/>
    <x v="1"/>
    <x v="27"/>
    <x v="401"/>
    <x v="6"/>
    <s v="United States"/>
    <m/>
    <x v="1"/>
    <s v="U"/>
    <x v="0"/>
    <d v="1935-03-17T00:00:00"/>
    <s v="Ruffin"/>
    <s v="Phil"/>
    <m/>
    <d v="2023-04-04T05:01:00"/>
    <s v="Nevada"/>
    <s v="West"/>
    <n v="1935"/>
    <n v="117.24"/>
    <n v="7.5"/>
    <n v="21427700000000"/>
    <n v="88.2"/>
    <n v="101.8"/>
    <n v="9.6"/>
    <n v="36.6"/>
    <n v="328239523"/>
  </r>
  <r>
    <x v="195"/>
    <x v="195"/>
    <x v="5"/>
    <x v="894"/>
    <x v="13"/>
    <x v="37"/>
    <x v="159"/>
    <x v="7"/>
    <x v="5"/>
    <s v="Egypt"/>
    <m/>
    <x v="0"/>
    <s v="D"/>
    <x v="0"/>
    <d v="1954-06-15T00:00:00"/>
    <s v="Sawiris"/>
    <s v="Naguib"/>
    <m/>
    <d v="2023-04-04T05:01:00"/>
    <m/>
    <m/>
    <n v="1954"/>
    <n v="288.57"/>
    <n v="9.1999999999999993"/>
    <n v="303175127598"/>
    <n v="35.200000000000003"/>
    <n v="106.3"/>
    <n v="12.5"/>
    <n v="44.4"/>
    <n v="100388073"/>
  </r>
  <r>
    <x v="195"/>
    <x v="195"/>
    <x v="3"/>
    <x v="895"/>
    <x v="42"/>
    <x v="5"/>
    <x v="36"/>
    <x v="137"/>
    <x v="3"/>
    <s v="Hong Kong"/>
    <s v="Sequoia China"/>
    <x v="1"/>
    <s v="D"/>
    <x v="0"/>
    <d v="1967-12-16T00:00:00"/>
    <s v="Shen"/>
    <s v="Neil"/>
    <s v="Investor"/>
    <d v="2023-04-04T05:01:00"/>
    <m/>
    <m/>
    <n v="1967"/>
    <n v="125.08"/>
    <n v="2.9"/>
    <n v="19910000000000"/>
    <n v="50.6"/>
    <n v="100.2"/>
    <n v="9.4"/>
    <n v="59.2"/>
    <n v="1397715000"/>
  </r>
  <r>
    <x v="195"/>
    <x v="195"/>
    <x v="2"/>
    <x v="896"/>
    <x v="23"/>
    <x v="27"/>
    <x v="199"/>
    <x v="117"/>
    <x v="2"/>
    <s v="Israel"/>
    <m/>
    <x v="1"/>
    <s v="D"/>
    <x v="0"/>
    <d v="1968-06-12T00:00:00"/>
    <s v="Shwed"/>
    <s v="Gil"/>
    <m/>
    <d v="2023-04-04T05:01:00"/>
    <m/>
    <m/>
    <n v="1968"/>
    <n v="108.15"/>
    <n v="0.8"/>
    <n v="395098666122"/>
    <n v="63.4"/>
    <n v="104.9"/>
    <n v="23.1"/>
    <n v="25.3"/>
    <n v="9053300"/>
  </r>
  <r>
    <x v="195"/>
    <x v="195"/>
    <x v="3"/>
    <x v="897"/>
    <x v="48"/>
    <x v="6"/>
    <x v="16"/>
    <x v="402"/>
    <x v="3"/>
    <s v="Canada"/>
    <m/>
    <x v="1"/>
    <s v="U"/>
    <x v="0"/>
    <d v="1951-06-02T00:00:00"/>
    <s v="Smith"/>
    <s v="Stephen"/>
    <m/>
    <d v="2023-04-04T05:01:00"/>
    <m/>
    <m/>
    <n v="1951"/>
    <n v="116.76"/>
    <n v="1.9"/>
    <n v="1736425629520"/>
    <n v="68.900000000000006"/>
    <n v="100.9"/>
    <n v="12.8"/>
    <n v="24.5"/>
    <n v="36991981"/>
  </r>
  <r>
    <x v="195"/>
    <x v="195"/>
    <x v="3"/>
    <x v="898"/>
    <x v="14"/>
    <x v="13"/>
    <x v="32"/>
    <x v="176"/>
    <x v="3"/>
    <s v="United Kingdom"/>
    <m/>
    <x v="1"/>
    <s v="D"/>
    <x v="0"/>
    <d v="1984-07-21T00:00:00"/>
    <s v="Storonsky"/>
    <s v="Nik"/>
    <m/>
    <d v="2023-04-04T05:01:00"/>
    <m/>
    <m/>
    <n v="1984"/>
    <n v="119.62"/>
    <n v="1.7"/>
    <n v="2827113184696"/>
    <n v="60"/>
    <n v="101.2"/>
    <n v="25.5"/>
    <n v="30.6"/>
    <n v="66834405"/>
  </r>
  <r>
    <x v="195"/>
    <x v="195"/>
    <x v="3"/>
    <x v="899"/>
    <x v="65"/>
    <x v="1"/>
    <x v="364"/>
    <x v="189"/>
    <x v="3"/>
    <s v="United States"/>
    <s v="Element Capital Management"/>
    <x v="1"/>
    <s v="U"/>
    <x v="0"/>
    <d v="1975-03-06T00:00:00"/>
    <s v="Talpins"/>
    <s v="Jeffrey"/>
    <s v="Founder"/>
    <d v="2023-04-04T05:01:00"/>
    <s v="New York"/>
    <s v="Northeast"/>
    <n v="1975"/>
    <n v="117.24"/>
    <n v="7.5"/>
    <n v="21427700000000"/>
    <n v="88.2"/>
    <n v="101.8"/>
    <n v="9.6"/>
    <n v="36.6"/>
    <n v="328239523"/>
  </r>
  <r>
    <x v="195"/>
    <x v="195"/>
    <x v="3"/>
    <x v="900"/>
    <x v="0"/>
    <x v="1"/>
    <x v="80"/>
    <x v="38"/>
    <x v="3"/>
    <s v="United States"/>
    <m/>
    <x v="1"/>
    <s v="U"/>
    <x v="0"/>
    <d v="1948-10-12T00:00:00"/>
    <s v="Thoma"/>
    <s v="Carl"/>
    <s v="Investor"/>
    <d v="2023-04-04T05:01:00"/>
    <s v="Texas"/>
    <s v="South"/>
    <n v="1948"/>
    <n v="117.24"/>
    <n v="7.5"/>
    <n v="21427700000000"/>
    <n v="88.2"/>
    <n v="101.8"/>
    <n v="9.6"/>
    <n v="36.6"/>
    <n v="328239523"/>
  </r>
  <r>
    <x v="195"/>
    <x v="195"/>
    <x v="10"/>
    <x v="901"/>
    <x v="2"/>
    <x v="1"/>
    <x v="365"/>
    <x v="158"/>
    <x v="10"/>
    <s v="United States"/>
    <m/>
    <x v="0"/>
    <s v="D"/>
    <x v="0"/>
    <d v="1964-03-16T00:00:00"/>
    <s v="Wanek"/>
    <s v="Todd"/>
    <m/>
    <d v="2023-04-04T05:01:00"/>
    <s v="Florida"/>
    <s v="South"/>
    <n v="1964"/>
    <n v="117.24"/>
    <n v="7.5"/>
    <n v="21427700000000"/>
    <n v="88.2"/>
    <n v="101.8"/>
    <n v="9.6"/>
    <n v="36.6"/>
    <n v="328239523"/>
  </r>
  <r>
    <x v="195"/>
    <x v="195"/>
    <x v="10"/>
    <x v="902"/>
    <x v="52"/>
    <x v="5"/>
    <x v="82"/>
    <x v="105"/>
    <x v="10"/>
    <s v="China"/>
    <m/>
    <x v="1"/>
    <s v="D"/>
    <x v="0"/>
    <m/>
    <s v="Xue"/>
    <s v="Hua"/>
    <m/>
    <d v="2023-04-04T05:01:00"/>
    <m/>
    <m/>
    <m/>
    <n v="125.08"/>
    <n v="2.9"/>
    <n v="19910000000000"/>
    <n v="50.6"/>
    <n v="100.2"/>
    <n v="9.4"/>
    <n v="59.2"/>
    <n v="1397715000"/>
  </r>
  <r>
    <x v="195"/>
    <x v="195"/>
    <x v="0"/>
    <x v="903"/>
    <x v="16"/>
    <x v="25"/>
    <x v="76"/>
    <x v="21"/>
    <x v="0"/>
    <s v="Japan"/>
    <m/>
    <x v="1"/>
    <s v="U"/>
    <x v="0"/>
    <d v="1949-05-07T00:00:00"/>
    <s v="Yasuda"/>
    <s v="Takao"/>
    <m/>
    <d v="2023-04-04T05:01:00"/>
    <m/>
    <m/>
    <n v="1949"/>
    <n v="114.41"/>
    <n v="0.6"/>
    <n v="372062527489"/>
    <n v="84.8"/>
    <n v="100.6"/>
    <n v="13.1"/>
    <n v="21"/>
    <n v="5703569"/>
  </r>
  <r>
    <x v="196"/>
    <x v="196"/>
    <x v="7"/>
    <x v="904"/>
    <x v="52"/>
    <x v="22"/>
    <x v="25"/>
    <x v="292"/>
    <x v="7"/>
    <s v="Mexico"/>
    <m/>
    <x v="0"/>
    <s v="U"/>
    <x v="1"/>
    <m/>
    <s v="Beckmann Legoretta"/>
    <s v="Karen Virginia"/>
    <m/>
    <d v="2023-04-04T05:01:00"/>
    <m/>
    <m/>
    <m/>
    <m/>
    <m/>
    <m/>
    <m/>
    <m/>
    <m/>
    <m/>
    <m/>
  </r>
  <r>
    <x v="196"/>
    <x v="196"/>
    <x v="0"/>
    <x v="905"/>
    <x v="18"/>
    <x v="28"/>
    <x v="312"/>
    <x v="403"/>
    <x v="0"/>
    <s v="Italy"/>
    <m/>
    <x v="1"/>
    <s v="U"/>
    <x v="1"/>
    <d v="1937-07-08T00:00:00"/>
    <s v="Benetton"/>
    <s v="Giuliana"/>
    <m/>
    <d v="2023-04-04T05:01:00"/>
    <m/>
    <m/>
    <n v="1937"/>
    <n v="110.62"/>
    <n v="0.6"/>
    <n v="2001244392042"/>
    <n v="61.9"/>
    <n v="101.9"/>
    <n v="24.3"/>
    <n v="59.1"/>
    <n v="60297396"/>
  </r>
  <r>
    <x v="196"/>
    <x v="196"/>
    <x v="0"/>
    <x v="906"/>
    <x v="11"/>
    <x v="28"/>
    <x v="366"/>
    <x v="403"/>
    <x v="0"/>
    <s v="Italy"/>
    <m/>
    <x v="1"/>
    <s v="U"/>
    <x v="0"/>
    <d v="1935-05-13T00:00:00"/>
    <s v="Benetton"/>
    <s v="Luciano"/>
    <m/>
    <d v="2023-04-04T05:01:00"/>
    <m/>
    <m/>
    <n v="1935"/>
    <n v="110.62"/>
    <n v="0.6"/>
    <n v="2001244392042"/>
    <n v="61.9"/>
    <n v="101.9"/>
    <n v="24.3"/>
    <n v="59.1"/>
    <n v="60297396"/>
  </r>
  <r>
    <x v="196"/>
    <x v="196"/>
    <x v="10"/>
    <x v="907"/>
    <x v="26"/>
    <x v="3"/>
    <x v="41"/>
    <x v="50"/>
    <x v="10"/>
    <s v="India"/>
    <m/>
    <x v="0"/>
    <s v="D"/>
    <x v="0"/>
    <d v="1940-11-15T00:00:00"/>
    <s v="Bharat Ram"/>
    <s v="Arun"/>
    <m/>
    <d v="2023-04-04T05:01:00"/>
    <m/>
    <m/>
    <n v="1940"/>
    <n v="180.44"/>
    <n v="7.7"/>
    <n v="2611000000000"/>
    <n v="28.1"/>
    <n v="113"/>
    <n v="11.2"/>
    <n v="49.7"/>
    <n v="1366417754"/>
  </r>
  <r>
    <x v="196"/>
    <x v="196"/>
    <x v="3"/>
    <x v="908"/>
    <x v="36"/>
    <x v="13"/>
    <x v="32"/>
    <x v="404"/>
    <x v="3"/>
    <s v="United States"/>
    <s v="The Yucaipa Companies, LLC"/>
    <x v="1"/>
    <s v="U"/>
    <x v="0"/>
    <d v="1952-11-12T00:00:00"/>
    <s v="Burkle"/>
    <s v="Ron"/>
    <s v="Investor"/>
    <d v="2023-04-04T05:01:00"/>
    <m/>
    <m/>
    <n v="1952"/>
    <n v="119.62"/>
    <n v="1.7"/>
    <n v="2827113184696"/>
    <n v="60"/>
    <n v="101.2"/>
    <n v="25.5"/>
    <n v="30.6"/>
    <n v="66834405"/>
  </r>
  <r>
    <x v="196"/>
    <x v="196"/>
    <x v="10"/>
    <x v="909"/>
    <x v="29"/>
    <x v="5"/>
    <x v="82"/>
    <x v="405"/>
    <x v="10"/>
    <s v="China"/>
    <m/>
    <x v="1"/>
    <s v="D"/>
    <x v="0"/>
    <d v="1958-05-01T00:00:00"/>
    <s v="Chen"/>
    <s v="Kaixuan"/>
    <m/>
    <d v="2023-04-04T05:01:00"/>
    <m/>
    <m/>
    <n v="1958"/>
    <n v="125.08"/>
    <n v="2.9"/>
    <n v="19910000000000"/>
    <n v="50.6"/>
    <n v="100.2"/>
    <n v="9.4"/>
    <n v="59.2"/>
    <n v="1397715000"/>
  </r>
  <r>
    <x v="196"/>
    <x v="196"/>
    <x v="0"/>
    <x v="910"/>
    <x v="9"/>
    <x v="28"/>
    <x v="367"/>
    <x v="406"/>
    <x v="0"/>
    <s v="Italy"/>
    <m/>
    <x v="1"/>
    <s v="U"/>
    <x v="0"/>
    <d v="1953-09-03T00:00:00"/>
    <s v="Cucinelli"/>
    <s v="Brunello"/>
    <m/>
    <d v="2023-04-04T05:01:00"/>
    <m/>
    <m/>
    <n v="1953"/>
    <n v="110.62"/>
    <n v="0.6"/>
    <n v="2001244392042"/>
    <n v="61.9"/>
    <n v="101.9"/>
    <n v="24.3"/>
    <n v="59.1"/>
    <n v="60297396"/>
  </r>
  <r>
    <x v="196"/>
    <x v="196"/>
    <x v="10"/>
    <x v="911"/>
    <x v="30"/>
    <x v="2"/>
    <x v="6"/>
    <x v="50"/>
    <x v="10"/>
    <s v="Mexico"/>
    <m/>
    <x v="1"/>
    <s v="D"/>
    <x v="0"/>
    <d v="1938-08-13T00:00:00"/>
    <s v="Del Valle Ruiz"/>
    <s v="Antonio"/>
    <m/>
    <d v="2023-04-04T05:01:00"/>
    <m/>
    <m/>
    <n v="1938"/>
    <n v="141.54"/>
    <n v="3.6"/>
    <n v="1258286717125"/>
    <n v="40.200000000000003"/>
    <n v="105.8"/>
    <n v="13.1"/>
    <n v="55.1"/>
    <n v="126014024"/>
  </r>
  <r>
    <x v="196"/>
    <x v="196"/>
    <x v="14"/>
    <x v="912"/>
    <x v="20"/>
    <x v="28"/>
    <x v="368"/>
    <x v="233"/>
    <x v="14"/>
    <s v="Italy"/>
    <m/>
    <x v="1"/>
    <s v="Split Family Fortune"/>
    <x v="0"/>
    <d v="1937-03-17T00:00:00"/>
    <s v="Denegri"/>
    <s v="Gustavo"/>
    <m/>
    <d v="2023-04-04T05:01:00"/>
    <m/>
    <m/>
    <n v="1937"/>
    <n v="110.62"/>
    <n v="0.6"/>
    <n v="2001244392042"/>
    <n v="61.9"/>
    <n v="101.9"/>
    <n v="24.3"/>
    <n v="59.1"/>
    <n v="60297396"/>
  </r>
  <r>
    <x v="196"/>
    <x v="196"/>
    <x v="1"/>
    <x v="913"/>
    <x v="52"/>
    <x v="5"/>
    <x v="327"/>
    <x v="407"/>
    <x v="1"/>
    <s v="China"/>
    <m/>
    <x v="1"/>
    <s v="U"/>
    <x v="0"/>
    <m/>
    <s v="Dong"/>
    <s v="Jinggui"/>
    <m/>
    <d v="2023-04-04T05:01:00"/>
    <m/>
    <m/>
    <m/>
    <n v="125.08"/>
    <n v="2.9"/>
    <n v="19910000000000"/>
    <n v="50.6"/>
    <n v="100.2"/>
    <n v="9.4"/>
    <n v="59.2"/>
    <n v="1397715000"/>
  </r>
  <r>
    <x v="196"/>
    <x v="196"/>
    <x v="4"/>
    <x v="914"/>
    <x v="36"/>
    <x v="1"/>
    <x v="97"/>
    <x v="408"/>
    <x v="4"/>
    <s v="United States"/>
    <s v="DISH Network"/>
    <x v="1"/>
    <s v="D"/>
    <x v="0"/>
    <d v="1953-03-01T00:00:00"/>
    <s v="Ergen"/>
    <s v="Charles"/>
    <s v="Founder and Chairman"/>
    <d v="2023-04-04T05:01:00"/>
    <s v="Colorado"/>
    <s v="West"/>
    <n v="1953"/>
    <n v="117.24"/>
    <n v="7.5"/>
    <n v="21427700000000"/>
    <n v="88.2"/>
    <n v="101.8"/>
    <n v="9.6"/>
    <n v="36.6"/>
    <n v="328239523"/>
  </r>
  <r>
    <x v="196"/>
    <x v="196"/>
    <x v="2"/>
    <x v="915"/>
    <x v="32"/>
    <x v="1"/>
    <x v="9"/>
    <x v="409"/>
    <x v="2"/>
    <s v="United States"/>
    <s v="Yahoo!"/>
    <x v="1"/>
    <s v="D"/>
    <x v="0"/>
    <d v="1966-04-15T00:00:00"/>
    <s v="Filo"/>
    <s v="David"/>
    <s v="Chief Yahoo"/>
    <d v="2023-04-04T05:01:00"/>
    <s v="California"/>
    <s v="West"/>
    <n v="1966"/>
    <n v="117.24"/>
    <n v="7.5"/>
    <n v="21427700000000"/>
    <n v="88.2"/>
    <n v="101.8"/>
    <n v="9.6"/>
    <n v="36.6"/>
    <n v="328239523"/>
  </r>
  <r>
    <x v="196"/>
    <x v="196"/>
    <x v="8"/>
    <x v="916"/>
    <x v="18"/>
    <x v="14"/>
    <x v="93"/>
    <x v="410"/>
    <x v="8"/>
    <s v="Australia"/>
    <m/>
    <x v="1"/>
    <s v="U"/>
    <x v="0"/>
    <d v="1937-04-19T00:00:00"/>
    <s v="Fox"/>
    <s v="Lindsay"/>
    <m/>
    <d v="2023-04-04T05:01:00"/>
    <m/>
    <m/>
    <n v="1937"/>
    <n v="119.8"/>
    <n v="1.6"/>
    <n v="1392680589329"/>
    <n v="113.1"/>
    <n v="100.3"/>
    <n v="23"/>
    <n v="47.4"/>
    <n v="25766605"/>
  </r>
  <r>
    <x v="196"/>
    <x v="196"/>
    <x v="0"/>
    <x v="917"/>
    <x v="42"/>
    <x v="17"/>
    <x v="369"/>
    <x v="21"/>
    <x v="0"/>
    <s v="Russia"/>
    <m/>
    <x v="1"/>
    <s v="E"/>
    <x v="0"/>
    <d v="1967-08-14T00:00:00"/>
    <s v="Galitsky"/>
    <s v="Sergei"/>
    <m/>
    <d v="2023-04-04T05:01:00"/>
    <m/>
    <m/>
    <n v="1967"/>
    <n v="180.75"/>
    <n v="4.5"/>
    <n v="1699876578871"/>
    <n v="81.900000000000006"/>
    <n v="102.6"/>
    <n v="11.4"/>
    <n v="46.2"/>
    <n v="144373535"/>
  </r>
  <r>
    <x v="196"/>
    <x v="196"/>
    <x v="2"/>
    <x v="918"/>
    <x v="5"/>
    <x v="3"/>
    <x v="123"/>
    <x v="42"/>
    <x v="2"/>
    <s v="India"/>
    <m/>
    <x v="1"/>
    <s v="D"/>
    <x v="0"/>
    <d v="1955-04-05T00:00:00"/>
    <s v="Gopalakrishnan"/>
    <s v="Senapathy"/>
    <m/>
    <d v="2023-04-04T05:01:00"/>
    <m/>
    <m/>
    <n v="1955"/>
    <n v="180.44"/>
    <n v="7.7"/>
    <n v="2611000000000"/>
    <n v="28.1"/>
    <n v="113"/>
    <n v="11.2"/>
    <n v="49.7"/>
    <n v="1366417754"/>
  </r>
  <r>
    <x v="196"/>
    <x v="196"/>
    <x v="0"/>
    <x v="919"/>
    <x v="15"/>
    <x v="30"/>
    <x v="370"/>
    <x v="411"/>
    <x v="0"/>
    <s v="Brazil"/>
    <m/>
    <x v="1"/>
    <s v="D"/>
    <x v="0"/>
    <d v="1962-10-11T00:00:00"/>
    <s v="Hang"/>
    <s v="Luciano"/>
    <m/>
    <d v="2023-04-04T05:01:00"/>
    <m/>
    <m/>
    <n v="1962"/>
    <n v="167.4"/>
    <n v="3.7"/>
    <n v="1839758040766"/>
    <n v="51.3"/>
    <n v="115.4"/>
    <n v="14.2"/>
    <n v="65.099999999999994"/>
    <n v="212559417"/>
  </r>
  <r>
    <x v="196"/>
    <x v="196"/>
    <x v="3"/>
    <x v="920"/>
    <x v="9"/>
    <x v="13"/>
    <x v="32"/>
    <x v="412"/>
    <x v="3"/>
    <s v="Australia"/>
    <s v="CQS LLP"/>
    <x v="1"/>
    <s v="E"/>
    <x v="0"/>
    <d v="1953-07-27T00:00:00"/>
    <s v="Hintze"/>
    <s v="Michael"/>
    <s v="Founder"/>
    <d v="2023-04-04T05:01:00"/>
    <m/>
    <m/>
    <n v="1953"/>
    <n v="119.62"/>
    <n v="1.7"/>
    <n v="2827113184696"/>
    <n v="60"/>
    <n v="101.2"/>
    <n v="25.5"/>
    <n v="30.6"/>
    <n v="66834405"/>
  </r>
  <r>
    <x v="196"/>
    <x v="196"/>
    <x v="14"/>
    <x v="921"/>
    <x v="15"/>
    <x v="5"/>
    <x v="307"/>
    <x v="83"/>
    <x v="14"/>
    <s v="China"/>
    <m/>
    <x v="1"/>
    <s v="D"/>
    <x v="0"/>
    <d v="1962-10-01T00:00:00"/>
    <s v="Hu"/>
    <s v="Baifan"/>
    <m/>
    <d v="2023-04-04T05:01:00"/>
    <m/>
    <m/>
    <n v="1962"/>
    <n v="125.08"/>
    <n v="2.9"/>
    <n v="19910000000000"/>
    <n v="50.6"/>
    <n v="100.2"/>
    <n v="9.4"/>
    <n v="59.2"/>
    <n v="1397715000"/>
  </r>
  <r>
    <x v="196"/>
    <x v="196"/>
    <x v="3"/>
    <x v="922"/>
    <x v="48"/>
    <x v="1"/>
    <x v="5"/>
    <x v="38"/>
    <x v="3"/>
    <s v="United States"/>
    <m/>
    <x v="1"/>
    <s v="U"/>
    <x v="0"/>
    <d v="1951-08-03T00:00:00"/>
    <s v="James"/>
    <s v="Hamilton"/>
    <m/>
    <d v="2023-04-04T05:01:00"/>
    <s v="New York"/>
    <s v="Northeast"/>
    <n v="1951"/>
    <n v="117.24"/>
    <n v="7.5"/>
    <n v="21427700000000"/>
    <n v="88.2"/>
    <n v="101.8"/>
    <n v="9.6"/>
    <n v="36.6"/>
    <n v="328239523"/>
  </r>
  <r>
    <x v="196"/>
    <x v="196"/>
    <x v="2"/>
    <x v="923"/>
    <x v="33"/>
    <x v="32"/>
    <x v="109"/>
    <x v="153"/>
    <x v="2"/>
    <s v="South Korea"/>
    <m/>
    <x v="0"/>
    <s v="D"/>
    <x v="1"/>
    <d v="1970-10-06T00:00:00"/>
    <s v="Lee"/>
    <s v="Boo-jin"/>
    <m/>
    <d v="2023-04-04T05:01:00"/>
    <m/>
    <m/>
    <n v="1970"/>
    <n v="115.16"/>
    <n v="0.4"/>
    <n v="2029000000000"/>
    <n v="94.3"/>
    <n v="98.1"/>
    <n v="15.6"/>
    <n v="33.200000000000003"/>
    <n v="51709098"/>
  </r>
  <r>
    <x v="196"/>
    <x v="196"/>
    <x v="10"/>
    <x v="924"/>
    <x v="42"/>
    <x v="5"/>
    <x v="371"/>
    <x v="413"/>
    <x v="10"/>
    <s v="China"/>
    <m/>
    <x v="1"/>
    <s v="D"/>
    <x v="0"/>
    <d v="1967-09-01T00:00:00"/>
    <s v="Li"/>
    <s v="Liangbin"/>
    <m/>
    <d v="2023-04-04T05:01:00"/>
    <m/>
    <m/>
    <n v="1967"/>
    <n v="125.08"/>
    <n v="2.9"/>
    <n v="19910000000000"/>
    <n v="50.6"/>
    <n v="100.2"/>
    <n v="9.4"/>
    <n v="59.2"/>
    <n v="1397715000"/>
  </r>
  <r>
    <x v="196"/>
    <x v="196"/>
    <x v="10"/>
    <x v="925"/>
    <x v="23"/>
    <x v="5"/>
    <x v="34"/>
    <x v="108"/>
    <x v="10"/>
    <s v="China"/>
    <m/>
    <x v="1"/>
    <s v="D"/>
    <x v="0"/>
    <d v="1968-11-22T00:00:00"/>
    <s v="Liang"/>
    <s v="Feng"/>
    <m/>
    <d v="2023-04-04T05:01:00"/>
    <m/>
    <m/>
    <n v="1968"/>
    <n v="125.08"/>
    <n v="2.9"/>
    <n v="19910000000000"/>
    <n v="50.6"/>
    <n v="100.2"/>
    <n v="9.4"/>
    <n v="59.2"/>
    <n v="1397715000"/>
  </r>
  <r>
    <x v="196"/>
    <x v="196"/>
    <x v="14"/>
    <x v="926"/>
    <x v="2"/>
    <x v="3"/>
    <x v="17"/>
    <x v="414"/>
    <x v="14"/>
    <s v="India"/>
    <m/>
    <x v="0"/>
    <s v="U"/>
    <x v="0"/>
    <d v="1963-09-18T00:00:00"/>
    <s v="Mehta"/>
    <s v="Samir"/>
    <m/>
    <d v="2023-04-04T05:01:00"/>
    <m/>
    <m/>
    <n v="1963"/>
    <n v="180.44"/>
    <n v="7.7"/>
    <n v="2611000000000"/>
    <n v="28.1"/>
    <n v="113"/>
    <n v="11.2"/>
    <n v="49.7"/>
    <n v="1366417754"/>
  </r>
  <r>
    <x v="196"/>
    <x v="196"/>
    <x v="14"/>
    <x v="927"/>
    <x v="13"/>
    <x v="3"/>
    <x v="17"/>
    <x v="414"/>
    <x v="14"/>
    <s v="India"/>
    <m/>
    <x v="0"/>
    <s v="U"/>
    <x v="0"/>
    <d v="1954-04-10T00:00:00"/>
    <s v="Mehta"/>
    <s v="Sudhir"/>
    <m/>
    <d v="2023-04-04T05:01:00"/>
    <m/>
    <m/>
    <n v="1954"/>
    <n v="180.44"/>
    <n v="7.7"/>
    <n v="2611000000000"/>
    <n v="28.1"/>
    <n v="113"/>
    <n v="11.2"/>
    <n v="49.7"/>
    <n v="1366417754"/>
  </r>
  <r>
    <x v="196"/>
    <x v="196"/>
    <x v="12"/>
    <x v="928"/>
    <x v="38"/>
    <x v="8"/>
    <x v="355"/>
    <x v="415"/>
    <x v="12"/>
    <s v="Greece"/>
    <m/>
    <x v="1"/>
    <s v="D"/>
    <x v="0"/>
    <d v="1961-11-21T00:00:00"/>
    <s v="Mistakidis"/>
    <s v="Aristotelis"/>
    <m/>
    <d v="2023-04-04T05:01:00"/>
    <m/>
    <m/>
    <n v="1961"/>
    <n v="99.55"/>
    <n v="0.4"/>
    <n v="703082435360"/>
    <n v="59.6"/>
    <n v="105.2"/>
    <n v="10.1"/>
    <n v="28.8"/>
    <n v="8574832"/>
  </r>
  <r>
    <x v="196"/>
    <x v="196"/>
    <x v="11"/>
    <x v="929"/>
    <x v="25"/>
    <x v="1"/>
    <x v="125"/>
    <x v="36"/>
    <x v="11"/>
    <s v="United States"/>
    <m/>
    <x v="0"/>
    <s v="N"/>
    <x v="0"/>
    <d v="1950-05-11T00:00:00"/>
    <s v="Palmer"/>
    <s v="Geoffrey"/>
    <m/>
    <d v="2023-04-04T05:01:00"/>
    <s v="California"/>
    <s v="West"/>
    <n v="1950"/>
    <n v="117.24"/>
    <n v="7.5"/>
    <n v="21427700000000"/>
    <n v="88.2"/>
    <n v="101.8"/>
    <n v="9.6"/>
    <n v="36.6"/>
    <n v="328239523"/>
  </r>
  <r>
    <x v="196"/>
    <x v="196"/>
    <x v="1"/>
    <x v="930"/>
    <x v="20"/>
    <x v="1"/>
    <x v="372"/>
    <x v="416"/>
    <x v="1"/>
    <s v="United States"/>
    <m/>
    <x v="1"/>
    <s v="U"/>
    <x v="0"/>
    <d v="1937-02-20T00:00:00"/>
    <s v="Penske"/>
    <s v="Roger"/>
    <m/>
    <d v="2023-04-04T05:01:00"/>
    <s v="Michigan"/>
    <s v="Midwest"/>
    <n v="1937"/>
    <n v="117.24"/>
    <n v="7.5"/>
    <n v="21427700000000"/>
    <n v="88.2"/>
    <n v="101.8"/>
    <n v="9.6"/>
    <n v="36.6"/>
    <n v="328239523"/>
  </r>
  <r>
    <x v="196"/>
    <x v="196"/>
    <x v="16"/>
    <x v="931"/>
    <x v="9"/>
    <x v="16"/>
    <x v="88"/>
    <x v="300"/>
    <x v="16"/>
    <s v="India"/>
    <m/>
    <x v="1"/>
    <s v="U"/>
    <x v="0"/>
    <d v="1953-09-02T00:00:00"/>
    <s v="Pillai"/>
    <s v="Ravi"/>
    <m/>
    <d v="2023-04-04T05:01:00"/>
    <m/>
    <m/>
    <n v="1953"/>
    <n v="114.52"/>
    <n v="-1.9"/>
    <n v="421142267938"/>
    <n v="36.799999999999997"/>
    <n v="108.4"/>
    <n v="0.1"/>
    <n v="15.9"/>
    <n v="9770529"/>
  </r>
  <r>
    <x v="196"/>
    <x v="196"/>
    <x v="3"/>
    <x v="932"/>
    <x v="16"/>
    <x v="1"/>
    <x v="373"/>
    <x v="122"/>
    <x v="3"/>
    <s v="United States"/>
    <s v="Carlyle Group"/>
    <x v="1"/>
    <s v="D"/>
    <x v="0"/>
    <d v="1949-08-11T00:00:00"/>
    <s v="Rubenstein"/>
    <s v="David"/>
    <s v="Cofounder and Co-executive Chairman"/>
    <d v="2023-04-04T05:01:00"/>
    <s v="Maryland"/>
    <s v="South"/>
    <n v="1949"/>
    <n v="117.24"/>
    <n v="7.5"/>
    <n v="21427700000000"/>
    <n v="88.2"/>
    <n v="101.8"/>
    <n v="9.6"/>
    <n v="36.6"/>
    <n v="328239523"/>
  </r>
  <r>
    <x v="196"/>
    <x v="196"/>
    <x v="7"/>
    <x v="933"/>
    <x v="36"/>
    <x v="1"/>
    <x v="184"/>
    <x v="290"/>
    <x v="7"/>
    <s v="United Kingdom"/>
    <m/>
    <x v="1"/>
    <s v="U"/>
    <x v="0"/>
    <d v="1953-01-01T00:00:00"/>
    <s v="Schlosberg"/>
    <s v="Hilton"/>
    <m/>
    <d v="2023-04-04T05:01:00"/>
    <s v="California"/>
    <s v="West"/>
    <n v="1953"/>
    <n v="117.24"/>
    <n v="7.5"/>
    <n v="21427700000000"/>
    <n v="88.2"/>
    <n v="101.8"/>
    <n v="9.6"/>
    <n v="36.6"/>
    <n v="328239523"/>
  </r>
  <r>
    <x v="196"/>
    <x v="196"/>
    <x v="15"/>
    <x v="934"/>
    <x v="48"/>
    <x v="7"/>
    <x v="374"/>
    <x v="417"/>
    <x v="15"/>
    <s v="Germany"/>
    <m/>
    <x v="1"/>
    <s v="U"/>
    <x v="0"/>
    <d v="1951-07-01T00:00:00"/>
    <s v="Schulenberg"/>
    <s v="Klaus-Peter"/>
    <m/>
    <d v="2023-04-04T05:01:00"/>
    <m/>
    <m/>
    <n v="1951"/>
    <n v="112.85"/>
    <n v="1.4"/>
    <n v="3845630030824"/>
    <n v="70.2"/>
    <n v="104"/>
    <n v="11.5"/>
    <n v="48.8"/>
    <n v="83132799"/>
  </r>
  <r>
    <x v="196"/>
    <x v="196"/>
    <x v="13"/>
    <x v="935"/>
    <x v="30"/>
    <x v="1"/>
    <x v="81"/>
    <x v="418"/>
    <x v="13"/>
    <s v="United States"/>
    <m/>
    <x v="0"/>
    <s v="D"/>
    <x v="1"/>
    <d v="1939-01-21T00:00:00"/>
    <s v="Schusterman"/>
    <s v="Lynn"/>
    <m/>
    <d v="2023-04-04T05:01:00"/>
    <s v="Oklahoma"/>
    <s v="South"/>
    <n v="1939"/>
    <n v="117.24"/>
    <n v="7.5"/>
    <n v="21427700000000"/>
    <n v="88.2"/>
    <n v="101.8"/>
    <n v="9.6"/>
    <n v="36.6"/>
    <n v="328239523"/>
  </r>
  <r>
    <x v="196"/>
    <x v="196"/>
    <x v="10"/>
    <x v="936"/>
    <x v="22"/>
    <x v="28"/>
    <x v="375"/>
    <x v="135"/>
    <x v="10"/>
    <s v="Italy"/>
    <m/>
    <x v="0"/>
    <s v="U"/>
    <x v="1"/>
    <d v="1945-12-23T00:00:00"/>
    <s v="Seràgnoli"/>
    <s v="Isabella"/>
    <m/>
    <d v="2023-04-04T05:01:00"/>
    <m/>
    <m/>
    <n v="1945"/>
    <n v="110.62"/>
    <n v="0.6"/>
    <n v="2001244392042"/>
    <n v="61.9"/>
    <n v="101.9"/>
    <n v="24.3"/>
    <n v="59.1"/>
    <n v="60297396"/>
  </r>
  <r>
    <x v="196"/>
    <x v="196"/>
    <x v="0"/>
    <x v="937"/>
    <x v="15"/>
    <x v="5"/>
    <x v="19"/>
    <x v="21"/>
    <x v="0"/>
    <s v="China"/>
    <m/>
    <x v="1"/>
    <s v="D"/>
    <x v="0"/>
    <d v="1962-07-31T00:00:00"/>
    <s v="Shen"/>
    <s v="Guojun"/>
    <m/>
    <d v="2023-04-04T05:01:00"/>
    <m/>
    <m/>
    <n v="1962"/>
    <n v="125.08"/>
    <n v="2.9"/>
    <n v="19910000000000"/>
    <n v="50.6"/>
    <n v="100.2"/>
    <n v="9.4"/>
    <n v="59.2"/>
    <n v="1397715000"/>
  </r>
  <r>
    <x v="196"/>
    <x v="196"/>
    <x v="3"/>
    <x v="938"/>
    <x v="37"/>
    <x v="1"/>
    <x v="376"/>
    <x v="419"/>
    <x v="3"/>
    <s v="United States"/>
    <m/>
    <x v="0"/>
    <s v="U"/>
    <x v="0"/>
    <d v="1957-02-18T00:00:00"/>
    <s v="Stephens"/>
    <s v="Warren"/>
    <m/>
    <d v="2023-04-04T05:01:00"/>
    <s v="Arkansas"/>
    <s v="South"/>
    <n v="1957"/>
    <n v="117.24"/>
    <n v="7.5"/>
    <n v="21427700000000"/>
    <n v="88.2"/>
    <n v="101.8"/>
    <n v="9.6"/>
    <n v="36.6"/>
    <n v="328239523"/>
  </r>
  <r>
    <x v="196"/>
    <x v="196"/>
    <x v="14"/>
    <x v="939"/>
    <x v="37"/>
    <x v="1"/>
    <x v="377"/>
    <x v="191"/>
    <x v="14"/>
    <s v="United States"/>
    <m/>
    <x v="0"/>
    <s v="U"/>
    <x v="1"/>
    <d v="1956-04-06T00:00:00"/>
    <s v="Stryker"/>
    <s v="Pat"/>
    <m/>
    <d v="2023-04-04T05:01:00"/>
    <s v="Colorado"/>
    <s v="West"/>
    <n v="1956"/>
    <n v="117.24"/>
    <n v="7.5"/>
    <n v="21427700000000"/>
    <n v="88.2"/>
    <n v="101.8"/>
    <n v="9.6"/>
    <n v="36.6"/>
    <n v="328239523"/>
  </r>
  <r>
    <x v="196"/>
    <x v="196"/>
    <x v="8"/>
    <x v="940"/>
    <x v="33"/>
    <x v="17"/>
    <x v="48"/>
    <x v="420"/>
    <x v="8"/>
    <s v="Russia"/>
    <m/>
    <x v="1"/>
    <s v="R"/>
    <x v="0"/>
    <d v="1970-09-12T00:00:00"/>
    <s v="Trotsenko"/>
    <s v="Roman"/>
    <m/>
    <d v="2023-04-04T05:01:00"/>
    <m/>
    <m/>
    <n v="1970"/>
    <n v="180.75"/>
    <n v="4.5"/>
    <n v="1699876578871"/>
    <n v="81.900000000000006"/>
    <n v="102.6"/>
    <n v="11.4"/>
    <n v="46.2"/>
    <n v="144373535"/>
  </r>
  <r>
    <x v="196"/>
    <x v="196"/>
    <x v="2"/>
    <x v="941"/>
    <x v="65"/>
    <x v="7"/>
    <x v="135"/>
    <x v="117"/>
    <x v="2"/>
    <s v="Germany"/>
    <m/>
    <x v="0"/>
    <s v="Split Family Fortune"/>
    <x v="0"/>
    <d v="1974-04-25T00:00:00"/>
    <s v="Tschira"/>
    <s v="Harald"/>
    <m/>
    <d v="2023-04-04T05:01:00"/>
    <m/>
    <m/>
    <n v="1974"/>
    <n v="112.85"/>
    <n v="1.4"/>
    <n v="3845630030824"/>
    <n v="70.2"/>
    <n v="104"/>
    <n v="11.5"/>
    <n v="48.8"/>
    <n v="83132799"/>
  </r>
  <r>
    <x v="196"/>
    <x v="196"/>
    <x v="2"/>
    <x v="942"/>
    <x v="52"/>
    <x v="7"/>
    <x v="378"/>
    <x v="117"/>
    <x v="2"/>
    <s v="Germany"/>
    <m/>
    <x v="0"/>
    <s v="Split Family Fortune"/>
    <x v="0"/>
    <d v="1969-09-17T00:00:00"/>
    <s v="Tschira"/>
    <s v="Udo"/>
    <m/>
    <d v="2023-04-04T05:01:00"/>
    <m/>
    <m/>
    <n v="1969"/>
    <n v="112.85"/>
    <n v="1.4"/>
    <n v="3845630030824"/>
    <n v="70.2"/>
    <n v="104"/>
    <n v="11.5"/>
    <n v="48.8"/>
    <n v="83132799"/>
  </r>
  <r>
    <x v="196"/>
    <x v="196"/>
    <x v="3"/>
    <x v="943"/>
    <x v="5"/>
    <x v="1"/>
    <x v="5"/>
    <x v="421"/>
    <x v="3"/>
    <s v="United States"/>
    <m/>
    <x v="1"/>
    <s v="D"/>
    <x v="0"/>
    <d v="1956-02-12T00:00:00"/>
    <s v="Viola"/>
    <s v="Vincent"/>
    <m/>
    <d v="2023-04-04T05:01:00"/>
    <s v="New York"/>
    <s v="Northeast"/>
    <n v="1956"/>
    <n v="117.24"/>
    <n v="7.5"/>
    <n v="21427700000000"/>
    <n v="88.2"/>
    <n v="101.8"/>
    <n v="9.6"/>
    <n v="36.6"/>
    <n v="328239523"/>
  </r>
  <r>
    <x v="196"/>
    <x v="196"/>
    <x v="7"/>
    <x v="944"/>
    <x v="5"/>
    <x v="5"/>
    <x v="379"/>
    <x v="422"/>
    <x v="7"/>
    <s v="China"/>
    <m/>
    <x v="1"/>
    <s v="D"/>
    <x v="0"/>
    <d v="1956-01-01T00:00:00"/>
    <s v="Wu"/>
    <s v="Shaoxun"/>
    <m/>
    <d v="2023-04-04T05:01:00"/>
    <m/>
    <m/>
    <n v="1956"/>
    <n v="125.08"/>
    <n v="2.9"/>
    <n v="19910000000000"/>
    <n v="50.6"/>
    <n v="100.2"/>
    <n v="9.4"/>
    <n v="59.2"/>
    <n v="1397715000"/>
  </r>
  <r>
    <x v="196"/>
    <x v="196"/>
    <x v="9"/>
    <x v="945"/>
    <x v="6"/>
    <x v="1"/>
    <x v="43"/>
    <x v="423"/>
    <x v="9"/>
    <s v="United States"/>
    <s v="Wynn Resorts"/>
    <x v="1"/>
    <s v="D"/>
    <x v="0"/>
    <d v="1942-01-27T00:00:00"/>
    <s v="Wynn"/>
    <s v="Steve"/>
    <s v="Cofounder"/>
    <d v="2023-04-04T05:01:00"/>
    <s v="Florida"/>
    <s v="South"/>
    <n v="1942"/>
    <n v="117.24"/>
    <n v="7.5"/>
    <n v="21427700000000"/>
    <n v="88.2"/>
    <n v="101.8"/>
    <n v="9.6"/>
    <n v="36.6"/>
    <n v="328239523"/>
  </r>
  <r>
    <x v="196"/>
    <x v="196"/>
    <x v="9"/>
    <x v="946"/>
    <x v="8"/>
    <x v="1"/>
    <x v="61"/>
    <x v="281"/>
    <x v="9"/>
    <s v="United States"/>
    <m/>
    <x v="1"/>
    <s v="U"/>
    <x v="0"/>
    <d v="1957-05-10T00:00:00"/>
    <s v="Yarbrough"/>
    <s v="Jon"/>
    <m/>
    <d v="2023-04-04T05:01:00"/>
    <s v="Tennessee"/>
    <s v="South"/>
    <n v="1957"/>
    <n v="117.24"/>
    <n v="7.5"/>
    <n v="21427700000000"/>
    <n v="88.2"/>
    <n v="101.8"/>
    <n v="9.6"/>
    <n v="36.6"/>
    <n v="328239523"/>
  </r>
  <r>
    <x v="196"/>
    <x v="196"/>
    <x v="10"/>
    <x v="947"/>
    <x v="11"/>
    <x v="5"/>
    <x v="128"/>
    <x v="101"/>
    <x v="10"/>
    <s v="China"/>
    <m/>
    <x v="1"/>
    <s v="D"/>
    <x v="0"/>
    <d v="1935-05-01T00:00:00"/>
    <s v="Zhou"/>
    <s v="Bajin"/>
    <m/>
    <d v="2023-04-04T05:01:00"/>
    <m/>
    <m/>
    <n v="1935"/>
    <n v="125.08"/>
    <n v="2.9"/>
    <n v="19910000000000"/>
    <n v="50.6"/>
    <n v="100.2"/>
    <n v="9.4"/>
    <n v="59.2"/>
    <n v="1397715000"/>
  </r>
  <r>
    <x v="197"/>
    <x v="197"/>
    <x v="10"/>
    <x v="948"/>
    <x v="31"/>
    <x v="5"/>
    <x v="380"/>
    <x v="101"/>
    <x v="10"/>
    <s v="Hong Kong"/>
    <m/>
    <x v="1"/>
    <s v="D"/>
    <x v="0"/>
    <d v="1946-05-15T00:00:00"/>
    <s v="Cho"/>
    <s v="Tak Wong"/>
    <m/>
    <d v="2023-04-04T05:01:00"/>
    <m/>
    <m/>
    <n v="1946"/>
    <n v="125.08"/>
    <n v="2.9"/>
    <n v="19910000000000"/>
    <n v="50.6"/>
    <n v="100.2"/>
    <n v="9.4"/>
    <n v="59.2"/>
    <n v="1397715000"/>
  </r>
  <r>
    <x v="197"/>
    <x v="197"/>
    <x v="9"/>
    <x v="949"/>
    <x v="52"/>
    <x v="13"/>
    <x v="175"/>
    <x v="192"/>
    <x v="9"/>
    <s v="United Kingdom"/>
    <m/>
    <x v="1"/>
    <s v="U"/>
    <x v="0"/>
    <d v="1970-01-07T00:00:00"/>
    <s v="Coates"/>
    <s v="John"/>
    <m/>
    <d v="2023-04-04T05:01:00"/>
    <m/>
    <m/>
    <n v="1970"/>
    <n v="119.62"/>
    <n v="1.7"/>
    <n v="2827113184696"/>
    <n v="60"/>
    <n v="101.2"/>
    <n v="25.5"/>
    <n v="30.6"/>
    <n v="66834405"/>
  </r>
  <r>
    <x v="197"/>
    <x v="197"/>
    <x v="3"/>
    <x v="950"/>
    <x v="59"/>
    <x v="1"/>
    <x v="215"/>
    <x v="38"/>
    <x v="3"/>
    <s v="Canada"/>
    <m/>
    <x v="1"/>
    <s v="U"/>
    <x v="0"/>
    <d v="1985-08-04T00:00:00"/>
    <s v="Cohen"/>
    <s v="Ryan"/>
    <m/>
    <d v="2023-04-04T05:01:00"/>
    <s v="Florida"/>
    <s v="South"/>
    <n v="1985"/>
    <n v="117.24"/>
    <n v="7.5"/>
    <n v="21427700000000"/>
    <n v="88.2"/>
    <n v="101.8"/>
    <n v="9.6"/>
    <n v="36.6"/>
    <n v="328239523"/>
  </r>
  <r>
    <x v="197"/>
    <x v="197"/>
    <x v="7"/>
    <x v="951"/>
    <x v="42"/>
    <x v="5"/>
    <x v="90"/>
    <x v="391"/>
    <x v="7"/>
    <s v="China"/>
    <m/>
    <x v="1"/>
    <s v="U"/>
    <x v="0"/>
    <d v="1968-03-01T00:00:00"/>
    <s v="Deng"/>
    <s v="Wen"/>
    <m/>
    <d v="2023-04-04T05:01:00"/>
    <m/>
    <m/>
    <n v="1968"/>
    <n v="125.08"/>
    <n v="2.9"/>
    <n v="19910000000000"/>
    <n v="50.6"/>
    <n v="100.2"/>
    <n v="9.4"/>
    <n v="59.2"/>
    <n v="1397715000"/>
  </r>
  <r>
    <x v="197"/>
    <x v="197"/>
    <x v="10"/>
    <x v="952"/>
    <x v="25"/>
    <x v="3"/>
    <x v="41"/>
    <x v="89"/>
    <x v="10"/>
    <s v="India"/>
    <m/>
    <x v="1"/>
    <s v="D"/>
    <x v="0"/>
    <d v="1950-04-09T00:00:00"/>
    <s v="Dhingra"/>
    <s v="Gurbachan Singh"/>
    <m/>
    <d v="2023-04-04T05:01:00"/>
    <m/>
    <m/>
    <n v="1950"/>
    <n v="180.44"/>
    <n v="7.7"/>
    <n v="2611000000000"/>
    <n v="28.1"/>
    <n v="113"/>
    <n v="11.2"/>
    <n v="49.7"/>
    <n v="1366417754"/>
  </r>
  <r>
    <x v="197"/>
    <x v="197"/>
    <x v="10"/>
    <x v="953"/>
    <x v="43"/>
    <x v="3"/>
    <x v="41"/>
    <x v="89"/>
    <x v="10"/>
    <s v="India"/>
    <m/>
    <x v="1"/>
    <s v="D"/>
    <x v="0"/>
    <d v="1947-09-02T00:00:00"/>
    <s v="Dhingra"/>
    <s v="Kuldip Singh"/>
    <m/>
    <d v="2023-04-04T05:01:00"/>
    <m/>
    <m/>
    <n v="1947"/>
    <n v="180.44"/>
    <n v="7.7"/>
    <n v="2611000000000"/>
    <n v="28.1"/>
    <n v="113"/>
    <n v="11.2"/>
    <n v="49.7"/>
    <n v="1366417754"/>
  </r>
  <r>
    <x v="197"/>
    <x v="197"/>
    <x v="3"/>
    <x v="954"/>
    <x v="22"/>
    <x v="8"/>
    <x v="381"/>
    <x v="38"/>
    <x v="3"/>
    <s v="Switzerland"/>
    <m/>
    <x v="1"/>
    <s v="D"/>
    <x v="0"/>
    <d v="1945-08-01T00:00:00"/>
    <s v="Ebner"/>
    <s v="Martin"/>
    <m/>
    <d v="2023-04-04T05:01:00"/>
    <m/>
    <m/>
    <n v="1945"/>
    <n v="99.55"/>
    <n v="0.4"/>
    <n v="703082435360"/>
    <n v="59.6"/>
    <n v="105.2"/>
    <n v="10.1"/>
    <n v="28.8"/>
    <n v="8574832"/>
  </r>
  <r>
    <x v="197"/>
    <x v="197"/>
    <x v="10"/>
    <x v="955"/>
    <x v="18"/>
    <x v="0"/>
    <x v="0"/>
    <x v="350"/>
    <x v="10"/>
    <s v="France"/>
    <m/>
    <x v="1"/>
    <s v="D"/>
    <x v="0"/>
    <d v="1938-01-03T00:00:00"/>
    <s v="Edelstenne"/>
    <s v="Charles"/>
    <m/>
    <d v="2023-04-04T05:01:00"/>
    <m/>
    <m/>
    <n v="1938"/>
    <n v="110.05"/>
    <n v="1.1000000000000001"/>
    <n v="2715518274227"/>
    <n v="65.599999999999994"/>
    <n v="102.5"/>
    <n v="24.2"/>
    <n v="60.7"/>
    <n v="67059887"/>
  </r>
  <r>
    <x v="197"/>
    <x v="197"/>
    <x v="11"/>
    <x v="956"/>
    <x v="10"/>
    <x v="17"/>
    <x v="48"/>
    <x v="36"/>
    <x v="11"/>
    <s v="Russia"/>
    <m/>
    <x v="1"/>
    <s v="U"/>
    <x v="0"/>
    <d v="1972-11-22T00:00:00"/>
    <s v="Gordeev"/>
    <s v="Sergei"/>
    <m/>
    <d v="2023-04-04T05:01:00"/>
    <m/>
    <m/>
    <n v="1972"/>
    <n v="180.75"/>
    <n v="4.5"/>
    <n v="1699876578871"/>
    <n v="81.900000000000006"/>
    <n v="102.6"/>
    <n v="11.4"/>
    <n v="46.2"/>
    <n v="144373535"/>
  </r>
  <r>
    <x v="197"/>
    <x v="197"/>
    <x v="4"/>
    <x v="957"/>
    <x v="62"/>
    <x v="1"/>
    <x v="382"/>
    <x v="424"/>
    <x v="4"/>
    <s v="United States"/>
    <m/>
    <x v="1"/>
    <s v="D"/>
    <x v="0"/>
    <d v="1977-03-30T00:00:00"/>
    <s v="Green"/>
    <s v="Jeff T."/>
    <m/>
    <d v="2023-04-04T05:01:00"/>
    <s v="California"/>
    <s v="West"/>
    <n v="1977"/>
    <n v="117.24"/>
    <n v="7.5"/>
    <n v="21427700000000"/>
    <n v="88.2"/>
    <n v="101.8"/>
    <n v="9.6"/>
    <n v="36.6"/>
    <n v="328239523"/>
  </r>
  <r>
    <x v="197"/>
    <x v="197"/>
    <x v="2"/>
    <x v="958"/>
    <x v="34"/>
    <x v="1"/>
    <x v="383"/>
    <x v="425"/>
    <x v="2"/>
    <s v="United States"/>
    <s v="Netflix"/>
    <x v="1"/>
    <s v="D"/>
    <x v="0"/>
    <d v="1960-10-08T00:00:00"/>
    <s v="Hastings"/>
    <s v="Reed"/>
    <s v="CEO"/>
    <d v="2023-04-04T05:01:00"/>
    <s v="California"/>
    <s v="West"/>
    <n v="1960"/>
    <n v="117.24"/>
    <n v="7.5"/>
    <n v="21427700000000"/>
    <n v="88.2"/>
    <n v="101.8"/>
    <n v="9.6"/>
    <n v="36.6"/>
    <n v="328239523"/>
  </r>
  <r>
    <x v="197"/>
    <x v="197"/>
    <x v="15"/>
    <x v="959"/>
    <x v="26"/>
    <x v="8"/>
    <x v="226"/>
    <x v="426"/>
    <x v="15"/>
    <s v="Sweden"/>
    <m/>
    <x v="1"/>
    <s v="D"/>
    <x v="0"/>
    <d v="1941-02-10T00:00:00"/>
    <s v="Hult"/>
    <s v="Bertil"/>
    <m/>
    <d v="2023-04-04T05:01:00"/>
    <m/>
    <m/>
    <n v="1941"/>
    <n v="99.55"/>
    <n v="0.4"/>
    <n v="703082435360"/>
    <n v="59.6"/>
    <n v="105.2"/>
    <n v="10.1"/>
    <n v="28.8"/>
    <n v="8574832"/>
  </r>
  <r>
    <x v="197"/>
    <x v="197"/>
    <x v="0"/>
    <x v="960"/>
    <x v="16"/>
    <x v="30"/>
    <x v="384"/>
    <x v="427"/>
    <x v="0"/>
    <s v="Brazil"/>
    <m/>
    <x v="1"/>
    <s v="D"/>
    <x v="0"/>
    <d v="1950-01-09T00:00:00"/>
    <s v="Krigsner"/>
    <s v="Miguel"/>
    <m/>
    <d v="2023-04-04T05:01:00"/>
    <m/>
    <m/>
    <n v="1950"/>
    <n v="167.4"/>
    <n v="3.7"/>
    <n v="1839758040766"/>
    <n v="51.3"/>
    <n v="115.4"/>
    <n v="14.2"/>
    <n v="65.099999999999994"/>
    <n v="212559417"/>
  </r>
  <r>
    <x v="197"/>
    <x v="197"/>
    <x v="10"/>
    <x v="961"/>
    <x v="16"/>
    <x v="25"/>
    <x v="76"/>
    <x v="428"/>
    <x v="10"/>
    <s v="Singapore"/>
    <m/>
    <x v="0"/>
    <s v="D"/>
    <x v="0"/>
    <d v="1950-01-01T00:00:00"/>
    <s v="Kuok"/>
    <s v="Khoon Hong"/>
    <m/>
    <d v="2023-04-04T05:01:00"/>
    <m/>
    <m/>
    <n v="1950"/>
    <n v="114.41"/>
    <n v="0.6"/>
    <n v="372062527489"/>
    <n v="84.8"/>
    <n v="100.6"/>
    <n v="13.1"/>
    <n v="21"/>
    <n v="5703569"/>
  </r>
  <r>
    <x v="197"/>
    <x v="197"/>
    <x v="0"/>
    <x v="962"/>
    <x v="33"/>
    <x v="1"/>
    <x v="5"/>
    <x v="59"/>
    <x v="0"/>
    <s v="United States"/>
    <m/>
    <x v="0"/>
    <s v="D"/>
    <x v="1"/>
    <d v="1970-04-23T00:00:00"/>
    <s v="Lauder"/>
    <s v="Aerin"/>
    <m/>
    <d v="2023-04-04T05:01:00"/>
    <s v="New York"/>
    <s v="Northeast"/>
    <n v="1970"/>
    <n v="117.24"/>
    <n v="7.5"/>
    <n v="21427700000000"/>
    <n v="88.2"/>
    <n v="101.8"/>
    <n v="9.6"/>
    <n v="36.6"/>
    <n v="328239523"/>
  </r>
  <r>
    <x v="197"/>
    <x v="197"/>
    <x v="7"/>
    <x v="963"/>
    <x v="40"/>
    <x v="1"/>
    <x v="385"/>
    <x v="429"/>
    <x v="7"/>
    <s v="United States"/>
    <m/>
    <x v="1"/>
    <s v="U"/>
    <x v="0"/>
    <d v="1932-06-17T00:00:00"/>
    <s v="Lavin"/>
    <s v="Sheldon"/>
    <m/>
    <d v="2023-04-04T05:01:00"/>
    <s v="Illinois"/>
    <m/>
    <n v="1932"/>
    <n v="117.24"/>
    <n v="7.5"/>
    <n v="21427700000000"/>
    <n v="88.2"/>
    <n v="101.8"/>
    <n v="9.6"/>
    <n v="36.6"/>
    <n v="328239523"/>
  </r>
  <r>
    <x v="197"/>
    <x v="197"/>
    <x v="10"/>
    <x v="964"/>
    <x v="48"/>
    <x v="10"/>
    <x v="36"/>
    <x v="349"/>
    <x v="10"/>
    <s v="China"/>
    <m/>
    <x v="1"/>
    <s v="D"/>
    <x v="0"/>
    <d v="1952-01-01T00:00:00"/>
    <s v="Lee"/>
    <s v="Yin Yee"/>
    <m/>
    <d v="2023-04-04T05:01:00"/>
    <m/>
    <m/>
    <n v="1952"/>
    <m/>
    <m/>
    <m/>
    <m/>
    <m/>
    <m/>
    <m/>
    <m/>
  </r>
  <r>
    <x v="197"/>
    <x v="197"/>
    <x v="10"/>
    <x v="965"/>
    <x v="5"/>
    <x v="17"/>
    <x v="229"/>
    <x v="430"/>
    <x v="10"/>
    <s v="Russia"/>
    <m/>
    <x v="1"/>
    <s v="R"/>
    <x v="0"/>
    <d v="1955-08-14T00:00:00"/>
    <s v="Litvinenko"/>
    <s v="Vladimir"/>
    <m/>
    <d v="2023-04-04T05:01:00"/>
    <m/>
    <m/>
    <n v="1955"/>
    <n v="180.75"/>
    <n v="4.5"/>
    <n v="1699876578871"/>
    <n v="81.900000000000006"/>
    <n v="102.6"/>
    <n v="11.4"/>
    <n v="46.2"/>
    <n v="144373535"/>
  </r>
  <r>
    <x v="197"/>
    <x v="197"/>
    <x v="12"/>
    <x v="966"/>
    <x v="2"/>
    <x v="8"/>
    <x v="386"/>
    <x v="415"/>
    <x v="12"/>
    <s v="Spain"/>
    <m/>
    <x v="1"/>
    <s v="D"/>
    <x v="0"/>
    <d v="1963-06-02T00:00:00"/>
    <s v="Mate"/>
    <s v="Daniel"/>
    <m/>
    <d v="2023-04-04T05:01:00"/>
    <m/>
    <m/>
    <n v="1963"/>
    <n v="99.55"/>
    <n v="0.4"/>
    <n v="703082435360"/>
    <n v="59.6"/>
    <n v="105.2"/>
    <n v="10.1"/>
    <n v="28.8"/>
    <n v="8574832"/>
  </r>
  <r>
    <x v="197"/>
    <x v="197"/>
    <x v="0"/>
    <x v="967"/>
    <x v="62"/>
    <x v="3"/>
    <x v="161"/>
    <x v="431"/>
    <x v="0"/>
    <s v="India"/>
    <m/>
    <x v="1"/>
    <s v="U"/>
    <x v="0"/>
    <d v="1977-03-13T00:00:00"/>
    <s v="Modi"/>
    <s v="Ravi"/>
    <m/>
    <d v="2023-04-04T05:01:00"/>
    <m/>
    <m/>
    <n v="1977"/>
    <n v="180.44"/>
    <n v="7.7"/>
    <n v="2611000000000"/>
    <n v="28.1"/>
    <n v="113"/>
    <n v="11.2"/>
    <n v="49.7"/>
    <n v="1366417754"/>
  </r>
  <r>
    <x v="197"/>
    <x v="197"/>
    <x v="6"/>
    <x v="968"/>
    <x v="5"/>
    <x v="19"/>
    <x v="192"/>
    <x v="8"/>
    <x v="6"/>
    <s v="United Kingdom"/>
    <m/>
    <x v="1"/>
    <s v="U"/>
    <x v="0"/>
    <d v="1955-05-18T00:00:00"/>
    <s v="Moshiri"/>
    <s v="Farhad"/>
    <m/>
    <d v="2023-04-04T05:01:00"/>
    <m/>
    <m/>
    <n v="1955"/>
    <m/>
    <m/>
    <n v="7184844193"/>
    <m/>
    <m/>
    <m/>
    <m/>
    <n v="38964"/>
  </r>
  <r>
    <x v="197"/>
    <x v="197"/>
    <x v="3"/>
    <x v="969"/>
    <x v="37"/>
    <x v="1"/>
    <x v="387"/>
    <x v="122"/>
    <x v="3"/>
    <s v="United States"/>
    <s v="Providence Equity Partners"/>
    <x v="1"/>
    <s v="U"/>
    <x v="0"/>
    <d v="1956-05-18T00:00:00"/>
    <s v="Nelson"/>
    <s v="Jonathan"/>
    <s v="Executive Chairman "/>
    <d v="2023-04-04T05:01:00"/>
    <s v="Rhode Island"/>
    <s v="Northeast"/>
    <n v="1956"/>
    <n v="117.24"/>
    <n v="7.5"/>
    <n v="21427700000000"/>
    <n v="88.2"/>
    <n v="101.8"/>
    <n v="9.6"/>
    <n v="36.6"/>
    <n v="328239523"/>
  </r>
  <r>
    <x v="197"/>
    <x v="197"/>
    <x v="11"/>
    <x v="970"/>
    <x v="48"/>
    <x v="10"/>
    <x v="36"/>
    <x v="36"/>
    <x v="11"/>
    <s v="Hong Kong"/>
    <m/>
    <x v="1"/>
    <s v="D"/>
    <x v="0"/>
    <d v="1951-06-01T00:00:00"/>
    <s v="Or"/>
    <s v="Wai Sheun"/>
    <m/>
    <d v="2023-04-04T05:01:00"/>
    <m/>
    <m/>
    <n v="1951"/>
    <m/>
    <m/>
    <m/>
    <m/>
    <m/>
    <m/>
    <m/>
    <m/>
  </r>
  <r>
    <x v="197"/>
    <x v="197"/>
    <x v="11"/>
    <x v="971"/>
    <x v="2"/>
    <x v="1"/>
    <x v="5"/>
    <x v="36"/>
    <x v="11"/>
    <s v="Germany"/>
    <m/>
    <x v="0"/>
    <s v="D"/>
    <x v="1"/>
    <d v="1964-01-01T00:00:00"/>
    <s v="Otto-Bernstein"/>
    <s v="Katharina"/>
    <m/>
    <d v="2023-04-04T05:01:00"/>
    <s v="New York"/>
    <s v="Northeast"/>
    <n v="1964"/>
    <n v="117.24"/>
    <n v="7.5"/>
    <n v="21427700000000"/>
    <n v="88.2"/>
    <n v="101.8"/>
    <n v="9.6"/>
    <n v="36.6"/>
    <n v="328239523"/>
  </r>
  <r>
    <x v="197"/>
    <x v="197"/>
    <x v="3"/>
    <x v="972"/>
    <x v="1"/>
    <x v="8"/>
    <x v="25"/>
    <x v="75"/>
    <x v="3"/>
    <s v="Russia"/>
    <m/>
    <x v="1"/>
    <s v="E"/>
    <x v="0"/>
    <d v="1971-08-12T00:00:00"/>
    <s v="Popov"/>
    <s v="Sergei"/>
    <m/>
    <d v="2023-04-04T05:01:00"/>
    <m/>
    <m/>
    <n v="1971"/>
    <n v="99.55"/>
    <n v="0.4"/>
    <n v="703082435360"/>
    <n v="59.6"/>
    <n v="105.2"/>
    <n v="10.1"/>
    <n v="28.8"/>
    <n v="8574832"/>
  </r>
  <r>
    <x v="197"/>
    <x v="197"/>
    <x v="3"/>
    <x v="973"/>
    <x v="53"/>
    <x v="1"/>
    <x v="54"/>
    <x v="231"/>
    <x v="3"/>
    <s v="United States"/>
    <s v="Inspired Capital"/>
    <x v="0"/>
    <s v="D"/>
    <x v="1"/>
    <d v="1959-05-02T00:00:00"/>
    <s v="Pritzker"/>
    <s v="Penny"/>
    <s v="Cofounder"/>
    <d v="2023-04-04T05:01:00"/>
    <s v="Illinois"/>
    <s v="Midwest"/>
    <n v="1959"/>
    <n v="117.24"/>
    <n v="7.5"/>
    <n v="21427700000000"/>
    <n v="88.2"/>
    <n v="101.8"/>
    <n v="9.6"/>
    <n v="36.6"/>
    <n v="328239523"/>
  </r>
  <r>
    <x v="197"/>
    <x v="197"/>
    <x v="6"/>
    <x v="974"/>
    <x v="55"/>
    <x v="15"/>
    <x v="42"/>
    <x v="8"/>
    <x v="6"/>
    <s v="Indonesia"/>
    <m/>
    <x v="0"/>
    <s v="D"/>
    <x v="0"/>
    <d v="1943-12-15T00:00:00"/>
    <s v="Rachmat"/>
    <s v="Theodore"/>
    <m/>
    <d v="2023-04-04T05:01:00"/>
    <m/>
    <m/>
    <n v="1943"/>
    <n v="151.18"/>
    <n v="3"/>
    <n v="1119190780753"/>
    <n v="36.299999999999997"/>
    <n v="106.4"/>
    <n v="10.199999999999999"/>
    <n v="30.1"/>
    <n v="270203917"/>
  </r>
  <r>
    <x v="197"/>
    <x v="197"/>
    <x v="0"/>
    <x v="975"/>
    <x v="5"/>
    <x v="28"/>
    <x v="388"/>
    <x v="406"/>
    <x v="0"/>
    <s v="Italy"/>
    <m/>
    <x v="1"/>
    <s v="D"/>
    <x v="0"/>
    <d v="1955-09-15T00:00:00"/>
    <s v="Rosso"/>
    <s v="Renzo"/>
    <m/>
    <d v="2023-04-04T05:01:00"/>
    <m/>
    <m/>
    <n v="1955"/>
    <n v="110.62"/>
    <n v="0.6"/>
    <n v="2001244392042"/>
    <n v="61.9"/>
    <n v="101.9"/>
    <n v="24.3"/>
    <n v="59.1"/>
    <n v="60297396"/>
  </r>
  <r>
    <x v="197"/>
    <x v="197"/>
    <x v="4"/>
    <x v="976"/>
    <x v="35"/>
    <x v="7"/>
    <x v="389"/>
    <x v="317"/>
    <x v="4"/>
    <s v="Germany"/>
    <m/>
    <x v="0"/>
    <s v="D"/>
    <x v="1"/>
    <d v="1942-08-15T00:00:00"/>
    <s v="Springer"/>
    <s v="Friede"/>
    <m/>
    <d v="2023-04-04T05:01:00"/>
    <m/>
    <m/>
    <n v="1942"/>
    <n v="112.85"/>
    <n v="1.4"/>
    <n v="3845630030824"/>
    <n v="70.2"/>
    <n v="104"/>
    <n v="11.5"/>
    <n v="48.8"/>
    <n v="83132799"/>
  </r>
  <r>
    <x v="197"/>
    <x v="197"/>
    <x v="11"/>
    <x v="977"/>
    <x v="0"/>
    <x v="10"/>
    <x v="36"/>
    <x v="36"/>
    <x v="11"/>
    <s v="Hong Kong"/>
    <m/>
    <x v="1"/>
    <s v="D"/>
    <x v="1"/>
    <d v="1948-06-29T00:00:00"/>
    <s v="Tong Liu"/>
    <s v="Rita"/>
    <m/>
    <d v="2023-04-04T05:01:00"/>
    <m/>
    <m/>
    <n v="1948"/>
    <m/>
    <m/>
    <m/>
    <m/>
    <m/>
    <m/>
    <m/>
    <m/>
  </r>
  <r>
    <x v="197"/>
    <x v="197"/>
    <x v="3"/>
    <x v="978"/>
    <x v="66"/>
    <x v="51"/>
    <x v="262"/>
    <x v="432"/>
    <x v="3"/>
    <s v="Kazakhstan"/>
    <m/>
    <x v="1"/>
    <s v="U"/>
    <x v="0"/>
    <d v="1987-11-13T00:00:00"/>
    <s v="Turlov"/>
    <s v="Timur"/>
    <m/>
    <d v="2023-04-04T05:01:00"/>
    <m/>
    <m/>
    <n v="1987"/>
    <n v="182.75"/>
    <n v="5.2"/>
    <n v="180161741180"/>
    <n v="61.7"/>
    <n v="104.4"/>
    <n v="11.7"/>
    <n v="28.4"/>
    <n v="18513930"/>
  </r>
  <r>
    <x v="197"/>
    <x v="197"/>
    <x v="0"/>
    <x v="979"/>
    <x v="0"/>
    <x v="1"/>
    <x v="390"/>
    <x v="433"/>
    <x v="0"/>
    <s v="United States"/>
    <m/>
    <x v="1"/>
    <s v="U"/>
    <x v="0"/>
    <d v="1948-08-14T00:00:00"/>
    <s v="VanderSloot"/>
    <s v="Frank"/>
    <m/>
    <d v="2023-04-04T05:01:00"/>
    <s v="Idaho"/>
    <s v="West"/>
    <n v="1948"/>
    <n v="117.24"/>
    <n v="7.5"/>
    <n v="21427700000000"/>
    <n v="88.2"/>
    <n v="101.8"/>
    <n v="9.6"/>
    <n v="36.6"/>
    <n v="328239523"/>
  </r>
  <r>
    <x v="197"/>
    <x v="197"/>
    <x v="4"/>
    <x v="980"/>
    <x v="52"/>
    <x v="32"/>
    <x v="391"/>
    <x v="41"/>
    <x v="4"/>
    <s v="South Korea"/>
    <m/>
    <x v="1"/>
    <s v="U"/>
    <x v="1"/>
    <d v="1969-04-16T00:00:00"/>
    <s v="Yoo"/>
    <s v="Jung-hyun"/>
    <m/>
    <d v="2023-04-04T05:01:00"/>
    <m/>
    <m/>
    <n v="1969"/>
    <n v="115.16"/>
    <n v="0.4"/>
    <n v="2029000000000"/>
    <n v="94.3"/>
    <n v="98.1"/>
    <n v="15.6"/>
    <n v="33.200000000000003"/>
    <n v="51709098"/>
  </r>
  <r>
    <x v="198"/>
    <x v="198"/>
    <x v="6"/>
    <x v="981"/>
    <x v="44"/>
    <x v="16"/>
    <x v="88"/>
    <x v="8"/>
    <x v="6"/>
    <s v="United Arab Emirates"/>
    <m/>
    <x v="0"/>
    <s v="U"/>
    <x v="0"/>
    <m/>
    <s v="Al Ghurair"/>
    <s v="Abdulla bin Ahmad"/>
    <s v="Athlete"/>
    <d v="2023-04-04T05:01:00"/>
    <m/>
    <m/>
    <m/>
    <n v="114.52"/>
    <n v="-1.9"/>
    <n v="421142267938"/>
    <n v="36.799999999999997"/>
    <n v="108.4"/>
    <n v="0.1"/>
    <n v="15.9"/>
    <n v="9770529"/>
  </r>
  <r>
    <x v="198"/>
    <x v="198"/>
    <x v="6"/>
    <x v="982"/>
    <x v="21"/>
    <x v="47"/>
    <x v="228"/>
    <x v="8"/>
    <x v="6"/>
    <s v="Turkey"/>
    <m/>
    <x v="0"/>
    <s v="U"/>
    <x v="1"/>
    <d v="1928-09-08T00:00:00"/>
    <s v="Arsel"/>
    <s v="Semahat Sevim"/>
    <m/>
    <d v="2023-04-04T05:01:00"/>
    <m/>
    <m/>
    <n v="1928"/>
    <n v="234.44"/>
    <n v="15.2"/>
    <n v="754411708203"/>
    <n v="23.9"/>
    <n v="93.2"/>
    <n v="17.899999999999999"/>
    <n v="42.3"/>
    <n v="83429615"/>
  </r>
  <r>
    <x v="198"/>
    <x v="198"/>
    <x v="11"/>
    <x v="983"/>
    <x v="38"/>
    <x v="1"/>
    <x v="125"/>
    <x v="173"/>
    <x v="11"/>
    <s v="United States"/>
    <m/>
    <x v="0"/>
    <s v="U"/>
    <x v="0"/>
    <d v="1961-08-10T00:00:00"/>
    <s v="Berggruen"/>
    <s v="Nicolas"/>
    <m/>
    <d v="2023-04-04T05:01:00"/>
    <s v="California"/>
    <s v="West"/>
    <n v="1961"/>
    <n v="117.24"/>
    <n v="7.5"/>
    <n v="21427700000000"/>
    <n v="88.2"/>
    <n v="101.8"/>
    <n v="9.6"/>
    <n v="36.6"/>
    <n v="328239523"/>
  </r>
  <r>
    <x v="198"/>
    <x v="198"/>
    <x v="13"/>
    <x v="984"/>
    <x v="18"/>
    <x v="1"/>
    <x v="392"/>
    <x v="69"/>
    <x v="13"/>
    <s v="United States"/>
    <m/>
    <x v="1"/>
    <s v="U"/>
    <x v="0"/>
    <d v="1937-10-06T00:00:00"/>
    <s v="Bishop"/>
    <s v="George"/>
    <m/>
    <d v="2023-04-04T05:01:00"/>
    <s v="Texas"/>
    <s v="South"/>
    <n v="1937"/>
    <n v="117.24"/>
    <n v="7.5"/>
    <n v="21427700000000"/>
    <n v="88.2"/>
    <n v="101.8"/>
    <n v="9.6"/>
    <n v="36.6"/>
    <n v="328239523"/>
  </r>
  <r>
    <x v="198"/>
    <x v="198"/>
    <x v="1"/>
    <x v="985"/>
    <x v="40"/>
    <x v="1"/>
    <x v="28"/>
    <x v="434"/>
    <x v="1"/>
    <s v="United States"/>
    <m/>
    <x v="1"/>
    <s v="U"/>
    <x v="0"/>
    <d v="1932-08-22T00:00:00"/>
    <s v="Braman"/>
    <s v="Norman"/>
    <m/>
    <d v="2023-04-04T05:01:00"/>
    <s v="Florida"/>
    <s v="South"/>
    <n v="1932"/>
    <n v="117.24"/>
    <n v="7.5"/>
    <n v="21427700000000"/>
    <n v="88.2"/>
    <n v="101.8"/>
    <n v="9.6"/>
    <n v="36.6"/>
    <n v="328239523"/>
  </r>
  <r>
    <x v="198"/>
    <x v="198"/>
    <x v="2"/>
    <x v="986"/>
    <x v="37"/>
    <x v="8"/>
    <x v="71"/>
    <x v="259"/>
    <x v="2"/>
    <s v="Switzerland"/>
    <m/>
    <x v="0"/>
    <s v="E"/>
    <x v="1"/>
    <d v="1957-01-01T00:00:00"/>
    <s v="Bucher-Haefner"/>
    <s v="Eva Maria"/>
    <m/>
    <d v="2023-04-04T05:01:00"/>
    <m/>
    <m/>
    <n v="1957"/>
    <n v="99.55"/>
    <n v="0.4"/>
    <n v="703082435360"/>
    <n v="59.6"/>
    <n v="105.2"/>
    <n v="10.1"/>
    <n v="28.8"/>
    <n v="8574832"/>
  </r>
  <r>
    <x v="198"/>
    <x v="198"/>
    <x v="14"/>
    <x v="987"/>
    <x v="36"/>
    <x v="5"/>
    <x v="393"/>
    <x v="83"/>
    <x v="14"/>
    <s v="China"/>
    <m/>
    <x v="1"/>
    <s v="D"/>
    <x v="0"/>
    <d v="1953-02-01T00:00:00"/>
    <s v="Cai"/>
    <s v="Dongchen"/>
    <m/>
    <d v="2023-04-04T05:01:00"/>
    <m/>
    <m/>
    <n v="1953"/>
    <n v="125.08"/>
    <n v="2.9"/>
    <n v="19910000000000"/>
    <n v="50.6"/>
    <n v="100.2"/>
    <n v="9.4"/>
    <n v="59.2"/>
    <n v="1397715000"/>
  </r>
  <r>
    <x v="198"/>
    <x v="198"/>
    <x v="7"/>
    <x v="988"/>
    <x v="35"/>
    <x v="0"/>
    <x v="0"/>
    <x v="318"/>
    <x v="7"/>
    <s v="France"/>
    <m/>
    <x v="0"/>
    <s v="U"/>
    <x v="0"/>
    <d v="1943-01-01T00:00:00"/>
    <s v="Cayard"/>
    <s v="Jean-Pierre"/>
    <m/>
    <d v="2023-04-04T05:01:00"/>
    <m/>
    <m/>
    <n v="1943"/>
    <n v="110.05"/>
    <n v="1.1000000000000001"/>
    <n v="2715518274227"/>
    <n v="65.599999999999994"/>
    <n v="102.5"/>
    <n v="24.2"/>
    <n v="60.7"/>
    <n v="67059887"/>
  </r>
  <r>
    <x v="198"/>
    <x v="198"/>
    <x v="11"/>
    <x v="989"/>
    <x v="44"/>
    <x v="10"/>
    <x v="36"/>
    <x v="36"/>
    <x v="11"/>
    <s v="Hong Kong"/>
    <m/>
    <x v="0"/>
    <s v="D"/>
    <x v="1"/>
    <m/>
    <s v="Chan"/>
    <s v="Tan Ching-fen"/>
    <m/>
    <d v="2023-04-04T05:01:00"/>
    <m/>
    <m/>
    <m/>
    <m/>
    <m/>
    <m/>
    <m/>
    <m/>
    <m/>
    <m/>
    <m/>
  </r>
  <r>
    <x v="198"/>
    <x v="198"/>
    <x v="0"/>
    <x v="990"/>
    <x v="15"/>
    <x v="1"/>
    <x v="394"/>
    <x v="435"/>
    <x v="0"/>
    <s v="United States"/>
    <m/>
    <x v="1"/>
    <s v="E"/>
    <x v="0"/>
    <d v="1962-10-08T00:00:00"/>
    <s v="Christopher"/>
    <s v="Todd"/>
    <m/>
    <d v="2023-04-04T05:01:00"/>
    <s v="Florida"/>
    <s v="South"/>
    <n v="1962"/>
    <n v="117.24"/>
    <n v="7.5"/>
    <n v="21427700000000"/>
    <n v="88.2"/>
    <n v="101.8"/>
    <n v="9.6"/>
    <n v="36.6"/>
    <n v="328239523"/>
  </r>
  <r>
    <x v="198"/>
    <x v="198"/>
    <x v="11"/>
    <x v="991"/>
    <x v="53"/>
    <x v="5"/>
    <x v="82"/>
    <x v="36"/>
    <x v="11"/>
    <s v="China"/>
    <m/>
    <x v="1"/>
    <s v="D"/>
    <x v="0"/>
    <d v="1960-01-01T00:00:00"/>
    <s v="Chu"/>
    <s v="Mang Yee"/>
    <m/>
    <d v="2023-04-04T05:01:00"/>
    <m/>
    <m/>
    <n v="1960"/>
    <n v="125.08"/>
    <n v="2.9"/>
    <n v="19910000000000"/>
    <n v="50.6"/>
    <n v="100.2"/>
    <n v="9.4"/>
    <n v="59.2"/>
    <n v="1397715000"/>
  </r>
  <r>
    <x v="198"/>
    <x v="198"/>
    <x v="3"/>
    <x v="992"/>
    <x v="16"/>
    <x v="1"/>
    <x v="395"/>
    <x v="122"/>
    <x v="3"/>
    <s v="United States"/>
    <s v="Carlyle Group"/>
    <x v="1"/>
    <s v="D"/>
    <x v="0"/>
    <d v="1949-08-27T00:00:00"/>
    <s v="Conway"/>
    <s v="William"/>
    <s v="Co-Chief Executive Officer and Co-founder"/>
    <d v="2023-04-04T05:01:00"/>
    <s v="Virginia"/>
    <s v="South"/>
    <n v="1949"/>
    <n v="117.24"/>
    <n v="7.5"/>
    <n v="21427700000000"/>
    <n v="88.2"/>
    <n v="101.8"/>
    <n v="9.6"/>
    <n v="36.6"/>
    <n v="328239523"/>
  </r>
  <r>
    <x v="198"/>
    <x v="198"/>
    <x v="0"/>
    <x v="993"/>
    <x v="28"/>
    <x v="6"/>
    <x v="202"/>
    <x v="146"/>
    <x v="0"/>
    <s v="Canada"/>
    <s v="Jean Coutu Group (PJC) Inc. (Cl A)"/>
    <x v="1"/>
    <s v="D"/>
    <x v="0"/>
    <d v="1927-05-29T00:00:00"/>
    <s v="Coutu"/>
    <s v="Jean"/>
    <s v="Chairman"/>
    <d v="2023-04-04T05:01:00"/>
    <m/>
    <m/>
    <n v="1927"/>
    <n v="116.76"/>
    <n v="1.9"/>
    <n v="1736425629520"/>
    <n v="68.900000000000006"/>
    <n v="100.9"/>
    <n v="12.8"/>
    <n v="24.5"/>
    <n v="36991981"/>
  </r>
  <r>
    <x v="198"/>
    <x v="198"/>
    <x v="1"/>
    <x v="994"/>
    <x v="3"/>
    <x v="22"/>
    <x v="25"/>
    <x v="367"/>
    <x v="1"/>
    <s v="Belgium"/>
    <m/>
    <x v="0"/>
    <s v="N"/>
    <x v="1"/>
    <d v="1944-07-05T00:00:00"/>
    <s v="D'Ieteren"/>
    <s v="Catheline Perier"/>
    <m/>
    <d v="2023-04-04T05:01:00"/>
    <m/>
    <m/>
    <n v="1944"/>
    <m/>
    <m/>
    <m/>
    <m/>
    <m/>
    <m/>
    <m/>
    <m/>
  </r>
  <r>
    <x v="198"/>
    <x v="198"/>
    <x v="11"/>
    <x v="995"/>
    <x v="31"/>
    <x v="1"/>
    <x v="396"/>
    <x v="436"/>
    <x v="11"/>
    <s v="United States"/>
    <m/>
    <x v="0"/>
    <s v="U"/>
    <x v="0"/>
    <d v="1946-11-06T00:00:00"/>
    <s v="DeBartolo"/>
    <s v="Edward"/>
    <m/>
    <d v="2023-04-04T05:01:00"/>
    <s v="Florida"/>
    <s v="South"/>
    <n v="1946"/>
    <n v="117.24"/>
    <n v="7.5"/>
    <n v="21427700000000"/>
    <n v="88.2"/>
    <n v="101.8"/>
    <n v="9.6"/>
    <n v="36.6"/>
    <n v="328239523"/>
  </r>
  <r>
    <x v="198"/>
    <x v="198"/>
    <x v="3"/>
    <x v="996"/>
    <x v="41"/>
    <x v="1"/>
    <x v="397"/>
    <x v="122"/>
    <x v="3"/>
    <s v="United States"/>
    <m/>
    <x v="1"/>
    <s v="N"/>
    <x v="0"/>
    <d v="1965-11-04T00:00:00"/>
    <s v="Deckoff"/>
    <s v="Stephen"/>
    <m/>
    <d v="2023-04-04T05:01:00"/>
    <s v="U.S. Virgin Islands"/>
    <s v="U.S. Territories"/>
    <n v="1965"/>
    <n v="117.24"/>
    <n v="7.5"/>
    <n v="21427700000000"/>
    <n v="88.2"/>
    <n v="101.8"/>
    <n v="9.6"/>
    <n v="36.6"/>
    <n v="328239523"/>
  </r>
  <r>
    <x v="198"/>
    <x v="198"/>
    <x v="12"/>
    <x v="997"/>
    <x v="34"/>
    <x v="5"/>
    <x v="398"/>
    <x v="437"/>
    <x v="12"/>
    <s v="China"/>
    <m/>
    <x v="1"/>
    <s v="U"/>
    <x v="0"/>
    <d v="1960-10-01T00:00:00"/>
    <s v="Feng"/>
    <s v="Hailiang"/>
    <m/>
    <d v="2023-04-04T05:01:00"/>
    <m/>
    <m/>
    <n v="1960"/>
    <n v="125.08"/>
    <n v="2.9"/>
    <n v="19910000000000"/>
    <n v="50.6"/>
    <n v="100.2"/>
    <n v="9.4"/>
    <n v="59.2"/>
    <n v="1397715000"/>
  </r>
  <r>
    <x v="198"/>
    <x v="198"/>
    <x v="1"/>
    <x v="998"/>
    <x v="8"/>
    <x v="1"/>
    <x v="399"/>
    <x v="438"/>
    <x v="1"/>
    <s v="United States"/>
    <m/>
    <x v="1"/>
    <s v="D"/>
    <x v="0"/>
    <d v="1957-05-21T00:00:00"/>
    <s v="Garcia"/>
    <s v="Ernest"/>
    <m/>
    <d v="2023-04-04T05:01:00"/>
    <s v="Arizona"/>
    <s v="West"/>
    <n v="1957"/>
    <n v="117.24"/>
    <n v="7.5"/>
    <n v="21427700000000"/>
    <n v="88.2"/>
    <n v="101.8"/>
    <n v="9.6"/>
    <n v="36.6"/>
    <n v="328239523"/>
  </r>
  <r>
    <x v="198"/>
    <x v="198"/>
    <x v="7"/>
    <x v="999"/>
    <x v="31"/>
    <x v="25"/>
    <x v="76"/>
    <x v="250"/>
    <x v="7"/>
    <s v="Singapore"/>
    <m/>
    <x v="1"/>
    <s v="U"/>
    <x v="0"/>
    <d v="1946-12-28T00:00:00"/>
    <s v="Goi"/>
    <s v="Sam"/>
    <m/>
    <d v="2023-04-04T05:01:00"/>
    <m/>
    <m/>
    <n v="1946"/>
    <n v="114.41"/>
    <n v="0.6"/>
    <n v="372062527489"/>
    <n v="84.8"/>
    <n v="100.6"/>
    <n v="13.1"/>
    <n v="21"/>
    <n v="5703569"/>
  </r>
  <r>
    <x v="198"/>
    <x v="198"/>
    <x v="6"/>
    <x v="1000"/>
    <x v="43"/>
    <x v="2"/>
    <x v="6"/>
    <x v="75"/>
    <x v="6"/>
    <s v="Mexico"/>
    <m/>
    <x v="0"/>
    <s v="U"/>
    <x v="0"/>
    <d v="1947-12-10T00:00:00"/>
    <s v="Hank Rhon"/>
    <s v="Carlos"/>
    <m/>
    <d v="2023-04-04T05:01:00"/>
    <m/>
    <m/>
    <n v="1947"/>
    <n v="141.54"/>
    <n v="3.6"/>
    <n v="1258286717125"/>
    <n v="40.200000000000003"/>
    <n v="105.8"/>
    <n v="13.1"/>
    <n v="55.1"/>
    <n v="126014024"/>
  </r>
  <r>
    <x v="198"/>
    <x v="198"/>
    <x v="10"/>
    <x v="1001"/>
    <x v="37"/>
    <x v="28"/>
    <x v="95"/>
    <x v="394"/>
    <x v="10"/>
    <s v="Italy"/>
    <m/>
    <x v="0"/>
    <s v="D"/>
    <x v="1"/>
    <d v="1956-05-27T00:00:00"/>
    <s v="Holland"/>
    <s v="Susan Carol"/>
    <m/>
    <d v="2023-04-04T05:01:00"/>
    <m/>
    <m/>
    <n v="1956"/>
    <n v="110.62"/>
    <n v="0.6"/>
    <n v="2001244392042"/>
    <n v="61.9"/>
    <n v="101.9"/>
    <n v="24.3"/>
    <n v="59.1"/>
    <n v="60297396"/>
  </r>
  <r>
    <x v="198"/>
    <x v="198"/>
    <x v="11"/>
    <x v="1002"/>
    <x v="29"/>
    <x v="5"/>
    <x v="26"/>
    <x v="36"/>
    <x v="11"/>
    <s v="China"/>
    <m/>
    <x v="1"/>
    <s v="D"/>
    <x v="0"/>
    <d v="1958-10-01T00:00:00"/>
    <s v="Hui"/>
    <s v="Ka Yan"/>
    <m/>
    <d v="2023-04-04T05:01:00"/>
    <m/>
    <m/>
    <n v="1958"/>
    <n v="125.08"/>
    <n v="2.9"/>
    <n v="19910000000000"/>
    <n v="50.6"/>
    <n v="100.2"/>
    <n v="9.4"/>
    <n v="59.2"/>
    <n v="1397715000"/>
  </r>
  <r>
    <x v="198"/>
    <x v="198"/>
    <x v="10"/>
    <x v="1003"/>
    <x v="5"/>
    <x v="3"/>
    <x v="41"/>
    <x v="50"/>
    <x v="10"/>
    <s v="India"/>
    <m/>
    <x v="0"/>
    <s v="U"/>
    <x v="0"/>
    <d v="1955-08-30T00:00:00"/>
    <s v="Jain"/>
    <s v="Vivek"/>
    <m/>
    <d v="2023-04-04T05:01:00"/>
    <m/>
    <m/>
    <n v="1955"/>
    <n v="180.44"/>
    <n v="7.7"/>
    <n v="2611000000000"/>
    <n v="28.1"/>
    <n v="113"/>
    <n v="11.2"/>
    <n v="49.7"/>
    <n v="1366417754"/>
  </r>
  <r>
    <x v="198"/>
    <x v="198"/>
    <x v="0"/>
    <x v="1004"/>
    <x v="48"/>
    <x v="7"/>
    <x v="400"/>
    <x v="31"/>
    <x v="0"/>
    <s v="Germany"/>
    <m/>
    <x v="1"/>
    <s v="D"/>
    <x v="0"/>
    <d v="1951-05-06T00:00:00"/>
    <s v="Knapp"/>
    <s v="Friedrich"/>
    <m/>
    <d v="2023-04-04T05:01:00"/>
    <m/>
    <m/>
    <n v="1951"/>
    <n v="112.85"/>
    <n v="1.4"/>
    <n v="3845630030824"/>
    <n v="70.2"/>
    <n v="104"/>
    <n v="11.5"/>
    <n v="48.8"/>
    <n v="83132799"/>
  </r>
  <r>
    <x v="198"/>
    <x v="198"/>
    <x v="14"/>
    <x v="1005"/>
    <x v="1"/>
    <x v="8"/>
    <x v="401"/>
    <x v="83"/>
    <x v="14"/>
    <s v="Russia"/>
    <m/>
    <x v="1"/>
    <s v="U"/>
    <x v="0"/>
    <d v="1971-12-07T00:00:00"/>
    <s v="Kulkov"/>
    <s v="Egor"/>
    <m/>
    <d v="2023-04-04T05:01:00"/>
    <m/>
    <m/>
    <n v="1971"/>
    <n v="99.55"/>
    <n v="0.4"/>
    <n v="703082435360"/>
    <n v="59.6"/>
    <n v="105.2"/>
    <n v="10.1"/>
    <n v="28.8"/>
    <n v="8574832"/>
  </r>
  <r>
    <x v="198"/>
    <x v="198"/>
    <x v="0"/>
    <x v="1006"/>
    <x v="16"/>
    <x v="35"/>
    <x v="152"/>
    <x v="81"/>
    <x v="0"/>
    <s v="Taiwan"/>
    <m/>
    <x v="1"/>
    <s v="D"/>
    <x v="0"/>
    <d v="1950-01-01T00:00:00"/>
    <s v="Lin"/>
    <s v="Ming-hsiung"/>
    <m/>
    <d v="2023-04-04T05:01:00"/>
    <m/>
    <m/>
    <n v="1950"/>
    <m/>
    <m/>
    <m/>
    <m/>
    <m/>
    <m/>
    <m/>
    <m/>
  </r>
  <r>
    <x v="198"/>
    <x v="198"/>
    <x v="2"/>
    <x v="1007"/>
    <x v="5"/>
    <x v="5"/>
    <x v="320"/>
    <x v="172"/>
    <x v="2"/>
    <s v="China"/>
    <m/>
    <x v="1"/>
    <s v="D"/>
    <x v="0"/>
    <d v="1955-10-10T00:00:00"/>
    <s v="Lin"/>
    <s v="Xiucheng"/>
    <m/>
    <d v="2023-04-04T05:01:00"/>
    <m/>
    <m/>
    <n v="1955"/>
    <n v="125.08"/>
    <n v="2.9"/>
    <n v="19910000000000"/>
    <n v="50.6"/>
    <n v="100.2"/>
    <n v="9.4"/>
    <n v="59.2"/>
    <n v="1397715000"/>
  </r>
  <r>
    <x v="198"/>
    <x v="198"/>
    <x v="7"/>
    <x v="1008"/>
    <x v="48"/>
    <x v="3"/>
    <x v="7"/>
    <x v="243"/>
    <x v="7"/>
    <s v="India"/>
    <m/>
    <x v="0"/>
    <s v="D"/>
    <x v="0"/>
    <d v="1951-05-14T00:00:00"/>
    <s v="Mariwala"/>
    <s v="Harsh"/>
    <m/>
    <d v="2023-04-04T05:01:00"/>
    <m/>
    <m/>
    <n v="1951"/>
    <n v="180.44"/>
    <n v="7.7"/>
    <n v="2611000000000"/>
    <n v="28.1"/>
    <n v="113"/>
    <n v="11.2"/>
    <n v="49.7"/>
    <n v="1366417754"/>
  </r>
  <r>
    <x v="198"/>
    <x v="198"/>
    <x v="14"/>
    <x v="1009"/>
    <x v="2"/>
    <x v="0"/>
    <x v="402"/>
    <x v="439"/>
    <x v="14"/>
    <s v="France"/>
    <m/>
    <x v="1"/>
    <s v="D"/>
    <x v="0"/>
    <d v="1963-10-20T00:00:00"/>
    <s v="Martin"/>
    <s v="Gilles"/>
    <m/>
    <d v="2023-04-04T05:01:00"/>
    <m/>
    <m/>
    <n v="1963"/>
    <n v="110.05"/>
    <n v="1.1000000000000001"/>
    <n v="2715518274227"/>
    <n v="65.599999999999994"/>
    <n v="102.5"/>
    <n v="24.2"/>
    <n v="60.7"/>
    <n v="67059887"/>
  </r>
  <r>
    <x v="198"/>
    <x v="198"/>
    <x v="14"/>
    <x v="1010"/>
    <x v="13"/>
    <x v="8"/>
    <x v="243"/>
    <x v="83"/>
    <x v="14"/>
    <s v="Switzerland"/>
    <m/>
    <x v="0"/>
    <s v="D"/>
    <x v="1"/>
    <d v="1955-01-01T00:00:00"/>
    <s v="Oeri"/>
    <s v="Maja"/>
    <m/>
    <d v="2023-04-04T05:01:00"/>
    <m/>
    <m/>
    <n v="1955"/>
    <n v="99.55"/>
    <n v="0.4"/>
    <n v="703082435360"/>
    <n v="59.6"/>
    <n v="105.2"/>
    <n v="10.1"/>
    <n v="28.8"/>
    <n v="8574832"/>
  </r>
  <r>
    <x v="198"/>
    <x v="198"/>
    <x v="3"/>
    <x v="1011"/>
    <x v="5"/>
    <x v="1"/>
    <x v="5"/>
    <x v="28"/>
    <x v="3"/>
    <s v="United States"/>
    <s v="Paulson &amp; Co. Inc."/>
    <x v="1"/>
    <s v="D"/>
    <x v="0"/>
    <d v="1955-12-14T00:00:00"/>
    <s v="Paulson"/>
    <s v="John"/>
    <s v="Founder"/>
    <d v="2023-04-04T05:01:00"/>
    <s v="New York"/>
    <s v="Northeast"/>
    <n v="1955"/>
    <n v="117.24"/>
    <n v="7.5"/>
    <n v="21427700000000"/>
    <n v="88.2"/>
    <n v="101.8"/>
    <n v="9.6"/>
    <n v="36.6"/>
    <n v="328239523"/>
  </r>
  <r>
    <x v="198"/>
    <x v="198"/>
    <x v="14"/>
    <x v="1012"/>
    <x v="5"/>
    <x v="3"/>
    <x v="7"/>
    <x v="83"/>
    <x v="14"/>
    <s v="India"/>
    <m/>
    <x v="0"/>
    <s v="D"/>
    <x v="0"/>
    <d v="1955-08-03T00:00:00"/>
    <s v="Piramal"/>
    <s v="Ajay"/>
    <m/>
    <d v="2023-04-04T05:01:00"/>
    <m/>
    <m/>
    <n v="1955"/>
    <n v="180.44"/>
    <n v="7.7"/>
    <n v="2611000000000"/>
    <n v="28.1"/>
    <n v="113"/>
    <n v="11.2"/>
    <n v="49.7"/>
    <n v="1366417754"/>
  </r>
  <r>
    <x v="198"/>
    <x v="198"/>
    <x v="0"/>
    <x v="1013"/>
    <x v="48"/>
    <x v="5"/>
    <x v="273"/>
    <x v="31"/>
    <x v="0"/>
    <s v="China"/>
    <m/>
    <x v="1"/>
    <s v="D"/>
    <x v="0"/>
    <d v="1951-11-10T00:00:00"/>
    <s v="Qiu"/>
    <s v="Guanghe"/>
    <m/>
    <d v="2023-04-04T05:01:00"/>
    <m/>
    <m/>
    <n v="1951"/>
    <n v="125.08"/>
    <n v="2.9"/>
    <n v="19910000000000"/>
    <n v="50.6"/>
    <n v="100.2"/>
    <n v="9.4"/>
    <n v="59.2"/>
    <n v="1397715000"/>
  </r>
  <r>
    <x v="198"/>
    <x v="198"/>
    <x v="0"/>
    <x v="1014"/>
    <x v="20"/>
    <x v="13"/>
    <x v="32"/>
    <x v="152"/>
    <x v="0"/>
    <s v="United Kingdom"/>
    <m/>
    <x v="0"/>
    <s v="R"/>
    <x v="0"/>
    <d v="1937-03-12T00:00:00"/>
    <s v="Rubin"/>
    <s v="Stephen"/>
    <m/>
    <d v="2023-04-04T05:01:00"/>
    <m/>
    <m/>
    <n v="1937"/>
    <n v="119.62"/>
    <n v="1.7"/>
    <n v="2827113184696"/>
    <n v="60"/>
    <n v="101.2"/>
    <n v="25.5"/>
    <n v="30.6"/>
    <n v="66834405"/>
  </r>
  <r>
    <x v="198"/>
    <x v="198"/>
    <x v="7"/>
    <x v="1015"/>
    <x v="29"/>
    <x v="1"/>
    <x v="268"/>
    <x v="370"/>
    <x v="7"/>
    <s v="United States"/>
    <m/>
    <x v="0"/>
    <s v="Split Family Fortune"/>
    <x v="0"/>
    <d v="1958-06-10T00:00:00"/>
    <s v="Sands"/>
    <s v="Robert"/>
    <m/>
    <d v="2023-04-04T05:01:00"/>
    <s v="Florida"/>
    <s v="South"/>
    <n v="1958"/>
    <n v="117.24"/>
    <n v="7.5"/>
    <n v="21427700000000"/>
    <n v="88.2"/>
    <n v="101.8"/>
    <n v="9.6"/>
    <n v="36.6"/>
    <n v="328239523"/>
  </r>
  <r>
    <x v="198"/>
    <x v="198"/>
    <x v="11"/>
    <x v="1016"/>
    <x v="42"/>
    <x v="21"/>
    <x v="403"/>
    <x v="36"/>
    <x v="11"/>
    <s v="Sweden"/>
    <m/>
    <x v="1"/>
    <s v="D"/>
    <x v="0"/>
    <d v="1967-05-08T00:00:00"/>
    <s v="Selin"/>
    <s v="Erik"/>
    <m/>
    <d v="2023-04-04T05:01:00"/>
    <m/>
    <m/>
    <n v="1967"/>
    <n v="110.51"/>
    <n v="1.8"/>
    <n v="530832908738"/>
    <n v="67"/>
    <n v="126.6"/>
    <n v="27.9"/>
    <n v="49.1"/>
    <n v="10285453"/>
  </r>
  <r>
    <x v="198"/>
    <x v="198"/>
    <x v="7"/>
    <x v="1017"/>
    <x v="23"/>
    <x v="5"/>
    <x v="90"/>
    <x v="163"/>
    <x v="7"/>
    <s v="China"/>
    <m/>
    <x v="1"/>
    <s v="D"/>
    <x v="0"/>
    <d v="1969-01-01T00:00:00"/>
    <s v="Shi"/>
    <s v="Yonghong"/>
    <m/>
    <d v="2023-04-04T05:01:00"/>
    <m/>
    <m/>
    <n v="1969"/>
    <n v="125.08"/>
    <n v="2.9"/>
    <n v="19910000000000"/>
    <n v="50.6"/>
    <n v="100.2"/>
    <n v="9.4"/>
    <n v="59.2"/>
    <n v="1397715000"/>
  </r>
  <r>
    <x v="198"/>
    <x v="198"/>
    <x v="10"/>
    <x v="1018"/>
    <x v="53"/>
    <x v="25"/>
    <x v="76"/>
    <x v="428"/>
    <x v="10"/>
    <s v="Indonesia"/>
    <m/>
    <x v="1"/>
    <s v="U"/>
    <x v="0"/>
    <d v="1960-02-18T00:00:00"/>
    <s v="Sitorus"/>
    <s v="Martua"/>
    <m/>
    <d v="2023-04-04T05:01:00"/>
    <m/>
    <m/>
    <n v="1960"/>
    <n v="114.41"/>
    <n v="0.6"/>
    <n v="372062527489"/>
    <n v="84.8"/>
    <n v="100.6"/>
    <n v="13.1"/>
    <n v="21"/>
    <n v="5703569"/>
  </r>
  <r>
    <x v="198"/>
    <x v="198"/>
    <x v="6"/>
    <x v="1019"/>
    <x v="15"/>
    <x v="5"/>
    <x v="404"/>
    <x v="8"/>
    <x v="6"/>
    <s v="China"/>
    <m/>
    <x v="1"/>
    <s v="U"/>
    <x v="0"/>
    <d v="1962-12-01T00:00:00"/>
    <s v="Sun"/>
    <s v="Guangxin"/>
    <m/>
    <d v="2023-04-04T05:01:00"/>
    <m/>
    <m/>
    <n v="1962"/>
    <n v="125.08"/>
    <n v="2.9"/>
    <n v="19910000000000"/>
    <n v="50.6"/>
    <n v="100.2"/>
    <n v="9.4"/>
    <n v="59.2"/>
    <n v="1397715000"/>
  </r>
  <r>
    <x v="198"/>
    <x v="198"/>
    <x v="6"/>
    <x v="1020"/>
    <x v="16"/>
    <x v="25"/>
    <x v="76"/>
    <x v="8"/>
    <x v="6"/>
    <s v="Indonesia"/>
    <m/>
    <x v="1"/>
    <s v="U"/>
    <x v="0"/>
    <d v="1949-12-25T00:00:00"/>
    <s v="Tanoto"/>
    <s v="Sukanto"/>
    <m/>
    <d v="2023-04-04T05:01:00"/>
    <m/>
    <m/>
    <n v="1949"/>
    <n v="114.41"/>
    <n v="0.6"/>
    <n v="372062527489"/>
    <n v="84.8"/>
    <n v="100.6"/>
    <n v="13.1"/>
    <n v="21"/>
    <n v="5703569"/>
  </r>
  <r>
    <x v="198"/>
    <x v="198"/>
    <x v="15"/>
    <x v="1021"/>
    <x v="8"/>
    <x v="16"/>
    <x v="88"/>
    <x v="426"/>
    <x v="15"/>
    <s v="India"/>
    <m/>
    <x v="0"/>
    <s v="U"/>
    <x v="0"/>
    <d v="1957-04-09T00:00:00"/>
    <s v="Varkey"/>
    <s v="Sunny"/>
    <m/>
    <d v="2023-04-04T05:01:00"/>
    <m/>
    <m/>
    <n v="1957"/>
    <n v="114.52"/>
    <n v="-1.9"/>
    <n v="421142267938"/>
    <n v="36.799999999999997"/>
    <n v="108.4"/>
    <n v="0.1"/>
    <n v="15.9"/>
    <n v="9770529"/>
  </r>
  <r>
    <x v="198"/>
    <x v="198"/>
    <x v="4"/>
    <x v="1022"/>
    <x v="57"/>
    <x v="25"/>
    <x v="76"/>
    <x v="287"/>
    <x v="4"/>
    <s v="Singapore"/>
    <m/>
    <x v="1"/>
    <s v="D"/>
    <x v="0"/>
    <d v="1980-06-01T00:00:00"/>
    <s v="Ye"/>
    <s v="Gang"/>
    <m/>
    <d v="2023-04-04T05:01:00"/>
    <m/>
    <m/>
    <n v="1980"/>
    <n v="114.41"/>
    <n v="0.6"/>
    <n v="372062527489"/>
    <n v="84.8"/>
    <n v="100.6"/>
    <n v="13.1"/>
    <n v="21"/>
    <n v="5703569"/>
  </r>
  <r>
    <x v="198"/>
    <x v="198"/>
    <x v="14"/>
    <x v="1023"/>
    <x v="15"/>
    <x v="5"/>
    <x v="12"/>
    <x v="83"/>
    <x v="14"/>
    <s v="China"/>
    <m/>
    <x v="1"/>
    <s v="U"/>
    <x v="0"/>
    <d v="1963-02-01T00:00:00"/>
    <s v="Ye"/>
    <s v="Xiaoping"/>
    <m/>
    <d v="2023-04-04T05:01:00"/>
    <m/>
    <m/>
    <n v="1963"/>
    <n v="125.08"/>
    <n v="2.9"/>
    <n v="19910000000000"/>
    <n v="50.6"/>
    <n v="100.2"/>
    <n v="9.4"/>
    <n v="59.2"/>
    <n v="1397715000"/>
  </r>
  <r>
    <x v="198"/>
    <x v="198"/>
    <x v="3"/>
    <x v="1024"/>
    <x v="10"/>
    <x v="10"/>
    <x v="36"/>
    <x v="38"/>
    <x v="3"/>
    <s v="China"/>
    <m/>
    <x v="1"/>
    <s v="E"/>
    <x v="0"/>
    <d v="1972-12-01T00:00:00"/>
    <s v="Zhang"/>
    <s v="Lei"/>
    <m/>
    <d v="2023-04-04T05:01:00"/>
    <m/>
    <m/>
    <n v="1972"/>
    <m/>
    <m/>
    <m/>
    <m/>
    <m/>
    <m/>
    <m/>
    <m/>
  </r>
  <r>
    <x v="198"/>
    <x v="198"/>
    <x v="10"/>
    <x v="1025"/>
    <x v="8"/>
    <x v="5"/>
    <x v="34"/>
    <x v="440"/>
    <x v="10"/>
    <s v="China"/>
    <m/>
    <x v="1"/>
    <s v="D"/>
    <x v="0"/>
    <d v="1958-01-01T00:00:00"/>
    <s v="Zhu"/>
    <s v="Gongshan"/>
    <m/>
    <d v="2023-04-04T05:01:00"/>
    <m/>
    <m/>
    <n v="1958"/>
    <n v="125.08"/>
    <n v="2.9"/>
    <n v="19910000000000"/>
    <n v="50.6"/>
    <n v="100.2"/>
    <n v="9.4"/>
    <n v="59.2"/>
    <n v="1397715000"/>
  </r>
  <r>
    <x v="199"/>
    <x v="199"/>
    <x v="0"/>
    <x v="1026"/>
    <x v="9"/>
    <x v="4"/>
    <x v="405"/>
    <x v="31"/>
    <x v="0"/>
    <s v="Spain"/>
    <m/>
    <x v="1"/>
    <s v="U"/>
    <x v="0"/>
    <d v="1953-10-20T00:00:00"/>
    <s v="Andic"/>
    <s v="Isak"/>
    <m/>
    <d v="2023-04-04T05:01:00"/>
    <m/>
    <m/>
    <n v="1953"/>
    <n v="110.96"/>
    <n v="0.7"/>
    <n v="1394116310769"/>
    <n v="88.9"/>
    <n v="102.7"/>
    <n v="14.2"/>
    <n v="47"/>
    <n v="47076781"/>
  </r>
  <r>
    <x v="199"/>
    <x v="199"/>
    <x v="1"/>
    <x v="1027"/>
    <x v="26"/>
    <x v="28"/>
    <x v="406"/>
    <x v="441"/>
    <x v="1"/>
    <s v="Italy"/>
    <m/>
    <x v="0"/>
    <s v="U"/>
    <x v="0"/>
    <d v="1940-10-05T00:00:00"/>
    <s v="Bombassei"/>
    <s v="Alberto"/>
    <m/>
    <d v="2023-04-04T05:01:00"/>
    <m/>
    <m/>
    <n v="1940"/>
    <n v="110.62"/>
    <n v="0.6"/>
    <n v="2001244392042"/>
    <n v="61.9"/>
    <n v="101.9"/>
    <n v="24.3"/>
    <n v="59.1"/>
    <n v="60297396"/>
  </r>
  <r>
    <x v="199"/>
    <x v="199"/>
    <x v="14"/>
    <x v="1028"/>
    <x v="8"/>
    <x v="5"/>
    <x v="407"/>
    <x v="83"/>
    <x v="14"/>
    <s v="China"/>
    <m/>
    <x v="1"/>
    <s v="E"/>
    <x v="0"/>
    <d v="1957-09-05T00:00:00"/>
    <s v="Cao"/>
    <s v="Longxiang"/>
    <m/>
    <d v="2023-04-04T05:01:00"/>
    <m/>
    <m/>
    <n v="1957"/>
    <n v="125.08"/>
    <n v="2.9"/>
    <n v="19910000000000"/>
    <n v="50.6"/>
    <n v="100.2"/>
    <n v="9.4"/>
    <n v="59.2"/>
    <n v="1397715000"/>
  </r>
  <r>
    <x v="199"/>
    <x v="199"/>
    <x v="11"/>
    <x v="1029"/>
    <x v="15"/>
    <x v="1"/>
    <x v="408"/>
    <x v="36"/>
    <x v="11"/>
    <s v="United States"/>
    <m/>
    <x v="1"/>
    <s v="N"/>
    <x v="0"/>
    <d v="1962-11-01T00:00:00"/>
    <s v="Carroll"/>
    <s v="Roy"/>
    <m/>
    <d v="2023-04-04T05:01:00"/>
    <s v="North Carolina"/>
    <s v="South"/>
    <n v="1962"/>
    <n v="117.24"/>
    <n v="7.5"/>
    <n v="21427700000000"/>
    <n v="88.2"/>
    <n v="101.8"/>
    <n v="9.6"/>
    <n v="36.6"/>
    <n v="328239523"/>
  </r>
  <r>
    <x v="199"/>
    <x v="199"/>
    <x v="5"/>
    <x v="1030"/>
    <x v="36"/>
    <x v="13"/>
    <x v="175"/>
    <x v="442"/>
    <x v="5"/>
    <s v="United Kingdom"/>
    <m/>
    <x v="1"/>
    <s v="D"/>
    <x v="0"/>
    <d v="1952-10-01T00:00:00"/>
    <s v="Caudwell"/>
    <s v="John"/>
    <m/>
    <d v="2023-04-04T05:01:00"/>
    <m/>
    <m/>
    <n v="1952"/>
    <n v="119.62"/>
    <n v="1.7"/>
    <n v="2827113184696"/>
    <n v="60"/>
    <n v="101.2"/>
    <n v="25.5"/>
    <n v="30.6"/>
    <n v="66834405"/>
  </r>
  <r>
    <x v="199"/>
    <x v="199"/>
    <x v="2"/>
    <x v="1031"/>
    <x v="55"/>
    <x v="1"/>
    <x v="43"/>
    <x v="443"/>
    <x v="2"/>
    <s v="United States"/>
    <s v="Netscape Communications Corporation"/>
    <x v="1"/>
    <s v="D"/>
    <x v="0"/>
    <d v="1944-03-23T00:00:00"/>
    <s v="Clark"/>
    <s v="James"/>
    <s v="Cofounder"/>
    <d v="2023-04-04T05:01:00"/>
    <s v="Florida"/>
    <s v="South"/>
    <n v="1944"/>
    <n v="117.24"/>
    <n v="7.5"/>
    <n v="21427700000000"/>
    <n v="88.2"/>
    <n v="101.8"/>
    <n v="9.6"/>
    <n v="36.6"/>
    <n v="328239523"/>
  </r>
  <r>
    <x v="199"/>
    <x v="199"/>
    <x v="0"/>
    <x v="1032"/>
    <x v="37"/>
    <x v="6"/>
    <x v="202"/>
    <x v="444"/>
    <x v="0"/>
    <s v="Canada"/>
    <s v="Alimentation Couche Tard Inc. Cl A"/>
    <x v="1"/>
    <s v="U"/>
    <x v="0"/>
    <d v="1956-12-08T00:00:00"/>
    <s v="D'Amours"/>
    <s v="Jacques"/>
    <s v="Vice President and Cofounder"/>
    <d v="2023-04-04T05:01:00"/>
    <m/>
    <m/>
    <n v="1956"/>
    <n v="116.76"/>
    <n v="1.9"/>
    <n v="1736425629520"/>
    <n v="68.900000000000006"/>
    <n v="100.9"/>
    <n v="12.8"/>
    <n v="24.5"/>
    <n v="36991981"/>
  </r>
  <r>
    <x v="199"/>
    <x v="199"/>
    <x v="0"/>
    <x v="1033"/>
    <x v="3"/>
    <x v="1"/>
    <x v="1"/>
    <x v="445"/>
    <x v="0"/>
    <s v="United States"/>
    <m/>
    <x v="1"/>
    <s v="U"/>
    <x v="0"/>
    <d v="1944-04-13T00:00:00"/>
    <s v="DeJoria"/>
    <s v="John Paul"/>
    <m/>
    <d v="2023-04-04T05:01:00"/>
    <s v="Texas"/>
    <s v="South"/>
    <n v="1944"/>
    <n v="117.24"/>
    <n v="7.5"/>
    <n v="21427700000000"/>
    <n v="88.2"/>
    <n v="101.8"/>
    <n v="9.6"/>
    <n v="36.6"/>
    <n v="328239523"/>
  </r>
  <r>
    <x v="199"/>
    <x v="199"/>
    <x v="17"/>
    <x v="1034"/>
    <x v="4"/>
    <x v="13"/>
    <x v="32"/>
    <x v="446"/>
    <x v="17"/>
    <s v="United Kingdom"/>
    <m/>
    <x v="1"/>
    <s v="D"/>
    <x v="0"/>
    <d v="1930-10-28T00:00:00"/>
    <s v="Ecclestone"/>
    <s v="Bernard"/>
    <m/>
    <d v="2023-04-04T05:01:00"/>
    <m/>
    <m/>
    <n v="1930"/>
    <n v="119.62"/>
    <n v="1.7"/>
    <n v="2827113184696"/>
    <n v="60"/>
    <n v="101.2"/>
    <n v="25.5"/>
    <n v="30.6"/>
    <n v="66834405"/>
  </r>
  <r>
    <x v="199"/>
    <x v="199"/>
    <x v="2"/>
    <x v="1035"/>
    <x v="55"/>
    <x v="27"/>
    <x v="199"/>
    <x v="447"/>
    <x v="2"/>
    <s v="Israel"/>
    <m/>
    <x v="1"/>
    <s v="D"/>
    <x v="0"/>
    <d v="1943-09-09T00:00:00"/>
    <s v="Federmann"/>
    <s v="Michael"/>
    <m/>
    <d v="2023-04-04T05:01:00"/>
    <m/>
    <m/>
    <n v="1943"/>
    <n v="108.15"/>
    <n v="0.8"/>
    <n v="395098666122"/>
    <n v="63.4"/>
    <n v="104.9"/>
    <n v="23.1"/>
    <n v="25.3"/>
    <n v="9053300"/>
  </r>
  <r>
    <x v="199"/>
    <x v="199"/>
    <x v="4"/>
    <x v="1036"/>
    <x v="0"/>
    <x v="1"/>
    <x v="409"/>
    <x v="448"/>
    <x v="4"/>
    <s v="United States"/>
    <s v="Feld Entertainment"/>
    <x v="0"/>
    <s v="U"/>
    <x v="0"/>
    <d v="1948-10-31T00:00:00"/>
    <s v="Feld"/>
    <s v="Kenneth"/>
    <s v="Chairman"/>
    <d v="2023-04-04T05:01:00"/>
    <s v="Florida"/>
    <s v="South"/>
    <n v="1948"/>
    <n v="117.24"/>
    <n v="7.5"/>
    <n v="21427700000000"/>
    <n v="88.2"/>
    <n v="101.8"/>
    <n v="9.6"/>
    <n v="36.6"/>
    <n v="328239523"/>
  </r>
  <r>
    <x v="199"/>
    <x v="199"/>
    <x v="10"/>
    <x v="1037"/>
    <x v="16"/>
    <x v="5"/>
    <x v="12"/>
    <x v="158"/>
    <x v="10"/>
    <s v="China"/>
    <m/>
    <x v="1"/>
    <s v="D"/>
    <x v="0"/>
    <d v="1949-10-05T00:00:00"/>
    <s v="Gu"/>
    <s v="Yuhua"/>
    <m/>
    <d v="2023-04-04T05:01:00"/>
    <m/>
    <m/>
    <n v="1949"/>
    <n v="125.08"/>
    <n v="2.9"/>
    <n v="19910000000000"/>
    <n v="50.6"/>
    <n v="100.2"/>
    <n v="9.4"/>
    <n v="59.2"/>
    <n v="1397715000"/>
  </r>
  <r>
    <x v="199"/>
    <x v="199"/>
    <x v="16"/>
    <x v="1038"/>
    <x v="43"/>
    <x v="8"/>
    <x v="410"/>
    <x v="449"/>
    <x v="16"/>
    <s v="Germany"/>
    <m/>
    <x v="0"/>
    <s v="D"/>
    <x v="0"/>
    <d v="1948-02-09T00:00:00"/>
    <s v="Happel"/>
    <s v="Otto"/>
    <m/>
    <d v="2023-04-04T05:01:00"/>
    <m/>
    <m/>
    <n v="1948"/>
    <n v="99.55"/>
    <n v="0.4"/>
    <n v="703082435360"/>
    <n v="59.6"/>
    <n v="105.2"/>
    <n v="10.1"/>
    <n v="28.8"/>
    <n v="8574832"/>
  </r>
  <r>
    <x v="199"/>
    <x v="199"/>
    <x v="14"/>
    <x v="1039"/>
    <x v="13"/>
    <x v="7"/>
    <x v="411"/>
    <x v="78"/>
    <x v="14"/>
    <s v="Germany"/>
    <m/>
    <x v="0"/>
    <s v="D"/>
    <x v="1"/>
    <d v="1954-10-19T00:00:00"/>
    <s v="Heine"/>
    <s v="Gudrun"/>
    <m/>
    <d v="2023-04-04T05:01:00"/>
    <m/>
    <m/>
    <n v="1954"/>
    <n v="112.85"/>
    <n v="1.4"/>
    <n v="3845630030824"/>
    <n v="70.2"/>
    <n v="104"/>
    <n v="11.5"/>
    <n v="48.8"/>
    <n v="83132799"/>
  </r>
  <r>
    <x v="199"/>
    <x v="199"/>
    <x v="11"/>
    <x v="1040"/>
    <x v="16"/>
    <x v="1"/>
    <x v="15"/>
    <x v="398"/>
    <x v="11"/>
    <s v="United States"/>
    <m/>
    <x v="1"/>
    <s v="U"/>
    <x v="0"/>
    <d v="1950-03-05T00:00:00"/>
    <s v="Horton"/>
    <s v="Donald"/>
    <m/>
    <d v="2023-04-04T05:01:00"/>
    <s v="Texas"/>
    <s v="South"/>
    <n v="1950"/>
    <n v="117.24"/>
    <n v="7.5"/>
    <n v="21427700000000"/>
    <n v="88.2"/>
    <n v="101.8"/>
    <n v="9.6"/>
    <n v="36.6"/>
    <n v="328239523"/>
  </r>
  <r>
    <x v="199"/>
    <x v="199"/>
    <x v="11"/>
    <x v="1041"/>
    <x v="32"/>
    <x v="17"/>
    <x v="48"/>
    <x v="36"/>
    <x v="11"/>
    <s v="Russia"/>
    <m/>
    <x v="1"/>
    <s v="U"/>
    <x v="0"/>
    <d v="1966-09-09T00:00:00"/>
    <s v="Iliev"/>
    <s v="Zarakh"/>
    <m/>
    <d v="2023-04-04T05:01:00"/>
    <m/>
    <m/>
    <n v="1966"/>
    <n v="180.75"/>
    <n v="4.5"/>
    <n v="1699876578871"/>
    <n v="81.900000000000006"/>
    <n v="102.6"/>
    <n v="11.4"/>
    <n v="46.2"/>
    <n v="144373535"/>
  </r>
  <r>
    <x v="199"/>
    <x v="199"/>
    <x v="6"/>
    <x v="1042"/>
    <x v="14"/>
    <x v="47"/>
    <x v="228"/>
    <x v="8"/>
    <x v="6"/>
    <s v="Turkey"/>
    <m/>
    <x v="0"/>
    <s v="U"/>
    <x v="1"/>
    <d v="1984-11-28T00:00:00"/>
    <s v="Kirac"/>
    <s v="Ipek"/>
    <m/>
    <d v="2023-04-04T05:01:00"/>
    <m/>
    <m/>
    <n v="1984"/>
    <n v="234.44"/>
    <n v="15.2"/>
    <n v="754411708203"/>
    <n v="23.9"/>
    <n v="93.2"/>
    <n v="17.899999999999999"/>
    <n v="42.3"/>
    <n v="83429615"/>
  </r>
  <r>
    <x v="199"/>
    <x v="199"/>
    <x v="2"/>
    <x v="1043"/>
    <x v="12"/>
    <x v="32"/>
    <x v="109"/>
    <x v="153"/>
    <x v="2"/>
    <s v="South Korea"/>
    <m/>
    <x v="0"/>
    <s v="D"/>
    <x v="1"/>
    <d v="1973-09-20T00:00:00"/>
    <s v="Lee"/>
    <s v="Seo-hyun"/>
    <m/>
    <d v="2023-04-04T05:01:00"/>
    <m/>
    <m/>
    <n v="1973"/>
    <n v="115.16"/>
    <n v="0.4"/>
    <n v="2029000000000"/>
    <n v="94.3"/>
    <n v="98.1"/>
    <n v="15.6"/>
    <n v="33.200000000000003"/>
    <n v="51709098"/>
  </r>
  <r>
    <x v="199"/>
    <x v="199"/>
    <x v="14"/>
    <x v="1044"/>
    <x v="37"/>
    <x v="5"/>
    <x v="26"/>
    <x v="450"/>
    <x v="14"/>
    <s v="Hong Kong"/>
    <m/>
    <x v="1"/>
    <s v="D"/>
    <x v="0"/>
    <d v="1957-01-01T00:00:00"/>
    <s v="Li"/>
    <s v="Jianquan"/>
    <m/>
    <d v="2023-04-04T05:01:00"/>
    <m/>
    <m/>
    <n v="1957"/>
    <n v="125.08"/>
    <n v="2.9"/>
    <n v="19910000000000"/>
    <n v="50.6"/>
    <n v="100.2"/>
    <n v="9.4"/>
    <n v="59.2"/>
    <n v="1397715000"/>
  </r>
  <r>
    <x v="199"/>
    <x v="199"/>
    <x v="14"/>
    <x v="1045"/>
    <x v="41"/>
    <x v="5"/>
    <x v="78"/>
    <x v="291"/>
    <x v="14"/>
    <s v="China"/>
    <m/>
    <x v="1"/>
    <s v="U"/>
    <x v="0"/>
    <d v="1965-09-01T00:00:00"/>
    <s v="Li"/>
    <s v="Li"/>
    <m/>
    <d v="2023-04-04T05:01:00"/>
    <m/>
    <m/>
    <n v="1965"/>
    <n v="125.08"/>
    <n v="2.9"/>
    <n v="19910000000000"/>
    <n v="50.6"/>
    <n v="100.2"/>
    <n v="9.4"/>
    <n v="59.2"/>
    <n v="1397715000"/>
  </r>
  <r>
    <x v="199"/>
    <x v="199"/>
    <x v="10"/>
    <x v="1046"/>
    <x v="38"/>
    <x v="5"/>
    <x v="302"/>
    <x v="135"/>
    <x v="10"/>
    <s v="China"/>
    <m/>
    <x v="1"/>
    <s v="D"/>
    <x v="0"/>
    <d v="1962-01-01T00:00:00"/>
    <s v="Li"/>
    <s v="Xiaohua"/>
    <m/>
    <d v="2023-04-04T05:01:00"/>
    <m/>
    <m/>
    <n v="1962"/>
    <n v="125.08"/>
    <n v="2.9"/>
    <n v="19910000000000"/>
    <n v="50.6"/>
    <n v="100.2"/>
    <n v="9.4"/>
    <n v="59.2"/>
    <n v="1397715000"/>
  </r>
  <r>
    <x v="199"/>
    <x v="199"/>
    <x v="10"/>
    <x v="1047"/>
    <x v="42"/>
    <x v="5"/>
    <x v="34"/>
    <x v="391"/>
    <x v="10"/>
    <s v="China"/>
    <m/>
    <x v="1"/>
    <s v="U"/>
    <x v="0"/>
    <d v="1967-07-03T00:00:00"/>
    <s v="Liu"/>
    <s v="Xiaodong"/>
    <m/>
    <d v="2023-04-04T05:01:00"/>
    <m/>
    <m/>
    <n v="1967"/>
    <n v="125.08"/>
    <n v="2.9"/>
    <n v="19910000000000"/>
    <n v="50.6"/>
    <n v="100.2"/>
    <n v="9.4"/>
    <n v="59.2"/>
    <n v="1397715000"/>
  </r>
  <r>
    <x v="199"/>
    <x v="199"/>
    <x v="2"/>
    <x v="1048"/>
    <x v="23"/>
    <x v="21"/>
    <x v="69"/>
    <x v="451"/>
    <x v="2"/>
    <s v="Sweden"/>
    <m/>
    <x v="1"/>
    <s v="E"/>
    <x v="0"/>
    <d v="1969-04-01T00:00:00"/>
    <s v="Lorentzon"/>
    <s v="Martin"/>
    <m/>
    <d v="2023-04-04T05:01:00"/>
    <m/>
    <m/>
    <n v="1969"/>
    <n v="110.51"/>
    <n v="1.8"/>
    <n v="530832908738"/>
    <n v="67"/>
    <n v="126.6"/>
    <n v="27.9"/>
    <n v="49.1"/>
    <n v="10285453"/>
  </r>
  <r>
    <x v="199"/>
    <x v="199"/>
    <x v="13"/>
    <x v="1049"/>
    <x v="11"/>
    <x v="10"/>
    <x v="36"/>
    <x v="100"/>
    <x v="13"/>
    <s v="Hong Kong"/>
    <m/>
    <x v="0"/>
    <s v="D"/>
    <x v="0"/>
    <d v="1935-10-05T00:00:00"/>
    <s v="McAulay"/>
    <s v="Ronald"/>
    <m/>
    <d v="2023-04-04T05:01:00"/>
    <m/>
    <m/>
    <n v="1935"/>
    <m/>
    <m/>
    <m/>
    <m/>
    <m/>
    <m/>
    <m/>
    <m/>
  </r>
  <r>
    <x v="199"/>
    <x v="199"/>
    <x v="0"/>
    <x v="1050"/>
    <x v="40"/>
    <x v="7"/>
    <x v="219"/>
    <x v="146"/>
    <x v="0"/>
    <s v="Germany"/>
    <m/>
    <x v="1"/>
    <s v="U"/>
    <x v="0"/>
    <d v="1932-08-09T00:00:00"/>
    <s v="Mueller"/>
    <s v="Erwin Franz"/>
    <m/>
    <d v="2023-04-04T05:01:00"/>
    <m/>
    <m/>
    <n v="1932"/>
    <n v="112.85"/>
    <n v="1.4"/>
    <n v="3845630030824"/>
    <n v="70.2"/>
    <n v="104"/>
    <n v="11.5"/>
    <n v="48.8"/>
    <n v="83132799"/>
  </r>
  <r>
    <x v="199"/>
    <x v="199"/>
    <x v="2"/>
    <x v="1051"/>
    <x v="58"/>
    <x v="7"/>
    <x v="189"/>
    <x v="117"/>
    <x v="2"/>
    <s v="Germany"/>
    <m/>
    <x v="1"/>
    <s v="D"/>
    <x v="0"/>
    <d v="1934-01-01T00:00:00"/>
    <s v="Nemetschek"/>
    <s v="Georg"/>
    <m/>
    <d v="2023-04-04T05:01:00"/>
    <m/>
    <m/>
    <n v="1934"/>
    <n v="112.85"/>
    <n v="1.4"/>
    <n v="3845630030824"/>
    <n v="70.2"/>
    <n v="104"/>
    <n v="11.5"/>
    <n v="48.8"/>
    <n v="83132799"/>
  </r>
  <r>
    <x v="199"/>
    <x v="199"/>
    <x v="11"/>
    <x v="1052"/>
    <x v="10"/>
    <x v="17"/>
    <x v="48"/>
    <x v="36"/>
    <x v="11"/>
    <s v="Russia"/>
    <m/>
    <x v="1"/>
    <s v="U"/>
    <x v="0"/>
    <d v="1972-04-24T00:00:00"/>
    <s v="Nisanov"/>
    <s v="God"/>
    <m/>
    <d v="2023-04-04T05:01:00"/>
    <m/>
    <m/>
    <n v="1972"/>
    <n v="180.75"/>
    <n v="4.5"/>
    <n v="1699876578871"/>
    <n v="81.900000000000006"/>
    <n v="102.6"/>
    <n v="11.4"/>
    <n v="46.2"/>
    <n v="144373535"/>
  </r>
  <r>
    <x v="199"/>
    <x v="199"/>
    <x v="11"/>
    <x v="1053"/>
    <x v="33"/>
    <x v="3"/>
    <x v="7"/>
    <x v="36"/>
    <x v="11"/>
    <s v="India"/>
    <m/>
    <x v="0"/>
    <s v="D"/>
    <x v="0"/>
    <d v="1970-09-08T00:00:00"/>
    <s v="Oberoi"/>
    <s v="Vikas"/>
    <m/>
    <d v="2023-04-04T05:01:00"/>
    <m/>
    <m/>
    <n v="1970"/>
    <n v="180.44"/>
    <n v="7.7"/>
    <n v="2611000000000"/>
    <n v="28.1"/>
    <n v="113"/>
    <n v="11.2"/>
    <n v="49.7"/>
    <n v="1366417754"/>
  </r>
  <r>
    <x v="199"/>
    <x v="199"/>
    <x v="13"/>
    <x v="1054"/>
    <x v="11"/>
    <x v="48"/>
    <x v="246"/>
    <x v="69"/>
    <x v="13"/>
    <s v="Argentina"/>
    <m/>
    <x v="1"/>
    <s v="U"/>
    <x v="0"/>
    <d v="1935-08-23T00:00:00"/>
    <s v="Perez Companc"/>
    <s v="Gregorio"/>
    <m/>
    <d v="2023-04-04T05:01:00"/>
    <m/>
    <m/>
    <n v="1935"/>
    <n v="232.75"/>
    <n v="53.5"/>
    <n v="449663446954"/>
    <n v="90"/>
    <n v="109.7"/>
    <n v="10.1"/>
    <n v="106.3"/>
    <n v="44938712"/>
  </r>
  <r>
    <x v="199"/>
    <x v="199"/>
    <x v="3"/>
    <x v="1055"/>
    <x v="16"/>
    <x v="18"/>
    <x v="50"/>
    <x v="38"/>
    <x v="3"/>
    <s v="Chile"/>
    <s v="Chile"/>
    <x v="1"/>
    <s v="U"/>
    <x v="0"/>
    <d v="1949-12-01T00:00:00"/>
    <s v="Piñera"/>
    <s v="Sebastian"/>
    <s v="President"/>
    <d v="2023-04-04T05:01:00"/>
    <m/>
    <m/>
    <n v="1949"/>
    <n v="131.91"/>
    <n v="2.6"/>
    <n v="282318159745"/>
    <n v="88.5"/>
    <n v="101.4"/>
    <n v="18.2"/>
    <n v="34"/>
    <n v="18952038"/>
  </r>
  <r>
    <x v="199"/>
    <x v="199"/>
    <x v="1"/>
    <x v="1056"/>
    <x v="8"/>
    <x v="3"/>
    <x v="7"/>
    <x v="452"/>
    <x v="1"/>
    <s v="India"/>
    <m/>
    <x v="0"/>
    <s v="D"/>
    <x v="0"/>
    <d v="1957-11-07T00:00:00"/>
    <s v="Poddar"/>
    <s v="Arvind"/>
    <m/>
    <d v="2023-04-04T05:01:00"/>
    <m/>
    <m/>
    <n v="1957"/>
    <n v="180.44"/>
    <n v="7.7"/>
    <n v="2611000000000"/>
    <n v="28.1"/>
    <n v="113"/>
    <n v="11.2"/>
    <n v="49.7"/>
    <n v="1366417754"/>
  </r>
  <r>
    <x v="199"/>
    <x v="199"/>
    <x v="14"/>
    <x v="1057"/>
    <x v="27"/>
    <x v="17"/>
    <x v="48"/>
    <x v="83"/>
    <x v="14"/>
    <s v="Russia"/>
    <m/>
    <x v="1"/>
    <s v="U"/>
    <x v="0"/>
    <d v="1979-08-27T00:00:00"/>
    <s v="Repik"/>
    <s v="Alexey"/>
    <m/>
    <d v="2023-04-04T05:01:00"/>
    <m/>
    <m/>
    <n v="1979"/>
    <n v="180.75"/>
    <n v="4.5"/>
    <n v="1699876578871"/>
    <n v="81.900000000000006"/>
    <n v="102.6"/>
    <n v="11.4"/>
    <n v="46.2"/>
    <n v="144373535"/>
  </r>
  <r>
    <x v="199"/>
    <x v="199"/>
    <x v="4"/>
    <x v="1058"/>
    <x v="3"/>
    <x v="1"/>
    <x v="125"/>
    <x v="453"/>
    <x v="4"/>
    <s v="United States"/>
    <m/>
    <x v="1"/>
    <s v="D"/>
    <x v="0"/>
    <d v="1944-10-15T00:00:00"/>
    <s v="Saban"/>
    <s v="Haim"/>
    <m/>
    <d v="2023-04-04T05:01:00"/>
    <s v="California"/>
    <s v="West"/>
    <n v="1944"/>
    <n v="117.24"/>
    <n v="7.5"/>
    <n v="21427700000000"/>
    <n v="88.2"/>
    <n v="101.8"/>
    <n v="9.6"/>
    <n v="36.6"/>
    <n v="328239523"/>
  </r>
  <r>
    <x v="199"/>
    <x v="199"/>
    <x v="7"/>
    <x v="1059"/>
    <x v="16"/>
    <x v="1"/>
    <x v="412"/>
    <x v="290"/>
    <x v="7"/>
    <s v="United States"/>
    <s v="Monster Beverage"/>
    <x v="1"/>
    <s v="U"/>
    <x v="0"/>
    <d v="1949-12-24T00:00:00"/>
    <s v="Sacks"/>
    <s v="Rodney"/>
    <s v="CEO"/>
    <d v="2023-04-04T05:01:00"/>
    <s v="California"/>
    <s v="West"/>
    <n v="1949"/>
    <n v="117.24"/>
    <n v="7.5"/>
    <n v="21427700000000"/>
    <n v="88.2"/>
    <n v="101.8"/>
    <n v="9.6"/>
    <n v="36.6"/>
    <n v="328239523"/>
  </r>
  <r>
    <x v="199"/>
    <x v="199"/>
    <x v="3"/>
    <x v="1060"/>
    <x v="65"/>
    <x v="1"/>
    <x v="5"/>
    <x v="189"/>
    <x v="3"/>
    <s v="India"/>
    <m/>
    <x v="1"/>
    <s v="D"/>
    <x v="0"/>
    <d v="1974-12-01T00:00:00"/>
    <s v="Sarma"/>
    <s v="Karthik"/>
    <m/>
    <d v="2023-04-04T05:01:00"/>
    <s v="New York"/>
    <s v="Northeast"/>
    <n v="1974"/>
    <n v="117.24"/>
    <n v="7.5"/>
    <n v="21427700000000"/>
    <n v="88.2"/>
    <n v="101.8"/>
    <n v="9.6"/>
    <n v="36.6"/>
    <n v="328239523"/>
  </r>
  <r>
    <x v="199"/>
    <x v="199"/>
    <x v="14"/>
    <x v="1061"/>
    <x v="18"/>
    <x v="7"/>
    <x v="413"/>
    <x v="78"/>
    <x v="14"/>
    <s v="Germany"/>
    <m/>
    <x v="0"/>
    <s v="D"/>
    <x v="1"/>
    <d v="1937-04-06T00:00:00"/>
    <s v="Storz"/>
    <s v="Sybill"/>
    <m/>
    <d v="2023-04-04T05:01:00"/>
    <m/>
    <m/>
    <n v="1937"/>
    <n v="112.85"/>
    <n v="1.4"/>
    <n v="3845630030824"/>
    <n v="70.2"/>
    <n v="104"/>
    <n v="11.5"/>
    <n v="48.8"/>
    <n v="83132799"/>
  </r>
  <r>
    <x v="199"/>
    <x v="199"/>
    <x v="3"/>
    <x v="1062"/>
    <x v="62"/>
    <x v="1"/>
    <x v="5"/>
    <x v="28"/>
    <x v="3"/>
    <s v="United States"/>
    <m/>
    <x v="1"/>
    <s v="D"/>
    <x v="0"/>
    <d v="1977-03-29T00:00:00"/>
    <s v="Sundheim"/>
    <s v="Daniel"/>
    <s v="Investor"/>
    <d v="2023-04-04T05:01:00"/>
    <s v="New York"/>
    <s v="Northeast"/>
    <n v="1977"/>
    <n v="117.24"/>
    <n v="7.5"/>
    <n v="21427700000000"/>
    <n v="88.2"/>
    <n v="101.8"/>
    <n v="9.6"/>
    <n v="36.6"/>
    <n v="328239523"/>
  </r>
  <r>
    <x v="199"/>
    <x v="199"/>
    <x v="7"/>
    <x v="1063"/>
    <x v="2"/>
    <x v="1"/>
    <x v="212"/>
    <x v="454"/>
    <x v="7"/>
    <s v="United States"/>
    <s v="Wrigley Management, Inc."/>
    <x v="0"/>
    <s v="D"/>
    <x v="0"/>
    <d v="1963-11-01T00:00:00"/>
    <s v="Wrigley"/>
    <s v="William"/>
    <s v="Investor"/>
    <d v="2023-04-04T05:01:00"/>
    <s v="Florida"/>
    <s v="South"/>
    <n v="1963"/>
    <n v="117.24"/>
    <n v="7.5"/>
    <n v="21427700000000"/>
    <n v="88.2"/>
    <n v="101.8"/>
    <n v="9.6"/>
    <n v="36.6"/>
    <n v="328239523"/>
  </r>
  <r>
    <x v="199"/>
    <x v="199"/>
    <x v="0"/>
    <x v="1064"/>
    <x v="38"/>
    <x v="5"/>
    <x v="19"/>
    <x v="81"/>
    <x v="0"/>
    <s v="China"/>
    <m/>
    <x v="1"/>
    <s v="D"/>
    <x v="0"/>
    <d v="1962-01-01T00:00:00"/>
    <s v="Zhang"/>
    <s v="Wenzhong"/>
    <m/>
    <d v="2023-04-04T05:01:00"/>
    <m/>
    <m/>
    <n v="1962"/>
    <n v="125.08"/>
    <n v="2.9"/>
    <n v="19910000000000"/>
    <n v="50.6"/>
    <n v="100.2"/>
    <n v="9.4"/>
    <n v="59.2"/>
    <n v="1397715000"/>
  </r>
  <r>
    <x v="199"/>
    <x v="199"/>
    <x v="0"/>
    <x v="1065"/>
    <x v="34"/>
    <x v="5"/>
    <x v="414"/>
    <x v="31"/>
    <x v="0"/>
    <s v="China"/>
    <m/>
    <x v="1"/>
    <s v="E"/>
    <x v="0"/>
    <d v="1960-05-28T00:00:00"/>
    <s v="Zhou"/>
    <s v="Jianping"/>
    <m/>
    <d v="2023-04-04T05:01:00"/>
    <m/>
    <m/>
    <n v="1960"/>
    <n v="125.08"/>
    <n v="2.9"/>
    <n v="19910000000000"/>
    <n v="50.6"/>
    <n v="100.2"/>
    <n v="9.4"/>
    <n v="59.2"/>
    <n v="1397715000"/>
  </r>
  <r>
    <x v="200"/>
    <x v="200"/>
    <x v="0"/>
    <x v="1066"/>
    <x v="37"/>
    <x v="3"/>
    <x v="415"/>
    <x v="455"/>
    <x v="0"/>
    <s v="India"/>
    <m/>
    <x v="0"/>
    <s v="U"/>
    <x v="0"/>
    <d v="1956-09-04T00:00:00"/>
    <s v="Alukkas"/>
    <s v="Joy"/>
    <m/>
    <d v="2023-04-04T05:01:00"/>
    <m/>
    <m/>
    <n v="1956"/>
    <n v="180.44"/>
    <n v="7.7"/>
    <n v="2611000000000"/>
    <n v="28.1"/>
    <n v="113"/>
    <n v="11.2"/>
    <n v="49.7"/>
    <n v="1366417754"/>
  </r>
  <r>
    <x v="200"/>
    <x v="200"/>
    <x v="14"/>
    <x v="1067"/>
    <x v="0"/>
    <x v="5"/>
    <x v="416"/>
    <x v="83"/>
    <x v="14"/>
    <s v="China"/>
    <m/>
    <x v="1"/>
    <s v="D"/>
    <x v="0"/>
    <d v="1949-01-01T00:00:00"/>
    <s v="An"/>
    <s v="Kang"/>
    <m/>
    <d v="2023-04-04T05:01:00"/>
    <m/>
    <m/>
    <n v="1949"/>
    <n v="125.08"/>
    <n v="2.9"/>
    <n v="19910000000000"/>
    <n v="50.6"/>
    <n v="100.2"/>
    <n v="9.4"/>
    <n v="59.2"/>
    <n v="1397715000"/>
  </r>
  <r>
    <x v="200"/>
    <x v="200"/>
    <x v="2"/>
    <x v="1068"/>
    <x v="54"/>
    <x v="1"/>
    <x v="120"/>
    <x v="334"/>
    <x v="2"/>
    <s v="Canada"/>
    <s v="Uber Technologies Inc."/>
    <x v="1"/>
    <s v="E"/>
    <x v="0"/>
    <d v="1978-10-04T00:00:00"/>
    <s v="Camp"/>
    <s v="Garrett"/>
    <s v="Cofounder and Chairman"/>
    <d v="2023-04-04T05:01:00"/>
    <s v="California"/>
    <s v="West"/>
    <n v="1978"/>
    <n v="117.24"/>
    <n v="7.5"/>
    <n v="21427700000000"/>
    <n v="88.2"/>
    <n v="101.8"/>
    <n v="9.6"/>
    <n v="36.6"/>
    <n v="328239523"/>
  </r>
  <r>
    <x v="200"/>
    <x v="200"/>
    <x v="9"/>
    <x v="1069"/>
    <x v="43"/>
    <x v="59"/>
    <x v="417"/>
    <x v="456"/>
    <x v="9"/>
    <s v="Malaysia"/>
    <m/>
    <x v="1"/>
    <s v="U"/>
    <x v="0"/>
    <d v="1947-07-01T00:00:00"/>
    <s v="Chen"/>
    <s v="Lip Keong"/>
    <m/>
    <d v="2023-04-04T05:01:00"/>
    <m/>
    <m/>
    <n v="1947"/>
    <n v="127.63"/>
    <n v="2.5"/>
    <n v="27089389787"/>
    <n v="13.7"/>
    <n v="107.4"/>
    <n v="17.100000000000001"/>
    <n v="23.1"/>
    <n v="16486542"/>
  </r>
  <r>
    <x v="200"/>
    <x v="200"/>
    <x v="11"/>
    <x v="1070"/>
    <x v="9"/>
    <x v="25"/>
    <x v="76"/>
    <x v="368"/>
    <x v="11"/>
    <s v="Singapore"/>
    <m/>
    <x v="1"/>
    <s v="U"/>
    <x v="0"/>
    <d v="1953-04-21T00:00:00"/>
    <s v="Choo"/>
    <s v="Chong Ngen"/>
    <m/>
    <d v="2023-04-04T05:01:00"/>
    <m/>
    <m/>
    <n v="1953"/>
    <n v="114.41"/>
    <n v="0.6"/>
    <n v="372062527489"/>
    <n v="84.8"/>
    <n v="100.6"/>
    <n v="13.1"/>
    <n v="21"/>
    <n v="5703569"/>
  </r>
  <r>
    <x v="200"/>
    <x v="200"/>
    <x v="1"/>
    <x v="1071"/>
    <x v="33"/>
    <x v="32"/>
    <x v="109"/>
    <x v="344"/>
    <x v="1"/>
    <s v="South Korea"/>
    <s v="Hyundai Motor Co. Ltd."/>
    <x v="0"/>
    <s v="D"/>
    <x v="0"/>
    <d v="1970-10-18T00:00:00"/>
    <s v="Chung"/>
    <s v="Euisun"/>
    <m/>
    <d v="2023-04-04T05:01:00"/>
    <m/>
    <m/>
    <n v="1970"/>
    <n v="115.16"/>
    <n v="0.4"/>
    <n v="2029000000000"/>
    <n v="94.3"/>
    <n v="98.1"/>
    <n v="15.6"/>
    <n v="33.200000000000003"/>
    <n v="51709098"/>
  </r>
  <r>
    <x v="200"/>
    <x v="200"/>
    <x v="6"/>
    <x v="1072"/>
    <x v="25"/>
    <x v="3"/>
    <x v="7"/>
    <x v="243"/>
    <x v="6"/>
    <s v="India"/>
    <m/>
    <x v="0"/>
    <s v="U"/>
    <x v="1"/>
    <d v="1950-12-30T00:00:00"/>
    <s v="Crishna-Godrej"/>
    <s v="Smita"/>
    <m/>
    <d v="2023-04-04T05:01:00"/>
    <m/>
    <m/>
    <n v="1950"/>
    <n v="180.44"/>
    <n v="7.7"/>
    <n v="2611000000000"/>
    <n v="28.1"/>
    <n v="113"/>
    <n v="11.2"/>
    <n v="49.7"/>
    <n v="1366417754"/>
  </r>
  <r>
    <x v="200"/>
    <x v="200"/>
    <x v="0"/>
    <x v="1073"/>
    <x v="40"/>
    <x v="1"/>
    <x v="418"/>
    <x v="81"/>
    <x v="0"/>
    <s v="United States"/>
    <m/>
    <x v="0"/>
    <s v="N"/>
    <x v="1"/>
    <d v="1932-07-21T00:00:00"/>
    <s v="Crook"/>
    <s v="Eleanor Butt"/>
    <m/>
    <d v="2023-04-04T05:01:00"/>
    <s v="Texas"/>
    <s v="South"/>
    <n v="1932"/>
    <n v="117.24"/>
    <n v="7.5"/>
    <n v="21427700000000"/>
    <n v="88.2"/>
    <n v="101.8"/>
    <n v="9.6"/>
    <n v="36.6"/>
    <n v="328239523"/>
  </r>
  <r>
    <x v="200"/>
    <x v="200"/>
    <x v="10"/>
    <x v="1074"/>
    <x v="52"/>
    <x v="5"/>
    <x v="19"/>
    <x v="50"/>
    <x v="10"/>
    <s v="China"/>
    <m/>
    <x v="1"/>
    <s v="D"/>
    <x v="0"/>
    <d v="1969-11-17T00:00:00"/>
    <s v="Du"/>
    <s v="Jiangtao"/>
    <m/>
    <d v="2023-04-04T05:01:00"/>
    <m/>
    <m/>
    <n v="1969"/>
    <n v="125.08"/>
    <n v="2.9"/>
    <n v="19910000000000"/>
    <n v="50.6"/>
    <n v="100.2"/>
    <n v="9.4"/>
    <n v="59.2"/>
    <n v="1397715000"/>
  </r>
  <r>
    <x v="200"/>
    <x v="200"/>
    <x v="17"/>
    <x v="1075"/>
    <x v="23"/>
    <x v="1"/>
    <x v="27"/>
    <x v="457"/>
    <x v="17"/>
    <s v="United States"/>
    <m/>
    <x v="0"/>
    <s v="U"/>
    <x v="0"/>
    <d v="1969-01-03T00:00:00"/>
    <s v="Fertitta"/>
    <s v="Lorenzo"/>
    <m/>
    <d v="2023-04-04T05:01:00"/>
    <s v="Nevada"/>
    <s v="West"/>
    <n v="1969"/>
    <n v="117.24"/>
    <n v="7.5"/>
    <n v="21427700000000"/>
    <n v="88.2"/>
    <n v="101.8"/>
    <n v="9.6"/>
    <n v="36.6"/>
    <n v="328239523"/>
  </r>
  <r>
    <x v="200"/>
    <x v="200"/>
    <x v="2"/>
    <x v="1076"/>
    <x v="44"/>
    <x v="7"/>
    <x v="189"/>
    <x v="458"/>
    <x v="2"/>
    <s v="Germany"/>
    <m/>
    <x v="0"/>
    <s v="U"/>
    <x v="0"/>
    <m/>
    <s v="Glaser"/>
    <s v="Sebastian"/>
    <m/>
    <d v="2023-04-04T05:01:00"/>
    <m/>
    <m/>
    <m/>
    <n v="112.85"/>
    <n v="1.4"/>
    <n v="3845630030824"/>
    <n v="70.2"/>
    <n v="104"/>
    <n v="11.5"/>
    <n v="48.8"/>
    <n v="83132799"/>
  </r>
  <r>
    <x v="200"/>
    <x v="200"/>
    <x v="6"/>
    <x v="1077"/>
    <x v="6"/>
    <x v="3"/>
    <x v="7"/>
    <x v="243"/>
    <x v="6"/>
    <s v="India"/>
    <m/>
    <x v="0"/>
    <s v="U"/>
    <x v="0"/>
    <d v="1942-04-03T00:00:00"/>
    <s v="Godrej"/>
    <s v="Adi"/>
    <m/>
    <d v="2023-04-04T05:01:00"/>
    <m/>
    <m/>
    <n v="1942"/>
    <n v="180.44"/>
    <n v="7.7"/>
    <n v="2611000000000"/>
    <n v="28.1"/>
    <n v="113"/>
    <n v="11.2"/>
    <n v="49.7"/>
    <n v="1366417754"/>
  </r>
  <r>
    <x v="200"/>
    <x v="200"/>
    <x v="6"/>
    <x v="1078"/>
    <x v="0"/>
    <x v="3"/>
    <x v="7"/>
    <x v="8"/>
    <x v="6"/>
    <s v="India"/>
    <m/>
    <x v="0"/>
    <s v="U"/>
    <x v="0"/>
    <d v="1949-01-24T00:00:00"/>
    <s v="Godrej"/>
    <s v="Jamshyd"/>
    <m/>
    <d v="2023-04-04T05:01:00"/>
    <m/>
    <m/>
    <n v="1949"/>
    <n v="180.44"/>
    <n v="7.7"/>
    <n v="2611000000000"/>
    <n v="28.1"/>
    <n v="113"/>
    <n v="11.2"/>
    <n v="49.7"/>
    <n v="1366417754"/>
  </r>
  <r>
    <x v="200"/>
    <x v="200"/>
    <x v="11"/>
    <x v="1079"/>
    <x v="32"/>
    <x v="31"/>
    <x v="25"/>
    <x v="459"/>
    <x v="11"/>
    <s v="Malaysia"/>
    <m/>
    <x v="0"/>
    <s v="Split Family Fortune"/>
    <x v="0"/>
    <d v="1967-01-01T00:00:00"/>
    <s v="Lee"/>
    <s v="Yeow Chor"/>
    <m/>
    <d v="2023-04-04T05:01:00"/>
    <m/>
    <m/>
    <n v="1967"/>
    <n v="121.46"/>
    <n v="0.7"/>
    <n v="364701517788"/>
    <n v="45.1"/>
    <n v="105.3"/>
    <n v="12"/>
    <n v="38.700000000000003"/>
    <n v="32447385"/>
  </r>
  <r>
    <x v="200"/>
    <x v="200"/>
    <x v="10"/>
    <x v="1080"/>
    <x v="17"/>
    <x v="5"/>
    <x v="19"/>
    <x v="460"/>
    <x v="10"/>
    <s v="China"/>
    <m/>
    <x v="1"/>
    <s v="D"/>
    <x v="0"/>
    <d v="1965-01-01T00:00:00"/>
    <s v="Li"/>
    <s v="Weiguo"/>
    <m/>
    <d v="2023-04-04T05:01:00"/>
    <m/>
    <m/>
    <n v="1965"/>
    <n v="125.08"/>
    <n v="2.9"/>
    <n v="19910000000000"/>
    <n v="50.6"/>
    <n v="100.2"/>
    <n v="9.4"/>
    <n v="59.2"/>
    <n v="1397715000"/>
  </r>
  <r>
    <x v="200"/>
    <x v="200"/>
    <x v="10"/>
    <x v="1081"/>
    <x v="23"/>
    <x v="17"/>
    <x v="48"/>
    <x v="50"/>
    <x v="10"/>
    <s v="Russia"/>
    <m/>
    <x v="1"/>
    <s v="R"/>
    <x v="0"/>
    <d v="1968-04-18T00:00:00"/>
    <s v="Mazepin"/>
    <s v="Dmitry"/>
    <m/>
    <d v="2023-04-04T05:01:00"/>
    <m/>
    <m/>
    <n v="1968"/>
    <n v="180.75"/>
    <n v="4.5"/>
    <n v="1699876578871"/>
    <n v="81.900000000000006"/>
    <n v="102.6"/>
    <n v="11.4"/>
    <n v="46.2"/>
    <n v="144373535"/>
  </r>
  <r>
    <x v="200"/>
    <x v="200"/>
    <x v="0"/>
    <x v="1082"/>
    <x v="20"/>
    <x v="1"/>
    <x v="419"/>
    <x v="461"/>
    <x v="0"/>
    <s v="United States"/>
    <m/>
    <x v="0"/>
    <s v="D"/>
    <x v="0"/>
    <d v="1936-07-22T00:00:00"/>
    <s v="McLane"/>
    <s v="Drayton"/>
    <m/>
    <d v="2023-04-04T05:01:00"/>
    <s v="Texas"/>
    <s v="South"/>
    <n v="1936"/>
    <n v="117.24"/>
    <n v="7.5"/>
    <n v="21427700000000"/>
    <n v="88.2"/>
    <n v="101.8"/>
    <n v="9.6"/>
    <n v="36.6"/>
    <n v="328239523"/>
  </r>
  <r>
    <x v="200"/>
    <x v="200"/>
    <x v="5"/>
    <x v="1083"/>
    <x v="5"/>
    <x v="60"/>
    <x v="420"/>
    <x v="7"/>
    <x v="5"/>
    <s v="Lebanon"/>
    <m/>
    <x v="1"/>
    <s v="D"/>
    <x v="0"/>
    <d v="1955-11-24T00:00:00"/>
    <s v="Mikati"/>
    <s v="Najib"/>
    <m/>
    <d v="2023-04-04T05:01:00"/>
    <m/>
    <m/>
    <n v="1955"/>
    <n v="130.02000000000001"/>
    <n v="3"/>
    <n v="53367042272"/>
    <n v="26.3"/>
    <n v="95.1"/>
    <n v="15.3"/>
    <n v="32.200000000000003"/>
    <n v="6855713"/>
  </r>
  <r>
    <x v="200"/>
    <x v="200"/>
    <x v="5"/>
    <x v="1084"/>
    <x v="3"/>
    <x v="60"/>
    <x v="420"/>
    <x v="7"/>
    <x v="5"/>
    <s v="Lebanon"/>
    <m/>
    <x v="1"/>
    <s v="D"/>
    <x v="0"/>
    <d v="1945-01-01T00:00:00"/>
    <s v="Mikati"/>
    <s v="Taha"/>
    <m/>
    <d v="2023-04-04T05:01:00"/>
    <m/>
    <m/>
    <n v="1945"/>
    <n v="130.02000000000001"/>
    <n v="3"/>
    <n v="53367042272"/>
    <n v="26.3"/>
    <n v="95.1"/>
    <n v="15.3"/>
    <n v="32.200000000000003"/>
    <n v="6855713"/>
  </r>
  <r>
    <x v="200"/>
    <x v="200"/>
    <x v="11"/>
    <x v="1085"/>
    <x v="20"/>
    <x v="12"/>
    <x v="31"/>
    <x v="36"/>
    <x v="11"/>
    <s v="Japan"/>
    <m/>
    <x v="0"/>
    <s v="D"/>
    <x v="0"/>
    <d v="1936-07-12T00:00:00"/>
    <s v="Mori"/>
    <s v="Akira"/>
    <m/>
    <d v="2023-04-04T05:01:00"/>
    <m/>
    <m/>
    <n v="1936"/>
    <n v="105.48"/>
    <n v="0.5"/>
    <n v="5081769542380"/>
    <n v="63.2"/>
    <n v="98.8"/>
    <n v="11.9"/>
    <n v="46.7"/>
    <n v="126226568"/>
  </r>
  <r>
    <x v="200"/>
    <x v="200"/>
    <x v="6"/>
    <x v="1086"/>
    <x v="48"/>
    <x v="3"/>
    <x v="7"/>
    <x v="243"/>
    <x v="6"/>
    <s v="India"/>
    <m/>
    <x v="0"/>
    <s v="U"/>
    <x v="0"/>
    <d v="1951-08-30T00:00:00"/>
    <s v="Naoroji"/>
    <s v="Rishad"/>
    <m/>
    <d v="2023-04-04T05:01:00"/>
    <m/>
    <m/>
    <n v="1951"/>
    <n v="180.44"/>
    <n v="7.7"/>
    <n v="2611000000000"/>
    <n v="28.1"/>
    <n v="113"/>
    <n v="11.2"/>
    <n v="49.7"/>
    <n v="1366417754"/>
  </r>
  <r>
    <x v="200"/>
    <x v="200"/>
    <x v="6"/>
    <x v="1087"/>
    <x v="9"/>
    <x v="0"/>
    <x v="0"/>
    <x v="462"/>
    <x v="6"/>
    <s v="Greece"/>
    <m/>
    <x v="0"/>
    <s v="E"/>
    <x v="0"/>
    <d v="1954-01-01T00:00:00"/>
    <s v="Niarchos"/>
    <s v="Philip"/>
    <m/>
    <d v="2023-04-04T05:01:00"/>
    <m/>
    <m/>
    <n v="1954"/>
    <n v="110.05"/>
    <n v="1.1000000000000001"/>
    <n v="2715518274227"/>
    <n v="65.599999999999994"/>
    <n v="102.5"/>
    <n v="24.2"/>
    <n v="60.7"/>
    <n v="67059887"/>
  </r>
  <r>
    <x v="200"/>
    <x v="200"/>
    <x v="2"/>
    <x v="1088"/>
    <x v="5"/>
    <x v="3"/>
    <x v="123"/>
    <x v="42"/>
    <x v="2"/>
    <s v="India"/>
    <m/>
    <x v="1"/>
    <s v="D"/>
    <x v="0"/>
    <d v="1955-06-02T00:00:00"/>
    <s v="Nilekani"/>
    <s v="Nandan"/>
    <m/>
    <d v="2023-04-04T05:01:00"/>
    <m/>
    <m/>
    <n v="1955"/>
    <n v="180.44"/>
    <n v="7.7"/>
    <n v="2611000000000"/>
    <n v="28.1"/>
    <n v="113"/>
    <n v="11.2"/>
    <n v="49.7"/>
    <n v="1366417754"/>
  </r>
  <r>
    <x v="200"/>
    <x v="200"/>
    <x v="0"/>
    <x v="1089"/>
    <x v="44"/>
    <x v="7"/>
    <x v="127"/>
    <x v="21"/>
    <x v="0"/>
    <s v="Germany"/>
    <m/>
    <x v="0"/>
    <s v="D"/>
    <x v="0"/>
    <m/>
    <s v="Otto"/>
    <s v="Benjamin"/>
    <m/>
    <d v="2023-04-04T05:01:00"/>
    <m/>
    <m/>
    <m/>
    <n v="112.85"/>
    <n v="1.4"/>
    <n v="3845630030824"/>
    <n v="70.2"/>
    <n v="104"/>
    <n v="11.5"/>
    <n v="48.8"/>
    <n v="83132799"/>
  </r>
  <r>
    <x v="200"/>
    <x v="200"/>
    <x v="6"/>
    <x v="1090"/>
    <x v="44"/>
    <x v="7"/>
    <x v="389"/>
    <x v="139"/>
    <x v="6"/>
    <s v="Germany"/>
    <m/>
    <x v="0"/>
    <s v="D"/>
    <x v="1"/>
    <m/>
    <s v="Otto"/>
    <s v="Maren"/>
    <m/>
    <d v="2023-04-04T05:01:00"/>
    <m/>
    <m/>
    <m/>
    <n v="112.85"/>
    <n v="1.4"/>
    <n v="3845630030824"/>
    <n v="70.2"/>
    <n v="104"/>
    <n v="11.5"/>
    <n v="48.8"/>
    <n v="83132799"/>
  </r>
  <r>
    <x v="200"/>
    <x v="200"/>
    <x v="15"/>
    <x v="1091"/>
    <x v="10"/>
    <x v="3"/>
    <x v="123"/>
    <x v="426"/>
    <x v="15"/>
    <s v="India"/>
    <m/>
    <x v="0"/>
    <s v="U"/>
    <x v="0"/>
    <d v="1972-11-11T00:00:00"/>
    <s v="Pai"/>
    <s v="Ranjan"/>
    <m/>
    <d v="2023-04-04T05:01:00"/>
    <m/>
    <m/>
    <n v="1972"/>
    <n v="180.44"/>
    <n v="7.7"/>
    <n v="2611000000000"/>
    <n v="28.1"/>
    <n v="113"/>
    <n v="11.2"/>
    <n v="49.7"/>
    <n v="1366417754"/>
  </r>
  <r>
    <x v="200"/>
    <x v="200"/>
    <x v="10"/>
    <x v="1092"/>
    <x v="31"/>
    <x v="3"/>
    <x v="7"/>
    <x v="463"/>
    <x v="10"/>
    <s v="India"/>
    <m/>
    <x v="0"/>
    <s v="D"/>
    <x v="0"/>
    <d v="1947-01-01T00:00:00"/>
    <s v="Parekh"/>
    <s v="Madhukar"/>
    <m/>
    <d v="2023-04-04T05:01:00"/>
    <m/>
    <m/>
    <n v="1947"/>
    <n v="180.44"/>
    <n v="7.7"/>
    <n v="2611000000000"/>
    <n v="28.1"/>
    <n v="113"/>
    <n v="11.2"/>
    <n v="49.7"/>
    <n v="1366417754"/>
  </r>
  <r>
    <x v="200"/>
    <x v="200"/>
    <x v="2"/>
    <x v="1093"/>
    <x v="27"/>
    <x v="1"/>
    <x v="115"/>
    <x v="13"/>
    <x v="2"/>
    <s v="United States"/>
    <m/>
    <x v="1"/>
    <s v="E"/>
    <x v="0"/>
    <d v="1979-12-03T00:00:00"/>
    <s v="Parker"/>
    <s v="Sean"/>
    <m/>
    <d v="2023-04-04T05:01:00"/>
    <s v="California"/>
    <s v="West"/>
    <n v="1979"/>
    <n v="117.24"/>
    <n v="7.5"/>
    <n v="21427700000000"/>
    <n v="88.2"/>
    <n v="101.8"/>
    <n v="9.6"/>
    <n v="36.6"/>
    <n v="328239523"/>
  </r>
  <r>
    <x v="200"/>
    <x v="200"/>
    <x v="14"/>
    <x v="1094"/>
    <x v="22"/>
    <x v="1"/>
    <x v="5"/>
    <x v="464"/>
    <x v="14"/>
    <s v="United States"/>
    <m/>
    <x v="0"/>
    <s v="U"/>
    <x v="0"/>
    <d v="1946-02-18T00:00:00"/>
    <s v="Rahr"/>
    <s v="Stewart"/>
    <m/>
    <d v="2023-04-04T05:01:00"/>
    <s v="New York"/>
    <s v="Northeast"/>
    <n v="1946"/>
    <n v="117.24"/>
    <n v="7.5"/>
    <n v="21427700000000"/>
    <n v="88.2"/>
    <n v="101.8"/>
    <n v="9.6"/>
    <n v="36.6"/>
    <n v="328239523"/>
  </r>
  <r>
    <x v="200"/>
    <x v="200"/>
    <x v="4"/>
    <x v="1095"/>
    <x v="51"/>
    <x v="5"/>
    <x v="19"/>
    <x v="465"/>
    <x v="4"/>
    <s v="China"/>
    <m/>
    <x v="1"/>
    <s v="D"/>
    <x v="0"/>
    <d v="1982-01-01T00:00:00"/>
    <s v="Su"/>
    <s v="Hua"/>
    <m/>
    <d v="2023-04-04T05:01:00"/>
    <m/>
    <m/>
    <n v="1982"/>
    <n v="125.08"/>
    <n v="2.9"/>
    <n v="19910000000000"/>
    <n v="50.6"/>
    <n v="100.2"/>
    <n v="9.4"/>
    <n v="59.2"/>
    <n v="1397715000"/>
  </r>
  <r>
    <x v="200"/>
    <x v="200"/>
    <x v="10"/>
    <x v="1096"/>
    <x v="16"/>
    <x v="5"/>
    <x v="421"/>
    <x v="466"/>
    <x v="10"/>
    <s v="China"/>
    <m/>
    <x v="1"/>
    <s v="E"/>
    <x v="0"/>
    <d v="1949-10-01T00:00:00"/>
    <s v="Sun"/>
    <s v="Shoukuan"/>
    <m/>
    <d v="2023-04-04T05:01:00"/>
    <m/>
    <m/>
    <n v="1949"/>
    <n v="125.08"/>
    <n v="2.9"/>
    <n v="19910000000000"/>
    <n v="50.6"/>
    <n v="100.2"/>
    <n v="9.4"/>
    <n v="59.2"/>
    <n v="1397715000"/>
  </r>
  <r>
    <x v="200"/>
    <x v="200"/>
    <x v="10"/>
    <x v="1097"/>
    <x v="38"/>
    <x v="35"/>
    <x v="25"/>
    <x v="156"/>
    <x v="10"/>
    <s v="Taiwan"/>
    <m/>
    <x v="0"/>
    <s v="U"/>
    <x v="0"/>
    <d v="1961-12-01T00:00:00"/>
    <s v="Tseng"/>
    <s v="Cheng"/>
    <m/>
    <d v="2023-04-04T05:01:00"/>
    <m/>
    <m/>
    <n v="1961"/>
    <m/>
    <m/>
    <m/>
    <m/>
    <m/>
    <m/>
    <m/>
    <m/>
  </r>
  <r>
    <x v="200"/>
    <x v="200"/>
    <x v="8"/>
    <x v="1098"/>
    <x v="18"/>
    <x v="10"/>
    <x v="36"/>
    <x v="23"/>
    <x v="8"/>
    <s v="Hong Kong"/>
    <m/>
    <x v="0"/>
    <s v="E"/>
    <x v="0"/>
    <d v="1937-07-07T00:00:00"/>
    <s v="Tung"/>
    <s v="Chee Hwa"/>
    <m/>
    <d v="2023-04-04T05:01:00"/>
    <m/>
    <m/>
    <n v="1937"/>
    <m/>
    <m/>
    <m/>
    <m/>
    <m/>
    <m/>
    <m/>
    <m/>
  </r>
  <r>
    <x v="200"/>
    <x v="200"/>
    <x v="2"/>
    <x v="1099"/>
    <x v="37"/>
    <x v="1"/>
    <x v="115"/>
    <x v="313"/>
    <x v="2"/>
    <s v="United States"/>
    <s v="Quibi"/>
    <x v="1"/>
    <s v="D"/>
    <x v="1"/>
    <d v="1956-08-04T00:00:00"/>
    <s v="Whitman"/>
    <s v="Meg"/>
    <s v="CEO"/>
    <d v="2023-04-04T05:01:00"/>
    <s v="California"/>
    <s v="West"/>
    <n v="1956"/>
    <n v="117.24"/>
    <n v="7.5"/>
    <n v="21427700000000"/>
    <n v="88.2"/>
    <n v="101.8"/>
    <n v="9.6"/>
    <n v="36.6"/>
    <n v="328239523"/>
  </r>
  <r>
    <x v="200"/>
    <x v="200"/>
    <x v="10"/>
    <x v="1100"/>
    <x v="38"/>
    <x v="10"/>
    <x v="36"/>
    <x v="467"/>
    <x v="10"/>
    <s v="China"/>
    <m/>
    <x v="1"/>
    <s v="D"/>
    <x v="0"/>
    <d v="1962-01-01T00:00:00"/>
    <s v="Wong"/>
    <s v="Luen Hei"/>
    <m/>
    <d v="2023-04-04T05:01:00"/>
    <m/>
    <m/>
    <n v="1962"/>
    <m/>
    <m/>
    <m/>
    <m/>
    <m/>
    <m/>
    <m/>
    <m/>
  </r>
  <r>
    <x v="200"/>
    <x v="200"/>
    <x v="14"/>
    <x v="1101"/>
    <x v="55"/>
    <x v="10"/>
    <x v="36"/>
    <x v="83"/>
    <x v="14"/>
    <s v="Hong Kong"/>
    <m/>
    <x v="1"/>
    <s v="D"/>
    <x v="0"/>
    <d v="1943-08-15T00:00:00"/>
    <s v="Ye"/>
    <s v="Chenghai"/>
    <m/>
    <d v="2023-04-04T05:01:00"/>
    <m/>
    <m/>
    <n v="1943"/>
    <m/>
    <m/>
    <m/>
    <m/>
    <m/>
    <m/>
    <m/>
    <m/>
  </r>
  <r>
    <x v="200"/>
    <x v="200"/>
    <x v="10"/>
    <x v="1102"/>
    <x v="32"/>
    <x v="5"/>
    <x v="26"/>
    <x v="332"/>
    <x v="10"/>
    <s v="China"/>
    <m/>
    <x v="1"/>
    <s v="U"/>
    <x v="0"/>
    <d v="1967-03-01T00:00:00"/>
    <s v="Zhu"/>
    <s v="Xingming"/>
    <m/>
    <d v="2023-04-04T05:01:00"/>
    <m/>
    <m/>
    <n v="1967"/>
    <n v="125.08"/>
    <n v="2.9"/>
    <n v="19910000000000"/>
    <n v="50.6"/>
    <n v="100.2"/>
    <n v="9.4"/>
    <n v="59.2"/>
    <n v="1397715000"/>
  </r>
  <r>
    <x v="201"/>
    <x v="201"/>
    <x v="3"/>
    <x v="1103"/>
    <x v="22"/>
    <x v="30"/>
    <x v="298"/>
    <x v="38"/>
    <x v="3"/>
    <s v="Brazil"/>
    <m/>
    <x v="0"/>
    <s v="D"/>
    <x v="0"/>
    <d v="1945-05-30T00:00:00"/>
    <s v="Abdalla Filho"/>
    <s v="Jose Joao"/>
    <m/>
    <d v="2023-04-04T05:01:00"/>
    <m/>
    <m/>
    <n v="1945"/>
    <n v="167.4"/>
    <n v="3.7"/>
    <n v="1839758040766"/>
    <n v="51.3"/>
    <n v="115.4"/>
    <n v="14.2"/>
    <n v="65.099999999999994"/>
    <n v="212559417"/>
  </r>
  <r>
    <x v="201"/>
    <x v="201"/>
    <x v="3"/>
    <x v="1104"/>
    <x v="6"/>
    <x v="4"/>
    <x v="276"/>
    <x v="38"/>
    <x v="3"/>
    <s v="Spain"/>
    <m/>
    <x v="0"/>
    <s v="D"/>
    <x v="0"/>
    <d v="1941-12-16T00:00:00"/>
    <s v="Abello"/>
    <s v="Juan"/>
    <m/>
    <d v="2023-04-04T05:01:00"/>
    <m/>
    <m/>
    <n v="1941"/>
    <n v="110.96"/>
    <n v="0.7"/>
    <n v="1394116310769"/>
    <n v="88.9"/>
    <n v="102.7"/>
    <n v="14.2"/>
    <n v="47"/>
    <n v="47076781"/>
  </r>
  <r>
    <x v="201"/>
    <x v="201"/>
    <x v="6"/>
    <x v="1105"/>
    <x v="30"/>
    <x v="61"/>
    <x v="422"/>
    <x v="8"/>
    <x v="6"/>
    <s v="Oman"/>
    <m/>
    <x v="1"/>
    <s v="U"/>
    <x v="0"/>
    <d v="1939-01-01T00:00:00"/>
    <s v="Bahwan"/>
    <s v="Suhail"/>
    <m/>
    <d v="2023-04-04T05:01:00"/>
    <m/>
    <m/>
    <n v="1939"/>
    <n v="113.53"/>
    <n v="0.1"/>
    <n v="76983094928"/>
    <n v="38"/>
    <n v="103.4"/>
    <n v="2.5"/>
    <n v="27.4"/>
    <n v="5266535"/>
  </r>
  <r>
    <x v="201"/>
    <x v="201"/>
    <x v="6"/>
    <x v="1106"/>
    <x v="36"/>
    <x v="3"/>
    <x v="7"/>
    <x v="8"/>
    <x v="6"/>
    <s v="India"/>
    <m/>
    <x v="0"/>
    <s v="Split Family Fortune"/>
    <x v="0"/>
    <d v="1952-08-19T00:00:00"/>
    <s v="Bajaj"/>
    <s v="Madhur"/>
    <m/>
    <d v="2023-04-04T05:01:00"/>
    <m/>
    <m/>
    <n v="1952"/>
    <n v="180.44"/>
    <n v="7.7"/>
    <n v="2611000000000"/>
    <n v="28.1"/>
    <n v="113"/>
    <n v="11.2"/>
    <n v="49.7"/>
    <n v="1366417754"/>
  </r>
  <r>
    <x v="201"/>
    <x v="201"/>
    <x v="6"/>
    <x v="1107"/>
    <x v="13"/>
    <x v="3"/>
    <x v="7"/>
    <x v="8"/>
    <x v="6"/>
    <s v="India"/>
    <m/>
    <x v="0"/>
    <s v="Split Family Fortune"/>
    <x v="0"/>
    <d v="1954-10-10T00:00:00"/>
    <s v="Bajaj"/>
    <s v="Niraj"/>
    <m/>
    <d v="2023-04-04T05:01:00"/>
    <m/>
    <m/>
    <n v="1954"/>
    <n v="180.44"/>
    <n v="7.7"/>
    <n v="2611000000000"/>
    <n v="28.1"/>
    <n v="113"/>
    <n v="11.2"/>
    <n v="49.7"/>
    <n v="1366417754"/>
  </r>
  <r>
    <x v="201"/>
    <x v="201"/>
    <x v="6"/>
    <x v="1108"/>
    <x v="0"/>
    <x v="3"/>
    <x v="7"/>
    <x v="8"/>
    <x v="6"/>
    <s v="India"/>
    <m/>
    <x v="0"/>
    <s v="Split Family Fortune"/>
    <x v="0"/>
    <d v="1948-06-08T00:00:00"/>
    <s v="Bajaj"/>
    <s v="Shekhar"/>
    <m/>
    <d v="2023-04-04T05:01:00"/>
    <m/>
    <m/>
    <n v="1948"/>
    <n v="180.44"/>
    <n v="7.7"/>
    <n v="2611000000000"/>
    <n v="28.1"/>
    <n v="113"/>
    <n v="11.2"/>
    <n v="49.7"/>
    <n v="1366417754"/>
  </r>
  <r>
    <x v="201"/>
    <x v="201"/>
    <x v="3"/>
    <x v="1109"/>
    <x v="25"/>
    <x v="10"/>
    <x v="36"/>
    <x v="90"/>
    <x v="3"/>
    <s v="India"/>
    <m/>
    <x v="1"/>
    <s v="U"/>
    <x v="0"/>
    <d v="1950-08-10T00:00:00"/>
    <s v="Banga"/>
    <s v="Harindarpal"/>
    <m/>
    <d v="2023-04-04T05:01:00"/>
    <m/>
    <m/>
    <n v="1950"/>
    <m/>
    <m/>
    <m/>
    <m/>
    <m/>
    <m/>
    <m/>
    <m/>
  </r>
  <r>
    <x v="201"/>
    <x v="201"/>
    <x v="14"/>
    <x v="1110"/>
    <x v="44"/>
    <x v="7"/>
    <x v="189"/>
    <x v="384"/>
    <x v="14"/>
    <s v="Germany"/>
    <m/>
    <x v="0"/>
    <s v="U"/>
    <x v="1"/>
    <m/>
    <s v="Baro"/>
    <s v="Ulrike"/>
    <m/>
    <d v="2023-04-04T05:01:00"/>
    <m/>
    <m/>
    <m/>
    <n v="112.85"/>
    <n v="1.4"/>
    <n v="3845630030824"/>
    <n v="70.2"/>
    <n v="104"/>
    <n v="11.5"/>
    <n v="48.8"/>
    <n v="83132799"/>
  </r>
  <r>
    <x v="201"/>
    <x v="201"/>
    <x v="14"/>
    <x v="1111"/>
    <x v="2"/>
    <x v="13"/>
    <x v="25"/>
    <x v="83"/>
    <x v="14"/>
    <s v="France"/>
    <m/>
    <x v="0"/>
    <s v="U"/>
    <x v="1"/>
    <d v="1963-08-08T00:00:00"/>
    <s v="Beaufour"/>
    <s v="Anne"/>
    <m/>
    <d v="2023-04-04T05:01:00"/>
    <m/>
    <m/>
    <n v="1963"/>
    <n v="119.62"/>
    <n v="1.7"/>
    <n v="2827113184696"/>
    <n v="60"/>
    <n v="101.2"/>
    <n v="25.5"/>
    <n v="30.6"/>
    <n v="66834405"/>
  </r>
  <r>
    <x v="201"/>
    <x v="201"/>
    <x v="14"/>
    <x v="1112"/>
    <x v="41"/>
    <x v="13"/>
    <x v="32"/>
    <x v="83"/>
    <x v="14"/>
    <s v="France"/>
    <m/>
    <x v="0"/>
    <s v="U"/>
    <x v="0"/>
    <d v="1965-06-01T00:00:00"/>
    <s v="Beaufour"/>
    <s v="Henri"/>
    <m/>
    <d v="2023-04-04T05:01:00"/>
    <m/>
    <m/>
    <n v="1965"/>
    <n v="119.62"/>
    <n v="1.7"/>
    <n v="2827113184696"/>
    <n v="60"/>
    <n v="101.2"/>
    <n v="25.5"/>
    <n v="30.6"/>
    <n v="66834405"/>
  </r>
  <r>
    <x v="201"/>
    <x v="201"/>
    <x v="10"/>
    <x v="1113"/>
    <x v="32"/>
    <x v="17"/>
    <x v="48"/>
    <x v="468"/>
    <x v="10"/>
    <s v="Russia"/>
    <m/>
    <x v="1"/>
    <s v="U"/>
    <x v="0"/>
    <d v="1966-10-23T00:00:00"/>
    <s v="Bokarev"/>
    <s v="Andrei"/>
    <m/>
    <d v="2023-04-04T05:01:00"/>
    <m/>
    <m/>
    <n v="1966"/>
    <n v="180.75"/>
    <n v="4.5"/>
    <n v="1699876578871"/>
    <n v="81.900000000000006"/>
    <n v="102.6"/>
    <n v="11.4"/>
    <n v="46.2"/>
    <n v="144373535"/>
  </r>
  <r>
    <x v="201"/>
    <x v="201"/>
    <x v="7"/>
    <x v="1114"/>
    <x v="35"/>
    <x v="14"/>
    <x v="83"/>
    <x v="469"/>
    <x v="7"/>
    <s v="Australia"/>
    <m/>
    <x v="1"/>
    <s v="D"/>
    <x v="0"/>
    <d v="1942-07-13T00:00:00"/>
    <s v="Cowin"/>
    <s v="Jack"/>
    <m/>
    <d v="2023-04-04T05:01:00"/>
    <m/>
    <m/>
    <n v="1942"/>
    <n v="119.8"/>
    <n v="1.6"/>
    <n v="1392680589329"/>
    <n v="113.1"/>
    <n v="100.3"/>
    <n v="23"/>
    <n v="47.4"/>
    <n v="25766605"/>
  </r>
  <r>
    <x v="201"/>
    <x v="201"/>
    <x v="3"/>
    <x v="1115"/>
    <x v="8"/>
    <x v="1"/>
    <x v="5"/>
    <x v="28"/>
    <x v="3"/>
    <s v="United States"/>
    <m/>
    <x v="1"/>
    <s v="U"/>
    <x v="0"/>
    <d v="1957-04-13T00:00:00"/>
    <s v="Dubin"/>
    <s v="Glenn"/>
    <m/>
    <d v="2023-04-04T05:01:00"/>
    <s v="New York"/>
    <s v="Northeast"/>
    <n v="1957"/>
    <n v="117.24"/>
    <n v="7.5"/>
    <n v="21427700000000"/>
    <n v="88.2"/>
    <n v="101.8"/>
    <n v="9.6"/>
    <n v="36.6"/>
    <n v="328239523"/>
  </r>
  <r>
    <x v="201"/>
    <x v="201"/>
    <x v="13"/>
    <x v="1116"/>
    <x v="53"/>
    <x v="13"/>
    <x v="32"/>
    <x v="69"/>
    <x v="13"/>
    <s v="Canada"/>
    <m/>
    <x v="1"/>
    <s v="D"/>
    <x v="0"/>
    <d v="1959-12-10T00:00:00"/>
    <s v="Edwards"/>
    <s v="N. Murray"/>
    <m/>
    <d v="2023-04-04T05:01:00"/>
    <m/>
    <m/>
    <n v="1959"/>
    <n v="119.62"/>
    <n v="1.7"/>
    <n v="2827113184696"/>
    <n v="60"/>
    <n v="101.2"/>
    <n v="25.5"/>
    <n v="30.6"/>
    <n v="66834405"/>
  </r>
  <r>
    <x v="201"/>
    <x v="201"/>
    <x v="17"/>
    <x v="1117"/>
    <x v="38"/>
    <x v="1"/>
    <x v="27"/>
    <x v="457"/>
    <x v="17"/>
    <s v="United States"/>
    <m/>
    <x v="0"/>
    <s v="U"/>
    <x v="0"/>
    <d v="1962-02-24T00:00:00"/>
    <s v="Fertitta"/>
    <s v="Frank"/>
    <m/>
    <d v="2023-04-04T05:01:00"/>
    <s v="Nevada"/>
    <s v="West"/>
    <n v="1962"/>
    <n v="117.24"/>
    <n v="7.5"/>
    <n v="21427700000000"/>
    <n v="88.2"/>
    <n v="101.8"/>
    <n v="9.6"/>
    <n v="36.6"/>
    <n v="328239523"/>
  </r>
  <r>
    <x v="201"/>
    <x v="201"/>
    <x v="1"/>
    <x v="1118"/>
    <x v="3"/>
    <x v="3"/>
    <x v="51"/>
    <x v="64"/>
    <x v="1"/>
    <s v="India"/>
    <m/>
    <x v="0"/>
    <s v="D"/>
    <x v="0"/>
    <d v="1944-11-05T00:00:00"/>
    <s v="Firodia"/>
    <s v="Abhay"/>
    <m/>
    <d v="2023-04-04T05:01:00"/>
    <m/>
    <m/>
    <n v="1944"/>
    <n v="180.44"/>
    <n v="7.7"/>
    <n v="2611000000000"/>
    <n v="28.1"/>
    <n v="113"/>
    <n v="11.2"/>
    <n v="49.7"/>
    <n v="1366417754"/>
  </r>
  <r>
    <x v="201"/>
    <x v="201"/>
    <x v="3"/>
    <x v="1119"/>
    <x v="41"/>
    <x v="13"/>
    <x v="32"/>
    <x v="196"/>
    <x v="3"/>
    <s v="Canada"/>
    <m/>
    <x v="1"/>
    <s v="D"/>
    <x v="0"/>
    <d v="1965-06-01T00:00:00"/>
    <s v="Flatt"/>
    <s v="Bruce"/>
    <s v="Investor"/>
    <d v="2023-04-04T05:01:00"/>
    <m/>
    <m/>
    <n v="1965"/>
    <n v="119.62"/>
    <n v="1.7"/>
    <n v="2827113184696"/>
    <n v="60"/>
    <n v="101.2"/>
    <n v="25.5"/>
    <n v="30.6"/>
    <n v="66834405"/>
  </r>
  <r>
    <x v="201"/>
    <x v="201"/>
    <x v="15"/>
    <x v="1120"/>
    <x v="30"/>
    <x v="4"/>
    <x v="423"/>
    <x v="368"/>
    <x v="15"/>
    <s v="Spain"/>
    <m/>
    <x v="0"/>
    <s v="D"/>
    <x v="0"/>
    <d v="1938-07-27T00:00:00"/>
    <s v="Fluxa Rossello"/>
    <s v="Miguel"/>
    <m/>
    <d v="2023-04-04T05:01:00"/>
    <m/>
    <m/>
    <n v="1938"/>
    <n v="110.96"/>
    <n v="0.7"/>
    <n v="1394116310769"/>
    <n v="88.9"/>
    <n v="102.7"/>
    <n v="14.2"/>
    <n v="47"/>
    <n v="47076781"/>
  </r>
  <r>
    <x v="201"/>
    <x v="201"/>
    <x v="12"/>
    <x v="1121"/>
    <x v="25"/>
    <x v="25"/>
    <x v="76"/>
    <x v="40"/>
    <x v="12"/>
    <s v="United States"/>
    <s v="Ivanhoe Mines Ltd."/>
    <x v="1"/>
    <s v="U"/>
    <x v="0"/>
    <d v="1950-08-18T00:00:00"/>
    <s v="Friedland"/>
    <s v="Robert"/>
    <s v="Founder and Executive Chairman"/>
    <d v="2023-04-04T05:01:00"/>
    <m/>
    <m/>
    <n v="1950"/>
    <n v="114.41"/>
    <n v="0.6"/>
    <n v="372062527489"/>
    <n v="84.8"/>
    <n v="100.6"/>
    <n v="13.1"/>
    <n v="21"/>
    <n v="5703569"/>
  </r>
  <r>
    <x v="201"/>
    <x v="201"/>
    <x v="12"/>
    <x v="1122"/>
    <x v="17"/>
    <x v="17"/>
    <x v="48"/>
    <x v="470"/>
    <x v="12"/>
    <s v="Russia"/>
    <m/>
    <x v="1"/>
    <s v="U"/>
    <x v="0"/>
    <d v="1964-05-17T00:00:00"/>
    <s v="Frolov"/>
    <s v="Alexander"/>
    <m/>
    <d v="2023-04-04T05:01:00"/>
    <m/>
    <m/>
    <n v="1964"/>
    <n v="180.75"/>
    <n v="4.5"/>
    <n v="1699876578871"/>
    <n v="81.900000000000006"/>
    <n v="102.6"/>
    <n v="11.4"/>
    <n v="46.2"/>
    <n v="144373535"/>
  </r>
  <r>
    <x v="201"/>
    <x v="201"/>
    <x v="6"/>
    <x v="1123"/>
    <x v="25"/>
    <x v="3"/>
    <x v="7"/>
    <x v="243"/>
    <x v="6"/>
    <s v="India"/>
    <m/>
    <x v="0"/>
    <s v="U"/>
    <x v="0"/>
    <d v="1951-01-01T00:00:00"/>
    <s v="Godrej"/>
    <s v="Nadir"/>
    <m/>
    <d v="2023-04-04T05:01:00"/>
    <m/>
    <m/>
    <n v="1951"/>
    <n v="180.44"/>
    <n v="7.7"/>
    <n v="2611000000000"/>
    <n v="28.1"/>
    <n v="113"/>
    <n v="11.2"/>
    <n v="49.7"/>
    <n v="1366417754"/>
  </r>
  <r>
    <x v="201"/>
    <x v="201"/>
    <x v="15"/>
    <x v="1124"/>
    <x v="41"/>
    <x v="1"/>
    <x v="424"/>
    <x v="467"/>
    <x v="15"/>
    <s v="United States"/>
    <m/>
    <x v="0"/>
    <s v="U"/>
    <x v="1"/>
    <d v="1965-12-07T00:00:00"/>
    <s v="Hardy Knox"/>
    <s v="Maggie"/>
    <m/>
    <d v="2023-04-04T05:01:00"/>
    <s v="Pennsylvania"/>
    <s v="Northeast"/>
    <n v="1965"/>
    <n v="117.24"/>
    <n v="7.5"/>
    <n v="21427700000000"/>
    <n v="88.2"/>
    <n v="101.8"/>
    <n v="9.6"/>
    <n v="36.6"/>
    <n v="328239523"/>
  </r>
  <r>
    <x v="201"/>
    <x v="201"/>
    <x v="3"/>
    <x v="1125"/>
    <x v="27"/>
    <x v="3"/>
    <x v="123"/>
    <x v="285"/>
    <x v="3"/>
    <s v="India"/>
    <m/>
    <x v="1"/>
    <s v="N"/>
    <x v="0"/>
    <d v="1979-10-05T00:00:00"/>
    <s v="Kamath"/>
    <s v="Nithin"/>
    <m/>
    <d v="2023-04-04T05:01:00"/>
    <m/>
    <m/>
    <n v="1979"/>
    <n v="180.44"/>
    <n v="7.7"/>
    <n v="2611000000000"/>
    <n v="28.1"/>
    <n v="113"/>
    <n v="11.2"/>
    <n v="49.7"/>
    <n v="1366417754"/>
  </r>
  <r>
    <x v="201"/>
    <x v="201"/>
    <x v="16"/>
    <x v="1126"/>
    <x v="41"/>
    <x v="17"/>
    <x v="48"/>
    <x v="36"/>
    <x v="16"/>
    <s v="Russia"/>
    <m/>
    <x v="1"/>
    <s v="U"/>
    <x v="0"/>
    <d v="1965-08-18T00:00:00"/>
    <s v="Karapetyan"/>
    <s v="Samvel"/>
    <m/>
    <d v="2023-04-04T05:01:00"/>
    <m/>
    <m/>
    <n v="1965"/>
    <n v="180.75"/>
    <n v="4.5"/>
    <n v="1699876578871"/>
    <n v="81.900000000000006"/>
    <n v="102.6"/>
    <n v="11.4"/>
    <n v="46.2"/>
    <n v="144373535"/>
  </r>
  <r>
    <x v="201"/>
    <x v="201"/>
    <x v="11"/>
    <x v="1127"/>
    <x v="41"/>
    <x v="10"/>
    <x v="36"/>
    <x v="36"/>
    <x v="11"/>
    <s v="China"/>
    <m/>
    <x v="1"/>
    <s v="D"/>
    <x v="0"/>
    <d v="1966-01-01T00:00:00"/>
    <s v="Kei"/>
    <s v="Hoi Pang"/>
    <m/>
    <d v="2023-04-04T05:01:00"/>
    <m/>
    <m/>
    <n v="1966"/>
    <m/>
    <m/>
    <m/>
    <m/>
    <m/>
    <m/>
    <m/>
    <m/>
  </r>
  <r>
    <x v="201"/>
    <x v="201"/>
    <x v="6"/>
    <x v="1128"/>
    <x v="4"/>
    <x v="47"/>
    <x v="228"/>
    <x v="8"/>
    <x v="6"/>
    <s v="Turkey"/>
    <m/>
    <x v="0"/>
    <s v="U"/>
    <x v="0"/>
    <d v="1930-10-09T00:00:00"/>
    <s v="Koc"/>
    <s v="Mustafa Rahmi"/>
    <m/>
    <d v="2023-04-04T05:01:00"/>
    <m/>
    <m/>
    <n v="1930"/>
    <n v="234.44"/>
    <n v="15.2"/>
    <n v="754411708203"/>
    <n v="23.9"/>
    <n v="93.2"/>
    <n v="17.899999999999999"/>
    <n v="42.3"/>
    <n v="83429615"/>
  </r>
  <r>
    <x v="201"/>
    <x v="201"/>
    <x v="3"/>
    <x v="1129"/>
    <x v="48"/>
    <x v="17"/>
    <x v="365"/>
    <x v="471"/>
    <x v="3"/>
    <s v="Russia"/>
    <m/>
    <x v="1"/>
    <s v="U"/>
    <x v="0"/>
    <d v="1951-07-25T00:00:00"/>
    <s v="Kovalchuk"/>
    <s v="Yuri"/>
    <m/>
    <d v="2023-04-04T05:01:00"/>
    <m/>
    <m/>
    <n v="1951"/>
    <n v="180.75"/>
    <n v="4.5"/>
    <n v="1699876578871"/>
    <n v="81.900000000000006"/>
    <n v="102.6"/>
    <n v="11.4"/>
    <n v="46.2"/>
    <n v="144373535"/>
  </r>
  <r>
    <x v="201"/>
    <x v="201"/>
    <x v="11"/>
    <x v="1130"/>
    <x v="59"/>
    <x v="10"/>
    <x v="36"/>
    <x v="36"/>
    <x v="11"/>
    <s v="Hong Kong"/>
    <m/>
    <x v="0"/>
    <s v="D"/>
    <x v="0"/>
    <d v="1985-05-01T00:00:00"/>
    <s v="Kwok"/>
    <s v="Geoffrey"/>
    <m/>
    <d v="2023-04-04T05:01:00"/>
    <m/>
    <m/>
    <n v="1985"/>
    <m/>
    <m/>
    <m/>
    <m/>
    <m/>
    <m/>
    <m/>
    <m/>
  </r>
  <r>
    <x v="201"/>
    <x v="201"/>
    <x v="11"/>
    <x v="1131"/>
    <x v="71"/>
    <x v="10"/>
    <x v="36"/>
    <x v="36"/>
    <x v="11"/>
    <s v="Hong Kong"/>
    <m/>
    <x v="0"/>
    <s v="U"/>
    <x v="0"/>
    <d v="1992-03-01T00:00:00"/>
    <s v="Kwok"/>
    <s v="Jonathan"/>
    <m/>
    <d v="2023-04-04T05:01:00"/>
    <m/>
    <m/>
    <n v="1992"/>
    <m/>
    <m/>
    <m/>
    <m/>
    <m/>
    <m/>
    <m/>
    <m/>
  </r>
  <r>
    <x v="201"/>
    <x v="201"/>
    <x v="10"/>
    <x v="1132"/>
    <x v="48"/>
    <x v="7"/>
    <x v="425"/>
    <x v="472"/>
    <x v="10"/>
    <s v="Germany"/>
    <m/>
    <x v="1"/>
    <s v="U"/>
    <x v="0"/>
    <d v="1952-01-18T00:00:00"/>
    <s v="Langer"/>
    <s v="Hans"/>
    <m/>
    <d v="2023-04-04T05:01:00"/>
    <m/>
    <m/>
    <n v="1952"/>
    <n v="112.85"/>
    <n v="1.4"/>
    <n v="3845630030824"/>
    <n v="70.2"/>
    <n v="104"/>
    <n v="11.5"/>
    <n v="48.8"/>
    <n v="83132799"/>
  </r>
  <r>
    <x v="201"/>
    <x v="201"/>
    <x v="10"/>
    <x v="1133"/>
    <x v="53"/>
    <x v="1"/>
    <x v="176"/>
    <x v="473"/>
    <x v="10"/>
    <s v="United States"/>
    <m/>
    <x v="0"/>
    <s v="U"/>
    <x v="0"/>
    <d v="1960-02-04T00:00:00"/>
    <s v="Laukien"/>
    <s v="Frank"/>
    <m/>
    <d v="2023-04-04T05:01:00"/>
    <s v="Massachusetts"/>
    <s v="Northeast"/>
    <n v="1960"/>
    <n v="117.24"/>
    <n v="7.5"/>
    <n v="21427700000000"/>
    <n v="88.2"/>
    <n v="101.8"/>
    <n v="9.6"/>
    <n v="36.6"/>
    <n v="328239523"/>
  </r>
  <r>
    <x v="201"/>
    <x v="201"/>
    <x v="11"/>
    <x v="1134"/>
    <x v="3"/>
    <x v="13"/>
    <x v="32"/>
    <x v="36"/>
    <x v="11"/>
    <s v="United Kingdom"/>
    <m/>
    <x v="1"/>
    <s v="D"/>
    <x v="1"/>
    <d v="1944-10-14T00:00:00"/>
    <s v="Lazari"/>
    <s v="Maritsa"/>
    <m/>
    <d v="2023-04-04T05:01:00"/>
    <m/>
    <m/>
    <n v="1944"/>
    <n v="119.62"/>
    <n v="1.7"/>
    <n v="2827113184696"/>
    <n v="60"/>
    <n v="101.2"/>
    <n v="25.5"/>
    <n v="30.6"/>
    <n v="66834405"/>
  </r>
  <r>
    <x v="201"/>
    <x v="201"/>
    <x v="11"/>
    <x v="1135"/>
    <x v="34"/>
    <x v="10"/>
    <x v="36"/>
    <x v="27"/>
    <x v="11"/>
    <s v="Hong Kong"/>
    <m/>
    <x v="0"/>
    <s v="D"/>
    <x v="1"/>
    <d v="1961-03-23T00:00:00"/>
    <s v="Leong"/>
    <s v="Angela"/>
    <m/>
    <d v="2023-04-04T05:01:00"/>
    <m/>
    <m/>
    <n v="1961"/>
    <m/>
    <m/>
    <m/>
    <m/>
    <m/>
    <m/>
    <m/>
    <m/>
  </r>
  <r>
    <x v="201"/>
    <x v="201"/>
    <x v="2"/>
    <x v="1136"/>
    <x v="2"/>
    <x v="5"/>
    <x v="19"/>
    <x v="117"/>
    <x v="2"/>
    <s v="China"/>
    <m/>
    <x v="1"/>
    <s v="D"/>
    <x v="0"/>
    <d v="1963-08-26T00:00:00"/>
    <s v="Li"/>
    <s v="Zhongchu"/>
    <m/>
    <d v="2023-04-04T05:01:00"/>
    <m/>
    <m/>
    <n v="1963"/>
    <n v="125.08"/>
    <n v="2.9"/>
    <n v="19910000000000"/>
    <n v="50.6"/>
    <n v="100.2"/>
    <n v="9.4"/>
    <n v="59.2"/>
    <n v="1397715000"/>
  </r>
  <r>
    <x v="201"/>
    <x v="201"/>
    <x v="7"/>
    <x v="1137"/>
    <x v="23"/>
    <x v="5"/>
    <x v="82"/>
    <x v="474"/>
    <x v="7"/>
    <s v="China"/>
    <m/>
    <x v="1"/>
    <s v="D"/>
    <x v="0"/>
    <d v="1969-01-03T00:00:00"/>
    <s v="Liang"/>
    <s v="Yunchao"/>
    <m/>
    <d v="2023-04-04T05:01:00"/>
    <m/>
    <m/>
    <n v="1969"/>
    <n v="125.08"/>
    <n v="2.9"/>
    <n v="19910000000000"/>
    <n v="50.6"/>
    <n v="100.2"/>
    <n v="9.4"/>
    <n v="59.2"/>
    <n v="1397715000"/>
  </r>
  <r>
    <x v="201"/>
    <x v="201"/>
    <x v="17"/>
    <x v="1138"/>
    <x v="22"/>
    <x v="1"/>
    <x v="57"/>
    <x v="475"/>
    <x v="17"/>
    <s v="United States"/>
    <m/>
    <x v="1"/>
    <s v="U"/>
    <x v="0"/>
    <d v="1945-08-24T00:00:00"/>
    <s v="McMahon"/>
    <s v="Vincent"/>
    <m/>
    <d v="2023-04-04T05:01:00"/>
    <s v="Connecticut"/>
    <s v="Northeast"/>
    <n v="1945"/>
    <n v="117.24"/>
    <n v="7.5"/>
    <n v="21427700000000"/>
    <n v="88.2"/>
    <n v="101.8"/>
    <n v="9.6"/>
    <n v="36.6"/>
    <n v="328239523"/>
  </r>
  <r>
    <x v="201"/>
    <x v="201"/>
    <x v="12"/>
    <x v="1139"/>
    <x v="38"/>
    <x v="29"/>
    <x v="140"/>
    <x v="40"/>
    <x v="12"/>
    <s v="South Africa"/>
    <m/>
    <x v="1"/>
    <s v="D"/>
    <x v="0"/>
    <d v="1962-01-28T00:00:00"/>
    <s v="Motsepe"/>
    <s v="Patrice"/>
    <m/>
    <d v="2023-04-04T05:01:00"/>
    <m/>
    <m/>
    <n v="1962"/>
    <n v="158.93"/>
    <n v="4.0999999999999996"/>
    <n v="351431649241"/>
    <n v="22.4"/>
    <n v="100.9"/>
    <n v="27.5"/>
    <n v="29.2"/>
    <n v="58558270"/>
  </r>
  <r>
    <x v="201"/>
    <x v="201"/>
    <x v="5"/>
    <x v="1140"/>
    <x v="29"/>
    <x v="62"/>
    <x v="426"/>
    <x v="7"/>
    <x v="5"/>
    <s v="Ireland"/>
    <m/>
    <x v="1"/>
    <s v="D"/>
    <x v="0"/>
    <d v="1958-04-17T00:00:00"/>
    <s v="O'Brien"/>
    <s v="Denis"/>
    <m/>
    <d v="2023-04-04T05:01:00"/>
    <m/>
    <m/>
    <n v="1958"/>
    <m/>
    <m/>
    <m/>
    <m/>
    <m/>
    <m/>
    <m/>
    <m/>
  </r>
  <r>
    <x v="201"/>
    <x v="201"/>
    <x v="7"/>
    <x v="1141"/>
    <x v="44"/>
    <x v="22"/>
    <x v="25"/>
    <x v="476"/>
    <x v="7"/>
    <s v="Germany"/>
    <m/>
    <x v="0"/>
    <s v="Split Family Fortune"/>
    <x v="0"/>
    <m/>
    <s v="Oberwelland"/>
    <s v="Timm"/>
    <m/>
    <d v="2023-04-04T05:01:00"/>
    <m/>
    <m/>
    <m/>
    <m/>
    <m/>
    <m/>
    <m/>
    <m/>
    <m/>
    <m/>
    <m/>
  </r>
  <r>
    <x v="201"/>
    <x v="201"/>
    <x v="6"/>
    <x v="1142"/>
    <x v="31"/>
    <x v="21"/>
    <x v="427"/>
    <x v="8"/>
    <x v="6"/>
    <s v="Sweden"/>
    <m/>
    <x v="0"/>
    <s v="E"/>
    <x v="0"/>
    <d v="1947-01-01T00:00:00"/>
    <s v="Olsson"/>
    <s v="Dan"/>
    <m/>
    <d v="2023-04-04T05:01:00"/>
    <m/>
    <m/>
    <n v="1947"/>
    <n v="110.51"/>
    <n v="1.8"/>
    <n v="530832908738"/>
    <n v="67"/>
    <n v="126.6"/>
    <n v="27.9"/>
    <n v="49.1"/>
    <n v="10285453"/>
  </r>
  <r>
    <x v="201"/>
    <x v="201"/>
    <x v="2"/>
    <x v="1143"/>
    <x v="9"/>
    <x v="12"/>
    <x v="31"/>
    <x v="477"/>
    <x v="2"/>
    <s v="Japan"/>
    <m/>
    <x v="0"/>
    <s v="U"/>
    <x v="0"/>
    <d v="1954-02-13T00:00:00"/>
    <s v="Otsuka"/>
    <s v="Yuji"/>
    <m/>
    <d v="2023-04-04T05:01:00"/>
    <m/>
    <m/>
    <n v="1954"/>
    <n v="105.48"/>
    <n v="0.5"/>
    <n v="5081769542380"/>
    <n v="63.2"/>
    <n v="98.8"/>
    <n v="11.9"/>
    <n v="46.7"/>
    <n v="126226568"/>
  </r>
  <r>
    <x v="201"/>
    <x v="201"/>
    <x v="0"/>
    <x v="1144"/>
    <x v="17"/>
    <x v="10"/>
    <x v="36"/>
    <x v="243"/>
    <x v="0"/>
    <s v="Canada"/>
    <m/>
    <x v="1"/>
    <s v="D"/>
    <x v="1"/>
    <d v="1965-01-01T00:00:00"/>
    <s v="Pan"/>
    <s v="Dong"/>
    <m/>
    <d v="2023-04-04T05:01:00"/>
    <m/>
    <m/>
    <n v="1965"/>
    <m/>
    <m/>
    <m/>
    <m/>
    <m/>
    <m/>
    <m/>
    <m/>
  </r>
  <r>
    <x v="201"/>
    <x v="201"/>
    <x v="6"/>
    <x v="1145"/>
    <x v="55"/>
    <x v="3"/>
    <x v="17"/>
    <x v="243"/>
    <x v="6"/>
    <s v="India"/>
    <m/>
    <x v="1"/>
    <s v="D"/>
    <x v="0"/>
    <d v="1944-01-07T00:00:00"/>
    <s v="Patel"/>
    <s v="Karsanbhai"/>
    <m/>
    <d v="2023-04-04T05:01:00"/>
    <m/>
    <m/>
    <n v="1944"/>
    <n v="180.44"/>
    <n v="7.7"/>
    <n v="2611000000000"/>
    <n v="28.1"/>
    <n v="113"/>
    <n v="11.2"/>
    <n v="49.7"/>
    <n v="1366417754"/>
  </r>
  <r>
    <x v="201"/>
    <x v="201"/>
    <x v="11"/>
    <x v="1146"/>
    <x v="30"/>
    <x v="1"/>
    <x v="9"/>
    <x v="36"/>
    <x v="11"/>
    <s v="United States"/>
    <m/>
    <x v="1"/>
    <s v="D"/>
    <x v="0"/>
    <d v="1938-10-01T00:00:00"/>
    <s v="Peery"/>
    <s v="Richard"/>
    <m/>
    <d v="2023-04-04T05:01:00"/>
    <s v="California"/>
    <s v="West"/>
    <n v="1938"/>
    <n v="117.24"/>
    <n v="7.5"/>
    <n v="21427700000000"/>
    <n v="88.2"/>
    <n v="101.8"/>
    <n v="9.6"/>
    <n v="36.6"/>
    <n v="328239523"/>
  </r>
  <r>
    <x v="201"/>
    <x v="201"/>
    <x v="12"/>
    <x v="1147"/>
    <x v="43"/>
    <x v="22"/>
    <x v="25"/>
    <x v="478"/>
    <x v="12"/>
    <s v="Italy"/>
    <m/>
    <x v="0"/>
    <s v="Split Family Fortune"/>
    <x v="0"/>
    <d v="1948-03-02T00:00:00"/>
    <s v="Rocca"/>
    <s v="Gianfelice"/>
    <m/>
    <d v="2023-04-04T05:01:00"/>
    <m/>
    <m/>
    <n v="1948"/>
    <m/>
    <m/>
    <m/>
    <m/>
    <m/>
    <m/>
    <m/>
    <m/>
  </r>
  <r>
    <x v="201"/>
    <x v="201"/>
    <x v="12"/>
    <x v="1148"/>
    <x v="36"/>
    <x v="22"/>
    <x v="25"/>
    <x v="478"/>
    <x v="12"/>
    <s v="Italy"/>
    <m/>
    <x v="0"/>
    <s v="Split Family Fortune"/>
    <x v="0"/>
    <d v="1952-10-14T00:00:00"/>
    <s v="Rocca"/>
    <s v="Paolo"/>
    <m/>
    <d v="2023-04-04T05:01:00"/>
    <m/>
    <m/>
    <n v="1952"/>
    <m/>
    <m/>
    <m/>
    <m/>
    <m/>
    <m/>
    <m/>
    <m/>
  </r>
  <r>
    <x v="201"/>
    <x v="201"/>
    <x v="14"/>
    <x v="1149"/>
    <x v="42"/>
    <x v="1"/>
    <x v="268"/>
    <x v="479"/>
    <x v="14"/>
    <s v="United States"/>
    <m/>
    <x v="1"/>
    <s v="N"/>
    <x v="0"/>
    <d v="1968-02-17T00:00:00"/>
    <s v="Rothbaum"/>
    <s v="Wayne"/>
    <s v="Investor"/>
    <d v="2023-04-04T05:01:00"/>
    <s v="Florida"/>
    <s v="South"/>
    <n v="1968"/>
    <n v="117.24"/>
    <n v="7.5"/>
    <n v="21427700000000"/>
    <n v="88.2"/>
    <n v="101.8"/>
    <n v="9.6"/>
    <n v="36.6"/>
    <n v="328239523"/>
  </r>
  <r>
    <x v="201"/>
    <x v="201"/>
    <x v="2"/>
    <x v="1150"/>
    <x v="13"/>
    <x v="1"/>
    <x v="9"/>
    <x v="13"/>
    <x v="2"/>
    <s v="United States"/>
    <s v="Meta Platforms"/>
    <x v="1"/>
    <s v="D"/>
    <x v="0"/>
    <d v="1955-01-02T00:00:00"/>
    <s v="Rothschild"/>
    <s v="Jeff"/>
    <s v="Advisor"/>
    <d v="2023-04-04T05:01:00"/>
    <s v="California"/>
    <s v="West"/>
    <n v="1955"/>
    <n v="117.24"/>
    <n v="7.5"/>
    <n v="21427700000000"/>
    <n v="88.2"/>
    <n v="101.8"/>
    <n v="9.6"/>
    <n v="36.6"/>
    <n v="328239523"/>
  </r>
  <r>
    <x v="201"/>
    <x v="201"/>
    <x v="2"/>
    <x v="1151"/>
    <x v="53"/>
    <x v="1"/>
    <x v="139"/>
    <x v="480"/>
    <x v="2"/>
    <s v="United States"/>
    <m/>
    <x v="1"/>
    <s v="N"/>
    <x v="0"/>
    <d v="1960-03-08T00:00:00"/>
    <s v="Sardana"/>
    <s v="Raj"/>
    <m/>
    <d v="2023-04-04T05:01:00"/>
    <s v="Georgia"/>
    <s v="South"/>
    <n v="1960"/>
    <n v="117.24"/>
    <n v="7.5"/>
    <n v="21427700000000"/>
    <n v="88.2"/>
    <n v="101.8"/>
    <n v="9.6"/>
    <n v="36.6"/>
    <n v="328239523"/>
  </r>
  <r>
    <x v="201"/>
    <x v="201"/>
    <x v="4"/>
    <x v="1152"/>
    <x v="44"/>
    <x v="22"/>
    <x v="25"/>
    <x v="317"/>
    <x v="4"/>
    <s v="Germany"/>
    <m/>
    <x v="0"/>
    <s v="U"/>
    <x v="1"/>
    <m/>
    <s v="Schoeller"/>
    <s v="Christiane"/>
    <m/>
    <d v="2023-04-04T05:01:00"/>
    <m/>
    <m/>
    <m/>
    <m/>
    <m/>
    <m/>
    <m/>
    <m/>
    <m/>
    <m/>
    <m/>
  </r>
  <r>
    <x v="201"/>
    <x v="201"/>
    <x v="10"/>
    <x v="1153"/>
    <x v="43"/>
    <x v="3"/>
    <x v="41"/>
    <x v="481"/>
    <x v="10"/>
    <s v="India"/>
    <m/>
    <x v="0"/>
    <s v="U"/>
    <x v="0"/>
    <d v="1947-07-21T00:00:00"/>
    <s v="Singhal"/>
    <s v="Salil"/>
    <m/>
    <d v="2023-04-04T05:01:00"/>
    <m/>
    <m/>
    <n v="1947"/>
    <n v="180.44"/>
    <n v="7.7"/>
    <n v="2611000000000"/>
    <n v="28.1"/>
    <n v="113"/>
    <n v="11.2"/>
    <n v="49.7"/>
    <n v="1366417754"/>
  </r>
  <r>
    <x v="201"/>
    <x v="201"/>
    <x v="8"/>
    <x v="1154"/>
    <x v="42"/>
    <x v="17"/>
    <x v="48"/>
    <x v="482"/>
    <x v="8"/>
    <s v="Russia"/>
    <m/>
    <x v="1"/>
    <s v="U"/>
    <x v="0"/>
    <d v="1967-09-25T00:00:00"/>
    <s v="Skorobogatko"/>
    <s v="Alexander"/>
    <m/>
    <d v="2023-04-04T05:01:00"/>
    <m/>
    <m/>
    <n v="1967"/>
    <n v="180.75"/>
    <n v="4.5"/>
    <n v="1699876578871"/>
    <n v="81.900000000000006"/>
    <n v="102.6"/>
    <n v="11.4"/>
    <n v="46.2"/>
    <n v="144373535"/>
  </r>
  <r>
    <x v="201"/>
    <x v="201"/>
    <x v="2"/>
    <x v="1155"/>
    <x v="63"/>
    <x v="1"/>
    <x v="115"/>
    <x v="483"/>
    <x v="2"/>
    <s v="United States"/>
    <s v="Snap"/>
    <x v="1"/>
    <s v="D"/>
    <x v="0"/>
    <d v="1990-06-04T00:00:00"/>
    <s v="Spiegel"/>
    <s v="Evan"/>
    <s v="Cofounder"/>
    <d v="2023-04-04T05:01:00"/>
    <s v="California"/>
    <s v="West"/>
    <n v="1990"/>
    <n v="117.24"/>
    <n v="7.5"/>
    <n v="21427700000000"/>
    <n v="88.2"/>
    <n v="101.8"/>
    <n v="9.6"/>
    <n v="36.6"/>
    <n v="328239523"/>
  </r>
  <r>
    <x v="201"/>
    <x v="201"/>
    <x v="15"/>
    <x v="1156"/>
    <x v="6"/>
    <x v="1"/>
    <x v="428"/>
    <x v="484"/>
    <x v="15"/>
    <s v="United States"/>
    <m/>
    <x v="1"/>
    <s v="U"/>
    <x v="0"/>
    <d v="1941-04-20T00:00:00"/>
    <s v="Taylor"/>
    <s v="Glen"/>
    <m/>
    <d v="2023-04-04T05:01:00"/>
    <s v="Minnesota"/>
    <s v="Midwest"/>
    <n v="1941"/>
    <n v="117.24"/>
    <n v="7.5"/>
    <n v="21427700000000"/>
    <n v="88.2"/>
    <n v="101.8"/>
    <n v="9.6"/>
    <n v="36.6"/>
    <n v="328239523"/>
  </r>
  <r>
    <x v="201"/>
    <x v="201"/>
    <x v="4"/>
    <x v="1157"/>
    <x v="33"/>
    <x v="1"/>
    <x v="429"/>
    <x v="485"/>
    <x v="4"/>
    <s v="United States"/>
    <m/>
    <x v="1"/>
    <s v="U"/>
    <x v="0"/>
    <d v="1970-06-11T00:00:00"/>
    <s v="Tull"/>
    <s v="Thomas"/>
    <m/>
    <d v="2023-04-04T05:01:00"/>
    <s v="Pennsylvania"/>
    <s v="Northeast"/>
    <n v="1970"/>
    <n v="117.24"/>
    <n v="7.5"/>
    <n v="21427700000000"/>
    <n v="88.2"/>
    <n v="101.8"/>
    <n v="9.6"/>
    <n v="36.6"/>
    <n v="328239523"/>
  </r>
  <r>
    <x v="201"/>
    <x v="201"/>
    <x v="12"/>
    <x v="1158"/>
    <x v="8"/>
    <x v="51"/>
    <x v="430"/>
    <x v="486"/>
    <x v="12"/>
    <s v="Kazakhstan"/>
    <m/>
    <x v="1"/>
    <s v="D"/>
    <x v="0"/>
    <d v="1958-01-01T00:00:00"/>
    <s v="Utemuratov"/>
    <s v="Bulat"/>
    <m/>
    <d v="2023-04-04T05:01:00"/>
    <m/>
    <m/>
    <n v="1958"/>
    <n v="182.75"/>
    <n v="5.2"/>
    <n v="180161741180"/>
    <n v="61.7"/>
    <n v="104.4"/>
    <n v="11.7"/>
    <n v="28.4"/>
    <n v="18513930"/>
  </r>
  <r>
    <x v="201"/>
    <x v="201"/>
    <x v="7"/>
    <x v="1159"/>
    <x v="72"/>
    <x v="36"/>
    <x v="431"/>
    <x v="487"/>
    <x v="7"/>
    <s v="Norway"/>
    <m/>
    <x v="0"/>
    <s v="D"/>
    <x v="0"/>
    <d v="1993-04-22T00:00:00"/>
    <s v="Witzoe"/>
    <s v="Gustav Magnar"/>
    <m/>
    <d v="2023-04-04T05:01:00"/>
    <m/>
    <m/>
    <n v="1993"/>
    <n v="120.27"/>
    <n v="2.2000000000000002"/>
    <n v="403336363636"/>
    <n v="82"/>
    <n v="100.3"/>
    <n v="23.9"/>
    <n v="36.200000000000003"/>
    <n v="5347896"/>
  </r>
  <r>
    <x v="201"/>
    <x v="201"/>
    <x v="10"/>
    <x v="1160"/>
    <x v="17"/>
    <x v="10"/>
    <x v="36"/>
    <x v="158"/>
    <x v="10"/>
    <s v="Hong Kong"/>
    <m/>
    <x v="1"/>
    <s v="D"/>
    <x v="0"/>
    <d v="1965-02-12T00:00:00"/>
    <s v="Wong"/>
    <s v="Man Li"/>
    <m/>
    <d v="2023-04-04T05:01:00"/>
    <m/>
    <m/>
    <n v="1965"/>
    <m/>
    <m/>
    <m/>
    <m/>
    <m/>
    <m/>
    <m/>
    <m/>
  </r>
  <r>
    <x v="201"/>
    <x v="201"/>
    <x v="14"/>
    <x v="1161"/>
    <x v="38"/>
    <x v="5"/>
    <x v="432"/>
    <x v="191"/>
    <x v="14"/>
    <s v="China"/>
    <m/>
    <x v="1"/>
    <s v="D"/>
    <x v="0"/>
    <d v="1962-02-27T00:00:00"/>
    <s v="Wu"/>
    <s v="Guangming"/>
    <m/>
    <d v="2023-04-04T05:01:00"/>
    <m/>
    <m/>
    <n v="1962"/>
    <n v="125.08"/>
    <n v="2.9"/>
    <n v="19910000000000"/>
    <n v="50.6"/>
    <n v="100.2"/>
    <n v="9.4"/>
    <n v="59.2"/>
    <n v="1397715000"/>
  </r>
  <r>
    <x v="201"/>
    <x v="201"/>
    <x v="14"/>
    <x v="1162"/>
    <x v="2"/>
    <x v="5"/>
    <x v="90"/>
    <x v="83"/>
    <x v="14"/>
    <s v="China"/>
    <m/>
    <x v="1"/>
    <s v="N"/>
    <x v="0"/>
    <d v="1963-12-01T00:00:00"/>
    <s v="Zhu "/>
    <s v="Yi "/>
    <m/>
    <d v="2023-04-04T05:01:00"/>
    <m/>
    <m/>
    <n v="1963"/>
    <n v="125.08"/>
    <n v="2.9"/>
    <n v="19910000000000"/>
    <n v="50.6"/>
    <n v="100.2"/>
    <n v="9.4"/>
    <n v="59.2"/>
    <n v="1397715000"/>
  </r>
  <r>
    <x v="202"/>
    <x v="202"/>
    <x v="11"/>
    <x v="1163"/>
    <x v="52"/>
    <x v="1"/>
    <x v="5"/>
    <x v="36"/>
    <x v="11"/>
    <s v="United States"/>
    <m/>
    <x v="1"/>
    <s v="D"/>
    <x v="0"/>
    <d v="1969-09-23T00:00:00"/>
    <s v="Ashkenazy"/>
    <s v="Ben"/>
    <m/>
    <d v="2023-04-04T05:01:00"/>
    <s v="New York"/>
    <s v="Northeast"/>
    <n v="1969"/>
    <n v="117.24"/>
    <n v="7.5"/>
    <n v="21427700000000"/>
    <n v="88.2"/>
    <n v="101.8"/>
    <n v="9.6"/>
    <n v="36.6"/>
    <n v="328239523"/>
  </r>
  <r>
    <x v="202"/>
    <x v="202"/>
    <x v="3"/>
    <x v="1164"/>
    <x v="23"/>
    <x v="1"/>
    <x v="5"/>
    <x v="479"/>
    <x v="3"/>
    <s v="United States"/>
    <m/>
    <x v="1"/>
    <s v="D"/>
    <x v="0"/>
    <d v="1969-03-29T00:00:00"/>
    <s v="Baker"/>
    <s v="Felix"/>
    <m/>
    <d v="2023-04-04T05:01:00"/>
    <s v="New York"/>
    <s v="Northeast"/>
    <n v="1969"/>
    <n v="117.24"/>
    <n v="7.5"/>
    <n v="21427700000000"/>
    <n v="88.2"/>
    <n v="101.8"/>
    <n v="9.6"/>
    <n v="36.6"/>
    <n v="328239523"/>
  </r>
  <r>
    <x v="202"/>
    <x v="202"/>
    <x v="3"/>
    <x v="1165"/>
    <x v="32"/>
    <x v="1"/>
    <x v="5"/>
    <x v="377"/>
    <x v="3"/>
    <s v="United States"/>
    <m/>
    <x v="1"/>
    <s v="D"/>
    <x v="0"/>
    <d v="1966-05-21T00:00:00"/>
    <s v="Baker"/>
    <s v="Julian"/>
    <m/>
    <d v="2023-04-04T05:01:00"/>
    <s v="New York"/>
    <s v="Northeast"/>
    <n v="1966"/>
    <n v="117.24"/>
    <n v="7.5"/>
    <n v="21427700000000"/>
    <n v="88.2"/>
    <n v="101.8"/>
    <n v="9.6"/>
    <n v="36.6"/>
    <n v="328239523"/>
  </r>
  <r>
    <x v="202"/>
    <x v="202"/>
    <x v="4"/>
    <x v="1166"/>
    <x v="15"/>
    <x v="1"/>
    <x v="120"/>
    <x v="41"/>
    <x v="4"/>
    <s v="United States"/>
    <m/>
    <x v="1"/>
    <s v="U"/>
    <x v="0"/>
    <d v="1963-01-20T00:00:00"/>
    <s v="Baszucki"/>
    <s v="David"/>
    <m/>
    <d v="2023-04-04T05:01:00"/>
    <s v="California"/>
    <s v="West"/>
    <n v="1963"/>
    <n v="117.24"/>
    <n v="7.5"/>
    <n v="21427700000000"/>
    <n v="88.2"/>
    <n v="101.8"/>
    <n v="9.6"/>
    <n v="36.6"/>
    <n v="328239523"/>
  </r>
  <r>
    <x v="202"/>
    <x v="202"/>
    <x v="7"/>
    <x v="1167"/>
    <x v="1"/>
    <x v="30"/>
    <x v="99"/>
    <x v="488"/>
    <x v="7"/>
    <s v="Brazil"/>
    <m/>
    <x v="0"/>
    <s v="D"/>
    <x v="0"/>
    <d v="1972-02-05T00:00:00"/>
    <s v="Batista"/>
    <s v="Joesley"/>
    <m/>
    <d v="2023-04-04T05:01:00"/>
    <m/>
    <m/>
    <n v="1972"/>
    <n v="167.4"/>
    <n v="3.7"/>
    <n v="1839758040766"/>
    <n v="51.3"/>
    <n v="115.4"/>
    <n v="14.2"/>
    <n v="65.099999999999994"/>
    <n v="212559417"/>
  </r>
  <r>
    <x v="202"/>
    <x v="202"/>
    <x v="7"/>
    <x v="1168"/>
    <x v="10"/>
    <x v="30"/>
    <x v="99"/>
    <x v="489"/>
    <x v="7"/>
    <s v="Brazil"/>
    <m/>
    <x v="0"/>
    <s v="D"/>
    <x v="0"/>
    <d v="1972-12-08T00:00:00"/>
    <s v="Batista"/>
    <s v="Wesley"/>
    <m/>
    <d v="2023-04-04T05:01:00"/>
    <m/>
    <m/>
    <n v="1972"/>
    <n v="167.4"/>
    <n v="3.7"/>
    <n v="1839758040766"/>
    <n v="51.3"/>
    <n v="115.4"/>
    <n v="14.2"/>
    <n v="65.099999999999994"/>
    <n v="212559417"/>
  </r>
  <r>
    <x v="202"/>
    <x v="202"/>
    <x v="4"/>
    <x v="1169"/>
    <x v="62"/>
    <x v="7"/>
    <x v="127"/>
    <x v="490"/>
    <x v="4"/>
    <s v="Germany"/>
    <m/>
    <x v="0"/>
    <s v="D"/>
    <x v="1"/>
    <d v="1977-03-29T00:00:00"/>
    <s v="Bauer"/>
    <s v="Yvonne"/>
    <m/>
    <d v="2023-04-04T05:01:00"/>
    <m/>
    <m/>
    <n v="1977"/>
    <n v="112.85"/>
    <n v="1.4"/>
    <n v="3845630030824"/>
    <n v="70.2"/>
    <n v="104"/>
    <n v="11.5"/>
    <n v="48.8"/>
    <n v="83132799"/>
  </r>
  <r>
    <x v="202"/>
    <x v="202"/>
    <x v="10"/>
    <x v="1170"/>
    <x v="65"/>
    <x v="8"/>
    <x v="433"/>
    <x v="50"/>
    <x v="10"/>
    <s v="Switzerland"/>
    <m/>
    <x v="0"/>
    <s v="D"/>
    <x v="1"/>
    <d v="1975-01-01T00:00:00"/>
    <s v="Baumann-Blocher"/>
    <s v="Miriam"/>
    <m/>
    <d v="2023-04-04T05:01:00"/>
    <m/>
    <m/>
    <n v="1975"/>
    <n v="99.55"/>
    <n v="0.4"/>
    <n v="703082435360"/>
    <n v="59.6"/>
    <n v="105.2"/>
    <n v="10.1"/>
    <n v="28.8"/>
    <n v="8574832"/>
  </r>
  <r>
    <x v="202"/>
    <x v="202"/>
    <x v="14"/>
    <x v="1171"/>
    <x v="17"/>
    <x v="5"/>
    <x v="111"/>
    <x v="83"/>
    <x v="14"/>
    <s v="China"/>
    <m/>
    <x v="1"/>
    <s v="U"/>
    <x v="0"/>
    <d v="1964-06-18T00:00:00"/>
    <s v="Cen"/>
    <s v="Junda"/>
    <m/>
    <d v="2023-04-04T05:01:00"/>
    <m/>
    <m/>
    <n v="1964"/>
    <n v="125.08"/>
    <n v="2.9"/>
    <n v="19910000000000"/>
    <n v="50.6"/>
    <n v="100.2"/>
    <n v="9.4"/>
    <n v="59.2"/>
    <n v="1397715000"/>
  </r>
  <r>
    <x v="202"/>
    <x v="202"/>
    <x v="3"/>
    <x v="1172"/>
    <x v="29"/>
    <x v="25"/>
    <x v="76"/>
    <x v="38"/>
    <x v="3"/>
    <s v="New Zealand"/>
    <m/>
    <x v="0"/>
    <s v="U"/>
    <x v="0"/>
    <d v="1959-01-01T00:00:00"/>
    <s v="Chandler"/>
    <s v="Richard"/>
    <m/>
    <d v="2023-04-04T05:01:00"/>
    <m/>
    <m/>
    <n v="1959"/>
    <n v="114.41"/>
    <n v="0.6"/>
    <n v="372062527489"/>
    <n v="84.8"/>
    <n v="100.6"/>
    <n v="13.1"/>
    <n v="21"/>
    <n v="5703569"/>
  </r>
  <r>
    <x v="202"/>
    <x v="202"/>
    <x v="10"/>
    <x v="1173"/>
    <x v="47"/>
    <x v="5"/>
    <x v="26"/>
    <x v="491"/>
    <x v="10"/>
    <s v="China"/>
    <m/>
    <x v="1"/>
    <s v="D"/>
    <x v="0"/>
    <d v="1976-01-01T00:00:00"/>
    <s v="Chen"/>
    <s v="Zhiping"/>
    <m/>
    <d v="2023-04-04T05:01:00"/>
    <m/>
    <m/>
    <n v="1976"/>
    <n v="125.08"/>
    <n v="2.9"/>
    <n v="19910000000000"/>
    <n v="50.6"/>
    <n v="100.2"/>
    <n v="9.4"/>
    <n v="59.2"/>
    <n v="1397715000"/>
  </r>
  <r>
    <x v="202"/>
    <x v="202"/>
    <x v="15"/>
    <x v="1174"/>
    <x v="48"/>
    <x v="2"/>
    <x v="6"/>
    <x v="492"/>
    <x v="15"/>
    <s v="Mexico"/>
    <m/>
    <x v="1"/>
    <s v="U"/>
    <x v="0"/>
    <d v="1952-02-15T00:00:00"/>
    <s v="Chico Pardo"/>
    <s v="Fernando"/>
    <m/>
    <d v="2023-04-04T05:01:00"/>
    <m/>
    <m/>
    <n v="1952"/>
    <n v="141.54"/>
    <n v="3.6"/>
    <n v="1258286717125"/>
    <n v="40.200000000000003"/>
    <n v="105.8"/>
    <n v="13.1"/>
    <n v="55.1"/>
    <n v="126014024"/>
  </r>
  <r>
    <x v="202"/>
    <x v="202"/>
    <x v="13"/>
    <x v="1175"/>
    <x v="6"/>
    <x v="1"/>
    <x v="80"/>
    <x v="175"/>
    <x v="13"/>
    <s v="United States"/>
    <m/>
    <x v="1"/>
    <s v="U"/>
    <x v="0"/>
    <d v="1941-12-18T00:00:00"/>
    <s v="Davis"/>
    <s v="Ray"/>
    <m/>
    <d v="2023-04-04T05:01:00"/>
    <s v="Texas"/>
    <s v="South"/>
    <n v="1941"/>
    <n v="117.24"/>
    <n v="7.5"/>
    <n v="21427700000000"/>
    <n v="88.2"/>
    <n v="101.8"/>
    <n v="9.6"/>
    <n v="36.6"/>
    <n v="328239523"/>
  </r>
  <r>
    <x v="202"/>
    <x v="202"/>
    <x v="16"/>
    <x v="1176"/>
    <x v="5"/>
    <x v="4"/>
    <x v="276"/>
    <x v="300"/>
    <x v="16"/>
    <s v="Spain"/>
    <m/>
    <x v="0"/>
    <s v="U"/>
    <x v="1"/>
    <d v="1956-03-19T00:00:00"/>
    <s v="Del Pino"/>
    <s v="Maria"/>
    <m/>
    <d v="2023-04-04T05:01:00"/>
    <m/>
    <m/>
    <n v="1956"/>
    <n v="110.96"/>
    <n v="0.7"/>
    <n v="1394116310769"/>
    <n v="88.9"/>
    <n v="102.7"/>
    <n v="14.2"/>
    <n v="47"/>
    <n v="47076781"/>
  </r>
  <r>
    <x v="202"/>
    <x v="202"/>
    <x v="10"/>
    <x v="1177"/>
    <x v="23"/>
    <x v="5"/>
    <x v="78"/>
    <x v="493"/>
    <x v="10"/>
    <s v="China"/>
    <m/>
    <x v="1"/>
    <s v="D"/>
    <x v="0"/>
    <d v="1968-09-01T00:00:00"/>
    <s v="Deng"/>
    <s v="Weiming"/>
    <m/>
    <d v="2023-04-04T05:01:00"/>
    <m/>
    <m/>
    <n v="1968"/>
    <n v="125.08"/>
    <n v="2.9"/>
    <n v="19910000000000"/>
    <n v="50.6"/>
    <n v="100.2"/>
    <n v="9.4"/>
    <n v="59.2"/>
    <n v="1397715000"/>
  </r>
  <r>
    <x v="202"/>
    <x v="202"/>
    <x v="7"/>
    <x v="1178"/>
    <x v="55"/>
    <x v="62"/>
    <x v="426"/>
    <x v="323"/>
    <x v="7"/>
    <s v="Ireland"/>
    <m/>
    <x v="0"/>
    <s v="D"/>
    <x v="0"/>
    <d v="1944-01-01T00:00:00"/>
    <s v="Dorrance"/>
    <s v="John"/>
    <m/>
    <d v="2023-04-04T05:01:00"/>
    <m/>
    <m/>
    <n v="1944"/>
    <m/>
    <m/>
    <m/>
    <m/>
    <m/>
    <m/>
    <m/>
    <m/>
  </r>
  <r>
    <x v="202"/>
    <x v="202"/>
    <x v="6"/>
    <x v="1179"/>
    <x v="38"/>
    <x v="21"/>
    <x v="69"/>
    <x v="38"/>
    <x v="6"/>
    <s v="Sweden"/>
    <m/>
    <x v="0"/>
    <s v="D"/>
    <x v="0"/>
    <d v="1961-05-05T00:00:00"/>
    <s v="Douglas"/>
    <s v="Carl"/>
    <m/>
    <d v="2023-04-04T05:01:00"/>
    <m/>
    <m/>
    <n v="1961"/>
    <n v="110.51"/>
    <n v="1.8"/>
    <n v="530832908738"/>
    <n v="67"/>
    <n v="126.6"/>
    <n v="27.9"/>
    <n v="49.1"/>
    <n v="10285453"/>
  </r>
  <r>
    <x v="202"/>
    <x v="202"/>
    <x v="6"/>
    <x v="1180"/>
    <x v="23"/>
    <x v="21"/>
    <x v="69"/>
    <x v="38"/>
    <x v="6"/>
    <s v="Sweden"/>
    <m/>
    <x v="0"/>
    <s v="D"/>
    <x v="0"/>
    <d v="1968-05-01T00:00:00"/>
    <s v="Douglas"/>
    <s v="Eric"/>
    <m/>
    <d v="2023-04-04T05:01:00"/>
    <m/>
    <m/>
    <n v="1968"/>
    <n v="110.51"/>
    <n v="1.8"/>
    <n v="530832908738"/>
    <n v="67"/>
    <n v="126.6"/>
    <n v="27.9"/>
    <n v="49.1"/>
    <n v="10285453"/>
  </r>
  <r>
    <x v="202"/>
    <x v="202"/>
    <x v="10"/>
    <x v="1181"/>
    <x v="17"/>
    <x v="14"/>
    <x v="93"/>
    <x v="108"/>
    <x v="10"/>
    <s v="Australia"/>
    <m/>
    <x v="0"/>
    <s v="D"/>
    <x v="1"/>
    <d v="1964-12-01T00:00:00"/>
    <s v="Geminder"/>
    <s v="Fiona"/>
    <m/>
    <d v="2023-04-04T05:01:00"/>
    <m/>
    <m/>
    <n v="1964"/>
    <n v="119.8"/>
    <n v="1.6"/>
    <n v="1392680589329"/>
    <n v="113.1"/>
    <n v="100.3"/>
    <n v="23"/>
    <n v="47.4"/>
    <n v="25766605"/>
  </r>
  <r>
    <x v="202"/>
    <x v="202"/>
    <x v="3"/>
    <x v="1182"/>
    <x v="18"/>
    <x v="1"/>
    <x v="249"/>
    <x v="4"/>
    <x v="3"/>
    <s v="United States"/>
    <m/>
    <x v="1"/>
    <s v="D"/>
    <x v="0"/>
    <d v="1937-09-19T00:00:00"/>
    <s v="Horejsi"/>
    <s v="Stewart"/>
    <m/>
    <d v="2023-04-04T05:01:00"/>
    <s v="Arizona"/>
    <s v="West"/>
    <n v="1937"/>
    <n v="117.24"/>
    <n v="7.5"/>
    <n v="21427700000000"/>
    <n v="88.2"/>
    <n v="101.8"/>
    <n v="9.6"/>
    <n v="36.6"/>
    <n v="328239523"/>
  </r>
  <r>
    <x v="202"/>
    <x v="202"/>
    <x v="14"/>
    <x v="1183"/>
    <x v="17"/>
    <x v="5"/>
    <x v="12"/>
    <x v="427"/>
    <x v="14"/>
    <s v="China"/>
    <m/>
    <x v="1"/>
    <s v="U"/>
    <x v="0"/>
    <d v="1964-12-17T00:00:00"/>
    <s v="Hou"/>
    <s v="Juncheng"/>
    <m/>
    <d v="2023-04-04T05:01:00"/>
    <m/>
    <m/>
    <n v="1964"/>
    <n v="125.08"/>
    <n v="2.9"/>
    <n v="19910000000000"/>
    <n v="50.6"/>
    <n v="100.2"/>
    <n v="9.4"/>
    <n v="59.2"/>
    <n v="1397715000"/>
  </r>
  <r>
    <x v="202"/>
    <x v="202"/>
    <x v="16"/>
    <x v="1184"/>
    <x v="43"/>
    <x v="5"/>
    <x v="434"/>
    <x v="300"/>
    <x v="16"/>
    <s v="China"/>
    <m/>
    <x v="1"/>
    <s v="D"/>
    <x v="0"/>
    <d v="1947-09-01T00:00:00"/>
    <s v="Huang"/>
    <s v="Zhenda"/>
    <m/>
    <d v="2023-04-04T05:01:00"/>
    <m/>
    <m/>
    <n v="1947"/>
    <n v="125.08"/>
    <n v="2.9"/>
    <n v="19910000000000"/>
    <n v="50.6"/>
    <n v="100.2"/>
    <n v="9.4"/>
    <n v="59.2"/>
    <n v="1397715000"/>
  </r>
  <r>
    <x v="202"/>
    <x v="202"/>
    <x v="15"/>
    <x v="1185"/>
    <x v="23"/>
    <x v="17"/>
    <x v="48"/>
    <x v="494"/>
    <x v="15"/>
    <s v="Russia"/>
    <m/>
    <x v="1"/>
    <s v="U"/>
    <x v="0"/>
    <d v="1968-04-26T00:00:00"/>
    <s v="Kamenshchik"/>
    <s v="Dmitry"/>
    <m/>
    <d v="2023-04-04T05:01:00"/>
    <m/>
    <m/>
    <n v="1968"/>
    <n v="180.75"/>
    <n v="4.5"/>
    <n v="1699876578871"/>
    <n v="81.900000000000006"/>
    <n v="102.6"/>
    <n v="11.4"/>
    <n v="46.2"/>
    <n v="144373535"/>
  </r>
  <r>
    <x v="202"/>
    <x v="202"/>
    <x v="3"/>
    <x v="1186"/>
    <x v="9"/>
    <x v="4"/>
    <x v="276"/>
    <x v="166"/>
    <x v="3"/>
    <s v="Spain"/>
    <m/>
    <x v="0"/>
    <s v="D"/>
    <x v="1"/>
    <d v="1953-09-12T00:00:00"/>
    <s v="Koplowitz"/>
    <s v="Alicia"/>
    <m/>
    <d v="2023-04-04T05:01:00"/>
    <m/>
    <m/>
    <n v="1953"/>
    <n v="110.96"/>
    <n v="0.7"/>
    <n v="1394116310769"/>
    <n v="88.9"/>
    <n v="102.7"/>
    <n v="14.2"/>
    <n v="47"/>
    <n v="47076781"/>
  </r>
  <r>
    <x v="202"/>
    <x v="202"/>
    <x v="11"/>
    <x v="1187"/>
    <x v="60"/>
    <x v="10"/>
    <x v="36"/>
    <x v="36"/>
    <x v="11"/>
    <s v="Hong Kong"/>
    <m/>
    <x v="0"/>
    <s v="U"/>
    <x v="0"/>
    <d v="1983-04-01T00:00:00"/>
    <s v="Kwok"/>
    <s v="Adam"/>
    <m/>
    <d v="2023-04-04T05:01:00"/>
    <m/>
    <m/>
    <n v="1983"/>
    <m/>
    <m/>
    <m/>
    <m/>
    <m/>
    <m/>
    <m/>
    <m/>
  </r>
  <r>
    <x v="202"/>
    <x v="202"/>
    <x v="3"/>
    <x v="1188"/>
    <x v="22"/>
    <x v="1"/>
    <x v="435"/>
    <x v="28"/>
    <x v="3"/>
    <s v="United States"/>
    <m/>
    <x v="1"/>
    <s v="U"/>
    <x v="0"/>
    <d v="1945-08-13T00:00:00"/>
    <s v="Laufer"/>
    <s v="Henry"/>
    <s v="Investor"/>
    <d v="2023-04-04T05:01:00"/>
    <s v="Florida"/>
    <s v="South"/>
    <n v="1945"/>
    <n v="117.24"/>
    <n v="7.5"/>
    <n v="21427700000000"/>
    <n v="88.2"/>
    <n v="101.8"/>
    <n v="9.6"/>
    <n v="36.6"/>
    <n v="328239523"/>
  </r>
  <r>
    <x v="202"/>
    <x v="202"/>
    <x v="7"/>
    <x v="1189"/>
    <x v="31"/>
    <x v="0"/>
    <x v="0"/>
    <x v="495"/>
    <x v="7"/>
    <s v="France"/>
    <m/>
    <x v="1"/>
    <s v="U"/>
    <x v="0"/>
    <d v="1946-08-01T00:00:00"/>
    <s v="Le Duff"/>
    <s v="Louis"/>
    <m/>
    <d v="2023-04-04T05:01:00"/>
    <m/>
    <m/>
    <n v="1946"/>
    <n v="110.05"/>
    <n v="1.1000000000000001"/>
    <n v="2715518274227"/>
    <n v="65.599999999999994"/>
    <n v="102.5"/>
    <n v="24.2"/>
    <n v="60.7"/>
    <n v="67059887"/>
  </r>
  <r>
    <x v="202"/>
    <x v="202"/>
    <x v="2"/>
    <x v="1190"/>
    <x v="37"/>
    <x v="6"/>
    <x v="16"/>
    <x v="117"/>
    <x v="2"/>
    <s v="Canada"/>
    <m/>
    <x v="1"/>
    <s v="U"/>
    <x v="0"/>
    <d v="1956-05-06T00:00:00"/>
    <s v="Leonard"/>
    <s v="Mark"/>
    <m/>
    <d v="2023-04-04T05:01:00"/>
    <m/>
    <m/>
    <n v="1956"/>
    <n v="116.76"/>
    <n v="1.9"/>
    <n v="1736425629520"/>
    <n v="68.900000000000006"/>
    <n v="100.9"/>
    <n v="12.8"/>
    <n v="24.5"/>
    <n v="36991981"/>
  </r>
  <r>
    <x v="202"/>
    <x v="202"/>
    <x v="1"/>
    <x v="1191"/>
    <x v="2"/>
    <x v="5"/>
    <x v="19"/>
    <x v="496"/>
    <x v="1"/>
    <s v="China"/>
    <m/>
    <x v="1"/>
    <s v="D"/>
    <x v="0"/>
    <d v="1964-01-01T00:00:00"/>
    <s v="Li"/>
    <s v="Guoqiang"/>
    <m/>
    <d v="2023-04-04T05:01:00"/>
    <m/>
    <m/>
    <n v="1964"/>
    <n v="125.08"/>
    <n v="2.9"/>
    <n v="19910000000000"/>
    <n v="50.6"/>
    <n v="100.2"/>
    <n v="9.4"/>
    <n v="59.2"/>
    <n v="1397715000"/>
  </r>
  <r>
    <x v="202"/>
    <x v="202"/>
    <x v="15"/>
    <x v="1192"/>
    <x v="47"/>
    <x v="5"/>
    <x v="19"/>
    <x v="426"/>
    <x v="15"/>
    <s v="China"/>
    <m/>
    <x v="1"/>
    <s v="D"/>
    <x v="0"/>
    <d v="1976-03-09T00:00:00"/>
    <s v="Li"/>
    <s v="Yongxin"/>
    <m/>
    <d v="2023-04-04T05:01:00"/>
    <m/>
    <m/>
    <n v="1976"/>
    <n v="125.08"/>
    <n v="2.9"/>
    <n v="19910000000000"/>
    <n v="50.6"/>
    <n v="100.2"/>
    <n v="9.4"/>
    <n v="59.2"/>
    <n v="1397715000"/>
  </r>
  <r>
    <x v="202"/>
    <x v="202"/>
    <x v="3"/>
    <x v="1193"/>
    <x v="9"/>
    <x v="25"/>
    <x v="76"/>
    <x v="38"/>
    <x v="3"/>
    <s v="Singapore"/>
    <m/>
    <x v="1"/>
    <s v="U"/>
    <x v="0"/>
    <d v="1953-06-01T00:00:00"/>
    <s v="Lim"/>
    <s v="Peter"/>
    <m/>
    <d v="2023-04-04T05:01:00"/>
    <m/>
    <m/>
    <n v="1953"/>
    <n v="114.41"/>
    <n v="0.6"/>
    <n v="372062527489"/>
    <n v="84.8"/>
    <n v="100.6"/>
    <n v="13.1"/>
    <n v="21"/>
    <n v="5703569"/>
  </r>
  <r>
    <x v="202"/>
    <x v="202"/>
    <x v="6"/>
    <x v="1194"/>
    <x v="33"/>
    <x v="5"/>
    <x v="12"/>
    <x v="8"/>
    <x v="6"/>
    <s v="China"/>
    <m/>
    <x v="0"/>
    <s v="D"/>
    <x v="0"/>
    <d v="1971-03-01T00:00:00"/>
    <s v="Lu"/>
    <s v="Weiding"/>
    <m/>
    <d v="2023-04-04T05:01:00"/>
    <m/>
    <m/>
    <n v="1971"/>
    <n v="125.08"/>
    <n v="2.9"/>
    <n v="19910000000000"/>
    <n v="50.6"/>
    <n v="100.2"/>
    <n v="9.4"/>
    <n v="59.2"/>
    <n v="1397715000"/>
  </r>
  <r>
    <x v="202"/>
    <x v="202"/>
    <x v="15"/>
    <x v="1195"/>
    <x v="28"/>
    <x v="8"/>
    <x v="436"/>
    <x v="497"/>
    <x v="15"/>
    <s v="Switzerland"/>
    <m/>
    <x v="1"/>
    <s v="D"/>
    <x v="0"/>
    <d v="1927-10-31T00:00:00"/>
    <s v="Mantegazza"/>
    <s v="Sergio"/>
    <m/>
    <d v="2023-04-04T05:01:00"/>
    <m/>
    <m/>
    <n v="1927"/>
    <n v="99.55"/>
    <n v="0.4"/>
    <n v="703082435360"/>
    <n v="59.6"/>
    <n v="105.2"/>
    <n v="10.1"/>
    <n v="28.8"/>
    <n v="8574832"/>
  </r>
  <r>
    <x v="202"/>
    <x v="202"/>
    <x v="3"/>
    <x v="1196"/>
    <x v="30"/>
    <x v="41"/>
    <x v="437"/>
    <x v="498"/>
    <x v="3"/>
    <s v="Netherlands"/>
    <m/>
    <x v="1"/>
    <s v="D"/>
    <x v="0"/>
    <d v="1938-04-28T00:00:00"/>
    <s v="Melchers"/>
    <s v="Hans"/>
    <m/>
    <d v="2023-04-04T05:01:00"/>
    <m/>
    <m/>
    <n v="1938"/>
    <n v="115.91"/>
    <n v="2.6"/>
    <n v="909070395161"/>
    <n v="85"/>
    <n v="104.2"/>
    <n v="23"/>
    <n v="41.2"/>
    <n v="17332850"/>
  </r>
  <r>
    <x v="202"/>
    <x v="202"/>
    <x v="7"/>
    <x v="1197"/>
    <x v="31"/>
    <x v="1"/>
    <x v="43"/>
    <x v="38"/>
    <x v="7"/>
    <s v="United States"/>
    <m/>
    <x v="1"/>
    <s v="D"/>
    <x v="0"/>
    <d v="1946-05-05T00:00:00"/>
    <s v="Metropoulos"/>
    <s v="C. Dean"/>
    <m/>
    <d v="2023-04-04T05:01:00"/>
    <s v="Florida"/>
    <s v="South"/>
    <n v="1946"/>
    <n v="117.24"/>
    <n v="7.5"/>
    <n v="21427700000000"/>
    <n v="88.2"/>
    <n v="101.8"/>
    <n v="9.6"/>
    <n v="36.6"/>
    <n v="328239523"/>
  </r>
  <r>
    <x v="202"/>
    <x v="202"/>
    <x v="10"/>
    <x v="1198"/>
    <x v="38"/>
    <x v="7"/>
    <x v="438"/>
    <x v="499"/>
    <x v="10"/>
    <s v="Germany"/>
    <m/>
    <x v="0"/>
    <s v="E"/>
    <x v="0"/>
    <d v="1961-09-04T00:00:00"/>
    <s v="Naeder"/>
    <s v="Hans Georg"/>
    <m/>
    <d v="2023-04-04T05:01:00"/>
    <m/>
    <m/>
    <n v="1961"/>
    <n v="112.85"/>
    <n v="1.4"/>
    <n v="3845630030824"/>
    <n v="70.2"/>
    <n v="104"/>
    <n v="11.5"/>
    <n v="48.8"/>
    <n v="83132799"/>
  </r>
  <r>
    <x v="202"/>
    <x v="202"/>
    <x v="0"/>
    <x v="1199"/>
    <x v="15"/>
    <x v="3"/>
    <x v="7"/>
    <x v="500"/>
    <x v="0"/>
    <s v="India"/>
    <s v="Nykaa"/>
    <x v="1"/>
    <s v="D"/>
    <x v="1"/>
    <d v="1963-02-19T00:00:00"/>
    <s v="Nayar"/>
    <s v="Falguni"/>
    <s v="Founder &amp; CEO"/>
    <d v="2023-04-04T05:01:00"/>
    <m/>
    <m/>
    <n v="1963"/>
    <n v="180.44"/>
    <n v="7.7"/>
    <n v="2611000000000"/>
    <n v="28.1"/>
    <n v="113"/>
    <n v="11.2"/>
    <n v="49.7"/>
    <n v="1366417754"/>
  </r>
  <r>
    <x v="202"/>
    <x v="202"/>
    <x v="3"/>
    <x v="1200"/>
    <x v="42"/>
    <x v="1"/>
    <x v="115"/>
    <x v="38"/>
    <x v="3"/>
    <s v="Australia"/>
    <m/>
    <x v="0"/>
    <s v="D"/>
    <x v="0"/>
    <d v="1967-09-08T00:00:00"/>
    <s v="Packer"/>
    <s v="James"/>
    <m/>
    <d v="2023-04-04T05:01:00"/>
    <s v="California"/>
    <s v="West"/>
    <n v="1967"/>
    <n v="117.24"/>
    <n v="7.5"/>
    <n v="21427700000000"/>
    <n v="88.2"/>
    <n v="101.8"/>
    <n v="9.6"/>
    <n v="36.6"/>
    <n v="328239523"/>
  </r>
  <r>
    <x v="202"/>
    <x v="202"/>
    <x v="8"/>
    <x v="1201"/>
    <x v="17"/>
    <x v="17"/>
    <x v="48"/>
    <x v="482"/>
    <x v="8"/>
    <s v="Russia"/>
    <m/>
    <x v="1"/>
    <s v="U"/>
    <x v="0"/>
    <d v="1964-10-27T00:00:00"/>
    <s v="Ponomarenko"/>
    <s v="Alexander"/>
    <m/>
    <d v="2023-04-04T05:01:00"/>
    <m/>
    <m/>
    <n v="1964"/>
    <n v="180.75"/>
    <n v="4.5"/>
    <n v="1699876578871"/>
    <n v="81.900000000000006"/>
    <n v="102.6"/>
    <n v="11.4"/>
    <n v="46.2"/>
    <n v="144373535"/>
  </r>
  <r>
    <x v="202"/>
    <x v="202"/>
    <x v="3"/>
    <x v="1202"/>
    <x v="55"/>
    <x v="1"/>
    <x v="439"/>
    <x v="231"/>
    <x v="3"/>
    <s v="United States"/>
    <m/>
    <x v="0"/>
    <s v="D"/>
    <x v="0"/>
    <d v="1944-01-01T00:00:00"/>
    <s v="Pritzker"/>
    <s v="Nicholas"/>
    <m/>
    <d v="2023-04-04T05:01:00"/>
    <s v="California"/>
    <s v="West"/>
    <n v="1944"/>
    <n v="117.24"/>
    <n v="7.5"/>
    <n v="21427700000000"/>
    <n v="88.2"/>
    <n v="101.8"/>
    <n v="9.6"/>
    <n v="36.6"/>
    <n v="328239523"/>
  </r>
  <r>
    <x v="202"/>
    <x v="202"/>
    <x v="7"/>
    <x v="1203"/>
    <x v="62"/>
    <x v="1"/>
    <x v="5"/>
    <x v="82"/>
    <x v="7"/>
    <s v="United States"/>
    <m/>
    <x v="0"/>
    <s v="E"/>
    <x v="0"/>
    <d v="1977-02-13T00:00:00"/>
    <s v="Santo Domingo"/>
    <s v="Alejandro"/>
    <m/>
    <d v="2023-04-04T05:01:00"/>
    <s v="New York"/>
    <s v="Northeast"/>
    <n v="1977"/>
    <n v="117.24"/>
    <n v="7.5"/>
    <n v="21427700000000"/>
    <n v="88.2"/>
    <n v="101.8"/>
    <n v="9.6"/>
    <n v="36.6"/>
    <n v="328239523"/>
  </r>
  <r>
    <x v="202"/>
    <x v="202"/>
    <x v="2"/>
    <x v="1204"/>
    <x v="41"/>
    <x v="1"/>
    <x v="385"/>
    <x v="501"/>
    <x v="2"/>
    <s v="United States"/>
    <m/>
    <x v="1"/>
    <s v="D"/>
    <x v="0"/>
    <d v="1965-11-07T00:00:00"/>
    <s v="Sarowitz"/>
    <s v="Steven"/>
    <m/>
    <d v="2023-04-04T05:01:00"/>
    <s v="Illinois"/>
    <s v="Midwest"/>
    <n v="1965"/>
    <n v="117.24"/>
    <n v="7.5"/>
    <n v="21427700000000"/>
    <n v="88.2"/>
    <n v="101.8"/>
    <n v="9.6"/>
    <n v="36.6"/>
    <n v="328239523"/>
  </r>
  <r>
    <x v="202"/>
    <x v="202"/>
    <x v="1"/>
    <x v="1205"/>
    <x v="6"/>
    <x v="7"/>
    <x v="104"/>
    <x v="101"/>
    <x v="1"/>
    <s v="Germany"/>
    <m/>
    <x v="0"/>
    <s v="U"/>
    <x v="1"/>
    <d v="1941-08-17T00:00:00"/>
    <s v="Schaeffler-Thumann"/>
    <s v="Maria-Elisabeth"/>
    <m/>
    <d v="2023-04-04T05:01:00"/>
    <m/>
    <m/>
    <n v="1941"/>
    <n v="112.85"/>
    <n v="1.4"/>
    <n v="3845630030824"/>
    <n v="70.2"/>
    <n v="104"/>
    <n v="11.5"/>
    <n v="48.8"/>
    <n v="83132799"/>
  </r>
  <r>
    <x v="202"/>
    <x v="202"/>
    <x v="14"/>
    <x v="1206"/>
    <x v="36"/>
    <x v="1"/>
    <x v="440"/>
    <x v="83"/>
    <x v="14"/>
    <s v="United States"/>
    <s v="Regeneron Pharmaceuticals"/>
    <x v="1"/>
    <s v="U"/>
    <x v="0"/>
    <d v="1952-07-07T00:00:00"/>
    <s v="Schleifer"/>
    <s v="Leonard"/>
    <s v="CEO and Founder"/>
    <d v="2023-04-04T05:01:00"/>
    <s v="New York"/>
    <s v="Northeast"/>
    <n v="1952"/>
    <n v="117.24"/>
    <n v="7.5"/>
    <n v="21427700000000"/>
    <n v="88.2"/>
    <n v="101.8"/>
    <n v="9.6"/>
    <n v="36.6"/>
    <n v="328239523"/>
  </r>
  <r>
    <x v="202"/>
    <x v="202"/>
    <x v="10"/>
    <x v="1207"/>
    <x v="22"/>
    <x v="7"/>
    <x v="127"/>
    <x v="50"/>
    <x v="10"/>
    <s v="Germany"/>
    <m/>
    <x v="0"/>
    <s v="U"/>
    <x v="0"/>
    <d v="1946-01-01T00:00:00"/>
    <s v="Schnabel"/>
    <s v="Dieter"/>
    <m/>
    <d v="2023-04-04T05:01:00"/>
    <m/>
    <m/>
    <n v="1946"/>
    <n v="112.85"/>
    <n v="1.4"/>
    <n v="3845630030824"/>
    <n v="70.2"/>
    <n v="104"/>
    <n v="11.5"/>
    <n v="48.8"/>
    <n v="83132799"/>
  </r>
  <r>
    <x v="202"/>
    <x v="202"/>
    <x v="13"/>
    <x v="1208"/>
    <x v="5"/>
    <x v="1"/>
    <x v="147"/>
    <x v="502"/>
    <x v="13"/>
    <s v="United States"/>
    <m/>
    <x v="1"/>
    <s v="U"/>
    <x v="0"/>
    <d v="1955-05-09T00:00:00"/>
    <s v="Smith"/>
    <s v="Michael S."/>
    <s v="Investor"/>
    <d v="2023-04-04T05:01:00"/>
    <s v="Florida"/>
    <s v="South"/>
    <n v="1955"/>
    <n v="117.24"/>
    <n v="7.5"/>
    <n v="21427700000000"/>
    <n v="88.2"/>
    <n v="101.8"/>
    <n v="9.6"/>
    <n v="36.6"/>
    <n v="328239523"/>
  </r>
  <r>
    <x v="202"/>
    <x v="202"/>
    <x v="10"/>
    <x v="1209"/>
    <x v="1"/>
    <x v="7"/>
    <x v="189"/>
    <x v="503"/>
    <x v="10"/>
    <s v="Germany"/>
    <m/>
    <x v="0"/>
    <s v="D"/>
    <x v="1"/>
    <d v="1972-01-01T00:00:00"/>
    <s v="Thiele-Schuerhoff"/>
    <s v="Julia"/>
    <m/>
    <d v="2023-04-04T05:01:00"/>
    <m/>
    <m/>
    <n v="1972"/>
    <n v="112.85"/>
    <n v="1.4"/>
    <n v="3845630030824"/>
    <n v="70.2"/>
    <n v="104"/>
    <n v="11.5"/>
    <n v="48.8"/>
    <n v="83132799"/>
  </r>
  <r>
    <x v="202"/>
    <x v="202"/>
    <x v="7"/>
    <x v="1210"/>
    <x v="9"/>
    <x v="1"/>
    <x v="441"/>
    <x v="504"/>
    <x v="7"/>
    <s v="United States"/>
    <m/>
    <x v="0"/>
    <s v="D"/>
    <x v="0"/>
    <d v="1953-09-05T00:00:00"/>
    <s v="Tyson"/>
    <s v="John"/>
    <m/>
    <d v="2023-04-04T05:01:00"/>
    <s v="Arkansas"/>
    <s v="South"/>
    <n v="1953"/>
    <n v="117.24"/>
    <n v="7.5"/>
    <n v="21427700000000"/>
    <n v="88.2"/>
    <n v="101.8"/>
    <n v="9.6"/>
    <n v="36.6"/>
    <n v="328239523"/>
  </r>
  <r>
    <x v="202"/>
    <x v="202"/>
    <x v="10"/>
    <x v="1211"/>
    <x v="44"/>
    <x v="7"/>
    <x v="267"/>
    <x v="505"/>
    <x v="10"/>
    <s v="Germany"/>
    <m/>
    <x v="0"/>
    <s v="D"/>
    <x v="1"/>
    <m/>
    <s v="Viessmann"/>
    <s v="Anna Katharina"/>
    <m/>
    <d v="2023-04-04T05:01:00"/>
    <m/>
    <m/>
    <m/>
    <n v="112.85"/>
    <n v="1.4"/>
    <n v="3845630030824"/>
    <n v="70.2"/>
    <n v="104"/>
    <n v="11.5"/>
    <n v="48.8"/>
    <n v="83132799"/>
  </r>
  <r>
    <x v="202"/>
    <x v="202"/>
    <x v="16"/>
    <x v="1212"/>
    <x v="41"/>
    <x v="22"/>
    <x v="25"/>
    <x v="506"/>
    <x v="16"/>
    <s v="Germany"/>
    <m/>
    <x v="0"/>
    <s v="N"/>
    <x v="0"/>
    <d v="1965-07-01T00:00:00"/>
    <s v="Wirtgen"/>
    <s v="Jurgen"/>
    <m/>
    <d v="2023-04-04T05:01:00"/>
    <m/>
    <m/>
    <n v="1965"/>
    <m/>
    <m/>
    <m/>
    <m/>
    <m/>
    <m/>
    <m/>
    <m/>
  </r>
  <r>
    <x v="202"/>
    <x v="202"/>
    <x v="16"/>
    <x v="1213"/>
    <x v="33"/>
    <x v="22"/>
    <x v="25"/>
    <x v="506"/>
    <x v="16"/>
    <s v="Germany"/>
    <m/>
    <x v="0"/>
    <s v="N"/>
    <x v="0"/>
    <d v="1970-07-01T00:00:00"/>
    <s v="Wirtgen"/>
    <s v="Stefan"/>
    <m/>
    <d v="2023-04-04T05:01:00"/>
    <m/>
    <m/>
    <n v="1970"/>
    <m/>
    <m/>
    <m/>
    <m/>
    <m/>
    <m/>
    <m/>
    <m/>
  </r>
  <r>
    <x v="202"/>
    <x v="202"/>
    <x v="2"/>
    <x v="1214"/>
    <x v="41"/>
    <x v="5"/>
    <x v="34"/>
    <x v="172"/>
    <x v="2"/>
    <s v="China"/>
    <m/>
    <x v="1"/>
    <s v="D"/>
    <x v="0"/>
    <d v="1966-01-01T00:00:00"/>
    <s v="Zhao"/>
    <s v="Lixin"/>
    <m/>
    <d v="2023-04-04T05:01:00"/>
    <m/>
    <m/>
    <n v="1966"/>
    <n v="125.08"/>
    <n v="2.9"/>
    <n v="19910000000000"/>
    <n v="50.6"/>
    <n v="100.2"/>
    <n v="9.4"/>
    <n v="59.2"/>
    <n v="1397715000"/>
  </r>
  <r>
    <x v="202"/>
    <x v="202"/>
    <x v="2"/>
    <x v="1215"/>
    <x v="33"/>
    <x v="5"/>
    <x v="19"/>
    <x v="222"/>
    <x v="2"/>
    <s v="China"/>
    <m/>
    <x v="1"/>
    <s v="U"/>
    <x v="0"/>
    <d v="1970-10-01T00:00:00"/>
    <s v="Zhou"/>
    <s v="Hongyi"/>
    <m/>
    <d v="2023-04-04T05:01:00"/>
    <m/>
    <m/>
    <n v="1970"/>
    <n v="125.08"/>
    <n v="2.9"/>
    <n v="19910000000000"/>
    <n v="50.6"/>
    <n v="100.2"/>
    <n v="9.4"/>
    <n v="59.2"/>
    <n v="1397715000"/>
  </r>
  <r>
    <x v="203"/>
    <x v="203"/>
    <x v="7"/>
    <x v="1216"/>
    <x v="73"/>
    <x v="1"/>
    <x v="43"/>
    <x v="507"/>
    <x v="7"/>
    <s v="United States"/>
    <s v="S. Daniel Abraham Center for Middle East Peace"/>
    <x v="1"/>
    <s v="U"/>
    <x v="0"/>
    <d v="1924-08-15T00:00:00"/>
    <s v="Abraham"/>
    <s v="S. Daniel"/>
    <s v="Chairman"/>
    <d v="2023-04-04T05:01:00"/>
    <s v="Florida"/>
    <s v="South"/>
    <n v="1924"/>
    <n v="117.24"/>
    <n v="7.5"/>
    <n v="21427700000000"/>
    <n v="88.2"/>
    <n v="101.8"/>
    <n v="9.6"/>
    <n v="36.6"/>
    <n v="328239523"/>
  </r>
  <r>
    <x v="203"/>
    <x v="203"/>
    <x v="0"/>
    <x v="1217"/>
    <x v="0"/>
    <x v="1"/>
    <x v="176"/>
    <x v="159"/>
    <x v="0"/>
    <s v="United States"/>
    <m/>
    <x v="0"/>
    <s v="D"/>
    <x v="0"/>
    <d v="1948-05-16T00:00:00"/>
    <s v="Alfond"/>
    <s v="Bill"/>
    <m/>
    <d v="2023-04-04T05:01:00"/>
    <s v="Massachusetts"/>
    <s v="Northeast"/>
    <n v="1948"/>
    <n v="117.24"/>
    <n v="7.5"/>
    <n v="21427700000000"/>
    <n v="88.2"/>
    <n v="101.8"/>
    <n v="9.6"/>
    <n v="36.6"/>
    <n v="328239523"/>
  </r>
  <r>
    <x v="203"/>
    <x v="203"/>
    <x v="0"/>
    <x v="1218"/>
    <x v="22"/>
    <x v="1"/>
    <x v="442"/>
    <x v="159"/>
    <x v="0"/>
    <s v="United States"/>
    <m/>
    <x v="0"/>
    <s v="D"/>
    <x v="1"/>
    <d v="1945-07-19T00:00:00"/>
    <s v="Alfond"/>
    <s v="Susan"/>
    <m/>
    <d v="2023-04-04T05:01:00"/>
    <s v="Maine"/>
    <s v="Northeast"/>
    <n v="1945"/>
    <n v="117.24"/>
    <n v="7.5"/>
    <n v="21427700000000"/>
    <n v="88.2"/>
    <n v="101.8"/>
    <n v="9.6"/>
    <n v="36.6"/>
    <n v="328239523"/>
  </r>
  <r>
    <x v="203"/>
    <x v="203"/>
    <x v="0"/>
    <x v="1219"/>
    <x v="3"/>
    <x v="1"/>
    <x v="443"/>
    <x v="159"/>
    <x v="0"/>
    <s v="United States"/>
    <m/>
    <x v="0"/>
    <s v="D"/>
    <x v="0"/>
    <d v="1944-08-19T00:00:00"/>
    <s v="Alfond"/>
    <s v="Ted"/>
    <m/>
    <d v="2023-04-04T05:01:00"/>
    <s v="Massachusetts"/>
    <s v="Northeast"/>
    <n v="1944"/>
    <n v="117.24"/>
    <n v="7.5"/>
    <n v="21427700000000"/>
    <n v="88.2"/>
    <n v="101.8"/>
    <n v="9.6"/>
    <n v="36.6"/>
    <n v="328239523"/>
  </r>
  <r>
    <x v="203"/>
    <x v="203"/>
    <x v="16"/>
    <x v="1220"/>
    <x v="48"/>
    <x v="1"/>
    <x v="120"/>
    <x v="508"/>
    <x v="16"/>
    <s v="United States"/>
    <s v="Bechtel Corp."/>
    <x v="0"/>
    <s v="D"/>
    <x v="0"/>
    <d v="1952-03-25T00:00:00"/>
    <s v="Bechtel"/>
    <s v="Riley"/>
    <s v="former Chairman and CEO"/>
    <d v="2023-04-04T05:01:00"/>
    <s v="California"/>
    <s v="West"/>
    <n v="1952"/>
    <n v="117.24"/>
    <n v="7.5"/>
    <n v="21427700000000"/>
    <n v="88.2"/>
    <n v="101.8"/>
    <n v="9.6"/>
    <n v="36.6"/>
    <n v="328239523"/>
  </r>
  <r>
    <x v="203"/>
    <x v="203"/>
    <x v="6"/>
    <x v="1221"/>
    <x v="32"/>
    <x v="13"/>
    <x v="32"/>
    <x v="38"/>
    <x v="6"/>
    <s v="Iceland"/>
    <m/>
    <x v="1"/>
    <s v="E"/>
    <x v="0"/>
    <d v="1967-03-19T00:00:00"/>
    <s v="Bjorgolfsson"/>
    <s v="Thor"/>
    <m/>
    <d v="2023-04-04T05:01:00"/>
    <m/>
    <m/>
    <n v="1967"/>
    <n v="119.62"/>
    <n v="1.7"/>
    <n v="2827113184696"/>
    <n v="60"/>
    <n v="101.2"/>
    <n v="25.5"/>
    <n v="30.6"/>
    <n v="66834405"/>
  </r>
  <r>
    <x v="203"/>
    <x v="203"/>
    <x v="7"/>
    <x v="1222"/>
    <x v="56"/>
    <x v="1"/>
    <x v="43"/>
    <x v="370"/>
    <x v="7"/>
    <s v="Canada"/>
    <m/>
    <x v="0"/>
    <s v="E"/>
    <x v="0"/>
    <d v="1931-06-27T00:00:00"/>
    <s v="Bronfman"/>
    <s v="Charles"/>
    <m/>
    <d v="2023-04-04T05:01:00"/>
    <s v="Florida"/>
    <s v="South"/>
    <n v="1931"/>
    <n v="117.24"/>
    <n v="7.5"/>
    <n v="21427700000000"/>
    <n v="88.2"/>
    <n v="101.8"/>
    <n v="9.6"/>
    <n v="36.6"/>
    <n v="328239523"/>
  </r>
  <r>
    <x v="203"/>
    <x v="203"/>
    <x v="7"/>
    <x v="1223"/>
    <x v="18"/>
    <x v="3"/>
    <x v="41"/>
    <x v="243"/>
    <x v="7"/>
    <s v="India"/>
    <m/>
    <x v="0"/>
    <s v="D"/>
    <x v="0"/>
    <d v="1937-04-28T00:00:00"/>
    <s v="Burman"/>
    <s v="Vivek Chand"/>
    <m/>
    <d v="2023-04-04T05:01:00"/>
    <m/>
    <m/>
    <n v="1937"/>
    <n v="180.44"/>
    <n v="7.7"/>
    <n v="2611000000000"/>
    <n v="28.1"/>
    <n v="113"/>
    <n v="11.2"/>
    <n v="49.7"/>
    <n v="1366417754"/>
  </r>
  <r>
    <x v="203"/>
    <x v="203"/>
    <x v="1"/>
    <x v="1224"/>
    <x v="6"/>
    <x v="1"/>
    <x v="176"/>
    <x v="337"/>
    <x v="1"/>
    <s v="United States"/>
    <m/>
    <x v="1"/>
    <s v="U"/>
    <x v="0"/>
    <d v="1942-01-01T00:00:00"/>
    <s v="Chambers"/>
    <s v="Herb"/>
    <m/>
    <d v="2023-04-04T05:01:00"/>
    <s v="Massachusetts"/>
    <s v="Northeast"/>
    <n v="1942"/>
    <n v="117.24"/>
    <n v="7.5"/>
    <n v="21427700000000"/>
    <n v="88.2"/>
    <n v="101.8"/>
    <n v="9.6"/>
    <n v="36.6"/>
    <n v="328239523"/>
  </r>
  <r>
    <x v="203"/>
    <x v="203"/>
    <x v="4"/>
    <x v="1225"/>
    <x v="19"/>
    <x v="5"/>
    <x v="19"/>
    <x v="509"/>
    <x v="4"/>
    <s v="China"/>
    <m/>
    <x v="1"/>
    <s v="D"/>
    <x v="0"/>
    <d v="1984-01-01T00:00:00"/>
    <s v="Cheng"/>
    <s v="Yixiao"/>
    <m/>
    <d v="2023-04-04T05:01:00"/>
    <m/>
    <m/>
    <n v="1984"/>
    <n v="125.08"/>
    <n v="2.9"/>
    <n v="19910000000000"/>
    <n v="50.6"/>
    <n v="100.2"/>
    <n v="9.4"/>
    <n v="59.2"/>
    <n v="1397715000"/>
  </r>
  <r>
    <x v="203"/>
    <x v="203"/>
    <x v="7"/>
    <x v="1226"/>
    <x v="43"/>
    <x v="1"/>
    <x v="27"/>
    <x v="469"/>
    <x v="7"/>
    <s v="United States"/>
    <m/>
    <x v="1"/>
    <s v="Split Family Fortune"/>
    <x v="0"/>
    <d v="1948-04-02T00:00:00"/>
    <s v="Cherng"/>
    <s v="Andrew"/>
    <m/>
    <d v="2023-04-04T05:01:00"/>
    <s v="Nevada"/>
    <s v="West"/>
    <n v="1948"/>
    <n v="117.24"/>
    <n v="7.5"/>
    <n v="21427700000000"/>
    <n v="88.2"/>
    <n v="101.8"/>
    <n v="9.6"/>
    <n v="36.6"/>
    <n v="328239523"/>
  </r>
  <r>
    <x v="203"/>
    <x v="203"/>
    <x v="7"/>
    <x v="1227"/>
    <x v="43"/>
    <x v="1"/>
    <x v="27"/>
    <x v="469"/>
    <x v="7"/>
    <s v="United States"/>
    <m/>
    <x v="1"/>
    <s v="Split Family Fortune"/>
    <x v="1"/>
    <d v="1947-12-18T00:00:00"/>
    <s v="Cherng"/>
    <s v="Peggy"/>
    <m/>
    <d v="2023-04-04T05:01:00"/>
    <s v="Nevada"/>
    <s v="West"/>
    <n v="1947"/>
    <n v="117.24"/>
    <n v="7.5"/>
    <n v="21427700000000"/>
    <n v="88.2"/>
    <n v="101.8"/>
    <n v="9.6"/>
    <n v="36.6"/>
    <n v="328239523"/>
  </r>
  <r>
    <x v="203"/>
    <x v="203"/>
    <x v="3"/>
    <x v="1228"/>
    <x v="55"/>
    <x v="1"/>
    <x v="182"/>
    <x v="28"/>
    <x v="3"/>
    <s v="United States"/>
    <s v="Omega Advisors, Inc."/>
    <x v="1"/>
    <s v="E"/>
    <x v="0"/>
    <d v="1943-04-25T00:00:00"/>
    <s v="Cooperman"/>
    <s v="Leon G."/>
    <s v="Founder"/>
    <d v="2023-04-04T05:01:00"/>
    <s v="Florida"/>
    <s v="South"/>
    <n v="1943"/>
    <n v="117.24"/>
    <n v="7.5"/>
    <n v="21427700000000"/>
    <n v="88.2"/>
    <n v="101.8"/>
    <n v="9.6"/>
    <n v="36.6"/>
    <n v="328239523"/>
  </r>
  <r>
    <x v="203"/>
    <x v="203"/>
    <x v="10"/>
    <x v="1229"/>
    <x v="43"/>
    <x v="3"/>
    <x v="41"/>
    <x v="168"/>
    <x v="10"/>
    <s v="India"/>
    <m/>
    <x v="0"/>
    <s v="U"/>
    <x v="0"/>
    <d v="1947-06-02T00:00:00"/>
    <s v="Dalmia"/>
    <s v="Yadu Hari"/>
    <m/>
    <d v="2023-04-04T05:01:00"/>
    <m/>
    <m/>
    <n v="1947"/>
    <n v="180.44"/>
    <n v="7.7"/>
    <n v="2611000000000"/>
    <n v="28.1"/>
    <n v="113"/>
    <n v="11.2"/>
    <n v="49.7"/>
    <n v="1366417754"/>
  </r>
  <r>
    <x v="203"/>
    <x v="203"/>
    <x v="7"/>
    <x v="1230"/>
    <x v="25"/>
    <x v="1"/>
    <x v="4"/>
    <x v="488"/>
    <x v="7"/>
    <s v="United States"/>
    <m/>
    <x v="0"/>
    <s v="U"/>
    <x v="0"/>
    <d v="1951-02-16T00:00:00"/>
    <s v="Davis"/>
    <s v="Henry"/>
    <m/>
    <d v="2023-04-04T05:01:00"/>
    <s v="Nebraska"/>
    <s v="Midwest"/>
    <n v="1951"/>
    <n v="117.24"/>
    <n v="7.5"/>
    <n v="21427700000000"/>
    <n v="88.2"/>
    <n v="101.8"/>
    <n v="9.6"/>
    <n v="36.6"/>
    <n v="328239523"/>
  </r>
  <r>
    <x v="203"/>
    <x v="203"/>
    <x v="12"/>
    <x v="1231"/>
    <x v="42"/>
    <x v="17"/>
    <x v="48"/>
    <x v="510"/>
    <x v="12"/>
    <s v="Russia"/>
    <m/>
    <x v="1"/>
    <s v="U"/>
    <x v="0"/>
    <d v="1968-01-02T00:00:00"/>
    <s v="Deripaska"/>
    <s v="Oleg"/>
    <m/>
    <d v="2023-04-04T05:01:00"/>
    <m/>
    <m/>
    <n v="1968"/>
    <n v="180.75"/>
    <n v="4.5"/>
    <n v="1699876578871"/>
    <n v="81.900000000000006"/>
    <n v="102.6"/>
    <n v="11.4"/>
    <n v="46.2"/>
    <n v="144373535"/>
  </r>
  <r>
    <x v="203"/>
    <x v="203"/>
    <x v="2"/>
    <x v="1232"/>
    <x v="41"/>
    <x v="63"/>
    <x v="444"/>
    <x v="117"/>
    <x v="2"/>
    <s v="Cyprus"/>
    <m/>
    <x v="1"/>
    <s v="D"/>
    <x v="0"/>
    <d v="1966-03-11T00:00:00"/>
    <s v="Dmitriev"/>
    <s v="Sergey"/>
    <m/>
    <d v="2023-04-04T05:01:00"/>
    <m/>
    <m/>
    <n v="1966"/>
    <n v="102.51"/>
    <n v="0.3"/>
    <n v="24564647935"/>
    <n v="75.900000000000006"/>
    <n v="99.3"/>
    <n v="24.5"/>
    <n v="22.4"/>
    <n v="1198575"/>
  </r>
  <r>
    <x v="203"/>
    <x v="203"/>
    <x v="3"/>
    <x v="1233"/>
    <x v="5"/>
    <x v="1"/>
    <x v="5"/>
    <x v="28"/>
    <x v="3"/>
    <s v="United States"/>
    <s v="Perceptive Advisors"/>
    <x v="1"/>
    <s v="D"/>
    <x v="0"/>
    <d v="1955-06-10T00:00:00"/>
    <s v="Edelman"/>
    <s v="Joseph"/>
    <s v="Founder &amp; CEO"/>
    <d v="2023-04-04T05:01:00"/>
    <s v="New York"/>
    <s v="Northeast"/>
    <n v="1955"/>
    <n v="117.24"/>
    <n v="7.5"/>
    <n v="21427700000000"/>
    <n v="88.2"/>
    <n v="101.8"/>
    <n v="9.6"/>
    <n v="36.6"/>
    <n v="328239523"/>
  </r>
  <r>
    <x v="203"/>
    <x v="203"/>
    <x v="10"/>
    <x v="1234"/>
    <x v="38"/>
    <x v="3"/>
    <x v="17"/>
    <x v="511"/>
    <x v="10"/>
    <s v="India"/>
    <m/>
    <x v="1"/>
    <s v="D"/>
    <x v="0"/>
    <d v="1961-05-11T00:00:00"/>
    <s v="Engineer"/>
    <s v="Sandeep"/>
    <m/>
    <d v="2023-04-04T05:01:00"/>
    <m/>
    <m/>
    <n v="1961"/>
    <n v="180.44"/>
    <n v="7.7"/>
    <n v="2611000000000"/>
    <n v="28.1"/>
    <n v="113"/>
    <n v="11.2"/>
    <n v="49.7"/>
    <n v="1366417754"/>
  </r>
  <r>
    <x v="203"/>
    <x v="203"/>
    <x v="13"/>
    <x v="1235"/>
    <x v="16"/>
    <x v="30"/>
    <x v="445"/>
    <x v="206"/>
    <x v="13"/>
    <s v="Brazil"/>
    <m/>
    <x v="1"/>
    <s v="D"/>
    <x v="0"/>
    <d v="1949-07-01T00:00:00"/>
    <s v="Feldmann"/>
    <s v="Alceu Elias"/>
    <m/>
    <d v="2023-04-04T05:01:00"/>
    <m/>
    <m/>
    <n v="1949"/>
    <n v="167.4"/>
    <n v="3.7"/>
    <n v="1839758040766"/>
    <n v="51.3"/>
    <n v="115.4"/>
    <n v="14.2"/>
    <n v="65.099999999999994"/>
    <n v="212559417"/>
  </r>
  <r>
    <x v="203"/>
    <x v="203"/>
    <x v="2"/>
    <x v="1236"/>
    <x v="16"/>
    <x v="6"/>
    <x v="446"/>
    <x v="512"/>
    <x v="2"/>
    <s v="Canada"/>
    <s v="CGI Group"/>
    <x v="1"/>
    <s v="U"/>
    <x v="0"/>
    <d v="1949-11-17T00:00:00"/>
    <s v="Godin"/>
    <s v="Serge"/>
    <s v="Chairman and CEO"/>
    <d v="2023-04-04T05:01:00"/>
    <m/>
    <m/>
    <n v="1949"/>
    <n v="116.76"/>
    <n v="1.9"/>
    <n v="1736425629520"/>
    <n v="68.900000000000006"/>
    <n v="100.9"/>
    <n v="12.8"/>
    <n v="24.5"/>
    <n v="36991981"/>
  </r>
  <r>
    <x v="203"/>
    <x v="203"/>
    <x v="3"/>
    <x v="1237"/>
    <x v="36"/>
    <x v="1"/>
    <x v="125"/>
    <x v="122"/>
    <x v="3"/>
    <s v="United States"/>
    <m/>
    <x v="1"/>
    <s v="D"/>
    <x v="0"/>
    <d v="1953-03-18T00:00:00"/>
    <s v="Gores"/>
    <s v="Alec"/>
    <m/>
    <d v="2023-04-04T05:01:00"/>
    <s v="California"/>
    <s v="West"/>
    <n v="1953"/>
    <n v="117.24"/>
    <n v="7.5"/>
    <n v="21427700000000"/>
    <n v="88.2"/>
    <n v="101.8"/>
    <n v="9.6"/>
    <n v="36.6"/>
    <n v="328239523"/>
  </r>
  <r>
    <x v="203"/>
    <x v="203"/>
    <x v="0"/>
    <x v="1238"/>
    <x v="29"/>
    <x v="1"/>
    <x v="253"/>
    <x v="111"/>
    <x v="0"/>
    <s v="United States"/>
    <m/>
    <x v="0"/>
    <s v="U"/>
    <x v="0"/>
    <d v="1958-08-23T00:00:00"/>
    <s v="Haslam"/>
    <s v="Bill"/>
    <m/>
    <d v="2023-04-04T05:01:00"/>
    <s v="Tennessee"/>
    <s v="South"/>
    <n v="1958"/>
    <n v="117.24"/>
    <n v="7.5"/>
    <n v="21427700000000"/>
    <n v="88.2"/>
    <n v="101.8"/>
    <n v="9.6"/>
    <n v="36.6"/>
    <n v="328239523"/>
  </r>
  <r>
    <x v="203"/>
    <x v="203"/>
    <x v="3"/>
    <x v="1239"/>
    <x v="0"/>
    <x v="1"/>
    <x v="5"/>
    <x v="38"/>
    <x v="3"/>
    <s v="United States"/>
    <m/>
    <x v="1"/>
    <s v="D"/>
    <x v="0"/>
    <d v="1948-05-24T00:00:00"/>
    <s v="Hill"/>
    <s v="J. Tomilson"/>
    <m/>
    <d v="2023-04-04T05:01:00"/>
    <s v="New York"/>
    <s v="Northeast"/>
    <n v="1948"/>
    <n v="117.24"/>
    <n v="7.5"/>
    <n v="21427700000000"/>
    <n v="88.2"/>
    <n v="101.8"/>
    <n v="9.6"/>
    <n v="36.6"/>
    <n v="328239523"/>
  </r>
  <r>
    <x v="203"/>
    <x v="203"/>
    <x v="4"/>
    <x v="1240"/>
    <x v="52"/>
    <x v="1"/>
    <x v="5"/>
    <x v="513"/>
    <x v="4"/>
    <s v="United States"/>
    <m/>
    <x v="1"/>
    <s v="U"/>
    <x v="0"/>
    <d v="1969-12-04T00:00:00"/>
    <s v="Jay-Z"/>
    <m/>
    <m/>
    <d v="2023-04-04T05:01:00"/>
    <s v="New York"/>
    <s v="Northeast"/>
    <n v="1969"/>
    <n v="117.24"/>
    <n v="7.5"/>
    <n v="21427700000000"/>
    <n v="88.2"/>
    <n v="101.8"/>
    <n v="9.6"/>
    <n v="36.6"/>
    <n v="328239523"/>
  </r>
  <r>
    <x v="203"/>
    <x v="203"/>
    <x v="1"/>
    <x v="1241"/>
    <x v="0"/>
    <x v="3"/>
    <x v="51"/>
    <x v="449"/>
    <x v="1"/>
    <s v="India"/>
    <m/>
    <x v="0"/>
    <s v="E"/>
    <x v="0"/>
    <d v="1949-01-07T00:00:00"/>
    <s v="Kalyani"/>
    <s v="Baba"/>
    <m/>
    <d v="2023-04-04T05:01:00"/>
    <m/>
    <m/>
    <n v="1949"/>
    <n v="180.44"/>
    <n v="7.7"/>
    <n v="2611000000000"/>
    <n v="28.1"/>
    <n v="113"/>
    <n v="11.2"/>
    <n v="49.7"/>
    <n v="1366417754"/>
  </r>
  <r>
    <x v="203"/>
    <x v="203"/>
    <x v="13"/>
    <x v="1242"/>
    <x v="34"/>
    <x v="47"/>
    <x v="228"/>
    <x v="100"/>
    <x v="13"/>
    <s v="Turkey"/>
    <m/>
    <x v="0"/>
    <s v="R"/>
    <x v="0"/>
    <d v="1961-02-13T00:00:00"/>
    <s v="Kazanci"/>
    <s v="Saban Cemil"/>
    <m/>
    <d v="2023-04-04T05:01:00"/>
    <m/>
    <m/>
    <n v="1961"/>
    <n v="234.44"/>
    <n v="15.2"/>
    <n v="754411708203"/>
    <n v="23.9"/>
    <n v="93.2"/>
    <n v="17.899999999999999"/>
    <n v="42.3"/>
    <n v="83429615"/>
  </r>
  <r>
    <x v="203"/>
    <x v="203"/>
    <x v="11"/>
    <x v="1243"/>
    <x v="37"/>
    <x v="1"/>
    <x v="61"/>
    <x v="388"/>
    <x v="11"/>
    <s v="United States"/>
    <m/>
    <x v="1"/>
    <s v="D"/>
    <x v="0"/>
    <d v="1956-12-23T00:00:00"/>
    <s v="Kelley"/>
    <s v="Brad"/>
    <m/>
    <d v="2023-04-04T05:01:00"/>
    <s v="Tennessee"/>
    <s v="South"/>
    <n v="1956"/>
    <n v="117.24"/>
    <n v="7.5"/>
    <n v="21427700000000"/>
    <n v="88.2"/>
    <n v="101.8"/>
    <n v="9.6"/>
    <n v="36.6"/>
    <n v="328239523"/>
  </r>
  <r>
    <x v="203"/>
    <x v="203"/>
    <x v="16"/>
    <x v="1244"/>
    <x v="36"/>
    <x v="11"/>
    <x v="447"/>
    <x v="449"/>
    <x v="16"/>
    <s v="Austria"/>
    <m/>
    <x v="1"/>
    <s v="U"/>
    <x v="0"/>
    <d v="1953-03-27T00:00:00"/>
    <s v="Leitner"/>
    <s v="Wolfgang"/>
    <m/>
    <d v="2023-04-04T05:01:00"/>
    <m/>
    <m/>
    <n v="1953"/>
    <n v="118.06"/>
    <n v="1.5"/>
    <n v="446314739528"/>
    <n v="85.1"/>
    <n v="103.1"/>
    <n v="25.4"/>
    <n v="51.4"/>
    <n v="8877067"/>
  </r>
  <r>
    <x v="203"/>
    <x v="203"/>
    <x v="10"/>
    <x v="1245"/>
    <x v="36"/>
    <x v="5"/>
    <x v="448"/>
    <x v="514"/>
    <x v="10"/>
    <s v="China"/>
    <m/>
    <x v="1"/>
    <s v="D"/>
    <x v="0"/>
    <d v="1953-03-07T00:00:00"/>
    <s v="Li"/>
    <s v="Hongxin"/>
    <m/>
    <d v="2023-04-04T05:01:00"/>
    <m/>
    <m/>
    <n v="1953"/>
    <n v="125.08"/>
    <n v="2.9"/>
    <n v="19910000000000"/>
    <n v="50.6"/>
    <n v="100.2"/>
    <n v="9.4"/>
    <n v="59.2"/>
    <n v="1397715000"/>
  </r>
  <r>
    <x v="203"/>
    <x v="203"/>
    <x v="11"/>
    <x v="1246"/>
    <x v="31"/>
    <x v="35"/>
    <x v="152"/>
    <x v="36"/>
    <x v="11"/>
    <s v="Taiwan"/>
    <m/>
    <x v="1"/>
    <s v="D"/>
    <x v="0"/>
    <d v="1947-03-01T00:00:00"/>
    <s v="Lin"/>
    <s v="Chen-hai"/>
    <m/>
    <d v="2023-04-04T05:01:00"/>
    <m/>
    <m/>
    <n v="1947"/>
    <m/>
    <m/>
    <m/>
    <m/>
    <m/>
    <m/>
    <m/>
    <m/>
  </r>
  <r>
    <x v="203"/>
    <x v="203"/>
    <x v="0"/>
    <x v="1247"/>
    <x v="39"/>
    <x v="5"/>
    <x v="26"/>
    <x v="455"/>
    <x v="0"/>
    <s v="China"/>
    <m/>
    <x v="1"/>
    <s v="D"/>
    <x v="1"/>
    <d v="1987-01-01T00:00:00"/>
    <s v="Lu"/>
    <s v="Yiwen"/>
    <m/>
    <d v="2023-04-04T05:01:00"/>
    <m/>
    <m/>
    <n v="1987"/>
    <n v="125.08"/>
    <n v="2.9"/>
    <n v="19910000000000"/>
    <n v="50.6"/>
    <n v="100.2"/>
    <n v="9.4"/>
    <n v="59.2"/>
    <n v="1397715000"/>
  </r>
  <r>
    <x v="203"/>
    <x v="203"/>
    <x v="7"/>
    <x v="1248"/>
    <x v="22"/>
    <x v="23"/>
    <x v="73"/>
    <x v="515"/>
    <x v="7"/>
    <s v="Thailand"/>
    <m/>
    <x v="0"/>
    <s v="U"/>
    <x v="0"/>
    <d v="1946-01-01T00:00:00"/>
    <s v="Mahagitsiri"/>
    <s v="Prayudh"/>
    <m/>
    <d v="2023-04-04T05:01:00"/>
    <m/>
    <m/>
    <n v="1946"/>
    <n v="113.27"/>
    <n v="0.7"/>
    <n v="543649976166"/>
    <n v="49.3"/>
    <n v="99.8"/>
    <n v="14.9"/>
    <n v="29.5"/>
    <n v="69625582"/>
  </r>
  <r>
    <x v="203"/>
    <x v="203"/>
    <x v="14"/>
    <x v="1249"/>
    <x v="31"/>
    <x v="8"/>
    <x v="449"/>
    <x v="78"/>
    <x v="14"/>
    <s v="Switzerland"/>
    <m/>
    <x v="1"/>
    <s v="E"/>
    <x v="0"/>
    <d v="1947-01-01T00:00:00"/>
    <s v="Michel"/>
    <s v="Willy"/>
    <m/>
    <d v="2023-04-04T05:01:00"/>
    <m/>
    <m/>
    <n v="1947"/>
    <n v="99.55"/>
    <n v="0.4"/>
    <n v="703082435360"/>
    <n v="59.6"/>
    <n v="105.2"/>
    <n v="10.1"/>
    <n v="28.8"/>
    <n v="8574832"/>
  </r>
  <r>
    <x v="203"/>
    <x v="203"/>
    <x v="1"/>
    <x v="1250"/>
    <x v="4"/>
    <x v="3"/>
    <x v="41"/>
    <x v="516"/>
    <x v="1"/>
    <s v="India"/>
    <m/>
    <x v="0"/>
    <s v="E"/>
    <x v="0"/>
    <d v="1930-11-05T00:00:00"/>
    <s v="Mittal"/>
    <s v="Lachhman Das"/>
    <m/>
    <d v="2023-04-04T05:01:00"/>
    <m/>
    <m/>
    <n v="1930"/>
    <n v="180.44"/>
    <n v="7.7"/>
    <n v="2611000000000"/>
    <n v="28.1"/>
    <n v="113"/>
    <n v="11.2"/>
    <n v="49.7"/>
    <n v="1366417754"/>
  </r>
  <r>
    <x v="203"/>
    <x v="203"/>
    <x v="2"/>
    <x v="1251"/>
    <x v="64"/>
    <x v="1"/>
    <x v="222"/>
    <x v="483"/>
    <x v="2"/>
    <s v="United States"/>
    <s v="Snap"/>
    <x v="1"/>
    <s v="D"/>
    <x v="0"/>
    <d v="1988-07-19T00:00:00"/>
    <s v="Murphy"/>
    <s v="Bobby"/>
    <s v="Cofounder"/>
    <d v="2023-04-04T05:01:00"/>
    <s v="California"/>
    <s v="West"/>
    <n v="1988"/>
    <n v="117.24"/>
    <n v="7.5"/>
    <n v="21427700000000"/>
    <n v="88.2"/>
    <n v="101.8"/>
    <n v="9.6"/>
    <n v="36.6"/>
    <n v="328239523"/>
  </r>
  <r>
    <x v="203"/>
    <x v="203"/>
    <x v="11"/>
    <x v="1252"/>
    <x v="12"/>
    <x v="4"/>
    <x v="450"/>
    <x v="436"/>
    <x v="11"/>
    <s v="Spain"/>
    <m/>
    <x v="1"/>
    <s v="U"/>
    <x v="0"/>
    <d v="1974-01-01T00:00:00"/>
    <s v="Olivo Lopez"/>
    <s v="Tomas"/>
    <m/>
    <d v="2023-04-04T05:01:00"/>
    <m/>
    <m/>
    <n v="1974"/>
    <n v="110.96"/>
    <n v="0.7"/>
    <n v="1394116310769"/>
    <n v="88.9"/>
    <n v="102.7"/>
    <n v="14.2"/>
    <n v="47"/>
    <n v="47076781"/>
  </r>
  <r>
    <x v="203"/>
    <x v="203"/>
    <x v="10"/>
    <x v="1253"/>
    <x v="29"/>
    <x v="1"/>
    <x v="203"/>
    <x v="517"/>
    <x v="10"/>
    <s v="United States"/>
    <m/>
    <x v="1"/>
    <s v="D"/>
    <x v="1"/>
    <d v="1958-09-03T00:00:00"/>
    <s v="Ozmen"/>
    <s v="Eren"/>
    <m/>
    <d v="2023-04-04T05:01:00"/>
    <s v="Nevada"/>
    <s v="West"/>
    <n v="1958"/>
    <n v="117.24"/>
    <n v="7.5"/>
    <n v="21427700000000"/>
    <n v="88.2"/>
    <n v="101.8"/>
    <n v="9.6"/>
    <n v="36.6"/>
    <n v="328239523"/>
  </r>
  <r>
    <x v="203"/>
    <x v="203"/>
    <x v="3"/>
    <x v="1254"/>
    <x v="9"/>
    <x v="1"/>
    <x v="120"/>
    <x v="231"/>
    <x v="3"/>
    <s v="United States"/>
    <m/>
    <x v="0"/>
    <s v="D"/>
    <x v="0"/>
    <d v="1953-08-10T00:00:00"/>
    <s v="Pritzker"/>
    <s v="John"/>
    <m/>
    <d v="2023-04-04T05:01:00"/>
    <s v="California"/>
    <s v="West"/>
    <n v="1953"/>
    <n v="117.24"/>
    <n v="7.5"/>
    <n v="21427700000000"/>
    <n v="88.2"/>
    <n v="101.8"/>
    <n v="9.6"/>
    <n v="36.6"/>
    <n v="328239523"/>
  </r>
  <r>
    <x v="203"/>
    <x v="203"/>
    <x v="2"/>
    <x v="1255"/>
    <x v="22"/>
    <x v="5"/>
    <x v="451"/>
    <x v="58"/>
    <x v="2"/>
    <s v="China"/>
    <m/>
    <x v="1"/>
    <s v="E"/>
    <x v="1"/>
    <d v="1945-09-17T00:00:00"/>
    <s v="Qiu"/>
    <s v="Minxiu"/>
    <m/>
    <d v="2023-04-04T05:01:00"/>
    <m/>
    <m/>
    <n v="1945"/>
    <n v="125.08"/>
    <n v="2.9"/>
    <n v="19910000000000"/>
    <n v="50.6"/>
    <n v="100.2"/>
    <n v="9.4"/>
    <n v="59.2"/>
    <n v="1397715000"/>
  </r>
  <r>
    <x v="203"/>
    <x v="203"/>
    <x v="6"/>
    <x v="1256"/>
    <x v="2"/>
    <x v="47"/>
    <x v="228"/>
    <x v="8"/>
    <x v="6"/>
    <s v="Turkey"/>
    <m/>
    <x v="0"/>
    <s v="U"/>
    <x v="0"/>
    <d v="1964-03-18T00:00:00"/>
    <s v="Sahenk"/>
    <s v="Ferit Faik"/>
    <m/>
    <d v="2023-04-04T05:01:00"/>
    <m/>
    <m/>
    <n v="1964"/>
    <n v="234.44"/>
    <n v="15.2"/>
    <n v="754411708203"/>
    <n v="23.9"/>
    <n v="93.2"/>
    <n v="17.899999999999999"/>
    <n v="42.3"/>
    <n v="83429615"/>
  </r>
  <r>
    <x v="203"/>
    <x v="203"/>
    <x v="12"/>
    <x v="1257"/>
    <x v="22"/>
    <x v="5"/>
    <x v="452"/>
    <x v="518"/>
    <x v="12"/>
    <s v="China"/>
    <m/>
    <x v="1"/>
    <s v="U"/>
    <x v="0"/>
    <d v="1946-02-13T00:00:00"/>
    <s v="Shen"/>
    <s v="Wenrong"/>
    <m/>
    <d v="2023-04-04T05:01:00"/>
    <m/>
    <m/>
    <n v="1946"/>
    <n v="125.08"/>
    <n v="2.9"/>
    <n v="19910000000000"/>
    <n v="50.6"/>
    <n v="100.2"/>
    <n v="9.4"/>
    <n v="59.2"/>
    <n v="1397715000"/>
  </r>
  <r>
    <x v="203"/>
    <x v="203"/>
    <x v="6"/>
    <x v="1258"/>
    <x v="15"/>
    <x v="5"/>
    <x v="34"/>
    <x v="519"/>
    <x v="6"/>
    <s v="China"/>
    <m/>
    <x v="1"/>
    <s v="D"/>
    <x v="0"/>
    <d v="1962-09-01T00:00:00"/>
    <s v="Shi"/>
    <s v="Yuzhu"/>
    <m/>
    <d v="2023-04-04T05:01:00"/>
    <m/>
    <m/>
    <n v="1962"/>
    <n v="125.08"/>
    <n v="2.9"/>
    <n v="19910000000000"/>
    <n v="50.6"/>
    <n v="100.2"/>
    <n v="9.4"/>
    <n v="59.2"/>
    <n v="1397715000"/>
  </r>
  <r>
    <x v="203"/>
    <x v="203"/>
    <x v="11"/>
    <x v="1259"/>
    <x v="53"/>
    <x v="1"/>
    <x v="5"/>
    <x v="36"/>
    <x v="11"/>
    <s v="United States"/>
    <m/>
    <x v="1"/>
    <s v="D"/>
    <x v="0"/>
    <d v="1960-01-17T00:00:00"/>
    <s v="Sutton"/>
    <s v="Jeff"/>
    <m/>
    <d v="2023-04-04T05:01:00"/>
    <s v="New York"/>
    <s v="Northeast"/>
    <n v="1960"/>
    <n v="117.24"/>
    <n v="7.5"/>
    <n v="21427700000000"/>
    <n v="88.2"/>
    <n v="101.8"/>
    <n v="9.6"/>
    <n v="36.6"/>
    <n v="328239523"/>
  </r>
  <r>
    <x v="203"/>
    <x v="203"/>
    <x v="6"/>
    <x v="1260"/>
    <x v="9"/>
    <x v="34"/>
    <x v="137"/>
    <x v="8"/>
    <x v="6"/>
    <s v="Philippines"/>
    <m/>
    <x v="0"/>
    <s v="D"/>
    <x v="0"/>
    <d v="1954-01-01T00:00:00"/>
    <s v="Sy"/>
    <s v="Henry"/>
    <m/>
    <d v="2023-04-04T05:01:00"/>
    <m/>
    <m/>
    <n v="1954"/>
    <n v="129.61000000000001"/>
    <n v="2.5"/>
    <n v="376795508680"/>
    <n v="35.5"/>
    <n v="107.5"/>
    <n v="14"/>
    <n v="43.1"/>
    <n v="108116615"/>
  </r>
  <r>
    <x v="203"/>
    <x v="203"/>
    <x v="6"/>
    <x v="1261"/>
    <x v="48"/>
    <x v="34"/>
    <x v="137"/>
    <x v="8"/>
    <x v="6"/>
    <s v="Philippines"/>
    <m/>
    <x v="1"/>
    <s v="D"/>
    <x v="0"/>
    <d v="1952-02-01T00:00:00"/>
    <s v="Tan"/>
    <s v="Andrew"/>
    <m/>
    <d v="2023-04-04T05:01:00"/>
    <m/>
    <m/>
    <n v="1952"/>
    <n v="129.61000000000001"/>
    <n v="2.5"/>
    <n v="376795508680"/>
    <n v="35.5"/>
    <n v="107.5"/>
    <n v="14"/>
    <n v="43.1"/>
    <n v="108116615"/>
  </r>
  <r>
    <x v="203"/>
    <x v="203"/>
    <x v="13"/>
    <x v="1262"/>
    <x v="52"/>
    <x v="25"/>
    <x v="76"/>
    <x v="418"/>
    <x v="13"/>
    <s v="India"/>
    <m/>
    <x v="1"/>
    <s v="U"/>
    <x v="0"/>
    <d v="1970-02-22T00:00:00"/>
    <s v="Tiku"/>
    <s v="Arvind"/>
    <m/>
    <d v="2023-04-04T05:01:00"/>
    <m/>
    <m/>
    <n v="1970"/>
    <n v="114.41"/>
    <n v="0.6"/>
    <n v="372062527489"/>
    <n v="84.8"/>
    <n v="100.6"/>
    <n v="13.1"/>
    <n v="21"/>
    <n v="5703569"/>
  </r>
  <r>
    <x v="203"/>
    <x v="203"/>
    <x v="3"/>
    <x v="1263"/>
    <x v="29"/>
    <x v="1"/>
    <x v="146"/>
    <x v="38"/>
    <x v="3"/>
    <s v="United States"/>
    <m/>
    <x v="1"/>
    <s v="U"/>
    <x v="0"/>
    <d v="1958-12-02T00:00:00"/>
    <s v="Trott"/>
    <s v="Byron"/>
    <m/>
    <d v="2023-04-04T05:01:00"/>
    <s v="Illinois"/>
    <s v="Midwest"/>
    <n v="1958"/>
    <n v="117.24"/>
    <n v="7.5"/>
    <n v="21427700000000"/>
    <n v="88.2"/>
    <n v="101.8"/>
    <n v="9.6"/>
    <n v="36.6"/>
    <n v="328239523"/>
  </r>
  <r>
    <x v="203"/>
    <x v="203"/>
    <x v="11"/>
    <x v="1264"/>
    <x v="31"/>
    <x v="1"/>
    <x v="43"/>
    <x v="36"/>
    <x v="11"/>
    <s v="United States"/>
    <m/>
    <x v="0"/>
    <s v="D"/>
    <x v="0"/>
    <d v="1946-06-14T00:00:00"/>
    <s v="Trump"/>
    <s v="Donald"/>
    <m/>
    <d v="2023-04-04T05:01:00"/>
    <s v="Florida"/>
    <s v="South"/>
    <n v="1946"/>
    <n v="117.24"/>
    <n v="7.5"/>
    <n v="21427700000000"/>
    <n v="88.2"/>
    <n v="101.8"/>
    <n v="9.6"/>
    <n v="36.6"/>
    <n v="328239523"/>
  </r>
  <r>
    <x v="203"/>
    <x v="203"/>
    <x v="1"/>
    <x v="1265"/>
    <x v="3"/>
    <x v="7"/>
    <x v="453"/>
    <x v="520"/>
    <x v="1"/>
    <s v="Germany"/>
    <m/>
    <x v="1"/>
    <s v="U"/>
    <x v="0"/>
    <d v="1944-08-20T00:00:00"/>
    <s v="Unger"/>
    <s v="Peter"/>
    <m/>
    <d v="2023-04-04T05:01:00"/>
    <m/>
    <m/>
    <n v="1944"/>
    <n v="112.85"/>
    <n v="1.4"/>
    <n v="3845630030824"/>
    <n v="70.2"/>
    <n v="104"/>
    <n v="11.5"/>
    <n v="48.8"/>
    <n v="83132799"/>
  </r>
  <r>
    <x v="203"/>
    <x v="203"/>
    <x v="0"/>
    <x v="1266"/>
    <x v="0"/>
    <x v="5"/>
    <x v="454"/>
    <x v="21"/>
    <x v="0"/>
    <s v="United States"/>
    <m/>
    <x v="1"/>
    <s v="D"/>
    <x v="0"/>
    <d v="1949-01-01T00:00:00"/>
    <s v="Wang"/>
    <s v="Roger"/>
    <m/>
    <d v="2023-04-04T05:01:00"/>
    <m/>
    <m/>
    <n v="1949"/>
    <n v="125.08"/>
    <n v="2.9"/>
    <n v="19910000000000"/>
    <n v="50.6"/>
    <n v="100.2"/>
    <n v="9.4"/>
    <n v="59.2"/>
    <n v="1397715000"/>
  </r>
  <r>
    <x v="203"/>
    <x v="203"/>
    <x v="4"/>
    <x v="1267"/>
    <x v="9"/>
    <x v="1"/>
    <x v="455"/>
    <x v="521"/>
    <x v="4"/>
    <s v="United States"/>
    <m/>
    <x v="1"/>
    <s v="D"/>
    <x v="1"/>
    <d v="1954-01-29T00:00:00"/>
    <s v="Winfrey"/>
    <s v="Oprah"/>
    <s v="Entrepreneur, Personality, Philanthropist"/>
    <d v="2023-04-04T05:01:00"/>
    <s v="California"/>
    <s v="West"/>
    <n v="1954"/>
    <n v="117.24"/>
    <n v="7.5"/>
    <n v="21427700000000"/>
    <n v="88.2"/>
    <n v="101.8"/>
    <n v="9.6"/>
    <n v="36.6"/>
    <n v="328239523"/>
  </r>
  <r>
    <x v="203"/>
    <x v="203"/>
    <x v="7"/>
    <x v="1268"/>
    <x v="50"/>
    <x v="5"/>
    <x v="456"/>
    <x v="522"/>
    <x v="7"/>
    <s v="China"/>
    <m/>
    <x v="1"/>
    <s v="D"/>
    <x v="0"/>
    <d v="1935-01-14T00:00:00"/>
    <s v="Wu"/>
    <s v="Zhigang"/>
    <m/>
    <d v="2023-04-04T05:01:00"/>
    <m/>
    <m/>
    <n v="1935"/>
    <n v="125.08"/>
    <n v="2.9"/>
    <n v="19910000000000"/>
    <n v="50.6"/>
    <n v="100.2"/>
    <n v="9.4"/>
    <n v="59.2"/>
    <n v="1397715000"/>
  </r>
  <r>
    <x v="203"/>
    <x v="203"/>
    <x v="12"/>
    <x v="1269"/>
    <x v="37"/>
    <x v="25"/>
    <x v="25"/>
    <x v="523"/>
    <x v="12"/>
    <s v="Taiwan"/>
    <m/>
    <x v="1"/>
    <s v="D"/>
    <x v="0"/>
    <d v="1957-01-01T00:00:00"/>
    <s v="Xie"/>
    <s v="Weitong"/>
    <m/>
    <d v="2023-04-04T05:01:00"/>
    <m/>
    <m/>
    <n v="1957"/>
    <n v="114.41"/>
    <n v="0.6"/>
    <n v="372062527489"/>
    <n v="84.8"/>
    <n v="100.6"/>
    <n v="13.1"/>
    <n v="21"/>
    <n v="5703569"/>
  </r>
  <r>
    <x v="203"/>
    <x v="203"/>
    <x v="0"/>
    <x v="1270"/>
    <x v="45"/>
    <x v="5"/>
    <x v="82"/>
    <x v="21"/>
    <x v="0"/>
    <s v="China"/>
    <m/>
    <x v="1"/>
    <s v="R"/>
    <x v="0"/>
    <d v="1978-01-01T00:00:00"/>
    <s v="Ye"/>
    <s v="Guofu"/>
    <m/>
    <d v="2023-04-04T05:01:00"/>
    <m/>
    <m/>
    <n v="1978"/>
    <n v="125.08"/>
    <n v="2.9"/>
    <n v="19910000000000"/>
    <n v="50.6"/>
    <n v="100.2"/>
    <n v="9.4"/>
    <n v="59.2"/>
    <n v="1397715000"/>
  </r>
  <r>
    <x v="204"/>
    <x v="204"/>
    <x v="2"/>
    <x v="1271"/>
    <x v="1"/>
    <x v="1"/>
    <x v="9"/>
    <x v="94"/>
    <x v="2"/>
    <s v="United States"/>
    <s v="WhatsApp Inc."/>
    <x v="1"/>
    <s v="D"/>
    <x v="0"/>
    <d v="1972-02-17T00:00:00"/>
    <s v="Acton"/>
    <s v="Brian"/>
    <s v="Cofounder"/>
    <d v="2023-04-04T05:01:00"/>
    <s v="California"/>
    <s v="West"/>
    <n v="1972"/>
    <n v="117.24"/>
    <n v="7.5"/>
    <n v="21427700000000"/>
    <n v="88.2"/>
    <n v="101.8"/>
    <n v="9.6"/>
    <n v="36.6"/>
    <n v="328239523"/>
  </r>
  <r>
    <x v="204"/>
    <x v="204"/>
    <x v="1"/>
    <x v="1272"/>
    <x v="7"/>
    <x v="16"/>
    <x v="88"/>
    <x v="524"/>
    <x v="1"/>
    <s v="United Arab Emirates"/>
    <m/>
    <x v="0"/>
    <s v="D"/>
    <x v="0"/>
    <d v="1940-01-01T00:00:00"/>
    <s v="Al Futtaim"/>
    <s v="Abdulla"/>
    <m/>
    <d v="2023-04-04T05:01:00"/>
    <m/>
    <m/>
    <n v="1940"/>
    <n v="114.52"/>
    <n v="-1.9"/>
    <n v="421142267938"/>
    <n v="36.799999999999997"/>
    <n v="108.4"/>
    <n v="0.1"/>
    <n v="15.9"/>
    <n v="9770529"/>
  </r>
  <r>
    <x v="204"/>
    <x v="204"/>
    <x v="13"/>
    <x v="1273"/>
    <x v="22"/>
    <x v="1"/>
    <x v="15"/>
    <x v="256"/>
    <x v="13"/>
    <s v="United States"/>
    <m/>
    <x v="0"/>
    <s v="E"/>
    <x v="0"/>
    <d v="1945-09-10T00:00:00"/>
    <s v="Bass"/>
    <s v="Edward"/>
    <m/>
    <d v="2023-04-04T05:01:00"/>
    <s v="Texas"/>
    <s v="South"/>
    <n v="1945"/>
    <n v="117.24"/>
    <n v="7.5"/>
    <n v="21427700000000"/>
    <n v="88.2"/>
    <n v="101.8"/>
    <n v="9.6"/>
    <n v="36.6"/>
    <n v="328239523"/>
  </r>
  <r>
    <x v="204"/>
    <x v="204"/>
    <x v="4"/>
    <x v="1274"/>
    <x v="36"/>
    <x v="29"/>
    <x v="96"/>
    <x v="525"/>
    <x v="4"/>
    <s v="South Africa"/>
    <m/>
    <x v="1"/>
    <s v="U"/>
    <x v="0"/>
    <d v="1952-12-14T00:00:00"/>
    <s v="Bekker"/>
    <s v="Koos"/>
    <m/>
    <d v="2023-04-04T05:01:00"/>
    <m/>
    <m/>
    <n v="1952"/>
    <n v="158.93"/>
    <n v="4.0999999999999996"/>
    <n v="351431649241"/>
    <n v="22.4"/>
    <n v="100.9"/>
    <n v="27.5"/>
    <n v="29.2"/>
    <n v="58558270"/>
  </r>
  <r>
    <x v="204"/>
    <x v="204"/>
    <x v="14"/>
    <x v="1275"/>
    <x v="45"/>
    <x v="7"/>
    <x v="457"/>
    <x v="526"/>
    <x v="14"/>
    <s v="Germany"/>
    <m/>
    <x v="0"/>
    <s v="D"/>
    <x v="0"/>
    <d v="1978-01-01T00:00:00"/>
    <s v="Braun"/>
    <s v="Otto Philipp"/>
    <m/>
    <d v="2023-04-04T05:01:00"/>
    <m/>
    <m/>
    <n v="1978"/>
    <n v="112.85"/>
    <n v="1.4"/>
    <n v="3845630030824"/>
    <n v="70.2"/>
    <n v="104"/>
    <n v="11.5"/>
    <n v="48.8"/>
    <n v="83132799"/>
  </r>
  <r>
    <x v="204"/>
    <x v="204"/>
    <x v="0"/>
    <x v="1276"/>
    <x v="0"/>
    <x v="1"/>
    <x v="115"/>
    <x v="527"/>
    <x v="0"/>
    <s v="Taiwan"/>
    <m/>
    <x v="1"/>
    <s v="D"/>
    <x v="0"/>
    <d v="1948-04-19T00:00:00"/>
    <s v="Chen"/>
    <s v="Tei-fu"/>
    <m/>
    <d v="2023-04-04T05:01:00"/>
    <s v="California"/>
    <s v="West"/>
    <n v="1948"/>
    <n v="117.24"/>
    <n v="7.5"/>
    <n v="21427700000000"/>
    <n v="88.2"/>
    <n v="101.8"/>
    <n v="9.6"/>
    <n v="36.6"/>
    <n v="328239523"/>
  </r>
  <r>
    <x v="204"/>
    <x v="204"/>
    <x v="0"/>
    <x v="1277"/>
    <x v="20"/>
    <x v="30"/>
    <x v="99"/>
    <x v="21"/>
    <x v="0"/>
    <s v="Brazil"/>
    <m/>
    <x v="0"/>
    <s v="D"/>
    <x v="0"/>
    <d v="1936-12-28T00:00:00"/>
    <s v="Diniz"/>
    <s v="Abilio dos Santos"/>
    <m/>
    <d v="2023-04-04T05:01:00"/>
    <m/>
    <m/>
    <n v="1936"/>
    <n v="167.4"/>
    <n v="3.7"/>
    <n v="1839758040766"/>
    <n v="51.3"/>
    <n v="115.4"/>
    <n v="14.2"/>
    <n v="65.099999999999994"/>
    <n v="212559417"/>
  </r>
  <r>
    <x v="204"/>
    <x v="204"/>
    <x v="3"/>
    <x v="1278"/>
    <x v="17"/>
    <x v="8"/>
    <x v="355"/>
    <x v="122"/>
    <x v="3"/>
    <s v="Switzerland"/>
    <m/>
    <x v="1"/>
    <s v="D"/>
    <x v="0"/>
    <d v="1965-01-01T00:00:00"/>
    <s v="Erni"/>
    <s v="Marcel"/>
    <m/>
    <d v="2023-04-04T05:01:00"/>
    <m/>
    <m/>
    <n v="1965"/>
    <n v="99.55"/>
    <n v="0.4"/>
    <n v="703082435360"/>
    <n v="59.6"/>
    <n v="105.2"/>
    <n v="10.1"/>
    <n v="28.8"/>
    <n v="8574832"/>
  </r>
  <r>
    <x v="204"/>
    <x v="204"/>
    <x v="0"/>
    <x v="1279"/>
    <x v="56"/>
    <x v="1"/>
    <x v="120"/>
    <x v="528"/>
    <x v="0"/>
    <s v="United States"/>
    <s v="Gap Inc."/>
    <x v="1"/>
    <s v="D"/>
    <x v="1"/>
    <d v="1931-08-23T00:00:00"/>
    <s v="Fisher"/>
    <s v="Doris"/>
    <s v="Cofounder"/>
    <d v="2023-04-04T05:01:00"/>
    <s v="California"/>
    <s v="West"/>
    <n v="1931"/>
    <n v="117.24"/>
    <n v="7.5"/>
    <n v="21427700000000"/>
    <n v="88.2"/>
    <n v="101.8"/>
    <n v="9.6"/>
    <n v="36.6"/>
    <n v="328239523"/>
  </r>
  <r>
    <x v="204"/>
    <x v="204"/>
    <x v="3"/>
    <x v="1280"/>
    <x v="3"/>
    <x v="1"/>
    <x v="80"/>
    <x v="75"/>
    <x v="3"/>
    <s v="United States"/>
    <s v="Ford Financial Fund"/>
    <x v="1"/>
    <s v="D"/>
    <x v="0"/>
    <d v="1944-08-04T00:00:00"/>
    <s v="Ford"/>
    <s v="Gerald"/>
    <s v="Managing Member"/>
    <d v="2023-04-04T05:01:00"/>
    <s v="Texas"/>
    <s v="South"/>
    <n v="1944"/>
    <n v="117.24"/>
    <n v="7.5"/>
    <n v="21427700000000"/>
    <n v="88.2"/>
    <n v="101.8"/>
    <n v="9.6"/>
    <n v="36.6"/>
    <n v="328239523"/>
  </r>
  <r>
    <x v="204"/>
    <x v="204"/>
    <x v="14"/>
    <x v="1281"/>
    <x v="37"/>
    <x v="0"/>
    <x v="0"/>
    <x v="83"/>
    <x v="14"/>
    <s v="France"/>
    <m/>
    <x v="1"/>
    <s v="E"/>
    <x v="0"/>
    <d v="1956-08-10T00:00:00"/>
    <s v="Fraisse"/>
    <s v="Bernard"/>
    <m/>
    <d v="2023-04-04T05:01:00"/>
    <m/>
    <m/>
    <n v="1956"/>
    <n v="110.05"/>
    <n v="1.1000000000000001"/>
    <n v="2715518274227"/>
    <n v="65.599999999999994"/>
    <n v="102.5"/>
    <n v="24.2"/>
    <n v="60.7"/>
    <n v="67059887"/>
  </r>
  <r>
    <x v="204"/>
    <x v="204"/>
    <x v="3"/>
    <x v="1282"/>
    <x v="42"/>
    <x v="8"/>
    <x v="355"/>
    <x v="122"/>
    <x v="3"/>
    <s v="Switzerland"/>
    <m/>
    <x v="1"/>
    <s v="D"/>
    <x v="0"/>
    <d v="1968-04-01T00:00:00"/>
    <s v="Gantner"/>
    <s v="Alfred"/>
    <m/>
    <d v="2023-04-04T05:01:00"/>
    <m/>
    <m/>
    <n v="1968"/>
    <n v="99.55"/>
    <n v="0.4"/>
    <n v="703082435360"/>
    <n v="59.6"/>
    <n v="105.2"/>
    <n v="10.1"/>
    <n v="28.8"/>
    <n v="8574832"/>
  </r>
  <r>
    <x v="204"/>
    <x v="204"/>
    <x v="9"/>
    <x v="1283"/>
    <x v="50"/>
    <x v="7"/>
    <x v="458"/>
    <x v="180"/>
    <x v="9"/>
    <s v="Germany"/>
    <m/>
    <x v="1"/>
    <s v="D"/>
    <x v="0"/>
    <d v="1934-08-26T00:00:00"/>
    <s v="Gauselmann"/>
    <s v="Paul"/>
    <m/>
    <d v="2023-04-04T05:01:00"/>
    <m/>
    <m/>
    <n v="1934"/>
    <n v="112.85"/>
    <n v="1.4"/>
    <n v="3845630030824"/>
    <n v="70.2"/>
    <n v="104"/>
    <n v="11.5"/>
    <n v="48.8"/>
    <n v="83132799"/>
  </r>
  <r>
    <x v="204"/>
    <x v="204"/>
    <x v="11"/>
    <x v="1284"/>
    <x v="38"/>
    <x v="6"/>
    <x v="459"/>
    <x v="36"/>
    <x v="11"/>
    <s v="Canada"/>
    <s v="SmartCentres"/>
    <x v="1"/>
    <s v="D"/>
    <x v="0"/>
    <d v="1961-07-15T00:00:00"/>
    <s v="Goldhar"/>
    <s v="Mitchell"/>
    <s v="Owner"/>
    <d v="2023-04-04T05:01:00"/>
    <m/>
    <m/>
    <n v="1961"/>
    <n v="116.76"/>
    <n v="1.9"/>
    <n v="1736425629520"/>
    <n v="68.900000000000006"/>
    <n v="100.9"/>
    <n v="12.8"/>
    <n v="24.5"/>
    <n v="36991981"/>
  </r>
  <r>
    <x v="204"/>
    <x v="204"/>
    <x v="3"/>
    <x v="1285"/>
    <x v="31"/>
    <x v="13"/>
    <x v="460"/>
    <x v="285"/>
    <x v="3"/>
    <s v="United Kingdom"/>
    <m/>
    <x v="1"/>
    <s v="D"/>
    <x v="0"/>
    <d v="1946-10-05T00:00:00"/>
    <s v="Hargreaves"/>
    <s v="Peter"/>
    <m/>
    <d v="2023-04-04T05:01:00"/>
    <m/>
    <m/>
    <n v="1946"/>
    <n v="119.62"/>
    <n v="1.7"/>
    <n v="2827113184696"/>
    <n v="60"/>
    <n v="101.2"/>
    <n v="25.5"/>
    <n v="30.6"/>
    <n v="66834405"/>
  </r>
  <r>
    <x v="204"/>
    <x v="204"/>
    <x v="14"/>
    <x v="1286"/>
    <x v="55"/>
    <x v="5"/>
    <x v="461"/>
    <x v="83"/>
    <x v="14"/>
    <s v="China"/>
    <m/>
    <x v="1"/>
    <s v="D"/>
    <x v="0"/>
    <d v="1943-10-30T00:00:00"/>
    <s v="Hua"/>
    <s v="Xuande"/>
    <m/>
    <d v="2023-04-04T05:01:00"/>
    <m/>
    <m/>
    <n v="1943"/>
    <n v="125.08"/>
    <n v="2.9"/>
    <n v="19910000000000"/>
    <n v="50.6"/>
    <n v="100.2"/>
    <n v="9.4"/>
    <n v="59.2"/>
    <n v="1397715000"/>
  </r>
  <r>
    <x v="204"/>
    <x v="204"/>
    <x v="6"/>
    <x v="1287"/>
    <x v="13"/>
    <x v="25"/>
    <x v="76"/>
    <x v="8"/>
    <x v="6"/>
    <s v="Singapore"/>
    <m/>
    <x v="0"/>
    <s v="U"/>
    <x v="0"/>
    <d v="1955-01-01T00:00:00"/>
    <s v="Kwek"/>
    <s v="Leng Kee"/>
    <m/>
    <d v="2023-04-04T05:01:00"/>
    <m/>
    <m/>
    <n v="1955"/>
    <n v="114.41"/>
    <n v="0.6"/>
    <n v="372062527489"/>
    <n v="84.8"/>
    <n v="100.6"/>
    <n v="13.1"/>
    <n v="21"/>
    <n v="5703569"/>
  </r>
  <r>
    <x v="204"/>
    <x v="204"/>
    <x v="10"/>
    <x v="1288"/>
    <x v="22"/>
    <x v="1"/>
    <x v="462"/>
    <x v="529"/>
    <x v="10"/>
    <s v="United States"/>
    <m/>
    <x v="0"/>
    <s v="U"/>
    <x v="1"/>
    <d v="1945-05-01T00:00:00"/>
    <s v="Lozick"/>
    <s v="Catherine"/>
    <m/>
    <d v="2023-04-04T05:01:00"/>
    <s v="Florida"/>
    <s v="South"/>
    <n v="1945"/>
    <n v="117.24"/>
    <n v="7.5"/>
    <n v="21427700000000"/>
    <n v="88.2"/>
    <n v="101.8"/>
    <n v="9.6"/>
    <n v="36.6"/>
    <n v="328239523"/>
  </r>
  <r>
    <x v="204"/>
    <x v="204"/>
    <x v="4"/>
    <x v="1289"/>
    <x v="41"/>
    <x v="3"/>
    <x v="463"/>
    <x v="16"/>
    <x v="4"/>
    <s v="India"/>
    <m/>
    <x v="1"/>
    <s v="E"/>
    <x v="0"/>
    <d v="1965-07-26T00:00:00"/>
    <s v="Maran"/>
    <s v="Kalanithi"/>
    <m/>
    <d v="2023-04-04T05:01:00"/>
    <m/>
    <m/>
    <n v="1965"/>
    <n v="180.44"/>
    <n v="7.7"/>
    <n v="2611000000000"/>
    <n v="28.1"/>
    <n v="113"/>
    <n v="11.2"/>
    <n v="49.7"/>
    <n v="1366417754"/>
  </r>
  <r>
    <x v="204"/>
    <x v="204"/>
    <x v="3"/>
    <x v="1290"/>
    <x v="65"/>
    <x v="1"/>
    <x v="464"/>
    <x v="530"/>
    <x v="3"/>
    <s v="United States"/>
    <m/>
    <x v="1"/>
    <s v="D"/>
    <x v="0"/>
    <d v="1975-01-01T00:00:00"/>
    <s v="McCaleb"/>
    <s v="Jed"/>
    <m/>
    <d v="2023-04-04T05:01:00"/>
    <s v="California"/>
    <s v="West"/>
    <n v="1975"/>
    <n v="117.24"/>
    <n v="7.5"/>
    <n v="21427700000000"/>
    <n v="88.2"/>
    <n v="101.8"/>
    <n v="9.6"/>
    <n v="36.6"/>
    <n v="328239523"/>
  </r>
  <r>
    <x v="204"/>
    <x v="204"/>
    <x v="10"/>
    <x v="1291"/>
    <x v="8"/>
    <x v="1"/>
    <x v="203"/>
    <x v="517"/>
    <x v="10"/>
    <s v="United States"/>
    <m/>
    <x v="1"/>
    <s v="D"/>
    <x v="0"/>
    <d v="1958-02-02T00:00:00"/>
    <s v="Ozmen"/>
    <s v="Fatih"/>
    <m/>
    <d v="2023-04-04T05:01:00"/>
    <s v="Nevada"/>
    <s v="West"/>
    <n v="1958"/>
    <n v="117.24"/>
    <n v="7.5"/>
    <n v="21427700000000"/>
    <n v="88.2"/>
    <n v="101.8"/>
    <n v="9.6"/>
    <n v="36.6"/>
    <n v="328239523"/>
  </r>
  <r>
    <x v="204"/>
    <x v="204"/>
    <x v="7"/>
    <x v="1292"/>
    <x v="44"/>
    <x v="5"/>
    <x v="49"/>
    <x v="80"/>
    <x v="7"/>
    <s v="China"/>
    <m/>
    <x v="1"/>
    <s v="D"/>
    <x v="0"/>
    <m/>
    <s v="Pan"/>
    <s v="Laican"/>
    <m/>
    <d v="2023-04-04T05:01:00"/>
    <m/>
    <m/>
    <m/>
    <n v="125.08"/>
    <n v="2.9"/>
    <n v="19910000000000"/>
    <n v="50.6"/>
    <n v="100.2"/>
    <n v="9.4"/>
    <n v="59.2"/>
    <n v="1397715000"/>
  </r>
  <r>
    <x v="204"/>
    <x v="204"/>
    <x v="12"/>
    <x v="1293"/>
    <x v="17"/>
    <x v="8"/>
    <x v="355"/>
    <x v="90"/>
    <x v="12"/>
    <s v="United States"/>
    <m/>
    <x v="1"/>
    <s v="D"/>
    <x v="0"/>
    <d v="1964-08-07T00:00:00"/>
    <s v="Peterson"/>
    <s v="Tor"/>
    <m/>
    <d v="2023-04-04T05:01:00"/>
    <m/>
    <m/>
    <n v="1964"/>
    <n v="99.55"/>
    <n v="0.4"/>
    <n v="703082435360"/>
    <n v="59.6"/>
    <n v="105.2"/>
    <n v="10.1"/>
    <n v="28.8"/>
    <n v="8574832"/>
  </r>
  <r>
    <x v="204"/>
    <x v="204"/>
    <x v="3"/>
    <x v="1294"/>
    <x v="53"/>
    <x v="1"/>
    <x v="465"/>
    <x v="231"/>
    <x v="3"/>
    <s v="United States"/>
    <m/>
    <x v="0"/>
    <s v="D"/>
    <x v="0"/>
    <d v="1959-09-15T00:00:00"/>
    <s v="Pritzker"/>
    <s v="Daniel"/>
    <m/>
    <d v="2023-04-04T05:01:00"/>
    <s v="California"/>
    <s v="West"/>
    <n v="1959"/>
    <n v="117.24"/>
    <n v="7.5"/>
    <n v="21427700000000"/>
    <n v="88.2"/>
    <n v="101.8"/>
    <n v="9.6"/>
    <n v="36.6"/>
    <n v="328239523"/>
  </r>
  <r>
    <x v="204"/>
    <x v="204"/>
    <x v="11"/>
    <x v="1295"/>
    <x v="38"/>
    <x v="5"/>
    <x v="12"/>
    <x v="36"/>
    <x v="11"/>
    <s v="China"/>
    <m/>
    <x v="1"/>
    <s v="U"/>
    <x v="0"/>
    <d v="1962-03-28T00:00:00"/>
    <s v="Qi"/>
    <s v="Jinxing"/>
    <m/>
    <d v="2023-04-04T05:01:00"/>
    <m/>
    <m/>
    <n v="1962"/>
    <n v="125.08"/>
    <n v="2.9"/>
    <n v="19910000000000"/>
    <n v="50.6"/>
    <n v="100.2"/>
    <n v="9.4"/>
    <n v="59.2"/>
    <n v="1397715000"/>
  </r>
  <r>
    <x v="204"/>
    <x v="204"/>
    <x v="10"/>
    <x v="1296"/>
    <x v="38"/>
    <x v="5"/>
    <x v="12"/>
    <x v="531"/>
    <x v="10"/>
    <s v="China"/>
    <m/>
    <x v="1"/>
    <s v="U"/>
    <x v="0"/>
    <d v="1962-01-28T00:00:00"/>
    <s v="Qiu"/>
    <s v="Jianping"/>
    <m/>
    <d v="2023-04-04T05:01:00"/>
    <m/>
    <m/>
    <n v="1962"/>
    <n v="125.08"/>
    <n v="2.9"/>
    <n v="19910000000000"/>
    <n v="50.6"/>
    <n v="100.2"/>
    <n v="9.4"/>
    <n v="59.2"/>
    <n v="1397715000"/>
  </r>
  <r>
    <x v="204"/>
    <x v="204"/>
    <x v="6"/>
    <x v="1297"/>
    <x v="13"/>
    <x v="3"/>
    <x v="7"/>
    <x v="8"/>
    <x v="6"/>
    <s v="India"/>
    <m/>
    <x v="0"/>
    <s v="E"/>
    <x v="0"/>
    <d v="1954-06-01T00:00:00"/>
    <s v="Raheja"/>
    <s v="Rajan"/>
    <m/>
    <d v="2023-04-04T05:01:00"/>
    <m/>
    <m/>
    <n v="1954"/>
    <n v="180.44"/>
    <n v="7.7"/>
    <n v="2611000000000"/>
    <n v="28.1"/>
    <n v="113"/>
    <n v="11.2"/>
    <n v="49.7"/>
    <n v="1366417754"/>
  </r>
  <r>
    <x v="204"/>
    <x v="204"/>
    <x v="3"/>
    <x v="1298"/>
    <x v="53"/>
    <x v="8"/>
    <x v="71"/>
    <x v="285"/>
    <x v="3"/>
    <s v="Switzerland"/>
    <m/>
    <x v="1"/>
    <s v="D"/>
    <x v="0"/>
    <d v="1960-01-01T00:00:00"/>
    <s v="Reinhart"/>
    <s v="Matthias"/>
    <m/>
    <d v="2023-04-04T05:01:00"/>
    <m/>
    <m/>
    <n v="1960"/>
    <n v="99.55"/>
    <n v="0.4"/>
    <n v="703082435360"/>
    <n v="59.6"/>
    <n v="105.2"/>
    <n v="10.1"/>
    <n v="28.8"/>
    <n v="8574832"/>
  </r>
  <r>
    <x v="204"/>
    <x v="204"/>
    <x v="2"/>
    <x v="1299"/>
    <x v="42"/>
    <x v="41"/>
    <x v="200"/>
    <x v="235"/>
    <x v="2"/>
    <s v="Netherlands"/>
    <m/>
    <x v="1"/>
    <s v="D"/>
    <x v="0"/>
    <d v="1967-10-16T00:00:00"/>
    <s v="Schuijff"/>
    <s v="Arnout"/>
    <m/>
    <d v="2023-04-04T05:01:00"/>
    <m/>
    <m/>
    <n v="1967"/>
    <n v="115.91"/>
    <n v="2.6"/>
    <n v="909070395161"/>
    <n v="85"/>
    <n v="104.2"/>
    <n v="23"/>
    <n v="41.2"/>
    <n v="17332850"/>
  </r>
  <r>
    <x v="204"/>
    <x v="204"/>
    <x v="6"/>
    <x v="1300"/>
    <x v="5"/>
    <x v="34"/>
    <x v="137"/>
    <x v="8"/>
    <x v="6"/>
    <s v="Philippines"/>
    <m/>
    <x v="0"/>
    <s v="D"/>
    <x v="0"/>
    <d v="1955-09-29T00:00:00"/>
    <s v="Sy"/>
    <s v="Hans"/>
    <m/>
    <d v="2023-04-04T05:01:00"/>
    <m/>
    <m/>
    <n v="1955"/>
    <n v="129.61000000000001"/>
    <n v="2.5"/>
    <n v="376795508680"/>
    <n v="35.5"/>
    <n v="107.5"/>
    <n v="14"/>
    <n v="43.1"/>
    <n v="108116615"/>
  </r>
  <r>
    <x v="204"/>
    <x v="204"/>
    <x v="6"/>
    <x v="1301"/>
    <x v="37"/>
    <x v="34"/>
    <x v="137"/>
    <x v="8"/>
    <x v="6"/>
    <s v="Philippines"/>
    <m/>
    <x v="0"/>
    <s v="D"/>
    <x v="0"/>
    <d v="1956-10-01T00:00:00"/>
    <s v="Sy"/>
    <s v="Herbert"/>
    <m/>
    <d v="2023-04-04T05:01:00"/>
    <m/>
    <m/>
    <n v="1956"/>
    <n v="129.61000000000001"/>
    <n v="2.5"/>
    <n v="376795508680"/>
    <n v="35.5"/>
    <n v="107.5"/>
    <n v="14"/>
    <n v="43.1"/>
    <n v="108116615"/>
  </r>
  <r>
    <x v="204"/>
    <x v="204"/>
    <x v="6"/>
    <x v="1302"/>
    <x v="50"/>
    <x v="34"/>
    <x v="137"/>
    <x v="8"/>
    <x v="6"/>
    <s v="Philippines"/>
    <m/>
    <x v="1"/>
    <s v="U"/>
    <x v="0"/>
    <d v="1934-07-17T00:00:00"/>
    <s v="Tan"/>
    <s v="Lucio"/>
    <m/>
    <d v="2023-04-04T05:01:00"/>
    <m/>
    <m/>
    <n v="1934"/>
    <n v="129.61000000000001"/>
    <n v="2.5"/>
    <n v="376795508680"/>
    <n v="35.5"/>
    <n v="107.5"/>
    <n v="14"/>
    <n v="43.1"/>
    <n v="108116615"/>
  </r>
  <r>
    <x v="204"/>
    <x v="204"/>
    <x v="2"/>
    <x v="1303"/>
    <x v="25"/>
    <x v="35"/>
    <x v="466"/>
    <x v="58"/>
    <x v="2"/>
    <s v="Taiwan"/>
    <m/>
    <x v="1"/>
    <s v="D"/>
    <x v="0"/>
    <d v="1950-04-06T00:00:00"/>
    <s v="Tsai"/>
    <s v="Ming-kai"/>
    <m/>
    <d v="2023-04-04T05:01:00"/>
    <m/>
    <m/>
    <n v="1950"/>
    <m/>
    <m/>
    <m/>
    <m/>
    <m/>
    <m/>
    <m/>
    <m/>
  </r>
  <r>
    <x v="204"/>
    <x v="204"/>
    <x v="4"/>
    <x v="1304"/>
    <x v="30"/>
    <x v="1"/>
    <x v="139"/>
    <x v="131"/>
    <x v="4"/>
    <s v="United States"/>
    <m/>
    <x v="0"/>
    <s v="U"/>
    <x v="0"/>
    <d v="1938-11-19T00:00:00"/>
    <s v="Turner"/>
    <s v="Ted"/>
    <m/>
    <d v="2023-04-04T05:01:00"/>
    <s v="Georgia"/>
    <s v="South"/>
    <n v="1938"/>
    <n v="117.24"/>
    <n v="7.5"/>
    <n v="21427700000000"/>
    <n v="88.2"/>
    <n v="101.8"/>
    <n v="9.6"/>
    <n v="36.6"/>
    <n v="328239523"/>
  </r>
  <r>
    <x v="204"/>
    <x v="204"/>
    <x v="11"/>
    <x v="1305"/>
    <x v="30"/>
    <x v="1"/>
    <x v="5"/>
    <x v="36"/>
    <x v="11"/>
    <s v="United States"/>
    <m/>
    <x v="1"/>
    <s v="U"/>
    <x v="0"/>
    <d v="1938-08-07T00:00:00"/>
    <s v="Walentas"/>
    <s v="David"/>
    <m/>
    <d v="2023-04-04T05:01:00"/>
    <s v="New York"/>
    <s v="Northeast"/>
    <n v="1938"/>
    <n v="117.24"/>
    <n v="7.5"/>
    <n v="21427700000000"/>
    <n v="88.2"/>
    <n v="101.8"/>
    <n v="9.6"/>
    <n v="36.6"/>
    <n v="328239523"/>
  </r>
  <r>
    <x v="204"/>
    <x v="204"/>
    <x v="3"/>
    <x v="1306"/>
    <x v="38"/>
    <x v="8"/>
    <x v="355"/>
    <x v="122"/>
    <x v="3"/>
    <s v="Switzerland"/>
    <m/>
    <x v="1"/>
    <s v="D"/>
    <x v="0"/>
    <d v="1961-08-25T00:00:00"/>
    <s v="Wietlisbach"/>
    <s v="Urs"/>
    <m/>
    <d v="2023-04-04T05:01:00"/>
    <m/>
    <m/>
    <n v="1961"/>
    <n v="99.55"/>
    <n v="0.4"/>
    <n v="703082435360"/>
    <n v="59.6"/>
    <n v="105.2"/>
    <n v="10.1"/>
    <n v="28.8"/>
    <n v="8574832"/>
  </r>
  <r>
    <x v="204"/>
    <x v="204"/>
    <x v="2"/>
    <x v="1307"/>
    <x v="23"/>
    <x v="1"/>
    <x v="300"/>
    <x v="409"/>
    <x v="2"/>
    <s v="United States"/>
    <s v="Yahoo!"/>
    <x v="1"/>
    <s v="D"/>
    <x v="0"/>
    <d v="1968-11-06T00:00:00"/>
    <s v="Yang"/>
    <s v="Jerry"/>
    <s v="Cofounder"/>
    <d v="2023-04-04T05:01:00"/>
    <s v="California"/>
    <s v="West"/>
    <n v="1968"/>
    <n v="117.24"/>
    <n v="7.5"/>
    <n v="21427700000000"/>
    <n v="88.2"/>
    <n v="101.8"/>
    <n v="9.6"/>
    <n v="36.6"/>
    <n v="328239523"/>
  </r>
  <r>
    <x v="204"/>
    <x v="204"/>
    <x v="10"/>
    <x v="1308"/>
    <x v="52"/>
    <x v="5"/>
    <x v="327"/>
    <x v="532"/>
    <x v="10"/>
    <s v="China"/>
    <m/>
    <x v="1"/>
    <s v="D"/>
    <x v="0"/>
    <d v="1969-06-01T00:00:00"/>
    <s v="Yang"/>
    <s v="Jianliang"/>
    <m/>
    <d v="2023-04-04T05:01:00"/>
    <m/>
    <m/>
    <n v="1969"/>
    <n v="125.08"/>
    <n v="2.9"/>
    <n v="19910000000000"/>
    <n v="50.6"/>
    <n v="100.2"/>
    <n v="9.4"/>
    <n v="59.2"/>
    <n v="1397715000"/>
  </r>
  <r>
    <x v="204"/>
    <x v="204"/>
    <x v="10"/>
    <x v="1309"/>
    <x v="23"/>
    <x v="5"/>
    <x v="316"/>
    <x v="50"/>
    <x v="10"/>
    <s v="China"/>
    <m/>
    <x v="1"/>
    <s v="D"/>
    <x v="0"/>
    <d v="1968-09-09T00:00:00"/>
    <s v="Yang"/>
    <s v="Weidong"/>
    <m/>
    <d v="2023-04-04T05:01:00"/>
    <m/>
    <m/>
    <n v="1968"/>
    <n v="125.08"/>
    <n v="2.9"/>
    <n v="19910000000000"/>
    <n v="50.6"/>
    <n v="100.2"/>
    <n v="9.4"/>
    <n v="59.2"/>
    <n v="1397715000"/>
  </r>
  <r>
    <x v="204"/>
    <x v="204"/>
    <x v="11"/>
    <x v="1310"/>
    <x v="18"/>
    <x v="1"/>
    <x v="5"/>
    <x v="533"/>
    <x v="11"/>
    <s v="United States"/>
    <s v="Boston Properties"/>
    <x v="1"/>
    <s v="D"/>
    <x v="0"/>
    <d v="1937-06-04T00:00:00"/>
    <s v="Zuckerman"/>
    <s v="Mortimer"/>
    <s v="Chairman and CEO"/>
    <d v="2023-04-04T05:01:00"/>
    <s v="New York"/>
    <s v="Northeast"/>
    <n v="1937"/>
    <n v="117.24"/>
    <n v="7.5"/>
    <n v="21427700000000"/>
    <n v="88.2"/>
    <n v="101.8"/>
    <n v="9.6"/>
    <n v="36.6"/>
    <n v="328239523"/>
  </r>
  <r>
    <x v="205"/>
    <x v="205"/>
    <x v="3"/>
    <x v="1311"/>
    <x v="53"/>
    <x v="13"/>
    <x v="32"/>
    <x v="28"/>
    <x v="3"/>
    <s v="Ireland"/>
    <s v="Egerton Capital"/>
    <x v="1"/>
    <s v="D"/>
    <x v="0"/>
    <d v="1959-12-01T00:00:00"/>
    <s v="Armitage"/>
    <s v="John"/>
    <m/>
    <d v="2023-04-04T05:01:00"/>
    <m/>
    <m/>
    <n v="1959"/>
    <n v="119.62"/>
    <n v="1.7"/>
    <n v="2827113184696"/>
    <n v="60"/>
    <n v="101.2"/>
    <n v="25.5"/>
    <n v="30.6"/>
    <n v="66834405"/>
  </r>
  <r>
    <x v="205"/>
    <x v="205"/>
    <x v="13"/>
    <x v="1312"/>
    <x v="37"/>
    <x v="1"/>
    <x v="15"/>
    <x v="256"/>
    <x v="13"/>
    <s v="United States"/>
    <m/>
    <x v="0"/>
    <s v="U"/>
    <x v="0"/>
    <d v="1956-05-24T00:00:00"/>
    <s v="Bass"/>
    <s v="Lee"/>
    <m/>
    <d v="2023-04-04T05:01:00"/>
    <s v="Texas"/>
    <s v="South"/>
    <n v="1956"/>
    <n v="117.24"/>
    <n v="7.5"/>
    <n v="21427700000000"/>
    <n v="88.2"/>
    <n v="101.8"/>
    <n v="9.6"/>
    <n v="36.6"/>
    <n v="328239523"/>
  </r>
  <r>
    <x v="205"/>
    <x v="205"/>
    <x v="2"/>
    <x v="1313"/>
    <x v="27"/>
    <x v="1"/>
    <x v="120"/>
    <x v="534"/>
    <x v="2"/>
    <s v="United States"/>
    <m/>
    <x v="1"/>
    <s v="U"/>
    <x v="0"/>
    <d v="1980-03-20T00:00:00"/>
    <s v="Bicket"/>
    <s v="John"/>
    <m/>
    <d v="2023-04-04T05:01:00"/>
    <s v="California"/>
    <s v="West"/>
    <n v="1980"/>
    <n v="117.24"/>
    <n v="7.5"/>
    <n v="21427700000000"/>
    <n v="88.2"/>
    <n v="101.8"/>
    <n v="9.6"/>
    <n v="36.6"/>
    <n v="328239523"/>
  </r>
  <r>
    <x v="205"/>
    <x v="205"/>
    <x v="2"/>
    <x v="1314"/>
    <x v="51"/>
    <x v="1"/>
    <x v="120"/>
    <x v="534"/>
    <x v="2"/>
    <s v="United States"/>
    <m/>
    <x v="1"/>
    <s v="U"/>
    <x v="0"/>
    <d v="1982-01-12T00:00:00"/>
    <s v="Biswas"/>
    <s v="Sanjit"/>
    <m/>
    <d v="2023-04-04T05:01:00"/>
    <s v="California"/>
    <s v="West"/>
    <n v="1982"/>
    <n v="117.24"/>
    <n v="7.5"/>
    <n v="21427700000000"/>
    <n v="88.2"/>
    <n v="101.8"/>
    <n v="9.6"/>
    <n v="36.6"/>
    <n v="328239523"/>
  </r>
  <r>
    <x v="205"/>
    <x v="205"/>
    <x v="0"/>
    <x v="1315"/>
    <x v="16"/>
    <x v="1"/>
    <x v="467"/>
    <x v="535"/>
    <x v="0"/>
    <s v="United States"/>
    <m/>
    <x v="1"/>
    <s v="E"/>
    <x v="0"/>
    <d v="1949-09-07T00:00:00"/>
    <s v="Boyle"/>
    <s v="Timothy"/>
    <m/>
    <d v="2023-04-04T05:01:00"/>
    <s v="Oregon"/>
    <s v="West"/>
    <n v="1949"/>
    <n v="117.24"/>
    <n v="7.5"/>
    <n v="21427700000000"/>
    <n v="88.2"/>
    <n v="101.8"/>
    <n v="9.6"/>
    <n v="36.6"/>
    <n v="328239523"/>
  </r>
  <r>
    <x v="205"/>
    <x v="205"/>
    <x v="2"/>
    <x v="1316"/>
    <x v="56"/>
    <x v="35"/>
    <x v="466"/>
    <x v="58"/>
    <x v="2"/>
    <s v="Taiwan"/>
    <m/>
    <x v="1"/>
    <s v="D"/>
    <x v="0"/>
    <d v="1931-07-10T00:00:00"/>
    <s v="Chang"/>
    <s v="Morris"/>
    <m/>
    <d v="2023-04-04T05:01:00"/>
    <m/>
    <m/>
    <n v="1931"/>
    <m/>
    <m/>
    <m/>
    <m/>
    <m/>
    <m/>
    <m/>
    <m/>
  </r>
  <r>
    <x v="205"/>
    <x v="205"/>
    <x v="11"/>
    <x v="1317"/>
    <x v="3"/>
    <x v="35"/>
    <x v="152"/>
    <x v="36"/>
    <x v="11"/>
    <s v="Taiwan"/>
    <m/>
    <x v="1"/>
    <s v="D"/>
    <x v="0"/>
    <d v="1944-10-04T00:00:00"/>
    <s v="Chao"/>
    <s v="Teng-hsiung"/>
    <m/>
    <d v="2023-04-04T05:01:00"/>
    <m/>
    <m/>
    <n v="1944"/>
    <m/>
    <m/>
    <m/>
    <m/>
    <m/>
    <m/>
    <m/>
    <m/>
  </r>
  <r>
    <x v="205"/>
    <x v="205"/>
    <x v="3"/>
    <x v="1318"/>
    <x v="16"/>
    <x v="22"/>
    <x v="25"/>
    <x v="38"/>
    <x v="3"/>
    <s v="Taiwan"/>
    <m/>
    <x v="1"/>
    <s v="N"/>
    <x v="0"/>
    <d v="1950-01-01T00:00:00"/>
    <s v="Chen"/>
    <s v="Samuel"/>
    <m/>
    <d v="2023-04-04T05:01:00"/>
    <m/>
    <m/>
    <n v="1950"/>
    <m/>
    <m/>
    <m/>
    <m/>
    <m/>
    <m/>
    <m/>
    <m/>
  </r>
  <r>
    <x v="205"/>
    <x v="205"/>
    <x v="10"/>
    <x v="1319"/>
    <x v="52"/>
    <x v="10"/>
    <x v="36"/>
    <x v="391"/>
    <x v="10"/>
    <s v="Hong Kong"/>
    <m/>
    <x v="1"/>
    <s v="E"/>
    <x v="1"/>
    <d v="1969-12-01T00:00:00"/>
    <s v="Chu"/>
    <s v="Lam Yiu"/>
    <m/>
    <d v="2023-04-04T05:01:00"/>
    <m/>
    <m/>
    <n v="1969"/>
    <m/>
    <m/>
    <m/>
    <m/>
    <m/>
    <m/>
    <m/>
    <m/>
  </r>
  <r>
    <x v="205"/>
    <x v="205"/>
    <x v="2"/>
    <x v="1320"/>
    <x v="13"/>
    <x v="3"/>
    <x v="123"/>
    <x v="42"/>
    <x v="2"/>
    <s v="India"/>
    <m/>
    <x v="1"/>
    <s v="D"/>
    <x v="0"/>
    <d v="1954-06-06T00:00:00"/>
    <s v="Dinesh"/>
    <s v="K."/>
    <m/>
    <d v="2023-04-04T05:01:00"/>
    <m/>
    <m/>
    <n v="1954"/>
    <n v="180.44"/>
    <n v="7.7"/>
    <n v="2611000000000"/>
    <n v="28.1"/>
    <n v="113"/>
    <n v="11.2"/>
    <n v="49.7"/>
    <n v="1366417754"/>
  </r>
  <r>
    <x v="205"/>
    <x v="205"/>
    <x v="6"/>
    <x v="1321"/>
    <x v="34"/>
    <x v="1"/>
    <x v="468"/>
    <x v="536"/>
    <x v="6"/>
    <s v="United States"/>
    <m/>
    <x v="1"/>
    <s v="U"/>
    <x v="0"/>
    <d v="1961-03-07T00:00:00"/>
    <s v="Duff"/>
    <s v="James"/>
    <m/>
    <d v="2023-04-04T05:01:00"/>
    <s v="Mississippi"/>
    <s v="South"/>
    <n v="1961"/>
    <n v="117.24"/>
    <n v="7.5"/>
    <n v="21427700000000"/>
    <n v="88.2"/>
    <n v="101.8"/>
    <n v="9.6"/>
    <n v="36.6"/>
    <n v="328239523"/>
  </r>
  <r>
    <x v="205"/>
    <x v="205"/>
    <x v="6"/>
    <x v="1322"/>
    <x v="37"/>
    <x v="1"/>
    <x v="468"/>
    <x v="536"/>
    <x v="6"/>
    <s v="United States"/>
    <m/>
    <x v="1"/>
    <s v="U"/>
    <x v="0"/>
    <d v="1956-12-31T00:00:00"/>
    <s v="Duff"/>
    <s v="Thomas"/>
    <m/>
    <d v="2023-04-04T05:01:00"/>
    <s v="Mississippi"/>
    <s v="South"/>
    <n v="1956"/>
    <n v="117.24"/>
    <n v="7.5"/>
    <n v="21427700000000"/>
    <n v="88.2"/>
    <n v="101.8"/>
    <n v="9.6"/>
    <n v="36.6"/>
    <n v="328239523"/>
  </r>
  <r>
    <x v="205"/>
    <x v="205"/>
    <x v="2"/>
    <x v="1323"/>
    <x v="60"/>
    <x v="21"/>
    <x v="69"/>
    <x v="451"/>
    <x v="2"/>
    <s v="Sweden"/>
    <s v="Spotify"/>
    <x v="1"/>
    <s v="D"/>
    <x v="0"/>
    <d v="1983-02-21T00:00:00"/>
    <s v="Ek"/>
    <s v="Daniel"/>
    <s v="CEO"/>
    <d v="2023-04-04T05:01:00"/>
    <m/>
    <m/>
    <n v="1983"/>
    <n v="110.51"/>
    <n v="1.8"/>
    <n v="530832908738"/>
    <n v="67"/>
    <n v="126.6"/>
    <n v="27.9"/>
    <n v="49.1"/>
    <n v="10285453"/>
  </r>
  <r>
    <x v="205"/>
    <x v="205"/>
    <x v="0"/>
    <x v="1324"/>
    <x v="38"/>
    <x v="1"/>
    <x v="120"/>
    <x v="528"/>
    <x v="0"/>
    <s v="United States"/>
    <s v="Pisces, Inc."/>
    <x v="0"/>
    <s v="D"/>
    <x v="0"/>
    <d v="1961-06-01T00:00:00"/>
    <s v="Fisher"/>
    <s v="John"/>
    <s v="President"/>
    <d v="2023-04-04T05:01:00"/>
    <s v="California"/>
    <s v="West"/>
    <n v="1961"/>
    <n v="117.24"/>
    <n v="7.5"/>
    <n v="21427700000000"/>
    <n v="88.2"/>
    <n v="101.8"/>
    <n v="9.6"/>
    <n v="36.6"/>
    <n v="328239523"/>
  </r>
  <r>
    <x v="205"/>
    <x v="205"/>
    <x v="0"/>
    <x v="1325"/>
    <x v="38"/>
    <x v="7"/>
    <x v="389"/>
    <x v="21"/>
    <x v="0"/>
    <s v="Germany"/>
    <m/>
    <x v="0"/>
    <s v="U"/>
    <x v="0"/>
    <d v="1962-01-01T00:00:00"/>
    <s v="Haub"/>
    <s v="Georg"/>
    <m/>
    <d v="2023-04-04T05:01:00"/>
    <m/>
    <m/>
    <n v="1962"/>
    <n v="112.85"/>
    <n v="1.4"/>
    <n v="3845630030824"/>
    <n v="70.2"/>
    <n v="104"/>
    <n v="11.5"/>
    <n v="48.8"/>
    <n v="83132799"/>
  </r>
  <r>
    <x v="205"/>
    <x v="205"/>
    <x v="16"/>
    <x v="1326"/>
    <x v="42"/>
    <x v="47"/>
    <x v="469"/>
    <x v="300"/>
    <x v="16"/>
    <s v="Turkey"/>
    <m/>
    <x v="1"/>
    <s v="E"/>
    <x v="0"/>
    <d v="1967-10-03T00:00:00"/>
    <s v="Ilicak"/>
    <s v="Erman"/>
    <m/>
    <d v="2023-04-04T05:01:00"/>
    <m/>
    <m/>
    <n v="1967"/>
    <n v="234.44"/>
    <n v="15.2"/>
    <n v="754411708203"/>
    <n v="23.9"/>
    <n v="93.2"/>
    <n v="17.899999999999999"/>
    <n v="42.3"/>
    <n v="83429615"/>
  </r>
  <r>
    <x v="205"/>
    <x v="205"/>
    <x v="3"/>
    <x v="1327"/>
    <x v="45"/>
    <x v="1"/>
    <x v="54"/>
    <x v="122"/>
    <x v="3"/>
    <s v="United States"/>
    <m/>
    <x v="0"/>
    <s v="U"/>
    <x v="0"/>
    <d v="1977-09-18T00:00:00"/>
    <s v="Ishbia"/>
    <s v="Justin"/>
    <m/>
    <d v="2023-04-04T05:01:00"/>
    <s v="Illinois"/>
    <s v="Midwest"/>
    <n v="1977"/>
    <n v="117.24"/>
    <n v="7.5"/>
    <n v="21427700000000"/>
    <n v="88.2"/>
    <n v="101.8"/>
    <n v="9.6"/>
    <n v="36.6"/>
    <n v="328239523"/>
  </r>
  <r>
    <x v="205"/>
    <x v="205"/>
    <x v="2"/>
    <x v="1328"/>
    <x v="12"/>
    <x v="5"/>
    <x v="271"/>
    <x v="108"/>
    <x v="2"/>
    <s v="China"/>
    <m/>
    <x v="1"/>
    <s v="U"/>
    <x v="0"/>
    <d v="1974-02-01T00:00:00"/>
    <s v="Jiang"/>
    <s v="Long"/>
    <m/>
    <d v="2023-04-04T05:01:00"/>
    <m/>
    <m/>
    <n v="1974"/>
    <n v="125.08"/>
    <n v="2.9"/>
    <n v="19910000000000"/>
    <n v="50.6"/>
    <n v="100.2"/>
    <n v="9.4"/>
    <n v="59.2"/>
    <n v="1397715000"/>
  </r>
  <r>
    <x v="205"/>
    <x v="205"/>
    <x v="3"/>
    <x v="1329"/>
    <x v="5"/>
    <x v="1"/>
    <x v="115"/>
    <x v="122"/>
    <x v="3"/>
    <s v="United States"/>
    <s v="Oaktree Capital Group LLC"/>
    <x v="1"/>
    <s v="U"/>
    <x v="0"/>
    <d v="1955-10-10T00:00:00"/>
    <s v="Karsh"/>
    <s v="Bruce"/>
    <s v="President"/>
    <d v="2023-04-04T05:01:00"/>
    <s v="California"/>
    <s v="West"/>
    <n v="1955"/>
    <n v="117.24"/>
    <n v="7.5"/>
    <n v="21427700000000"/>
    <n v="88.2"/>
    <n v="101.8"/>
    <n v="9.6"/>
    <n v="36.6"/>
    <n v="328239523"/>
  </r>
  <r>
    <x v="205"/>
    <x v="205"/>
    <x v="2"/>
    <x v="1330"/>
    <x v="54"/>
    <x v="32"/>
    <x v="109"/>
    <x v="537"/>
    <x v="2"/>
    <s v="United States"/>
    <s v="Coupang"/>
    <x v="1"/>
    <s v="D"/>
    <x v="0"/>
    <d v="1978-10-01T00:00:00"/>
    <s v="Kim"/>
    <s v="Bom"/>
    <m/>
    <d v="2023-04-04T05:01:00"/>
    <m/>
    <m/>
    <n v="1978"/>
    <n v="115.16"/>
    <n v="0.4"/>
    <n v="2029000000000"/>
    <n v="94.3"/>
    <n v="98.1"/>
    <n v="15.6"/>
    <n v="33.200000000000003"/>
    <n v="51709098"/>
  </r>
  <r>
    <x v="205"/>
    <x v="205"/>
    <x v="7"/>
    <x v="1331"/>
    <x v="44"/>
    <x v="5"/>
    <x v="49"/>
    <x v="80"/>
    <x v="7"/>
    <s v="China"/>
    <m/>
    <x v="1"/>
    <s v="D"/>
    <x v="0"/>
    <m/>
    <s v="Lai"/>
    <s v="Jianping"/>
    <m/>
    <d v="2023-04-04T05:01:00"/>
    <m/>
    <m/>
    <m/>
    <n v="125.08"/>
    <n v="2.9"/>
    <n v="19910000000000"/>
    <n v="50.6"/>
    <n v="100.2"/>
    <n v="9.4"/>
    <n v="59.2"/>
    <n v="1397715000"/>
  </r>
  <r>
    <x v="205"/>
    <x v="205"/>
    <x v="14"/>
    <x v="1332"/>
    <x v="17"/>
    <x v="10"/>
    <x v="36"/>
    <x v="83"/>
    <x v="14"/>
    <s v="China"/>
    <m/>
    <x v="1"/>
    <s v="D"/>
    <x v="0"/>
    <d v="1964-06-15T00:00:00"/>
    <s v="Lam"/>
    <s v="Kong"/>
    <m/>
    <d v="2023-04-04T05:01:00"/>
    <m/>
    <m/>
    <n v="1964"/>
    <m/>
    <m/>
    <m/>
    <m/>
    <m/>
    <m/>
    <m/>
    <m/>
  </r>
  <r>
    <x v="205"/>
    <x v="205"/>
    <x v="3"/>
    <x v="1333"/>
    <x v="36"/>
    <x v="64"/>
    <x v="470"/>
    <x v="285"/>
    <x v="3"/>
    <s v="Guernsey"/>
    <m/>
    <x v="1"/>
    <s v="D"/>
    <x v="0"/>
    <d v="1952-08-30T00:00:00"/>
    <s v="Lansdown"/>
    <s v="Stephen"/>
    <m/>
    <d v="2023-04-04T05:01:00"/>
    <m/>
    <m/>
    <n v="1952"/>
    <m/>
    <m/>
    <m/>
    <m/>
    <m/>
    <m/>
    <m/>
    <m/>
  </r>
  <r>
    <x v="205"/>
    <x v="205"/>
    <x v="0"/>
    <x v="1334"/>
    <x v="74"/>
    <x v="22"/>
    <x v="25"/>
    <x v="146"/>
    <x v="0"/>
    <s v="Germany"/>
    <m/>
    <x v="0"/>
    <s v="D"/>
    <x v="0"/>
    <d v="2002-09-01T00:00:00"/>
    <s v="Lehmann"/>
    <s v="Kevin David"/>
    <m/>
    <d v="2023-04-04T05:01:00"/>
    <m/>
    <m/>
    <n v="2002"/>
    <m/>
    <m/>
    <m/>
    <m/>
    <m/>
    <m/>
    <m/>
    <m/>
  </r>
  <r>
    <x v="205"/>
    <x v="205"/>
    <x v="7"/>
    <x v="1335"/>
    <x v="44"/>
    <x v="5"/>
    <x v="90"/>
    <x v="163"/>
    <x v="7"/>
    <s v="China"/>
    <m/>
    <x v="1"/>
    <s v="U"/>
    <x v="1"/>
    <m/>
    <s v="Li"/>
    <s v="Haiyan"/>
    <m/>
    <d v="2023-04-04T05:01:00"/>
    <m/>
    <m/>
    <m/>
    <n v="125.08"/>
    <n v="2.9"/>
    <n v="19910000000000"/>
    <n v="50.6"/>
    <n v="100.2"/>
    <n v="9.4"/>
    <n v="59.2"/>
    <n v="1397715000"/>
  </r>
  <r>
    <x v="205"/>
    <x v="205"/>
    <x v="3"/>
    <x v="1336"/>
    <x v="45"/>
    <x v="5"/>
    <x v="26"/>
    <x v="285"/>
    <x v="3"/>
    <s v="China"/>
    <m/>
    <x v="1"/>
    <s v="U"/>
    <x v="0"/>
    <d v="1978-01-01T00:00:00"/>
    <s v="Li"/>
    <s v="Hua"/>
    <m/>
    <d v="2023-04-04T05:01:00"/>
    <m/>
    <m/>
    <n v="1978"/>
    <n v="125.08"/>
    <n v="2.9"/>
    <n v="19910000000000"/>
    <n v="50.6"/>
    <n v="100.2"/>
    <n v="9.4"/>
    <n v="59.2"/>
    <n v="1397715000"/>
  </r>
  <r>
    <x v="205"/>
    <x v="205"/>
    <x v="9"/>
    <x v="1337"/>
    <x v="48"/>
    <x v="31"/>
    <x v="105"/>
    <x v="27"/>
    <x v="9"/>
    <s v="Malaysia"/>
    <m/>
    <x v="0"/>
    <s v="U"/>
    <x v="0"/>
    <d v="1951-08-16T00:00:00"/>
    <s v="Lim"/>
    <s v="Kok Thay"/>
    <m/>
    <d v="2023-04-04T05:01:00"/>
    <m/>
    <m/>
    <n v="1951"/>
    <n v="121.46"/>
    <n v="0.7"/>
    <n v="364701517788"/>
    <n v="45.1"/>
    <n v="105.3"/>
    <n v="12"/>
    <n v="38.700000000000003"/>
    <n v="32447385"/>
  </r>
  <r>
    <x v="205"/>
    <x v="205"/>
    <x v="7"/>
    <x v="1338"/>
    <x v="50"/>
    <x v="3"/>
    <x v="7"/>
    <x v="243"/>
    <x v="7"/>
    <s v="India"/>
    <m/>
    <x v="0"/>
    <s v="D"/>
    <x v="0"/>
    <d v="1935-02-14T00:00:00"/>
    <s v="Mariwala"/>
    <s v="Kishore"/>
    <m/>
    <d v="2023-04-04T05:01:00"/>
    <m/>
    <m/>
    <n v="1935"/>
    <n v="180.44"/>
    <n v="7.7"/>
    <n v="2611000000000"/>
    <n v="28.1"/>
    <n v="113"/>
    <n v="11.2"/>
    <n v="49.7"/>
    <n v="1366417754"/>
  </r>
  <r>
    <x v="205"/>
    <x v="205"/>
    <x v="7"/>
    <x v="1339"/>
    <x v="26"/>
    <x v="1"/>
    <x v="471"/>
    <x v="538"/>
    <x v="7"/>
    <s v="United States"/>
    <m/>
    <x v="1"/>
    <s v="E"/>
    <x v="0"/>
    <d v="1941-01-11T00:00:00"/>
    <s v="Mathile"/>
    <s v="Clayton"/>
    <s v="Investor, Philanthropist"/>
    <d v="2023-04-04T05:01:00"/>
    <s v="Ohio"/>
    <m/>
    <n v="1941"/>
    <n v="117.24"/>
    <n v="7.5"/>
    <n v="21427700000000"/>
    <n v="88.2"/>
    <n v="101.8"/>
    <n v="9.6"/>
    <n v="36.6"/>
    <n v="328239523"/>
  </r>
  <r>
    <x v="205"/>
    <x v="205"/>
    <x v="0"/>
    <x v="1340"/>
    <x v="8"/>
    <x v="5"/>
    <x v="404"/>
    <x v="21"/>
    <x v="0"/>
    <s v="China"/>
    <m/>
    <x v="1"/>
    <s v="D"/>
    <x v="0"/>
    <d v="1958-04-01T00:00:00"/>
    <s v="Mi"/>
    <s v="Enhua"/>
    <m/>
    <d v="2023-04-04T05:01:00"/>
    <m/>
    <m/>
    <n v="1958"/>
    <n v="125.08"/>
    <n v="2.9"/>
    <n v="19910000000000"/>
    <n v="50.6"/>
    <n v="100.2"/>
    <n v="9.4"/>
    <n v="59.2"/>
    <n v="1397715000"/>
  </r>
  <r>
    <x v="205"/>
    <x v="205"/>
    <x v="7"/>
    <x v="1341"/>
    <x v="42"/>
    <x v="17"/>
    <x v="48"/>
    <x v="539"/>
    <x v="7"/>
    <s v="Russia"/>
    <m/>
    <x v="1"/>
    <s v="U"/>
    <x v="0"/>
    <d v="1967-04-06T00:00:00"/>
    <s v="Moshkovich"/>
    <s v="Vadim"/>
    <m/>
    <d v="2023-04-04T05:01:00"/>
    <m/>
    <m/>
    <n v="1967"/>
    <n v="180.75"/>
    <n v="4.5"/>
    <n v="1699876578871"/>
    <n v="81.900000000000006"/>
    <n v="102.6"/>
    <n v="11.4"/>
    <n v="46.2"/>
    <n v="144373535"/>
  </r>
  <r>
    <x v="205"/>
    <x v="205"/>
    <x v="7"/>
    <x v="1342"/>
    <x v="49"/>
    <x v="1"/>
    <x v="472"/>
    <x v="540"/>
    <x v="7"/>
    <s v="United States"/>
    <m/>
    <x v="1"/>
    <s v="E"/>
    <x v="0"/>
    <d v="1923-04-10T00:00:00"/>
    <s v="Murdock"/>
    <s v="David"/>
    <m/>
    <d v="2023-04-04T05:01:00"/>
    <s v="California"/>
    <s v="West"/>
    <n v="1923"/>
    <n v="117.24"/>
    <n v="7.5"/>
    <n v="21427700000000"/>
    <n v="88.2"/>
    <n v="101.8"/>
    <n v="9.6"/>
    <n v="36.6"/>
    <n v="328239523"/>
  </r>
  <r>
    <x v="205"/>
    <x v="205"/>
    <x v="0"/>
    <x v="1343"/>
    <x v="43"/>
    <x v="1"/>
    <x v="5"/>
    <x v="462"/>
    <x v="0"/>
    <s v="Monaco"/>
    <m/>
    <x v="1"/>
    <s v="U"/>
    <x v="0"/>
    <d v="1947-04-14T00:00:00"/>
    <s v="Nahmad"/>
    <s v="David"/>
    <m/>
    <d v="2023-04-04T05:01:00"/>
    <s v="New York"/>
    <s v="Northeast"/>
    <n v="1947"/>
    <n v="117.24"/>
    <n v="7.5"/>
    <n v="21427700000000"/>
    <n v="88.2"/>
    <n v="101.8"/>
    <n v="9.6"/>
    <n v="36.6"/>
    <n v="328239523"/>
  </r>
  <r>
    <x v="205"/>
    <x v="205"/>
    <x v="3"/>
    <x v="1344"/>
    <x v="9"/>
    <x v="30"/>
    <x v="473"/>
    <x v="38"/>
    <x v="3"/>
    <s v="Brazil"/>
    <m/>
    <x v="1"/>
    <s v="D"/>
    <x v="0"/>
    <d v="1953-12-18T00:00:00"/>
    <s v="Parisotto"/>
    <s v="Lirio"/>
    <m/>
    <d v="2023-04-04T05:01:00"/>
    <m/>
    <m/>
    <n v="1953"/>
    <n v="167.4"/>
    <n v="3.7"/>
    <n v="1839758040766"/>
    <n v="51.3"/>
    <n v="115.4"/>
    <n v="14.2"/>
    <n v="65.099999999999994"/>
    <n v="212559417"/>
  </r>
  <r>
    <x v="205"/>
    <x v="205"/>
    <x v="7"/>
    <x v="1345"/>
    <x v="44"/>
    <x v="8"/>
    <x v="436"/>
    <x v="476"/>
    <x v="7"/>
    <s v="Italy"/>
    <m/>
    <x v="0"/>
    <s v="Split Family Fortune"/>
    <x v="0"/>
    <m/>
    <s v="Perfetti"/>
    <s v="Augusto"/>
    <m/>
    <d v="2023-04-04T05:01:00"/>
    <m/>
    <m/>
    <m/>
    <n v="99.55"/>
    <n v="0.4"/>
    <n v="703082435360"/>
    <n v="59.6"/>
    <n v="105.2"/>
    <n v="10.1"/>
    <n v="28.8"/>
    <n v="8574832"/>
  </r>
  <r>
    <x v="205"/>
    <x v="205"/>
    <x v="7"/>
    <x v="1346"/>
    <x v="44"/>
    <x v="8"/>
    <x v="436"/>
    <x v="476"/>
    <x v="7"/>
    <s v="Italy"/>
    <m/>
    <x v="0"/>
    <s v="Split Family Fortune"/>
    <x v="0"/>
    <m/>
    <s v="Perfetti"/>
    <s v="Giorgio"/>
    <m/>
    <d v="2023-04-04T05:01:00"/>
    <m/>
    <m/>
    <m/>
    <n v="99.55"/>
    <n v="0.4"/>
    <n v="703082435360"/>
    <n v="59.6"/>
    <n v="105.2"/>
    <n v="10.1"/>
    <n v="28.8"/>
    <n v="8574832"/>
  </r>
  <r>
    <x v="205"/>
    <x v="205"/>
    <x v="0"/>
    <x v="1347"/>
    <x v="9"/>
    <x v="28"/>
    <x v="95"/>
    <x v="22"/>
    <x v="0"/>
    <s v="Italy"/>
    <m/>
    <x v="0"/>
    <s v="U"/>
    <x v="0"/>
    <d v="1954-02-21T00:00:00"/>
    <s v="Prada"/>
    <s v="Alberto"/>
    <m/>
    <d v="2023-04-04T05:01:00"/>
    <m/>
    <m/>
    <n v="1954"/>
    <n v="110.62"/>
    <n v="0.6"/>
    <n v="2001244392042"/>
    <n v="61.9"/>
    <n v="101.9"/>
    <n v="24.3"/>
    <n v="59.1"/>
    <n v="60297396"/>
  </r>
  <r>
    <x v="205"/>
    <x v="205"/>
    <x v="0"/>
    <x v="1348"/>
    <x v="22"/>
    <x v="28"/>
    <x v="95"/>
    <x v="22"/>
    <x v="0"/>
    <s v="Italy"/>
    <m/>
    <x v="0"/>
    <s v="U"/>
    <x v="1"/>
    <d v="1945-07-14T00:00:00"/>
    <s v="Prada"/>
    <s v="Marina"/>
    <m/>
    <d v="2023-04-04T05:01:00"/>
    <m/>
    <m/>
    <n v="1945"/>
    <n v="110.62"/>
    <n v="0.6"/>
    <n v="2001244392042"/>
    <n v="61.9"/>
    <n v="101.9"/>
    <n v="24.3"/>
    <n v="59.1"/>
    <n v="60297396"/>
  </r>
  <r>
    <x v="205"/>
    <x v="205"/>
    <x v="6"/>
    <x v="1349"/>
    <x v="32"/>
    <x v="47"/>
    <x v="228"/>
    <x v="8"/>
    <x v="6"/>
    <s v="Turkey"/>
    <m/>
    <x v="0"/>
    <s v="U"/>
    <x v="1"/>
    <d v="1967-02-14T00:00:00"/>
    <s v="Sahenk"/>
    <s v="Filiz"/>
    <m/>
    <d v="2023-04-04T05:01:00"/>
    <m/>
    <m/>
    <n v="1967"/>
    <n v="234.44"/>
    <n v="15.2"/>
    <n v="754411708203"/>
    <n v="23.9"/>
    <n v="93.2"/>
    <n v="17.899999999999999"/>
    <n v="42.3"/>
    <n v="83429615"/>
  </r>
  <r>
    <x v="205"/>
    <x v="205"/>
    <x v="7"/>
    <x v="1350"/>
    <x v="25"/>
    <x v="1"/>
    <x v="268"/>
    <x v="370"/>
    <x v="7"/>
    <s v="United States"/>
    <m/>
    <x v="0"/>
    <s v="Split Family Fortune"/>
    <x v="0"/>
    <d v="1951-03-03T00:00:00"/>
    <s v="Sands"/>
    <s v="Richard"/>
    <m/>
    <d v="2023-04-04T05:01:00"/>
    <s v="Florida"/>
    <s v="South"/>
    <n v="1951"/>
    <n v="117.24"/>
    <n v="7.5"/>
    <n v="21427700000000"/>
    <n v="88.2"/>
    <n v="101.8"/>
    <n v="9.6"/>
    <n v="36.6"/>
    <n v="328239523"/>
  </r>
  <r>
    <x v="205"/>
    <x v="205"/>
    <x v="3"/>
    <x v="1351"/>
    <x v="43"/>
    <x v="8"/>
    <x v="474"/>
    <x v="38"/>
    <x v="3"/>
    <s v="Switzerland"/>
    <m/>
    <x v="0"/>
    <s v="E"/>
    <x v="0"/>
    <d v="1947-10-29T00:00:00"/>
    <s v="Schmidheiny"/>
    <s v="Stephan"/>
    <m/>
    <d v="2023-04-04T05:01:00"/>
    <m/>
    <m/>
    <n v="1947"/>
    <n v="99.55"/>
    <n v="0.4"/>
    <n v="703082435360"/>
    <n v="59.6"/>
    <n v="105.2"/>
    <n v="10.1"/>
    <n v="28.8"/>
    <n v="8574832"/>
  </r>
  <r>
    <x v="205"/>
    <x v="205"/>
    <x v="14"/>
    <x v="1352"/>
    <x v="3"/>
    <x v="8"/>
    <x v="436"/>
    <x v="78"/>
    <x v="14"/>
    <s v="Switzerland"/>
    <m/>
    <x v="0"/>
    <s v="D"/>
    <x v="0"/>
    <d v="1944-05-01T00:00:00"/>
    <s v="Siccardi"/>
    <s v="Alberto"/>
    <m/>
    <d v="2023-04-04T05:01:00"/>
    <m/>
    <m/>
    <n v="1944"/>
    <n v="99.55"/>
    <n v="0.4"/>
    <n v="703082435360"/>
    <n v="59.6"/>
    <n v="105.2"/>
    <n v="10.1"/>
    <n v="28.8"/>
    <n v="8574832"/>
  </r>
  <r>
    <x v="205"/>
    <x v="205"/>
    <x v="11"/>
    <x v="1353"/>
    <x v="47"/>
    <x v="1"/>
    <x v="268"/>
    <x v="541"/>
    <x v="11"/>
    <s v="United States"/>
    <m/>
    <x v="0"/>
    <s v="N"/>
    <x v="0"/>
    <d v="1975-05-21T00:00:00"/>
    <s v="Soloviev"/>
    <s v="Stefan"/>
    <m/>
    <d v="2023-04-04T05:01:00"/>
    <s v="Florida"/>
    <s v="South"/>
    <n v="1975"/>
    <n v="117.24"/>
    <n v="7.5"/>
    <n v="21427700000000"/>
    <n v="88.2"/>
    <n v="101.8"/>
    <n v="9.6"/>
    <n v="36.6"/>
    <n v="328239523"/>
  </r>
  <r>
    <x v="205"/>
    <x v="205"/>
    <x v="0"/>
    <x v="1354"/>
    <x v="58"/>
    <x v="10"/>
    <x v="36"/>
    <x v="31"/>
    <x v="0"/>
    <s v="Hong Kong"/>
    <m/>
    <x v="1"/>
    <s v="D"/>
    <x v="0"/>
    <d v="1934-04-01T00:00:00"/>
    <s v="Tang"/>
    <s v="Yiu"/>
    <m/>
    <d v="2023-04-04T05:01:00"/>
    <m/>
    <m/>
    <n v="1934"/>
    <m/>
    <m/>
    <m/>
    <m/>
    <m/>
    <m/>
    <m/>
    <m/>
  </r>
  <r>
    <x v="205"/>
    <x v="205"/>
    <x v="2"/>
    <x v="1355"/>
    <x v="9"/>
    <x v="5"/>
    <x v="155"/>
    <x v="542"/>
    <x v="2"/>
    <s v="China"/>
    <m/>
    <x v="1"/>
    <s v="U"/>
    <x v="0"/>
    <d v="1953-12-20T00:00:00"/>
    <s v="Tian"/>
    <s v="Ming"/>
    <m/>
    <d v="2023-04-04T05:01:00"/>
    <m/>
    <m/>
    <n v="1953"/>
    <n v="125.08"/>
    <n v="2.9"/>
    <n v="19910000000000"/>
    <n v="50.6"/>
    <n v="100.2"/>
    <n v="9.4"/>
    <n v="59.2"/>
    <n v="1397715000"/>
  </r>
  <r>
    <x v="205"/>
    <x v="205"/>
    <x v="3"/>
    <x v="1356"/>
    <x v="36"/>
    <x v="35"/>
    <x v="152"/>
    <x v="224"/>
    <x v="3"/>
    <s v="Taiwan"/>
    <m/>
    <x v="0"/>
    <s v="D"/>
    <x v="0"/>
    <d v="1953-01-01T00:00:00"/>
    <s v="Tsai"/>
    <s v="T.Y."/>
    <m/>
    <d v="2023-04-04T05:01:00"/>
    <m/>
    <m/>
    <n v="1953"/>
    <m/>
    <m/>
    <m/>
    <m/>
    <m/>
    <m/>
    <m/>
    <m/>
  </r>
  <r>
    <x v="205"/>
    <x v="205"/>
    <x v="2"/>
    <x v="1357"/>
    <x v="34"/>
    <x v="1"/>
    <x v="475"/>
    <x v="543"/>
    <x v="2"/>
    <s v="United States"/>
    <s v="Arista"/>
    <x v="1"/>
    <s v="U"/>
    <x v="1"/>
    <d v="1961-03-27T00:00:00"/>
    <s v="Ullal"/>
    <s v="Jayshree"/>
    <s v="CEO"/>
    <d v="2023-04-04T05:01:00"/>
    <s v="California"/>
    <s v="West"/>
    <n v="1961"/>
    <n v="117.24"/>
    <n v="7.5"/>
    <n v="21427700000000"/>
    <n v="88.2"/>
    <n v="101.8"/>
    <n v="9.6"/>
    <n v="36.6"/>
    <n v="328239523"/>
  </r>
  <r>
    <x v="205"/>
    <x v="205"/>
    <x v="3"/>
    <x v="1358"/>
    <x v="32"/>
    <x v="13"/>
    <x v="32"/>
    <x v="173"/>
    <x v="3"/>
    <s v="Switzerland"/>
    <m/>
    <x v="0"/>
    <s v="U"/>
    <x v="0"/>
    <d v="1966-05-04T00:00:00"/>
    <s v="von Opel"/>
    <s v="Georg"/>
    <m/>
    <d v="2023-04-04T05:01:00"/>
    <m/>
    <m/>
    <n v="1966"/>
    <n v="119.62"/>
    <n v="1.7"/>
    <n v="2827113184696"/>
    <n v="60"/>
    <n v="101.2"/>
    <n v="25.5"/>
    <n v="30.6"/>
    <n v="66834405"/>
  </r>
  <r>
    <x v="205"/>
    <x v="205"/>
    <x v="11"/>
    <x v="1359"/>
    <x v="22"/>
    <x v="14"/>
    <x v="83"/>
    <x v="36"/>
    <x v="11"/>
    <s v="Australia"/>
    <m/>
    <x v="1"/>
    <s v="U"/>
    <x v="0"/>
    <d v="1945-07-05T00:00:00"/>
    <s v="Walker"/>
    <s v="Lang"/>
    <m/>
    <d v="2023-04-04T05:01:00"/>
    <m/>
    <m/>
    <n v="1945"/>
    <n v="119.8"/>
    <n v="1.6"/>
    <n v="1392680589329"/>
    <n v="113.1"/>
    <n v="100.3"/>
    <n v="23"/>
    <n v="47.4"/>
    <n v="25766605"/>
  </r>
  <r>
    <x v="205"/>
    <x v="205"/>
    <x v="10"/>
    <x v="1360"/>
    <x v="0"/>
    <x v="5"/>
    <x v="476"/>
    <x v="452"/>
    <x v="10"/>
    <s v="China"/>
    <m/>
    <x v="1"/>
    <s v="D"/>
    <x v="0"/>
    <d v="1948-11-01T00:00:00"/>
    <s v="Wang"/>
    <s v="Xicheng"/>
    <m/>
    <d v="2023-04-04T05:01:00"/>
    <m/>
    <m/>
    <n v="1948"/>
    <n v="125.08"/>
    <n v="2.9"/>
    <n v="19910000000000"/>
    <n v="50.6"/>
    <n v="100.2"/>
    <n v="9.4"/>
    <n v="59.2"/>
    <n v="1397715000"/>
  </r>
  <r>
    <x v="205"/>
    <x v="205"/>
    <x v="11"/>
    <x v="1361"/>
    <x v="38"/>
    <x v="5"/>
    <x v="34"/>
    <x v="36"/>
    <x v="11"/>
    <s v="China"/>
    <m/>
    <x v="1"/>
    <s v="D"/>
    <x v="0"/>
    <d v="1962-03-01T00:00:00"/>
    <s v="Wang"/>
    <s v="Zhenhua"/>
    <m/>
    <d v="2023-04-04T05:01:00"/>
    <m/>
    <m/>
    <n v="1962"/>
    <n v="125.08"/>
    <n v="2.9"/>
    <n v="19910000000000"/>
    <n v="50.6"/>
    <n v="100.2"/>
    <n v="9.4"/>
    <n v="59.2"/>
    <n v="1397715000"/>
  </r>
  <r>
    <x v="205"/>
    <x v="205"/>
    <x v="7"/>
    <x v="1362"/>
    <x v="55"/>
    <x v="7"/>
    <x v="477"/>
    <x v="544"/>
    <x v="7"/>
    <s v="Germany"/>
    <m/>
    <x v="1"/>
    <s v="D"/>
    <x v="0"/>
    <d v="1943-05-25T00:00:00"/>
    <s v="Wesjohann"/>
    <s v="Paul-Heinz"/>
    <m/>
    <d v="2023-04-04T05:01:00"/>
    <m/>
    <m/>
    <n v="1943"/>
    <n v="112.85"/>
    <n v="1.4"/>
    <n v="3845630030824"/>
    <n v="70.2"/>
    <n v="104"/>
    <n v="11.5"/>
    <n v="48.8"/>
    <n v="83132799"/>
  </r>
  <r>
    <x v="205"/>
    <x v="205"/>
    <x v="0"/>
    <x v="1363"/>
    <x v="32"/>
    <x v="5"/>
    <x v="334"/>
    <x v="545"/>
    <x v="0"/>
    <s v="China"/>
    <m/>
    <x v="1"/>
    <s v="U"/>
    <x v="0"/>
    <d v="1966-08-25T00:00:00"/>
    <s v="Xie"/>
    <s v="Bingkun"/>
    <m/>
    <d v="2023-04-04T05:01:00"/>
    <m/>
    <m/>
    <n v="1966"/>
    <n v="125.08"/>
    <n v="2.9"/>
    <n v="19910000000000"/>
    <n v="50.6"/>
    <n v="100.2"/>
    <n v="9.4"/>
    <n v="59.2"/>
    <n v="1397715000"/>
  </r>
  <r>
    <x v="205"/>
    <x v="205"/>
    <x v="10"/>
    <x v="1364"/>
    <x v="41"/>
    <x v="5"/>
    <x v="12"/>
    <x v="546"/>
    <x v="10"/>
    <s v="China"/>
    <m/>
    <x v="1"/>
    <s v="U"/>
    <x v="0"/>
    <d v="1965-06-12T00:00:00"/>
    <s v="Xu"/>
    <s v="Shugen"/>
    <m/>
    <d v="2023-04-04T05:01:00"/>
    <m/>
    <m/>
    <n v="1965"/>
    <n v="125.08"/>
    <n v="2.9"/>
    <n v="19910000000000"/>
    <n v="50.6"/>
    <n v="100.2"/>
    <n v="9.4"/>
    <n v="59.2"/>
    <n v="1397715000"/>
  </r>
  <r>
    <x v="205"/>
    <x v="205"/>
    <x v="14"/>
    <x v="1365"/>
    <x v="8"/>
    <x v="65"/>
    <x v="478"/>
    <x v="547"/>
    <x v="14"/>
    <s v="Liechtenstein"/>
    <m/>
    <x v="0"/>
    <s v="E"/>
    <x v="0"/>
    <d v="1957-05-04T00:00:00"/>
    <s v="Zeller"/>
    <s v="Christoph"/>
    <m/>
    <d v="2023-04-04T05:01:00"/>
    <m/>
    <m/>
    <n v="1957"/>
    <m/>
    <m/>
    <n v="6552858739"/>
    <n v="35.6"/>
    <n v="104.7"/>
    <m/>
    <n v="21.6"/>
    <n v="38019"/>
  </r>
  <r>
    <x v="205"/>
    <x v="205"/>
    <x v="10"/>
    <x v="1366"/>
    <x v="11"/>
    <x v="5"/>
    <x v="114"/>
    <x v="548"/>
    <x v="10"/>
    <s v="China"/>
    <m/>
    <x v="1"/>
    <s v="U"/>
    <x v="0"/>
    <d v="1936-01-01T00:00:00"/>
    <s v="Zhang"/>
    <s v="Jingzhang"/>
    <m/>
    <d v="2023-04-04T05:01:00"/>
    <m/>
    <m/>
    <n v="1936"/>
    <n v="125.08"/>
    <n v="2.9"/>
    <n v="19910000000000"/>
    <n v="50.6"/>
    <n v="100.2"/>
    <n v="9.4"/>
    <n v="59.2"/>
    <n v="1397715000"/>
  </r>
  <r>
    <x v="206"/>
    <x v="206"/>
    <x v="11"/>
    <x v="1367"/>
    <x v="20"/>
    <x v="1"/>
    <x v="64"/>
    <x v="173"/>
    <x v="11"/>
    <s v="United States"/>
    <s v="Arnel &amp; Affiliates"/>
    <x v="1"/>
    <s v="D"/>
    <x v="0"/>
    <d v="1937-02-04T00:00:00"/>
    <s v="Argyros"/>
    <s v="George"/>
    <s v="Investor"/>
    <d v="2023-04-04T05:01:00"/>
    <s v="California"/>
    <s v="West"/>
    <n v="1937"/>
    <n v="117.24"/>
    <n v="7.5"/>
    <n v="21427700000000"/>
    <n v="88.2"/>
    <n v="101.8"/>
    <n v="9.6"/>
    <n v="36.6"/>
    <n v="328239523"/>
  </r>
  <r>
    <x v="206"/>
    <x v="206"/>
    <x v="3"/>
    <x v="1368"/>
    <x v="60"/>
    <x v="1"/>
    <x v="120"/>
    <x v="530"/>
    <x v="3"/>
    <s v="United States"/>
    <m/>
    <x v="1"/>
    <s v="D"/>
    <x v="0"/>
    <d v="1983-01-25T00:00:00"/>
    <s v="Armstrong"/>
    <s v="Brian"/>
    <m/>
    <d v="2023-04-04T05:01:00"/>
    <s v="California"/>
    <s v="West"/>
    <n v="1983"/>
    <n v="117.24"/>
    <n v="7.5"/>
    <n v="21427700000000"/>
    <n v="88.2"/>
    <n v="101.8"/>
    <n v="9.6"/>
    <n v="36.6"/>
    <n v="328239523"/>
  </r>
  <r>
    <x v="206"/>
    <x v="206"/>
    <x v="13"/>
    <x v="1369"/>
    <x v="33"/>
    <x v="17"/>
    <x v="48"/>
    <x v="549"/>
    <x v="13"/>
    <s v="Russia"/>
    <m/>
    <x v="1"/>
    <s v="R"/>
    <x v="0"/>
    <d v="1970-11-08T00:00:00"/>
    <s v="Avdolyan"/>
    <s v="Albert"/>
    <m/>
    <d v="2023-04-04T05:01:00"/>
    <m/>
    <m/>
    <n v="1970"/>
    <n v="180.75"/>
    <n v="4.5"/>
    <n v="1699876578871"/>
    <n v="81.900000000000006"/>
    <n v="102.6"/>
    <n v="11.4"/>
    <n v="46.2"/>
    <n v="144373535"/>
  </r>
  <r>
    <x v="206"/>
    <x v="206"/>
    <x v="6"/>
    <x v="1370"/>
    <x v="16"/>
    <x v="47"/>
    <x v="469"/>
    <x v="8"/>
    <x v="6"/>
    <s v="Turkey"/>
    <m/>
    <x v="1"/>
    <s v="U"/>
    <x v="0"/>
    <d v="1949-07-27T00:00:00"/>
    <s v="Bacaksiz"/>
    <s v="Sezai"/>
    <m/>
    <d v="2023-04-04T05:01:00"/>
    <m/>
    <m/>
    <n v="1949"/>
    <n v="234.44"/>
    <n v="15.2"/>
    <n v="754411708203"/>
    <n v="23.9"/>
    <n v="93.2"/>
    <n v="17.899999999999999"/>
    <n v="42.3"/>
    <n v="83429615"/>
  </r>
  <r>
    <x v="206"/>
    <x v="206"/>
    <x v="2"/>
    <x v="1371"/>
    <x v="41"/>
    <x v="1"/>
    <x v="120"/>
    <x v="118"/>
    <x v="2"/>
    <s v="United States"/>
    <s v="Workday"/>
    <x v="1"/>
    <s v="D"/>
    <x v="0"/>
    <d v="1966-02-04T00:00:00"/>
    <s v="Bhusri"/>
    <s v="Aneel"/>
    <s v="Investor"/>
    <d v="2023-04-04T05:01:00"/>
    <s v="California"/>
    <s v="West"/>
    <n v="1966"/>
    <n v="117.24"/>
    <n v="7.5"/>
    <n v="21427700000000"/>
    <n v="88.2"/>
    <n v="101.8"/>
    <n v="9.6"/>
    <n v="36.6"/>
    <n v="328239523"/>
  </r>
  <r>
    <x v="206"/>
    <x v="206"/>
    <x v="0"/>
    <x v="1372"/>
    <x v="53"/>
    <x v="43"/>
    <x v="479"/>
    <x v="550"/>
    <x v="0"/>
    <s v="Australia"/>
    <m/>
    <x v="1"/>
    <s v="E"/>
    <x v="0"/>
    <d v="1960-01-17T00:00:00"/>
    <s v="Blundy"/>
    <s v="Brett"/>
    <m/>
    <d v="2023-04-04T05:01:00"/>
    <m/>
    <m/>
    <n v="1960"/>
    <m/>
    <m/>
    <m/>
    <m/>
    <m/>
    <m/>
    <m/>
    <m/>
  </r>
  <r>
    <x v="206"/>
    <x v="206"/>
    <x v="3"/>
    <x v="1373"/>
    <x v="18"/>
    <x v="1"/>
    <x v="480"/>
    <x v="150"/>
    <x v="3"/>
    <s v="United States"/>
    <m/>
    <x v="0"/>
    <s v="D"/>
    <x v="0"/>
    <d v="1937-07-12T00:00:00"/>
    <s v="Brown"/>
    <s v="J. Hyatt"/>
    <m/>
    <d v="2023-04-04T05:01:00"/>
    <s v="Florida"/>
    <s v="South"/>
    <n v="1937"/>
    <n v="117.24"/>
    <n v="7.5"/>
    <n v="21427700000000"/>
    <n v="88.2"/>
    <n v="101.8"/>
    <n v="9.6"/>
    <n v="36.6"/>
    <n v="328239523"/>
  </r>
  <r>
    <x v="206"/>
    <x v="206"/>
    <x v="3"/>
    <x v="1374"/>
    <x v="42"/>
    <x v="5"/>
    <x v="34"/>
    <x v="38"/>
    <x v="3"/>
    <s v="China"/>
    <m/>
    <x v="0"/>
    <s v="D"/>
    <x v="1"/>
    <d v="1968-03-28T00:00:00"/>
    <s v="Chen"/>
    <s v="Jinxia"/>
    <m/>
    <d v="2023-04-04T05:01:00"/>
    <m/>
    <m/>
    <n v="1968"/>
    <n v="125.08"/>
    <n v="2.9"/>
    <n v="19910000000000"/>
    <n v="50.6"/>
    <n v="100.2"/>
    <n v="9.4"/>
    <n v="59.2"/>
    <n v="1397715000"/>
  </r>
  <r>
    <x v="206"/>
    <x v="206"/>
    <x v="14"/>
    <x v="1375"/>
    <x v="48"/>
    <x v="5"/>
    <x v="481"/>
    <x v="83"/>
    <x v="14"/>
    <s v="China"/>
    <m/>
    <x v="1"/>
    <s v="U"/>
    <x v="0"/>
    <d v="1951-10-01T00:00:00"/>
    <s v="Chen"/>
    <s v="Xueli"/>
    <m/>
    <d v="2023-04-04T05:01:00"/>
    <m/>
    <m/>
    <n v="1951"/>
    <n v="125.08"/>
    <n v="2.9"/>
    <n v="19910000000000"/>
    <n v="50.6"/>
    <n v="100.2"/>
    <n v="9.4"/>
    <n v="59.2"/>
    <n v="1397715000"/>
  </r>
  <r>
    <x v="206"/>
    <x v="206"/>
    <x v="3"/>
    <x v="1376"/>
    <x v="25"/>
    <x v="62"/>
    <x v="426"/>
    <x v="224"/>
    <x v="3"/>
    <s v="Ireland"/>
    <m/>
    <x v="1"/>
    <s v="U"/>
    <x v="0"/>
    <d v="1950-07-01T00:00:00"/>
    <s v="Desmond"/>
    <s v="Dermot"/>
    <m/>
    <d v="2023-04-04T05:01:00"/>
    <m/>
    <m/>
    <n v="1950"/>
    <m/>
    <m/>
    <m/>
    <m/>
    <m/>
    <m/>
    <m/>
    <m/>
  </r>
  <r>
    <x v="206"/>
    <x v="206"/>
    <x v="14"/>
    <x v="1377"/>
    <x v="33"/>
    <x v="5"/>
    <x v="111"/>
    <x v="83"/>
    <x v="14"/>
    <s v="China"/>
    <m/>
    <x v="1"/>
    <s v="D"/>
    <x v="0"/>
    <d v="1971-01-01T00:00:00"/>
    <s v="Dong"/>
    <s v="Wei"/>
    <m/>
    <d v="2023-04-04T05:01:00"/>
    <m/>
    <m/>
    <n v="1971"/>
    <n v="125.08"/>
    <n v="2.9"/>
    <n v="19910000000000"/>
    <n v="50.6"/>
    <n v="100.2"/>
    <n v="9.4"/>
    <n v="59.2"/>
    <n v="1397715000"/>
  </r>
  <r>
    <x v="206"/>
    <x v="206"/>
    <x v="0"/>
    <x v="1378"/>
    <x v="38"/>
    <x v="1"/>
    <x v="115"/>
    <x v="406"/>
    <x v="0"/>
    <s v="United States"/>
    <m/>
    <x v="1"/>
    <s v="N"/>
    <x v="0"/>
    <d v="1961-08-27T00:00:00"/>
    <s v="Ford"/>
    <s v="Tom"/>
    <m/>
    <d v="2023-04-04T05:01:00"/>
    <s v="California"/>
    <s v="West"/>
    <n v="1961"/>
    <n v="117.24"/>
    <n v="7.5"/>
    <n v="21427700000000"/>
    <n v="88.2"/>
    <n v="101.8"/>
    <n v="9.6"/>
    <n v="36.6"/>
    <n v="328239523"/>
  </r>
  <r>
    <x v="206"/>
    <x v="206"/>
    <x v="7"/>
    <x v="1379"/>
    <x v="9"/>
    <x v="5"/>
    <x v="482"/>
    <x v="551"/>
    <x v="7"/>
    <s v="China"/>
    <m/>
    <x v="1"/>
    <s v="U"/>
    <x v="0"/>
    <d v="1953-10-02T00:00:00"/>
    <s v="Fu"/>
    <s v="Guangming"/>
    <m/>
    <d v="2023-04-04T05:01:00"/>
    <m/>
    <m/>
    <n v="1953"/>
    <n v="125.08"/>
    <n v="2.9"/>
    <n v="19910000000000"/>
    <n v="50.6"/>
    <n v="100.2"/>
    <n v="9.4"/>
    <n v="59.2"/>
    <n v="1397715000"/>
  </r>
  <r>
    <x v="206"/>
    <x v="206"/>
    <x v="3"/>
    <x v="1380"/>
    <x v="38"/>
    <x v="1"/>
    <x v="5"/>
    <x v="28"/>
    <x v="3"/>
    <s v="United States"/>
    <s v="TOMS Capital"/>
    <x v="1"/>
    <s v="D"/>
    <x v="0"/>
    <d v="1961-05-24T00:00:00"/>
    <s v="Gottesman"/>
    <s v="Noam"/>
    <s v="Chief Executive Officer"/>
    <d v="2023-04-04T05:01:00"/>
    <s v="New York"/>
    <s v="Northeast"/>
    <n v="1961"/>
    <n v="117.24"/>
    <n v="7.5"/>
    <n v="21427700000000"/>
    <n v="88.2"/>
    <n v="101.8"/>
    <n v="9.6"/>
    <n v="36.6"/>
    <n v="328239523"/>
  </r>
  <r>
    <x v="206"/>
    <x v="206"/>
    <x v="3"/>
    <x v="1381"/>
    <x v="29"/>
    <x v="1"/>
    <x v="115"/>
    <x v="38"/>
    <x v="3"/>
    <s v="United States"/>
    <s v="DoubleLine Capital"/>
    <x v="1"/>
    <s v="E"/>
    <x v="0"/>
    <d v="1959-01-01T00:00:00"/>
    <s v="Gundlach"/>
    <s v="Jeffrey"/>
    <s v="CEO"/>
    <d v="2023-04-04T05:01:00"/>
    <s v="California"/>
    <s v="West"/>
    <n v="1959"/>
    <n v="117.24"/>
    <n v="7.5"/>
    <n v="21427700000000"/>
    <n v="88.2"/>
    <n v="101.8"/>
    <n v="9.6"/>
    <n v="36.6"/>
    <n v="328239523"/>
  </r>
  <r>
    <x v="206"/>
    <x v="206"/>
    <x v="14"/>
    <x v="1382"/>
    <x v="5"/>
    <x v="5"/>
    <x v="333"/>
    <x v="83"/>
    <x v="14"/>
    <s v="United States"/>
    <m/>
    <x v="1"/>
    <s v="D"/>
    <x v="0"/>
    <d v="1956-01-01T00:00:00"/>
    <s v="Hao"/>
    <s v="Hong"/>
    <m/>
    <d v="2023-04-04T05:01:00"/>
    <m/>
    <m/>
    <n v="1956"/>
    <n v="125.08"/>
    <n v="2.9"/>
    <n v="19910000000000"/>
    <n v="50.6"/>
    <n v="100.2"/>
    <n v="9.4"/>
    <n v="59.2"/>
    <n v="1397715000"/>
  </r>
  <r>
    <x v="206"/>
    <x v="206"/>
    <x v="1"/>
    <x v="1383"/>
    <x v="3"/>
    <x v="27"/>
    <x v="199"/>
    <x v="552"/>
    <x v="1"/>
    <s v="Israel"/>
    <m/>
    <x v="0"/>
    <s v="U"/>
    <x v="0"/>
    <d v="1944-11-13T00:00:00"/>
    <s v="Harlap"/>
    <s v="Shmuel"/>
    <m/>
    <d v="2023-04-04T05:01:00"/>
    <m/>
    <m/>
    <n v="1944"/>
    <n v="108.15"/>
    <n v="0.8"/>
    <n v="395098666122"/>
    <n v="63.4"/>
    <n v="104.9"/>
    <n v="23.1"/>
    <n v="25.3"/>
    <n v="9053300"/>
  </r>
  <r>
    <x v="206"/>
    <x v="206"/>
    <x v="2"/>
    <x v="1384"/>
    <x v="7"/>
    <x v="7"/>
    <x v="483"/>
    <x v="553"/>
    <x v="2"/>
    <s v="Germany"/>
    <m/>
    <x v="1"/>
    <s v="D"/>
    <x v="0"/>
    <d v="1940-01-17T00:00:00"/>
    <s v="Hector"/>
    <s v="Hans-Werner"/>
    <m/>
    <d v="2023-04-04T05:01:00"/>
    <m/>
    <m/>
    <n v="1940"/>
    <n v="112.85"/>
    <n v="1.4"/>
    <n v="3845630030824"/>
    <n v="70.2"/>
    <n v="104"/>
    <n v="11.5"/>
    <n v="48.8"/>
    <n v="83132799"/>
  </r>
  <r>
    <x v="206"/>
    <x v="206"/>
    <x v="14"/>
    <x v="1385"/>
    <x v="31"/>
    <x v="7"/>
    <x v="484"/>
    <x v="63"/>
    <x v="14"/>
    <s v="Germany"/>
    <m/>
    <x v="1"/>
    <s v="U"/>
    <x v="0"/>
    <d v="1946-08-29T00:00:00"/>
    <s v="Helmig"/>
    <s v="Lutz Mario"/>
    <m/>
    <d v="2023-04-04T05:01:00"/>
    <m/>
    <m/>
    <n v="1946"/>
    <n v="112.85"/>
    <n v="1.4"/>
    <n v="3845630030824"/>
    <n v="70.2"/>
    <n v="104"/>
    <n v="11.5"/>
    <n v="48.8"/>
    <n v="83132799"/>
  </r>
  <r>
    <x v="206"/>
    <x v="206"/>
    <x v="11"/>
    <x v="1386"/>
    <x v="29"/>
    <x v="5"/>
    <x v="26"/>
    <x v="36"/>
    <x v="11"/>
    <s v="Canada"/>
    <m/>
    <x v="1"/>
    <s v="D"/>
    <x v="0"/>
    <d v="1959-01-01T00:00:00"/>
    <s v="Huang"/>
    <s v="Chulong"/>
    <m/>
    <d v="2023-04-04T05:01:00"/>
    <m/>
    <m/>
    <n v="1959"/>
    <n v="125.08"/>
    <n v="2.9"/>
    <n v="19910000000000"/>
    <n v="50.6"/>
    <n v="100.2"/>
    <n v="9.4"/>
    <n v="59.2"/>
    <n v="1397715000"/>
  </r>
  <r>
    <x v="206"/>
    <x v="206"/>
    <x v="3"/>
    <x v="1387"/>
    <x v="35"/>
    <x v="1"/>
    <x v="229"/>
    <x v="224"/>
    <x v="3"/>
    <s v="United States"/>
    <m/>
    <x v="0"/>
    <s v="U"/>
    <x v="0"/>
    <d v="1942-05-10T00:00:00"/>
    <s v="James"/>
    <s v="Thomas"/>
    <m/>
    <d v="2023-04-04T05:01:00"/>
    <s v="Florida"/>
    <s v="South"/>
    <n v="1942"/>
    <n v="117.24"/>
    <n v="7.5"/>
    <n v="21427700000000"/>
    <n v="88.2"/>
    <n v="101.8"/>
    <n v="9.6"/>
    <n v="36.6"/>
    <n v="328239523"/>
  </r>
  <r>
    <x v="206"/>
    <x v="206"/>
    <x v="0"/>
    <x v="1388"/>
    <x v="16"/>
    <x v="1"/>
    <x v="485"/>
    <x v="554"/>
    <x v="0"/>
    <s v="United States"/>
    <m/>
    <x v="1"/>
    <s v="D"/>
    <x v="0"/>
    <d v="1949-06-08T00:00:00"/>
    <s v="Jannard"/>
    <s v="James"/>
    <m/>
    <d v="2023-04-04T05:01:00"/>
    <s v="Washington"/>
    <s v="West"/>
    <n v="1949"/>
    <n v="117.24"/>
    <n v="7.5"/>
    <n v="21427700000000"/>
    <n v="88.2"/>
    <n v="101.8"/>
    <n v="9.6"/>
    <n v="36.6"/>
    <n v="328239523"/>
  </r>
  <r>
    <x v="206"/>
    <x v="206"/>
    <x v="1"/>
    <x v="1389"/>
    <x v="43"/>
    <x v="1"/>
    <x v="61"/>
    <x v="555"/>
    <x v="1"/>
    <s v="United States"/>
    <m/>
    <x v="1"/>
    <s v="U"/>
    <x v="0"/>
    <d v="1947-05-26T00:00:00"/>
    <s v="Johnson"/>
    <s v="Willis"/>
    <m/>
    <d v="2023-04-04T05:01:00"/>
    <s v="Tennessee"/>
    <s v="South"/>
    <n v="1947"/>
    <n v="117.24"/>
    <n v="7.5"/>
    <n v="21427700000000"/>
    <n v="88.2"/>
    <n v="101.8"/>
    <n v="9.6"/>
    <n v="36.6"/>
    <n v="328239523"/>
  </r>
  <r>
    <x v="206"/>
    <x v="206"/>
    <x v="0"/>
    <x v="1390"/>
    <x v="65"/>
    <x v="5"/>
    <x v="148"/>
    <x v="152"/>
    <x v="0"/>
    <s v="China"/>
    <m/>
    <x v="1"/>
    <s v="U"/>
    <x v="0"/>
    <d v="1975-01-01T00:00:00"/>
    <s v="Lai"/>
    <s v="Shixian"/>
    <m/>
    <d v="2023-04-04T05:01:00"/>
    <m/>
    <m/>
    <n v="1975"/>
    <n v="125.08"/>
    <n v="2.9"/>
    <n v="19910000000000"/>
    <n v="50.6"/>
    <n v="100.2"/>
    <n v="9.4"/>
    <n v="59.2"/>
    <n v="1397715000"/>
  </r>
  <r>
    <x v="206"/>
    <x v="206"/>
    <x v="3"/>
    <x v="1391"/>
    <x v="34"/>
    <x v="1"/>
    <x v="120"/>
    <x v="530"/>
    <x v="3"/>
    <s v="United States"/>
    <m/>
    <x v="1"/>
    <s v="D"/>
    <x v="0"/>
    <d v="1960-06-15T00:00:00"/>
    <s v="Larsen"/>
    <s v="Chris"/>
    <m/>
    <d v="2023-04-04T05:01:00"/>
    <s v="California"/>
    <s v="West"/>
    <n v="1960"/>
    <n v="117.24"/>
    <n v="7.5"/>
    <n v="21427700000000"/>
    <n v="88.2"/>
    <n v="101.8"/>
    <n v="9.6"/>
    <n v="36.6"/>
    <n v="328239523"/>
  </r>
  <r>
    <x v="206"/>
    <x v="206"/>
    <x v="0"/>
    <x v="1392"/>
    <x v="3"/>
    <x v="14"/>
    <x v="93"/>
    <x v="21"/>
    <x v="0"/>
    <s v="Australia"/>
    <m/>
    <x v="1"/>
    <s v="D"/>
    <x v="0"/>
    <d v="1945-03-22T00:00:00"/>
    <s v="Lew"/>
    <s v="Solomon"/>
    <m/>
    <d v="2023-04-04T05:01:00"/>
    <m/>
    <m/>
    <n v="1945"/>
    <n v="119.8"/>
    <n v="1.6"/>
    <n v="1392680589329"/>
    <n v="113.1"/>
    <n v="100.3"/>
    <n v="23"/>
    <n v="47.4"/>
    <n v="25766605"/>
  </r>
  <r>
    <x v="206"/>
    <x v="206"/>
    <x v="6"/>
    <x v="1393"/>
    <x v="23"/>
    <x v="25"/>
    <x v="76"/>
    <x v="331"/>
    <x v="6"/>
    <s v="Singapore"/>
    <m/>
    <x v="1"/>
    <s v="E"/>
    <x v="0"/>
    <d v="1968-10-01T00:00:00"/>
    <s v="Liang"/>
    <s v="Xinjun"/>
    <m/>
    <d v="2023-04-04T05:01:00"/>
    <m/>
    <m/>
    <n v="1968"/>
    <n v="114.41"/>
    <n v="0.6"/>
    <n v="372062527489"/>
    <n v="84.8"/>
    <n v="100.6"/>
    <n v="13.1"/>
    <n v="21"/>
    <n v="5703569"/>
  </r>
  <r>
    <x v="206"/>
    <x v="206"/>
    <x v="6"/>
    <x v="1394"/>
    <x v="13"/>
    <x v="23"/>
    <x v="73"/>
    <x v="8"/>
    <x v="6"/>
    <s v="Thailand"/>
    <m/>
    <x v="0"/>
    <s v="U"/>
    <x v="0"/>
    <d v="1955-01-12T00:00:00"/>
    <s v="Link"/>
    <s v="Harald"/>
    <m/>
    <d v="2023-04-04T05:01:00"/>
    <m/>
    <m/>
    <n v="1955"/>
    <n v="113.27"/>
    <n v="0.7"/>
    <n v="543649976166"/>
    <n v="49.3"/>
    <n v="99.8"/>
    <n v="14.9"/>
    <n v="29.5"/>
    <n v="69625582"/>
  </r>
  <r>
    <x v="206"/>
    <x v="206"/>
    <x v="2"/>
    <x v="1395"/>
    <x v="27"/>
    <x v="1"/>
    <x v="120"/>
    <x v="117"/>
    <x v="2"/>
    <s v="Canada"/>
    <m/>
    <x v="1"/>
    <s v="D"/>
    <x v="0"/>
    <d v="1980-01-01T00:00:00"/>
    <s v="Lytvyn"/>
    <s v="Max"/>
    <m/>
    <d v="2023-04-04T05:01:00"/>
    <s v="California"/>
    <s v="West"/>
    <n v="1980"/>
    <n v="117.24"/>
    <n v="7.5"/>
    <n v="21427700000000"/>
    <n v="88.2"/>
    <n v="101.8"/>
    <n v="9.6"/>
    <n v="36.6"/>
    <n v="328239523"/>
  </r>
  <r>
    <x v="206"/>
    <x v="206"/>
    <x v="13"/>
    <x v="1396"/>
    <x v="15"/>
    <x v="1"/>
    <x v="28"/>
    <x v="38"/>
    <x v="13"/>
    <s v="Cyprus"/>
    <m/>
    <x v="1"/>
    <s v="U"/>
    <x v="0"/>
    <d v="1962-04-15T00:00:00"/>
    <s v="Makarov"/>
    <s v="Igor"/>
    <m/>
    <d v="2023-04-04T05:01:00"/>
    <s v="Florida"/>
    <s v="South"/>
    <n v="1962"/>
    <n v="117.24"/>
    <n v="7.5"/>
    <n v="21427700000000"/>
    <n v="88.2"/>
    <n v="101.8"/>
    <n v="9.6"/>
    <n v="36.6"/>
    <n v="328239523"/>
  </r>
  <r>
    <x v="206"/>
    <x v="206"/>
    <x v="3"/>
    <x v="1397"/>
    <x v="31"/>
    <x v="1"/>
    <x v="5"/>
    <x v="122"/>
    <x v="3"/>
    <s v="United States"/>
    <s v="Oaktree Capital Group LLC"/>
    <x v="1"/>
    <s v="E"/>
    <x v="0"/>
    <d v="1946-04-23T00:00:00"/>
    <s v="Marks"/>
    <s v="Howard"/>
    <s v="Chairman"/>
    <d v="2023-04-04T05:01:00"/>
    <s v="New York"/>
    <s v="Northeast"/>
    <n v="1946"/>
    <n v="117.24"/>
    <n v="7.5"/>
    <n v="21427700000000"/>
    <n v="88.2"/>
    <n v="101.8"/>
    <n v="9.6"/>
    <n v="36.6"/>
    <n v="328239523"/>
  </r>
  <r>
    <x v="206"/>
    <x v="206"/>
    <x v="3"/>
    <x v="1398"/>
    <x v="49"/>
    <x v="1"/>
    <x v="115"/>
    <x v="4"/>
    <x v="3"/>
    <s v="United States"/>
    <s v="Berkshire Hathaway Inc. (Cl A)"/>
    <x v="1"/>
    <s v="D"/>
    <x v="0"/>
    <d v="1924-01-01T00:00:00"/>
    <s v="Munger"/>
    <s v="Charles"/>
    <s v="Vice Chairman"/>
    <d v="2023-04-04T05:01:00"/>
    <s v="California"/>
    <s v="West"/>
    <n v="1924"/>
    <n v="117.24"/>
    <n v="7.5"/>
    <n v="21427700000000"/>
    <n v="88.2"/>
    <n v="101.8"/>
    <n v="9.6"/>
    <n v="36.6"/>
    <n v="328239523"/>
  </r>
  <r>
    <x v="206"/>
    <x v="206"/>
    <x v="11"/>
    <x v="1399"/>
    <x v="54"/>
    <x v="1"/>
    <x v="28"/>
    <x v="556"/>
    <x v="11"/>
    <s v="Israel"/>
    <m/>
    <x v="1"/>
    <s v="U"/>
    <x v="0"/>
    <d v="1979-04-01T00:00:00"/>
    <s v="Neumann"/>
    <s v="Adam"/>
    <m/>
    <d v="2023-04-04T05:01:00"/>
    <s v="Florida"/>
    <s v="South"/>
    <n v="1979"/>
    <n v="117.24"/>
    <n v="7.5"/>
    <n v="21427700000000"/>
    <n v="88.2"/>
    <n v="101.8"/>
    <n v="9.6"/>
    <n v="36.6"/>
    <n v="328239523"/>
  </r>
  <r>
    <x v="206"/>
    <x v="206"/>
    <x v="6"/>
    <x v="1400"/>
    <x v="33"/>
    <x v="53"/>
    <x v="486"/>
    <x v="557"/>
    <x v="6"/>
    <s v="Vietnam"/>
    <s v="Sovico Holdings"/>
    <x v="1"/>
    <s v="D"/>
    <x v="1"/>
    <d v="1970-06-07T00:00:00"/>
    <s v="Nguyen"/>
    <s v="Thi Phuong Thao"/>
    <s v="Cofounder and Chairman"/>
    <d v="2023-04-04T05:01:00"/>
    <m/>
    <m/>
    <n v="1970"/>
    <n v="163.52000000000001"/>
    <n v="2.8"/>
    <n v="261921244843"/>
    <n v="28.5"/>
    <n v="110.6"/>
    <n v="19.100000000000001"/>
    <n v="37.6"/>
    <n v="96462106"/>
  </r>
  <r>
    <x v="206"/>
    <x v="206"/>
    <x v="7"/>
    <x v="1401"/>
    <x v="48"/>
    <x v="5"/>
    <x v="487"/>
    <x v="178"/>
    <x v="7"/>
    <s v="China"/>
    <m/>
    <x v="1"/>
    <s v="D"/>
    <x v="0"/>
    <d v="1952-01-23T00:00:00"/>
    <s v="Ni"/>
    <s v="Yongpei"/>
    <m/>
    <d v="2023-04-04T05:01:00"/>
    <m/>
    <m/>
    <n v="1952"/>
    <n v="125.08"/>
    <n v="2.9"/>
    <n v="19910000000000"/>
    <n v="50.6"/>
    <n v="100.2"/>
    <n v="9.4"/>
    <n v="59.2"/>
    <n v="1397715000"/>
  </r>
  <r>
    <x v="206"/>
    <x v="206"/>
    <x v="10"/>
    <x v="1402"/>
    <x v="15"/>
    <x v="14"/>
    <x v="93"/>
    <x v="558"/>
    <x v="10"/>
    <s v="Australia"/>
    <m/>
    <x v="0"/>
    <s v="D"/>
    <x v="1"/>
    <d v="1962-09-13T00:00:00"/>
    <s v="Pratt"/>
    <s v="Heloise"/>
    <m/>
    <d v="2023-04-04T05:01:00"/>
    <m/>
    <m/>
    <n v="1962"/>
    <n v="119.8"/>
    <n v="1.6"/>
    <n v="1392680589329"/>
    <n v="113.1"/>
    <n v="100.3"/>
    <n v="23"/>
    <n v="47.4"/>
    <n v="25766605"/>
  </r>
  <r>
    <x v="206"/>
    <x v="206"/>
    <x v="2"/>
    <x v="1403"/>
    <x v="33"/>
    <x v="5"/>
    <x v="19"/>
    <x v="117"/>
    <x v="2"/>
    <s v="China"/>
    <m/>
    <x v="1"/>
    <s v="U"/>
    <x v="0"/>
    <d v="1970-10-01T00:00:00"/>
    <s v="Qi"/>
    <s v="Xiangdong"/>
    <m/>
    <d v="2023-04-04T05:01:00"/>
    <m/>
    <m/>
    <n v="1970"/>
    <n v="125.08"/>
    <n v="2.9"/>
    <n v="19910000000000"/>
    <n v="50.6"/>
    <n v="100.2"/>
    <n v="9.4"/>
    <n v="59.2"/>
    <n v="1397715000"/>
  </r>
  <r>
    <x v="206"/>
    <x v="206"/>
    <x v="2"/>
    <x v="1404"/>
    <x v="16"/>
    <x v="1"/>
    <x v="176"/>
    <x v="559"/>
    <x v="2"/>
    <s v="United States"/>
    <m/>
    <x v="1"/>
    <s v="U"/>
    <x v="0"/>
    <d v="1949-06-01T00:00:00"/>
    <s v="Ragon"/>
    <s v="Phillip T. (Terry)"/>
    <m/>
    <d v="2023-04-04T05:01:00"/>
    <s v="Massachusetts"/>
    <s v="Northeast"/>
    <n v="1949"/>
    <n v="117.24"/>
    <n v="7.5"/>
    <n v="21427700000000"/>
    <n v="88.2"/>
    <n v="101.8"/>
    <n v="9.6"/>
    <n v="36.6"/>
    <n v="328239523"/>
  </r>
  <r>
    <x v="206"/>
    <x v="206"/>
    <x v="14"/>
    <x v="1405"/>
    <x v="56"/>
    <x v="3"/>
    <x v="463"/>
    <x v="291"/>
    <x v="14"/>
    <s v="India"/>
    <m/>
    <x v="1"/>
    <s v="D"/>
    <x v="0"/>
    <d v="1932-02-05T00:00:00"/>
    <s v="Reddy"/>
    <s v="Prathap"/>
    <m/>
    <d v="2023-04-04T05:01:00"/>
    <m/>
    <m/>
    <n v="1932"/>
    <n v="180.44"/>
    <n v="7.7"/>
    <n v="2611000000000"/>
    <n v="28.1"/>
    <n v="113"/>
    <n v="11.2"/>
    <n v="49.7"/>
    <n v="1366417754"/>
  </r>
  <r>
    <x v="206"/>
    <x v="206"/>
    <x v="17"/>
    <x v="1406"/>
    <x v="11"/>
    <x v="1"/>
    <x v="54"/>
    <x v="560"/>
    <x v="17"/>
    <s v="United States"/>
    <m/>
    <x v="1"/>
    <s v="U"/>
    <x v="0"/>
    <d v="1936-02-25T00:00:00"/>
    <s v="Reinsdorf"/>
    <s v="Jerry"/>
    <m/>
    <d v="2023-04-04T05:01:00"/>
    <s v="Illinois"/>
    <s v="Midwest"/>
    <n v="1936"/>
    <n v="117.24"/>
    <n v="7.5"/>
    <n v="21427700000000"/>
    <n v="88.2"/>
    <n v="101.8"/>
    <n v="9.6"/>
    <n v="36.6"/>
    <n v="328239523"/>
  </r>
  <r>
    <x v="206"/>
    <x v="206"/>
    <x v="2"/>
    <x v="1407"/>
    <x v="33"/>
    <x v="1"/>
    <x v="488"/>
    <x v="561"/>
    <x v="2"/>
    <s v="United States"/>
    <m/>
    <x v="1"/>
    <s v="D"/>
    <x v="0"/>
    <d v="1970-10-10T00:00:00"/>
    <s v="Richison"/>
    <s v="Chad"/>
    <m/>
    <d v="2023-04-04T05:01:00"/>
    <s v="Oklahoma"/>
    <s v="South"/>
    <n v="1970"/>
    <n v="117.24"/>
    <n v="7.5"/>
    <n v="21427700000000"/>
    <n v="88.2"/>
    <n v="101.8"/>
    <n v="9.6"/>
    <n v="36.6"/>
    <n v="328239523"/>
  </r>
  <r>
    <x v="206"/>
    <x v="206"/>
    <x v="0"/>
    <x v="1408"/>
    <x v="30"/>
    <x v="8"/>
    <x v="33"/>
    <x v="455"/>
    <x v="0"/>
    <s v="Switzerland"/>
    <m/>
    <x v="1"/>
    <s v="U"/>
    <x v="0"/>
    <d v="1939-01-01T00:00:00"/>
    <s v="Scheufele"/>
    <s v="Karl"/>
    <m/>
    <d v="2023-04-04T05:01:00"/>
    <m/>
    <m/>
    <n v="1939"/>
    <n v="99.55"/>
    <n v="0.4"/>
    <n v="703082435360"/>
    <n v="59.6"/>
    <n v="105.2"/>
    <n v="10.1"/>
    <n v="28.8"/>
    <n v="8574832"/>
  </r>
  <r>
    <x v="206"/>
    <x v="206"/>
    <x v="14"/>
    <x v="1409"/>
    <x v="61"/>
    <x v="1"/>
    <x v="489"/>
    <x v="233"/>
    <x v="14"/>
    <s v="United States"/>
    <m/>
    <x v="1"/>
    <s v="U"/>
    <x v="1"/>
    <d v="1926-07-02T00:00:00"/>
    <s v="Schwartz"/>
    <s v="Alice"/>
    <m/>
    <d v="2023-04-04T05:01:00"/>
    <s v="California"/>
    <s v="West"/>
    <n v="1926"/>
    <n v="117.24"/>
    <n v="7.5"/>
    <n v="21427700000000"/>
    <n v="88.2"/>
    <n v="101.8"/>
    <n v="9.6"/>
    <n v="36.6"/>
    <n v="328239523"/>
  </r>
  <r>
    <x v="206"/>
    <x v="206"/>
    <x v="2"/>
    <x v="1410"/>
    <x v="27"/>
    <x v="6"/>
    <x v="25"/>
    <x v="117"/>
    <x v="2"/>
    <s v="Canada"/>
    <m/>
    <x v="1"/>
    <s v="D"/>
    <x v="0"/>
    <d v="1980-01-01T00:00:00"/>
    <s v="Shevchenko"/>
    <s v="Alex"/>
    <m/>
    <d v="2023-04-04T05:01:00"/>
    <m/>
    <m/>
    <n v="1980"/>
    <n v="116.76"/>
    <n v="1.9"/>
    <n v="1736425629520"/>
    <n v="68.900000000000006"/>
    <n v="100.9"/>
    <n v="12.8"/>
    <n v="24.5"/>
    <n v="36991981"/>
  </r>
  <r>
    <x v="206"/>
    <x v="206"/>
    <x v="2"/>
    <x v="1411"/>
    <x v="37"/>
    <x v="1"/>
    <x v="490"/>
    <x v="562"/>
    <x v="2"/>
    <s v="United States"/>
    <s v="Sherpalo Ventures"/>
    <x v="1"/>
    <s v="D"/>
    <x v="0"/>
    <d v="1957-01-21T00:00:00"/>
    <s v="Shriram"/>
    <s v="Kavitark Ram"/>
    <s v="Investor"/>
    <d v="2023-04-04T05:01:00"/>
    <s v="California"/>
    <s v="West"/>
    <n v="1957"/>
    <n v="117.24"/>
    <n v="7.5"/>
    <n v="21427700000000"/>
    <n v="88.2"/>
    <n v="101.8"/>
    <n v="9.6"/>
    <n v="36.6"/>
    <n v="328239523"/>
  </r>
  <r>
    <x v="206"/>
    <x v="206"/>
    <x v="11"/>
    <x v="1412"/>
    <x v="42"/>
    <x v="1"/>
    <x v="491"/>
    <x v="36"/>
    <x v="11"/>
    <s v="United States"/>
    <m/>
    <x v="0"/>
    <s v="N"/>
    <x v="0"/>
    <d v="1967-12-13T00:00:00"/>
    <s v="Soffer"/>
    <s v="Jeffrey"/>
    <m/>
    <d v="2023-04-04T05:01:00"/>
    <s v="Florida"/>
    <s v="South"/>
    <n v="1967"/>
    <n v="117.24"/>
    <n v="7.5"/>
    <n v="21427700000000"/>
    <n v="88.2"/>
    <n v="101.8"/>
    <n v="9.6"/>
    <n v="36.6"/>
    <n v="328239523"/>
  </r>
  <r>
    <x v="206"/>
    <x v="206"/>
    <x v="2"/>
    <x v="1413"/>
    <x v="5"/>
    <x v="1"/>
    <x v="492"/>
    <x v="117"/>
    <x v="2"/>
    <s v="United States"/>
    <m/>
    <x v="1"/>
    <s v="D"/>
    <x v="0"/>
    <d v="1955-04-09T00:00:00"/>
    <s v="Stone"/>
    <s v="William"/>
    <m/>
    <d v="2023-04-04T05:01:00"/>
    <s v="Connecticut"/>
    <s v="Northeast"/>
    <n v="1955"/>
    <n v="117.24"/>
    <n v="7.5"/>
    <n v="21427700000000"/>
    <n v="88.2"/>
    <n v="101.8"/>
    <n v="9.6"/>
    <n v="36.6"/>
    <n v="328239523"/>
  </r>
  <r>
    <x v="206"/>
    <x v="206"/>
    <x v="3"/>
    <x v="1414"/>
    <x v="8"/>
    <x v="1"/>
    <x v="5"/>
    <x v="28"/>
    <x v="3"/>
    <s v="United States"/>
    <s v="Talpion Fund Management"/>
    <x v="1"/>
    <s v="U"/>
    <x v="0"/>
    <d v="1957-05-09T00:00:00"/>
    <s v="Swieca"/>
    <s v="Henry"/>
    <s v="Founder"/>
    <d v="2023-04-04T05:01:00"/>
    <s v="New York"/>
    <s v="Northeast"/>
    <n v="1957"/>
    <n v="117.24"/>
    <n v="7.5"/>
    <n v="21427700000000"/>
    <n v="88.2"/>
    <n v="101.8"/>
    <n v="9.6"/>
    <n v="36.6"/>
    <n v="328239523"/>
  </r>
  <r>
    <x v="206"/>
    <x v="206"/>
    <x v="6"/>
    <x v="1415"/>
    <x v="53"/>
    <x v="34"/>
    <x v="137"/>
    <x v="8"/>
    <x v="6"/>
    <s v="Philippines"/>
    <m/>
    <x v="0"/>
    <s v="D"/>
    <x v="0"/>
    <d v="1959-06-01T00:00:00"/>
    <s v="Sy"/>
    <s v="Harley"/>
    <m/>
    <d v="2023-04-04T05:01:00"/>
    <m/>
    <m/>
    <n v="1959"/>
    <n v="129.61000000000001"/>
    <n v="2.5"/>
    <n v="376795508680"/>
    <n v="35.5"/>
    <n v="107.5"/>
    <n v="14"/>
    <n v="43.1"/>
    <n v="108116615"/>
  </r>
  <r>
    <x v="206"/>
    <x v="206"/>
    <x v="6"/>
    <x v="1416"/>
    <x v="25"/>
    <x v="34"/>
    <x v="137"/>
    <x v="8"/>
    <x v="6"/>
    <s v="Philippines"/>
    <m/>
    <x v="0"/>
    <s v="D"/>
    <x v="1"/>
    <d v="1950-10-01T00:00:00"/>
    <s v="Sy-Coson"/>
    <s v="Teresita"/>
    <m/>
    <d v="2023-04-04T05:01:00"/>
    <m/>
    <m/>
    <n v="1950"/>
    <n v="129.61000000000001"/>
    <n v="2.5"/>
    <n v="376795508680"/>
    <n v="35.5"/>
    <n v="107.5"/>
    <n v="14"/>
    <n v="43.1"/>
    <n v="108116615"/>
  </r>
  <r>
    <x v="206"/>
    <x v="206"/>
    <x v="11"/>
    <x v="1417"/>
    <x v="22"/>
    <x v="12"/>
    <x v="31"/>
    <x v="36"/>
    <x v="11"/>
    <s v="Japan"/>
    <m/>
    <x v="1"/>
    <s v="D"/>
    <x v="0"/>
    <d v="1945-07-12T00:00:00"/>
    <s v="Tada"/>
    <s v="Katsumi"/>
    <m/>
    <d v="2023-04-04T05:01:00"/>
    <m/>
    <m/>
    <n v="1945"/>
    <n v="105.48"/>
    <n v="0.5"/>
    <n v="5081769542380"/>
    <n v="63.2"/>
    <n v="98.8"/>
    <n v="11.9"/>
    <n v="46.7"/>
    <n v="126226568"/>
  </r>
  <r>
    <x v="206"/>
    <x v="206"/>
    <x v="10"/>
    <x v="1418"/>
    <x v="5"/>
    <x v="5"/>
    <x v="225"/>
    <x v="241"/>
    <x v="10"/>
    <s v="China"/>
    <m/>
    <x v="1"/>
    <s v="D"/>
    <x v="0"/>
    <d v="1955-09-19T00:00:00"/>
    <s v="Tang"/>
    <s v="Jinkui"/>
    <m/>
    <d v="2023-04-04T05:01:00"/>
    <m/>
    <m/>
    <n v="1955"/>
    <n v="125.08"/>
    <n v="2.9"/>
    <n v="19910000000000"/>
    <n v="50.6"/>
    <n v="100.2"/>
    <n v="9.4"/>
    <n v="59.2"/>
    <n v="1397715000"/>
  </r>
  <r>
    <x v="206"/>
    <x v="206"/>
    <x v="2"/>
    <x v="1419"/>
    <x v="42"/>
    <x v="5"/>
    <x v="34"/>
    <x v="117"/>
    <x v="2"/>
    <s v="Hong Kong"/>
    <m/>
    <x v="1"/>
    <s v="D"/>
    <x v="0"/>
    <d v="1968-01-01T00:00:00"/>
    <s v="Tang"/>
    <s v="Xiao'ou"/>
    <m/>
    <d v="2023-04-04T05:01:00"/>
    <m/>
    <m/>
    <n v="1968"/>
    <n v="125.08"/>
    <n v="2.9"/>
    <n v="19910000000000"/>
    <n v="50.6"/>
    <n v="100.2"/>
    <n v="9.4"/>
    <n v="59.2"/>
    <n v="1397715000"/>
  </r>
  <r>
    <x v="206"/>
    <x v="206"/>
    <x v="0"/>
    <x v="1420"/>
    <x v="16"/>
    <x v="21"/>
    <x v="69"/>
    <x v="79"/>
    <x v="0"/>
    <s v="Sweden"/>
    <m/>
    <x v="0"/>
    <s v="D"/>
    <x v="1"/>
    <d v="1949-04-18T00:00:00"/>
    <s v="Tham"/>
    <s v="Lottie"/>
    <m/>
    <d v="2023-04-04T05:01:00"/>
    <m/>
    <m/>
    <n v="1949"/>
    <n v="110.51"/>
    <n v="1.8"/>
    <n v="530832908738"/>
    <n v="67"/>
    <n v="126.6"/>
    <n v="27.9"/>
    <n v="49.1"/>
    <n v="10285453"/>
  </r>
  <r>
    <x v="206"/>
    <x v="206"/>
    <x v="14"/>
    <x v="1421"/>
    <x v="62"/>
    <x v="16"/>
    <x v="231"/>
    <x v="291"/>
    <x v="14"/>
    <s v="India"/>
    <m/>
    <x v="0"/>
    <s v="R"/>
    <x v="0"/>
    <d v="1977-01-11T00:00:00"/>
    <s v="Vayalil"/>
    <s v="Shamsheer"/>
    <m/>
    <d v="2023-04-04T05:01:00"/>
    <m/>
    <m/>
    <n v="1977"/>
    <n v="114.52"/>
    <n v="-1.9"/>
    <n v="421142267938"/>
    <n v="36.799999999999997"/>
    <n v="108.4"/>
    <n v="0.1"/>
    <n v="15.9"/>
    <n v="9770529"/>
  </r>
  <r>
    <x v="206"/>
    <x v="206"/>
    <x v="2"/>
    <x v="1422"/>
    <x v="10"/>
    <x v="3"/>
    <x v="463"/>
    <x v="118"/>
    <x v="2"/>
    <s v="India"/>
    <m/>
    <x v="0"/>
    <s v="U"/>
    <x v="1"/>
    <d v="1972-12-24T00:00:00"/>
    <s v="Vembu"/>
    <s v="Radha"/>
    <m/>
    <d v="2023-04-04T05:01:00"/>
    <m/>
    <m/>
    <n v="1972"/>
    <n v="180.44"/>
    <n v="7.7"/>
    <n v="2611000000000"/>
    <n v="28.1"/>
    <n v="113"/>
    <n v="11.2"/>
    <n v="49.7"/>
    <n v="1366417754"/>
  </r>
  <r>
    <x v="206"/>
    <x v="206"/>
    <x v="0"/>
    <x v="1423"/>
    <x v="37"/>
    <x v="5"/>
    <x v="148"/>
    <x v="152"/>
    <x v="0"/>
    <s v="China"/>
    <m/>
    <x v="1"/>
    <s v="U"/>
    <x v="0"/>
    <d v="1957-01-01T00:00:00"/>
    <s v="Wang"/>
    <s v="Wenmo"/>
    <m/>
    <d v="2023-04-04T05:01:00"/>
    <m/>
    <m/>
    <n v="1957"/>
    <n v="125.08"/>
    <n v="2.9"/>
    <n v="19910000000000"/>
    <n v="50.6"/>
    <n v="100.2"/>
    <n v="9.4"/>
    <n v="59.2"/>
    <n v="1397715000"/>
  </r>
  <r>
    <x v="206"/>
    <x v="206"/>
    <x v="15"/>
    <x v="1424"/>
    <x v="3"/>
    <x v="5"/>
    <x v="34"/>
    <x v="563"/>
    <x v="15"/>
    <s v="China"/>
    <m/>
    <x v="1"/>
    <s v="U"/>
    <x v="0"/>
    <d v="1944-04-25T00:00:00"/>
    <s v="Wang"/>
    <s v="Zhenghua"/>
    <m/>
    <d v="2023-04-04T05:01:00"/>
    <m/>
    <m/>
    <n v="1944"/>
    <n v="125.08"/>
    <n v="2.9"/>
    <n v="19910000000000"/>
    <n v="50.6"/>
    <n v="100.2"/>
    <n v="9.4"/>
    <n v="59.2"/>
    <n v="1397715000"/>
  </r>
  <r>
    <x v="206"/>
    <x v="206"/>
    <x v="7"/>
    <x v="1425"/>
    <x v="8"/>
    <x v="27"/>
    <x v="25"/>
    <x v="564"/>
    <x v="7"/>
    <s v="Israel"/>
    <m/>
    <x v="0"/>
    <s v="D"/>
    <x v="0"/>
    <d v="1958-01-01T00:00:00"/>
    <s v="Wertheim"/>
    <s v="David"/>
    <m/>
    <d v="2023-04-04T05:01:00"/>
    <m/>
    <m/>
    <n v="1958"/>
    <n v="108.15"/>
    <n v="0.8"/>
    <n v="395098666122"/>
    <n v="63.4"/>
    <n v="104.9"/>
    <n v="23.1"/>
    <n v="25.3"/>
    <n v="9053300"/>
  </r>
  <r>
    <x v="206"/>
    <x v="206"/>
    <x v="13"/>
    <x v="1426"/>
    <x v="42"/>
    <x v="5"/>
    <x v="30"/>
    <x v="30"/>
    <x v="13"/>
    <s v="China"/>
    <m/>
    <x v="1"/>
    <s v="D"/>
    <x v="0"/>
    <d v="1968-01-01T00:00:00"/>
    <s v="Wu"/>
    <s v="Kai"/>
    <m/>
    <d v="2023-04-04T05:01:00"/>
    <m/>
    <m/>
    <n v="1968"/>
    <n v="125.08"/>
    <n v="2.9"/>
    <n v="19910000000000"/>
    <n v="50.6"/>
    <n v="100.2"/>
    <n v="9.4"/>
    <n v="59.2"/>
    <n v="1397715000"/>
  </r>
  <r>
    <x v="206"/>
    <x v="206"/>
    <x v="7"/>
    <x v="1427"/>
    <x v="42"/>
    <x v="5"/>
    <x v="82"/>
    <x v="105"/>
    <x v="7"/>
    <s v="China"/>
    <m/>
    <x v="1"/>
    <s v="D"/>
    <x v="0"/>
    <d v="1968-01-01T00:00:00"/>
    <s v="Xu"/>
    <s v="Yingzhuo"/>
    <m/>
    <d v="2023-04-04T05:01:00"/>
    <m/>
    <m/>
    <n v="1968"/>
    <n v="125.08"/>
    <n v="2.9"/>
    <n v="19910000000000"/>
    <n v="50.6"/>
    <n v="100.2"/>
    <n v="9.4"/>
    <n v="59.2"/>
    <n v="1397715000"/>
  </r>
  <r>
    <x v="206"/>
    <x v="206"/>
    <x v="10"/>
    <x v="1428"/>
    <x v="2"/>
    <x v="10"/>
    <x v="36"/>
    <x v="172"/>
    <x v="10"/>
    <s v="Hong Kong"/>
    <m/>
    <x v="1"/>
    <s v="D"/>
    <x v="0"/>
    <d v="1964-04-01T00:00:00"/>
    <s v="Yeung"/>
    <s v="Kin-man"/>
    <m/>
    <d v="2023-04-04T05:01:00"/>
    <m/>
    <m/>
    <n v="1964"/>
    <m/>
    <m/>
    <m/>
    <m/>
    <m/>
    <m/>
    <m/>
    <m/>
  </r>
  <r>
    <x v="206"/>
    <x v="206"/>
    <x v="8"/>
    <x v="1429"/>
    <x v="41"/>
    <x v="5"/>
    <x v="34"/>
    <x v="57"/>
    <x v="8"/>
    <s v="China"/>
    <s v="Shanghai YTO Express (Logistics)"/>
    <x v="1"/>
    <s v="D"/>
    <x v="0"/>
    <d v="1966-04-01T00:00:00"/>
    <s v="Yu"/>
    <s v="Huijiao"/>
    <s v="Founder and Chairman"/>
    <d v="2023-04-04T05:01:00"/>
    <m/>
    <m/>
    <n v="1966"/>
    <n v="125.08"/>
    <n v="2.9"/>
    <n v="19910000000000"/>
    <n v="50.6"/>
    <n v="100.2"/>
    <n v="9.4"/>
    <n v="59.2"/>
    <n v="1397715000"/>
  </r>
  <r>
    <x v="206"/>
    <x v="206"/>
    <x v="3"/>
    <x v="1430"/>
    <x v="17"/>
    <x v="1"/>
    <x v="11"/>
    <x v="38"/>
    <x v="3"/>
    <s v="Israel"/>
    <m/>
    <x v="1"/>
    <s v="D"/>
    <x v="0"/>
    <d v="1964-09-23T00:00:00"/>
    <s v="Zeev"/>
    <s v="Oren"/>
    <m/>
    <d v="2023-04-04T05:01:00"/>
    <s v="California"/>
    <s v="West"/>
    <n v="1964"/>
    <n v="117.24"/>
    <n v="7.5"/>
    <n v="21427700000000"/>
    <n v="88.2"/>
    <n v="101.8"/>
    <n v="9.6"/>
    <n v="36.6"/>
    <n v="328239523"/>
  </r>
  <r>
    <x v="206"/>
    <x v="206"/>
    <x v="10"/>
    <x v="1431"/>
    <x v="23"/>
    <x v="6"/>
    <x v="347"/>
    <x v="72"/>
    <x v="10"/>
    <s v="Canada"/>
    <m/>
    <x v="0"/>
    <s v="U"/>
    <x v="0"/>
    <d v="1969-01-01T00:00:00"/>
    <s v="Zekelman"/>
    <s v="Clayton"/>
    <m/>
    <d v="2023-04-04T05:01:00"/>
    <m/>
    <m/>
    <n v="1969"/>
    <n v="116.76"/>
    <n v="1.9"/>
    <n v="1736425629520"/>
    <n v="68.900000000000006"/>
    <n v="100.9"/>
    <n v="12.8"/>
    <n v="24.5"/>
    <n v="36991981"/>
  </r>
  <r>
    <x v="206"/>
    <x v="206"/>
    <x v="13"/>
    <x v="1432"/>
    <x v="41"/>
    <x v="5"/>
    <x v="30"/>
    <x v="30"/>
    <x v="13"/>
    <s v="China"/>
    <m/>
    <x v="1"/>
    <s v="D"/>
    <x v="0"/>
    <d v="1966-01-01T00:00:00"/>
    <s v="Zhao"/>
    <s v="Fenggang"/>
    <m/>
    <d v="2023-04-04T05:01:00"/>
    <m/>
    <m/>
    <n v="1966"/>
    <n v="125.08"/>
    <n v="2.9"/>
    <n v="19910000000000"/>
    <n v="50.6"/>
    <n v="100.2"/>
    <n v="9.4"/>
    <n v="59.2"/>
    <n v="1397715000"/>
  </r>
  <r>
    <x v="207"/>
    <x v="207"/>
    <x v="12"/>
    <x v="1433"/>
    <x v="42"/>
    <x v="13"/>
    <x v="32"/>
    <x v="415"/>
    <x v="12"/>
    <s v="United Kingdom"/>
    <m/>
    <x v="1"/>
    <s v="D"/>
    <x v="0"/>
    <d v="1967-08-03T00:00:00"/>
    <s v="Beard"/>
    <s v="Alex"/>
    <m/>
    <d v="2023-04-04T05:01:00"/>
    <m/>
    <m/>
    <n v="1967"/>
    <n v="119.62"/>
    <n v="1.7"/>
    <n v="2827113184696"/>
    <n v="60"/>
    <n v="101.2"/>
    <n v="25.5"/>
    <n v="30.6"/>
    <n v="66834405"/>
  </r>
  <r>
    <x v="207"/>
    <x v="207"/>
    <x v="7"/>
    <x v="1434"/>
    <x v="33"/>
    <x v="1"/>
    <x v="493"/>
    <x v="216"/>
    <x v="7"/>
    <s v="United States"/>
    <m/>
    <x v="1"/>
    <s v="D"/>
    <x v="0"/>
    <d v="1971-01-01T00:00:00"/>
    <s v="Boersma"/>
    <s v="Travis"/>
    <m/>
    <d v="2023-04-04T05:01:00"/>
    <s v="Oregon"/>
    <s v="West"/>
    <n v="1971"/>
    <n v="117.24"/>
    <n v="7.5"/>
    <n v="21427700000000"/>
    <n v="88.2"/>
    <n v="101.8"/>
    <n v="9.6"/>
    <n v="36.6"/>
    <n v="328239523"/>
  </r>
  <r>
    <x v="207"/>
    <x v="207"/>
    <x v="16"/>
    <x v="1435"/>
    <x v="44"/>
    <x v="0"/>
    <x v="0"/>
    <x v="565"/>
    <x v="16"/>
    <s v="France"/>
    <m/>
    <x v="0"/>
    <s v="Split Family Fortune"/>
    <x v="0"/>
    <m/>
    <s v="Bouygues"/>
    <s v="Martin"/>
    <m/>
    <d v="2023-04-04T05:01:00"/>
    <m/>
    <m/>
    <m/>
    <n v="110.05"/>
    <n v="1.1000000000000001"/>
    <n v="2715518274227"/>
    <n v="65.599999999999994"/>
    <n v="102.5"/>
    <n v="24.2"/>
    <n v="60.7"/>
    <n v="67059887"/>
  </r>
  <r>
    <x v="207"/>
    <x v="207"/>
    <x v="16"/>
    <x v="1436"/>
    <x v="25"/>
    <x v="22"/>
    <x v="25"/>
    <x v="565"/>
    <x v="16"/>
    <s v="France"/>
    <m/>
    <x v="0"/>
    <s v="Split Family Fortune"/>
    <x v="0"/>
    <d v="1950-09-14T00:00:00"/>
    <s v="Bouygues"/>
    <s v="Olivier"/>
    <m/>
    <d v="2023-04-04T05:01:00"/>
    <m/>
    <m/>
    <n v="1950"/>
    <m/>
    <m/>
    <m/>
    <m/>
    <m/>
    <m/>
    <m/>
    <m/>
  </r>
  <r>
    <x v="207"/>
    <x v="207"/>
    <x v="9"/>
    <x v="1437"/>
    <x v="56"/>
    <x v="1"/>
    <x v="27"/>
    <x v="566"/>
    <x v="9"/>
    <s v="United States"/>
    <m/>
    <x v="1"/>
    <s v="D"/>
    <x v="0"/>
    <d v="1931-11-04T00:00:00"/>
    <s v="Boyd"/>
    <s v="William"/>
    <m/>
    <d v="2023-04-04T05:01:00"/>
    <s v="Nevada"/>
    <s v="West"/>
    <n v="1931"/>
    <n v="117.24"/>
    <n v="7.5"/>
    <n v="21427700000000"/>
    <n v="88.2"/>
    <n v="101.8"/>
    <n v="9.6"/>
    <n v="36.6"/>
    <n v="328239523"/>
  </r>
  <r>
    <x v="207"/>
    <x v="207"/>
    <x v="7"/>
    <x v="1438"/>
    <x v="36"/>
    <x v="3"/>
    <x v="41"/>
    <x v="243"/>
    <x v="7"/>
    <s v="India"/>
    <m/>
    <x v="0"/>
    <s v="D"/>
    <x v="0"/>
    <d v="1952-05-05T00:00:00"/>
    <s v="Burman"/>
    <s v="Anand"/>
    <m/>
    <d v="2023-04-04T05:01:00"/>
    <m/>
    <m/>
    <n v="1952"/>
    <n v="180.44"/>
    <n v="7.7"/>
    <n v="2611000000000"/>
    <n v="28.1"/>
    <n v="113"/>
    <n v="11.2"/>
    <n v="49.7"/>
    <n v="1366417754"/>
  </r>
  <r>
    <x v="207"/>
    <x v="207"/>
    <x v="10"/>
    <x v="1439"/>
    <x v="48"/>
    <x v="5"/>
    <x v="12"/>
    <x v="108"/>
    <x v="10"/>
    <s v="China"/>
    <m/>
    <x v="1"/>
    <s v="D"/>
    <x v="0"/>
    <d v="1952-01-01T00:00:00"/>
    <s v="Cao"/>
    <s v="Ji"/>
    <m/>
    <d v="2023-04-04T05:01:00"/>
    <m/>
    <m/>
    <n v="1952"/>
    <n v="125.08"/>
    <n v="2.9"/>
    <n v="19910000000000"/>
    <n v="50.6"/>
    <n v="100.2"/>
    <n v="9.4"/>
    <n v="59.2"/>
    <n v="1397715000"/>
  </r>
  <r>
    <x v="207"/>
    <x v="207"/>
    <x v="2"/>
    <x v="1440"/>
    <x v="20"/>
    <x v="35"/>
    <x v="152"/>
    <x v="172"/>
    <x v="2"/>
    <s v="Taiwan"/>
    <m/>
    <x v="1"/>
    <s v="E"/>
    <x v="0"/>
    <d v="1936-11-03T00:00:00"/>
    <s v="Cheng"/>
    <s v="Bruce"/>
    <m/>
    <d v="2023-04-04T05:01:00"/>
    <m/>
    <m/>
    <n v="1936"/>
    <m/>
    <m/>
    <m/>
    <m/>
    <m/>
    <m/>
    <m/>
    <m/>
  </r>
  <r>
    <x v="207"/>
    <x v="207"/>
    <x v="2"/>
    <x v="1441"/>
    <x v="33"/>
    <x v="5"/>
    <x v="19"/>
    <x v="117"/>
    <x v="2"/>
    <s v="China"/>
    <m/>
    <x v="0"/>
    <s v="U"/>
    <x v="0"/>
    <d v="1971-01-01T00:00:00"/>
    <s v="Chi"/>
    <s v="Yufeng"/>
    <m/>
    <d v="2023-04-04T05:01:00"/>
    <m/>
    <m/>
    <n v="1971"/>
    <n v="125.08"/>
    <n v="2.9"/>
    <n v="19910000000000"/>
    <n v="50.6"/>
    <n v="100.2"/>
    <n v="9.4"/>
    <n v="59.2"/>
    <n v="1397715000"/>
  </r>
  <r>
    <x v="207"/>
    <x v="207"/>
    <x v="13"/>
    <x v="1442"/>
    <x v="34"/>
    <x v="10"/>
    <x v="36"/>
    <x v="69"/>
    <x v="13"/>
    <s v="Hong Kong"/>
    <m/>
    <x v="1"/>
    <s v="U"/>
    <x v="0"/>
    <d v="1960-11-30T00:00:00"/>
    <s v="Chiu"/>
    <s v="Daniel"/>
    <m/>
    <d v="2023-04-04T05:01:00"/>
    <m/>
    <m/>
    <n v="1960"/>
    <m/>
    <m/>
    <m/>
    <m/>
    <m/>
    <m/>
    <m/>
    <m/>
  </r>
  <r>
    <x v="207"/>
    <x v="207"/>
    <x v="14"/>
    <x v="1443"/>
    <x v="26"/>
    <x v="8"/>
    <x v="71"/>
    <x v="394"/>
    <x v="14"/>
    <s v="Switzerland"/>
    <m/>
    <x v="1"/>
    <s v="D"/>
    <x v="0"/>
    <d v="1941-01-01T00:00:00"/>
    <s v="Diethelm"/>
    <s v="Beda"/>
    <m/>
    <d v="2023-04-04T05:01:00"/>
    <m/>
    <m/>
    <n v="1941"/>
    <n v="99.55"/>
    <n v="0.4"/>
    <n v="703082435360"/>
    <n v="59.6"/>
    <n v="105.2"/>
    <n v="10.1"/>
    <n v="28.8"/>
    <n v="8574832"/>
  </r>
  <r>
    <x v="207"/>
    <x v="207"/>
    <x v="0"/>
    <x v="1444"/>
    <x v="29"/>
    <x v="28"/>
    <x v="95"/>
    <x v="22"/>
    <x v="0"/>
    <s v="Italy"/>
    <m/>
    <x v="1"/>
    <s v="U"/>
    <x v="0"/>
    <d v="1958-08-13T00:00:00"/>
    <s v="Dolce"/>
    <s v="Domenico"/>
    <m/>
    <d v="2023-04-04T05:01:00"/>
    <m/>
    <m/>
    <n v="1958"/>
    <n v="110.62"/>
    <n v="0.6"/>
    <n v="2001244392042"/>
    <n v="61.9"/>
    <n v="101.9"/>
    <n v="24.3"/>
    <n v="59.1"/>
    <n v="60297396"/>
  </r>
  <r>
    <x v="207"/>
    <x v="207"/>
    <x v="2"/>
    <x v="1445"/>
    <x v="2"/>
    <x v="7"/>
    <x v="494"/>
    <x v="567"/>
    <x v="2"/>
    <s v="Germany"/>
    <m/>
    <x v="1"/>
    <s v="D"/>
    <x v="0"/>
    <d v="1963-11-19T00:00:00"/>
    <s v="Dommermuth"/>
    <s v="Ralph"/>
    <m/>
    <d v="2023-04-04T05:01:00"/>
    <m/>
    <m/>
    <n v="1963"/>
    <n v="112.85"/>
    <n v="1.4"/>
    <n v="3845630030824"/>
    <n v="70.2"/>
    <n v="104"/>
    <n v="11.5"/>
    <n v="48.8"/>
    <n v="83132799"/>
  </r>
  <r>
    <x v="207"/>
    <x v="207"/>
    <x v="6"/>
    <x v="1446"/>
    <x v="10"/>
    <x v="13"/>
    <x v="32"/>
    <x v="568"/>
    <x v="6"/>
    <s v="Bulgaria"/>
    <m/>
    <x v="1"/>
    <s v="U"/>
    <x v="0"/>
    <d v="1972-08-06T00:00:00"/>
    <s v="Domuschiev"/>
    <s v="Georgi"/>
    <m/>
    <d v="2023-04-04T05:01:00"/>
    <m/>
    <m/>
    <n v="1972"/>
    <n v="119.62"/>
    <n v="1.7"/>
    <n v="2827113184696"/>
    <n v="60"/>
    <n v="101.2"/>
    <n v="25.5"/>
    <n v="30.6"/>
    <n v="66834405"/>
  </r>
  <r>
    <x v="207"/>
    <x v="207"/>
    <x v="6"/>
    <x v="1447"/>
    <x v="52"/>
    <x v="13"/>
    <x v="32"/>
    <x v="568"/>
    <x v="6"/>
    <s v="Bulgaria"/>
    <m/>
    <x v="1"/>
    <s v="U"/>
    <x v="0"/>
    <d v="1969-04-18T00:00:00"/>
    <s v="Domuschiev"/>
    <s v="Kiril"/>
    <m/>
    <d v="2023-04-04T05:01:00"/>
    <m/>
    <m/>
    <n v="1969"/>
    <n v="119.62"/>
    <n v="1.7"/>
    <n v="2827113184696"/>
    <n v="60"/>
    <n v="101.2"/>
    <n v="25.5"/>
    <n v="30.6"/>
    <n v="66834405"/>
  </r>
  <r>
    <x v="207"/>
    <x v="207"/>
    <x v="11"/>
    <x v="1448"/>
    <x v="3"/>
    <x v="14"/>
    <x v="495"/>
    <x v="36"/>
    <x v="11"/>
    <s v="Australia"/>
    <m/>
    <x v="1"/>
    <s v="E"/>
    <x v="0"/>
    <d v="1944-12-22T00:00:00"/>
    <s v="Ell"/>
    <s v="Bob"/>
    <m/>
    <d v="2023-04-04T05:01:00"/>
    <m/>
    <m/>
    <n v="1944"/>
    <n v="119.8"/>
    <n v="1.6"/>
    <n v="1392680589329"/>
    <n v="113.1"/>
    <n v="100.3"/>
    <n v="23"/>
    <n v="47.4"/>
    <n v="25766605"/>
  </r>
  <r>
    <x v="207"/>
    <x v="207"/>
    <x v="13"/>
    <x v="1449"/>
    <x v="8"/>
    <x v="1"/>
    <x v="496"/>
    <x v="569"/>
    <x v="13"/>
    <s v="United States"/>
    <s v="Western Refining"/>
    <x v="1"/>
    <s v="U"/>
    <x v="0"/>
    <d v="1957-10-08T00:00:00"/>
    <s v="Foster"/>
    <s v="Paul"/>
    <s v="Chairman"/>
    <d v="2023-04-04T05:01:00"/>
    <s v="Texas"/>
    <s v="South"/>
    <n v="1957"/>
    <n v="117.24"/>
    <n v="7.5"/>
    <n v="21427700000000"/>
    <n v="88.2"/>
    <n v="101.8"/>
    <n v="9.6"/>
    <n v="36.6"/>
    <n v="328239523"/>
  </r>
  <r>
    <x v="207"/>
    <x v="207"/>
    <x v="0"/>
    <x v="1450"/>
    <x v="15"/>
    <x v="28"/>
    <x v="95"/>
    <x v="22"/>
    <x v="0"/>
    <s v="Italy"/>
    <m/>
    <x v="1"/>
    <s v="U"/>
    <x v="0"/>
    <d v="1962-11-14T00:00:00"/>
    <s v="Gabbana"/>
    <s v="Stefano"/>
    <m/>
    <d v="2023-04-04T05:01:00"/>
    <m/>
    <m/>
    <n v="1962"/>
    <n v="110.62"/>
    <n v="0.6"/>
    <n v="2001244392042"/>
    <n v="61.9"/>
    <n v="101.9"/>
    <n v="24.3"/>
    <n v="59.1"/>
    <n v="60297396"/>
  </r>
  <r>
    <x v="207"/>
    <x v="207"/>
    <x v="10"/>
    <x v="1451"/>
    <x v="2"/>
    <x v="5"/>
    <x v="497"/>
    <x v="72"/>
    <x v="10"/>
    <s v="China"/>
    <m/>
    <x v="1"/>
    <s v="D"/>
    <x v="0"/>
    <d v="1963-11-01T00:00:00"/>
    <s v="Gao"/>
    <s v="Xingjiang"/>
    <m/>
    <d v="2023-04-04T05:01:00"/>
    <m/>
    <m/>
    <n v="1963"/>
    <n v="125.08"/>
    <n v="2.9"/>
    <n v="19910000000000"/>
    <n v="50.6"/>
    <n v="100.2"/>
    <n v="9.4"/>
    <n v="59.2"/>
    <n v="1397715000"/>
  </r>
  <r>
    <x v="207"/>
    <x v="207"/>
    <x v="13"/>
    <x v="1452"/>
    <x v="58"/>
    <x v="1"/>
    <x v="120"/>
    <x v="570"/>
    <x v="13"/>
    <s v="United States"/>
    <s v="Ann &amp; Gordon Getty Foundation"/>
    <x v="0"/>
    <s v="E"/>
    <x v="0"/>
    <d v="1933-12-20T00:00:00"/>
    <s v="Getty"/>
    <s v="Gordon"/>
    <s v="President and Chairman"/>
    <d v="2023-04-04T05:01:00"/>
    <s v="California"/>
    <s v="West"/>
    <n v="1933"/>
    <n v="117.24"/>
    <n v="7.5"/>
    <n v="21427700000000"/>
    <n v="88.2"/>
    <n v="101.8"/>
    <n v="9.6"/>
    <n v="36.6"/>
    <n v="328239523"/>
  </r>
  <r>
    <x v="207"/>
    <x v="207"/>
    <x v="13"/>
    <x v="1453"/>
    <x v="29"/>
    <x v="1"/>
    <x v="87"/>
    <x v="571"/>
    <x v="13"/>
    <s v="United States"/>
    <m/>
    <x v="1"/>
    <s v="N"/>
    <x v="0"/>
    <d v="1958-04-28T00:00:00"/>
    <s v="Ghaffarian"/>
    <s v="Kamal"/>
    <m/>
    <d v="2023-04-04T05:01:00"/>
    <s v="Florida"/>
    <s v="South"/>
    <n v="1958"/>
    <n v="117.24"/>
    <n v="7.5"/>
    <n v="21427700000000"/>
    <n v="88.2"/>
    <n v="101.8"/>
    <n v="9.6"/>
    <n v="36.6"/>
    <n v="328239523"/>
  </r>
  <r>
    <x v="207"/>
    <x v="207"/>
    <x v="14"/>
    <x v="1454"/>
    <x v="3"/>
    <x v="1"/>
    <x v="498"/>
    <x v="572"/>
    <x v="14"/>
    <s v="United Kingdom"/>
    <m/>
    <x v="1"/>
    <s v="E"/>
    <x v="0"/>
    <d v="1944-04-25T00:00:00"/>
    <s v="Gillings"/>
    <s v="Dennis"/>
    <m/>
    <d v="2023-04-04T05:01:00"/>
    <s v="North Carolina"/>
    <s v="South"/>
    <n v="1944"/>
    <n v="117.24"/>
    <n v="7.5"/>
    <n v="21427700000000"/>
    <n v="88.2"/>
    <n v="101.8"/>
    <n v="9.6"/>
    <n v="36.6"/>
    <n v="328239523"/>
  </r>
  <r>
    <x v="207"/>
    <x v="207"/>
    <x v="6"/>
    <x v="1455"/>
    <x v="8"/>
    <x v="3"/>
    <x v="7"/>
    <x v="8"/>
    <x v="6"/>
    <s v="India"/>
    <m/>
    <x v="0"/>
    <s v="E"/>
    <x v="0"/>
    <d v="1957-12-10T00:00:00"/>
    <s v="Goenka"/>
    <s v="Harsh"/>
    <m/>
    <d v="2023-04-04T05:01:00"/>
    <m/>
    <m/>
    <n v="1957"/>
    <n v="180.44"/>
    <n v="7.7"/>
    <n v="2611000000000"/>
    <n v="28.1"/>
    <n v="113"/>
    <n v="11.2"/>
    <n v="49.7"/>
    <n v="1366417754"/>
  </r>
  <r>
    <x v="207"/>
    <x v="207"/>
    <x v="6"/>
    <x v="1456"/>
    <x v="34"/>
    <x v="3"/>
    <x v="161"/>
    <x v="8"/>
    <x v="6"/>
    <s v="India"/>
    <m/>
    <x v="0"/>
    <s v="D"/>
    <x v="0"/>
    <d v="1961-01-29T00:00:00"/>
    <s v="Goenka"/>
    <s v="Sanjiv"/>
    <m/>
    <d v="2023-04-04T05:01:00"/>
    <m/>
    <m/>
    <n v="1961"/>
    <n v="180.44"/>
    <n v="7.7"/>
    <n v="2611000000000"/>
    <n v="28.1"/>
    <n v="113"/>
    <n v="11.2"/>
    <n v="49.7"/>
    <n v="1366417754"/>
  </r>
  <r>
    <x v="207"/>
    <x v="207"/>
    <x v="11"/>
    <x v="1457"/>
    <x v="5"/>
    <x v="1"/>
    <x v="5"/>
    <x v="36"/>
    <x v="11"/>
    <s v="United States"/>
    <m/>
    <x v="0"/>
    <s v="D"/>
    <x v="1"/>
    <d v="1955-07-29T00:00:00"/>
    <s v="Goldman"/>
    <s v="Jane"/>
    <m/>
    <d v="2023-04-04T05:01:00"/>
    <s v="New York"/>
    <s v="Northeast"/>
    <n v="1955"/>
    <n v="117.24"/>
    <n v="7.5"/>
    <n v="21427700000000"/>
    <n v="88.2"/>
    <n v="101.8"/>
    <n v="9.6"/>
    <n v="36.6"/>
    <n v="328239523"/>
  </r>
  <r>
    <x v="207"/>
    <x v="207"/>
    <x v="0"/>
    <x v="1458"/>
    <x v="37"/>
    <x v="36"/>
    <x v="154"/>
    <x v="243"/>
    <x v="0"/>
    <s v="Norway"/>
    <m/>
    <x v="1"/>
    <s v="D"/>
    <x v="0"/>
    <d v="1956-07-22T00:00:00"/>
    <s v="Hagen"/>
    <s v="Stein Erik"/>
    <m/>
    <d v="2023-04-04T05:01:00"/>
    <m/>
    <m/>
    <n v="1956"/>
    <n v="120.27"/>
    <n v="2.2000000000000002"/>
    <n v="403336363636"/>
    <n v="82"/>
    <n v="100.3"/>
    <n v="23.9"/>
    <n v="36.200000000000003"/>
    <n v="5347896"/>
  </r>
  <r>
    <x v="207"/>
    <x v="207"/>
    <x v="11"/>
    <x v="1459"/>
    <x v="32"/>
    <x v="8"/>
    <x v="33"/>
    <x v="173"/>
    <x v="11"/>
    <s v="Lebanon"/>
    <m/>
    <x v="0"/>
    <s v="E"/>
    <x v="0"/>
    <d v="1966-04-26T00:00:00"/>
    <s v="Hariri"/>
    <s v="Bahaa"/>
    <m/>
    <d v="2023-04-04T05:01:00"/>
    <m/>
    <m/>
    <n v="1966"/>
    <n v="99.55"/>
    <n v="0.4"/>
    <n v="703082435360"/>
    <n v="59.6"/>
    <n v="105.2"/>
    <n v="10.1"/>
    <n v="28.8"/>
    <n v="8574832"/>
  </r>
  <r>
    <x v="207"/>
    <x v="207"/>
    <x v="0"/>
    <x v="1460"/>
    <x v="25"/>
    <x v="4"/>
    <x v="332"/>
    <x v="81"/>
    <x v="0"/>
    <s v="Spain"/>
    <m/>
    <x v="0"/>
    <s v="D"/>
    <x v="1"/>
    <d v="1950-05-20T00:00:00"/>
    <s v="Herrero"/>
    <s v="Hortensia"/>
    <m/>
    <d v="2023-04-04T05:01:00"/>
    <m/>
    <m/>
    <n v="1950"/>
    <n v="110.96"/>
    <n v="0.7"/>
    <n v="1394116310769"/>
    <n v="88.9"/>
    <n v="102.7"/>
    <n v="14.2"/>
    <n v="47"/>
    <n v="47076781"/>
  </r>
  <r>
    <x v="207"/>
    <x v="207"/>
    <x v="6"/>
    <x v="1461"/>
    <x v="35"/>
    <x v="35"/>
    <x v="152"/>
    <x v="8"/>
    <x v="6"/>
    <s v="Taiwan"/>
    <m/>
    <x v="0"/>
    <s v="D"/>
    <x v="0"/>
    <d v="1942-08-24T00:00:00"/>
    <s v="Hsu"/>
    <s v="Douglas"/>
    <m/>
    <d v="2023-04-04T05:01:00"/>
    <m/>
    <m/>
    <n v="1942"/>
    <m/>
    <m/>
    <m/>
    <m/>
    <m/>
    <m/>
    <m/>
    <m/>
  </r>
  <r>
    <x v="207"/>
    <x v="207"/>
    <x v="10"/>
    <x v="1462"/>
    <x v="12"/>
    <x v="5"/>
    <x v="225"/>
    <x v="532"/>
    <x v="10"/>
    <s v="China"/>
    <m/>
    <x v="1"/>
    <s v="U"/>
    <x v="0"/>
    <d v="1973-07-01T00:00:00"/>
    <s v="Huang"/>
    <s v="Min"/>
    <m/>
    <d v="2023-04-04T05:01:00"/>
    <m/>
    <m/>
    <n v="1973"/>
    <n v="125.08"/>
    <n v="2.9"/>
    <n v="19910000000000"/>
    <n v="50.6"/>
    <n v="100.2"/>
    <n v="9.4"/>
    <n v="59.2"/>
    <n v="1397715000"/>
  </r>
  <r>
    <x v="207"/>
    <x v="207"/>
    <x v="2"/>
    <x v="1463"/>
    <x v="60"/>
    <x v="1"/>
    <x v="499"/>
    <x v="573"/>
    <x v="2"/>
    <s v="United States"/>
    <m/>
    <x v="1"/>
    <s v="U"/>
    <x v="0"/>
    <d v="1983-02-11T00:00:00"/>
    <s v="Isaacman"/>
    <s v="Jared"/>
    <m/>
    <d v="2023-04-04T05:01:00"/>
    <s v="Pennsylvania"/>
    <s v="Northeast"/>
    <n v="1983"/>
    <n v="117.24"/>
    <n v="7.5"/>
    <n v="21427700000000"/>
    <n v="88.2"/>
    <n v="101.8"/>
    <n v="9.6"/>
    <n v="36.6"/>
    <n v="328239523"/>
  </r>
  <r>
    <x v="207"/>
    <x v="207"/>
    <x v="2"/>
    <x v="1464"/>
    <x v="41"/>
    <x v="17"/>
    <x v="48"/>
    <x v="117"/>
    <x v="2"/>
    <s v="Russia"/>
    <m/>
    <x v="1"/>
    <s v="U"/>
    <x v="0"/>
    <d v="1965-10-04T00:00:00"/>
    <s v="Kaspersky"/>
    <s v="Eugene"/>
    <m/>
    <d v="2023-04-04T05:01:00"/>
    <m/>
    <m/>
    <n v="1965"/>
    <n v="180.75"/>
    <n v="4.5"/>
    <n v="1699876578871"/>
    <n v="81.900000000000006"/>
    <n v="102.6"/>
    <n v="11.4"/>
    <n v="46.2"/>
    <n v="144373535"/>
  </r>
  <r>
    <x v="207"/>
    <x v="207"/>
    <x v="0"/>
    <x v="1465"/>
    <x v="65"/>
    <x v="63"/>
    <x v="500"/>
    <x v="21"/>
    <x v="0"/>
    <s v="Russia"/>
    <m/>
    <x v="1"/>
    <s v="R"/>
    <x v="0"/>
    <d v="1975-01-03T00:00:00"/>
    <s v="Khachatryan"/>
    <s v="Artem"/>
    <m/>
    <d v="2023-04-04T05:01:00"/>
    <m/>
    <m/>
    <n v="1975"/>
    <n v="102.51"/>
    <n v="0.3"/>
    <n v="24564647935"/>
    <n v="75.900000000000006"/>
    <n v="99.3"/>
    <n v="24.5"/>
    <n v="22.4"/>
    <n v="1198575"/>
  </r>
  <r>
    <x v="207"/>
    <x v="207"/>
    <x v="7"/>
    <x v="1466"/>
    <x v="47"/>
    <x v="17"/>
    <x v="48"/>
    <x v="21"/>
    <x v="7"/>
    <s v="Russia"/>
    <m/>
    <x v="1"/>
    <s v="N"/>
    <x v="0"/>
    <d v="1975-07-25T00:00:00"/>
    <s v="Krivenko"/>
    <s v="Andrei"/>
    <m/>
    <d v="2023-04-04T05:01:00"/>
    <m/>
    <m/>
    <n v="1975"/>
    <n v="180.75"/>
    <n v="4.5"/>
    <n v="1699876578871"/>
    <n v="81.900000000000006"/>
    <n v="102.6"/>
    <n v="11.4"/>
    <n v="46.2"/>
    <n v="144373535"/>
  </r>
  <r>
    <x v="207"/>
    <x v="207"/>
    <x v="11"/>
    <x v="1467"/>
    <x v="48"/>
    <x v="10"/>
    <x v="36"/>
    <x v="36"/>
    <x v="11"/>
    <s v="Hong Kong"/>
    <m/>
    <x v="0"/>
    <s v="U"/>
    <x v="0"/>
    <d v="1951-10-06T00:00:00"/>
    <s v="Kwok"/>
    <s v="Thomas"/>
    <m/>
    <d v="2023-04-04T05:01:00"/>
    <m/>
    <m/>
    <n v="1951"/>
    <m/>
    <m/>
    <m/>
    <m/>
    <m/>
    <m/>
    <m/>
    <m/>
  </r>
  <r>
    <x v="207"/>
    <x v="207"/>
    <x v="10"/>
    <x v="1468"/>
    <x v="44"/>
    <x v="10"/>
    <x v="36"/>
    <x v="218"/>
    <x v="10"/>
    <s v="Hong Kong"/>
    <s v="Biel Crystal"/>
    <x v="1"/>
    <s v="D"/>
    <x v="1"/>
    <m/>
    <s v="Lam"/>
    <s v="Wai-ying"/>
    <s v="Chairman "/>
    <d v="2023-04-04T05:01:00"/>
    <m/>
    <m/>
    <m/>
    <m/>
    <m/>
    <m/>
    <m/>
    <m/>
    <m/>
    <m/>
    <m/>
  </r>
  <r>
    <x v="207"/>
    <x v="207"/>
    <x v="3"/>
    <x v="1469"/>
    <x v="34"/>
    <x v="1"/>
    <x v="5"/>
    <x v="28"/>
    <x v="3"/>
    <s v="United States"/>
    <s v="Avenue Capital Group"/>
    <x v="1"/>
    <s v="U"/>
    <x v="0"/>
    <d v="1960-09-23T00:00:00"/>
    <s v="Lasry"/>
    <s v="Marc"/>
    <s v="Founder"/>
    <d v="2023-04-04T05:01:00"/>
    <s v="New York"/>
    <s v="Northeast"/>
    <n v="1960"/>
    <n v="117.24"/>
    <n v="7.5"/>
    <n v="21427700000000"/>
    <n v="88.2"/>
    <n v="101.8"/>
    <n v="9.6"/>
    <n v="36.6"/>
    <n v="328239523"/>
  </r>
  <r>
    <x v="207"/>
    <x v="207"/>
    <x v="3"/>
    <x v="1470"/>
    <x v="26"/>
    <x v="0"/>
    <x v="197"/>
    <x v="574"/>
    <x v="3"/>
    <s v="France"/>
    <m/>
    <x v="1"/>
    <s v="D"/>
    <x v="0"/>
    <d v="1940-07-18T00:00:00"/>
    <s v="Latouche"/>
    <s v="Christian"/>
    <m/>
    <d v="2023-04-04T05:01:00"/>
    <m/>
    <m/>
    <n v="1940"/>
    <n v="110.05"/>
    <n v="1.1000000000000001"/>
    <n v="2715518274227"/>
    <n v="65.599999999999994"/>
    <n v="102.5"/>
    <n v="24.2"/>
    <n v="60.7"/>
    <n v="67059887"/>
  </r>
  <r>
    <x v="207"/>
    <x v="207"/>
    <x v="17"/>
    <x v="1471"/>
    <x v="5"/>
    <x v="1"/>
    <x v="373"/>
    <x v="560"/>
    <x v="17"/>
    <s v="United States"/>
    <m/>
    <x v="1"/>
    <s v="U"/>
    <x v="0"/>
    <d v="1956-01-08T00:00:00"/>
    <s v="Leonsis"/>
    <s v="Theodore"/>
    <m/>
    <d v="2023-04-04T05:01:00"/>
    <s v="Maryland"/>
    <s v="South"/>
    <n v="1956"/>
    <n v="117.24"/>
    <n v="7.5"/>
    <n v="21427700000000"/>
    <n v="88.2"/>
    <n v="101.8"/>
    <n v="9.6"/>
    <n v="36.6"/>
    <n v="328239523"/>
  </r>
  <r>
    <x v="207"/>
    <x v="207"/>
    <x v="11"/>
    <x v="1472"/>
    <x v="26"/>
    <x v="35"/>
    <x v="152"/>
    <x v="36"/>
    <x v="11"/>
    <s v="Taiwan"/>
    <m/>
    <x v="0"/>
    <s v="D"/>
    <x v="1"/>
    <d v="1940-08-01T04:00:00"/>
    <s v="Lin"/>
    <s v="Chang Su-O"/>
    <m/>
    <d v="2023-04-04T09:01:00"/>
    <m/>
    <m/>
    <n v="1940"/>
    <m/>
    <m/>
    <m/>
    <m/>
    <m/>
    <m/>
    <m/>
    <m/>
  </r>
  <r>
    <x v="207"/>
    <x v="207"/>
    <x v="10"/>
    <x v="1473"/>
    <x v="15"/>
    <x v="5"/>
    <x v="26"/>
    <x v="575"/>
    <x v="10"/>
    <s v="China"/>
    <m/>
    <x v="1"/>
    <s v="U"/>
    <x v="0"/>
    <d v="1962-07-26T00:00:00"/>
    <s v="Liu"/>
    <s v="Chengyu"/>
    <m/>
    <d v="2023-04-04T05:01:00"/>
    <m/>
    <m/>
    <n v="1962"/>
    <n v="125.08"/>
    <n v="2.9"/>
    <n v="19910000000000"/>
    <n v="50.6"/>
    <n v="100.2"/>
    <n v="9.4"/>
    <n v="59.2"/>
    <n v="1397715000"/>
  </r>
  <r>
    <x v="207"/>
    <x v="207"/>
    <x v="0"/>
    <x v="1474"/>
    <x v="12"/>
    <x v="63"/>
    <x v="501"/>
    <x v="21"/>
    <x v="0"/>
    <s v="Russia"/>
    <m/>
    <x v="1"/>
    <s v="R"/>
    <x v="0"/>
    <d v="1973-05-23T00:00:00"/>
    <s v="Lomakin"/>
    <s v="Sergey"/>
    <m/>
    <d v="2023-04-04T05:01:00"/>
    <m/>
    <m/>
    <n v="1973"/>
    <n v="102.51"/>
    <n v="0.3"/>
    <n v="24564647935"/>
    <n v="75.900000000000006"/>
    <n v="99.3"/>
    <n v="24.5"/>
    <n v="22.4"/>
    <n v="1198575"/>
  </r>
  <r>
    <x v="207"/>
    <x v="207"/>
    <x v="7"/>
    <x v="1475"/>
    <x v="23"/>
    <x v="1"/>
    <x v="5"/>
    <x v="576"/>
    <x v="7"/>
    <s v="United States"/>
    <m/>
    <x v="1"/>
    <s v="D"/>
    <x v="0"/>
    <d v="1968-09-28T00:00:00"/>
    <s v="Lubetzky"/>
    <s v="Daniel"/>
    <m/>
    <d v="2023-04-04T05:01:00"/>
    <s v="New York"/>
    <s v="Northeast"/>
    <n v="1968"/>
    <n v="117.24"/>
    <n v="7.5"/>
    <n v="21427700000000"/>
    <n v="88.2"/>
    <n v="101.8"/>
    <n v="9.6"/>
    <n v="36.6"/>
    <n v="328239523"/>
  </r>
  <r>
    <x v="207"/>
    <x v="207"/>
    <x v="2"/>
    <x v="1476"/>
    <x v="44"/>
    <x v="5"/>
    <x v="19"/>
    <x v="161"/>
    <x v="2"/>
    <s v="China"/>
    <m/>
    <x v="1"/>
    <s v="U"/>
    <x v="1"/>
    <m/>
    <s v="Ma"/>
    <s v="Melissa"/>
    <m/>
    <d v="2023-04-04T05:01:00"/>
    <m/>
    <m/>
    <m/>
    <n v="125.08"/>
    <n v="2.9"/>
    <n v="19910000000000"/>
    <n v="50.6"/>
    <n v="100.2"/>
    <n v="9.4"/>
    <n v="59.2"/>
    <n v="1397715000"/>
  </r>
  <r>
    <x v="207"/>
    <x v="207"/>
    <x v="6"/>
    <x v="1477"/>
    <x v="5"/>
    <x v="3"/>
    <x v="7"/>
    <x v="8"/>
    <x v="6"/>
    <s v="India"/>
    <m/>
    <x v="0"/>
    <s v="U"/>
    <x v="0"/>
    <d v="1955-05-01T00:00:00"/>
    <s v="Mahindra"/>
    <s v="Anand"/>
    <m/>
    <d v="2023-04-04T05:01:00"/>
    <m/>
    <m/>
    <n v="1955"/>
    <n v="180.44"/>
    <n v="7.7"/>
    <n v="2611000000000"/>
    <n v="28.1"/>
    <n v="113"/>
    <n v="11.2"/>
    <n v="49.7"/>
    <n v="1366417754"/>
  </r>
  <r>
    <x v="207"/>
    <x v="207"/>
    <x v="0"/>
    <x v="1478"/>
    <x v="25"/>
    <x v="3"/>
    <x v="7"/>
    <x v="577"/>
    <x v="0"/>
    <s v="India"/>
    <m/>
    <x v="0"/>
    <s v="U"/>
    <x v="0"/>
    <d v="1950-10-31T00:00:00"/>
    <s v="Malik"/>
    <s v="Rafique"/>
    <m/>
    <d v="2023-04-04T05:01:00"/>
    <m/>
    <m/>
    <n v="1950"/>
    <n v="180.44"/>
    <n v="7.7"/>
    <n v="2611000000000"/>
    <n v="28.1"/>
    <n v="113"/>
    <n v="11.2"/>
    <n v="49.7"/>
    <n v="1366417754"/>
  </r>
  <r>
    <x v="207"/>
    <x v="207"/>
    <x v="6"/>
    <x v="1479"/>
    <x v="51"/>
    <x v="21"/>
    <x v="69"/>
    <x v="38"/>
    <x v="6"/>
    <s v="Sweden"/>
    <m/>
    <x v="0"/>
    <s v="U"/>
    <x v="1"/>
    <d v="1981-05-04T00:00:00"/>
    <s v="Martinson"/>
    <s v="Katarina"/>
    <m/>
    <d v="2023-04-04T05:01:00"/>
    <m/>
    <m/>
    <n v="1981"/>
    <n v="110.51"/>
    <n v="1.8"/>
    <n v="530832908738"/>
    <n v="67"/>
    <n v="126.6"/>
    <n v="27.9"/>
    <n v="49.1"/>
    <n v="10285453"/>
  </r>
  <r>
    <x v="207"/>
    <x v="207"/>
    <x v="14"/>
    <x v="1480"/>
    <x v="36"/>
    <x v="3"/>
    <x v="123"/>
    <x v="384"/>
    <x v="14"/>
    <s v="India"/>
    <s v="Biocon"/>
    <x v="1"/>
    <s v="D"/>
    <x v="1"/>
    <d v="1953-03-23T00:00:00"/>
    <s v="Mazumdar-Shaw"/>
    <s v="Kiran"/>
    <s v="Chair"/>
    <d v="2023-04-04T05:01:00"/>
    <m/>
    <m/>
    <n v="1953"/>
    <n v="180.44"/>
    <n v="7.7"/>
    <n v="2611000000000"/>
    <n v="28.1"/>
    <n v="113"/>
    <n v="11.2"/>
    <n v="49.7"/>
    <n v="1366417754"/>
  </r>
  <r>
    <x v="207"/>
    <x v="207"/>
    <x v="1"/>
    <x v="1481"/>
    <x v="8"/>
    <x v="3"/>
    <x v="502"/>
    <x v="101"/>
    <x v="1"/>
    <s v="India"/>
    <m/>
    <x v="0"/>
    <s v="D"/>
    <x v="0"/>
    <d v="1957-11-07T00:00:00"/>
    <s v="Minda"/>
    <s v="Nirmal"/>
    <m/>
    <d v="2023-04-04T05:01:00"/>
    <m/>
    <m/>
    <n v="1957"/>
    <n v="180.44"/>
    <n v="7.7"/>
    <n v="2611000000000"/>
    <n v="28.1"/>
    <n v="113"/>
    <n v="11.2"/>
    <n v="49.7"/>
    <n v="1366417754"/>
  </r>
  <r>
    <x v="207"/>
    <x v="207"/>
    <x v="2"/>
    <x v="1482"/>
    <x v="27"/>
    <x v="5"/>
    <x v="19"/>
    <x v="34"/>
    <x v="2"/>
    <s v="China"/>
    <m/>
    <x v="1"/>
    <s v="D"/>
    <x v="0"/>
    <d v="1980-01-01T00:00:00"/>
    <s v="Mu"/>
    <s v="Rongjun"/>
    <m/>
    <d v="2023-04-04T05:01:00"/>
    <m/>
    <m/>
    <n v="1980"/>
    <n v="125.08"/>
    <n v="2.9"/>
    <n v="19910000000000"/>
    <n v="50.6"/>
    <n v="100.2"/>
    <n v="9.4"/>
    <n v="59.2"/>
    <n v="1397715000"/>
  </r>
  <r>
    <x v="207"/>
    <x v="207"/>
    <x v="10"/>
    <x v="1483"/>
    <x v="35"/>
    <x v="62"/>
    <x v="503"/>
    <x v="467"/>
    <x v="10"/>
    <s v="Ireland"/>
    <m/>
    <x v="1"/>
    <s v="D"/>
    <x v="0"/>
    <d v="1942-06-23T00:00:00"/>
    <s v="Murtagh"/>
    <s v="Eugene"/>
    <m/>
    <d v="2023-04-04T05:01:00"/>
    <m/>
    <m/>
    <n v="1942"/>
    <m/>
    <m/>
    <m/>
    <m/>
    <m/>
    <m/>
    <m/>
    <m/>
  </r>
  <r>
    <x v="207"/>
    <x v="207"/>
    <x v="3"/>
    <x v="1484"/>
    <x v="15"/>
    <x v="17"/>
    <x v="48"/>
    <x v="578"/>
    <x v="3"/>
    <s v="Russia"/>
    <m/>
    <x v="1"/>
    <s v="U"/>
    <x v="0"/>
    <d v="1962-12-19T00:00:00"/>
    <s v="Nesis"/>
    <s v="Alexander"/>
    <m/>
    <d v="2023-04-04T05:01:00"/>
    <m/>
    <m/>
    <n v="1962"/>
    <n v="180.75"/>
    <n v="4.5"/>
    <n v="1699876578871"/>
    <n v="81.900000000000006"/>
    <n v="102.6"/>
    <n v="11.4"/>
    <n v="46.2"/>
    <n v="144373535"/>
  </r>
  <r>
    <x v="207"/>
    <x v="207"/>
    <x v="10"/>
    <x v="1485"/>
    <x v="37"/>
    <x v="5"/>
    <x v="225"/>
    <x v="579"/>
    <x v="10"/>
    <s v="China"/>
    <m/>
    <x v="1"/>
    <s v="U"/>
    <x v="0"/>
    <d v="1957-01-18T00:00:00"/>
    <s v="Ni"/>
    <s v="Zugen"/>
    <m/>
    <d v="2023-04-04T05:01:00"/>
    <m/>
    <m/>
    <n v="1957"/>
    <n v="125.08"/>
    <n v="2.9"/>
    <n v="19910000000000"/>
    <n v="50.6"/>
    <n v="100.2"/>
    <n v="9.4"/>
    <n v="59.2"/>
    <n v="1397715000"/>
  </r>
  <r>
    <x v="207"/>
    <x v="207"/>
    <x v="16"/>
    <x v="1486"/>
    <x v="31"/>
    <x v="4"/>
    <x v="276"/>
    <x v="300"/>
    <x v="16"/>
    <s v="Spain"/>
    <m/>
    <x v="1"/>
    <s v="U"/>
    <x v="0"/>
    <d v="1947-03-08T00:00:00"/>
    <s v="Perez"/>
    <s v="Florentino"/>
    <m/>
    <d v="2023-04-04T05:01:00"/>
    <m/>
    <m/>
    <n v="1947"/>
    <n v="110.96"/>
    <n v="0.7"/>
    <n v="1394116310769"/>
    <n v="88.9"/>
    <n v="102.7"/>
    <n v="14.2"/>
    <n v="47"/>
    <n v="47076781"/>
  </r>
  <r>
    <x v="207"/>
    <x v="207"/>
    <x v="12"/>
    <x v="1487"/>
    <x v="34"/>
    <x v="44"/>
    <x v="504"/>
    <x v="580"/>
    <x v="12"/>
    <s v="Ukraine"/>
    <m/>
    <x v="1"/>
    <s v="U"/>
    <x v="0"/>
    <d v="1960-12-14T00:00:00"/>
    <s v="Pinchuk"/>
    <s v="Victor"/>
    <m/>
    <d v="2023-04-04T05:01:00"/>
    <m/>
    <m/>
    <n v="1960"/>
    <n v="281.66000000000003"/>
    <n v="7.9"/>
    <n v="153781069118"/>
    <n v="82.7"/>
    <n v="99"/>
    <n v="20.100000000000001"/>
    <n v="45.2"/>
    <n v="44385155"/>
  </r>
  <r>
    <x v="207"/>
    <x v="207"/>
    <x v="2"/>
    <x v="1488"/>
    <x v="60"/>
    <x v="1"/>
    <x v="25"/>
    <x v="34"/>
    <x v="2"/>
    <s v="United States"/>
    <m/>
    <x v="1"/>
    <s v="U"/>
    <x v="0"/>
    <d v="1982-05-30T00:00:00"/>
    <s v="Radvinsky"/>
    <s v="Leonid"/>
    <m/>
    <d v="2023-04-04T05:01:00"/>
    <s v="Florida"/>
    <s v="South"/>
    <n v="1982"/>
    <n v="117.24"/>
    <n v="7.5"/>
    <n v="21427700000000"/>
    <n v="88.2"/>
    <n v="101.8"/>
    <n v="9.6"/>
    <n v="36.6"/>
    <n v="328239523"/>
  </r>
  <r>
    <x v="207"/>
    <x v="207"/>
    <x v="2"/>
    <x v="1489"/>
    <x v="51"/>
    <x v="3"/>
    <x v="123"/>
    <x v="581"/>
    <x v="2"/>
    <s v="India"/>
    <m/>
    <x v="1"/>
    <s v="D"/>
    <x v="0"/>
    <d v="1981-07-06T00:00:00"/>
    <s v="Raveendran"/>
    <s v="Byju"/>
    <m/>
    <d v="2023-04-04T05:01:00"/>
    <m/>
    <m/>
    <n v="1981"/>
    <n v="180.44"/>
    <n v="7.7"/>
    <n v="2611000000000"/>
    <n v="28.1"/>
    <n v="113"/>
    <n v="11.2"/>
    <n v="49.7"/>
    <n v="1366417754"/>
  </r>
  <r>
    <x v="207"/>
    <x v="207"/>
    <x v="16"/>
    <x v="1490"/>
    <x v="8"/>
    <x v="3"/>
    <x v="245"/>
    <x v="582"/>
    <x v="16"/>
    <s v="India"/>
    <m/>
    <x v="1"/>
    <s v="U"/>
    <x v="0"/>
    <d v="1957-08-30T00:00:00"/>
    <s v="Reddy"/>
    <s v="P.P."/>
    <m/>
    <d v="2023-04-04T05:01:00"/>
    <m/>
    <m/>
    <n v="1957"/>
    <n v="180.44"/>
    <n v="7.7"/>
    <n v="2611000000000"/>
    <n v="28.1"/>
    <n v="113"/>
    <n v="11.2"/>
    <n v="49.7"/>
    <n v="1366417754"/>
  </r>
  <r>
    <x v="207"/>
    <x v="207"/>
    <x v="0"/>
    <x v="1491"/>
    <x v="51"/>
    <x v="1"/>
    <x v="115"/>
    <x v="583"/>
    <x v="0"/>
    <s v="United States"/>
    <m/>
    <x v="1"/>
    <s v="U"/>
    <x v="0"/>
    <d v="1981-08-06T00:00:00"/>
    <s v="Saghian"/>
    <s v="Richard"/>
    <m/>
    <d v="2023-04-04T05:01:00"/>
    <s v="California"/>
    <s v="West"/>
    <n v="1981"/>
    <n v="117.24"/>
    <n v="7.5"/>
    <n v="21427700000000"/>
    <n v="88.2"/>
    <n v="101.8"/>
    <n v="9.6"/>
    <n v="36.6"/>
    <n v="328239523"/>
  </r>
  <r>
    <x v="207"/>
    <x v="207"/>
    <x v="14"/>
    <x v="1492"/>
    <x v="12"/>
    <x v="5"/>
    <x v="19"/>
    <x v="584"/>
    <x v="14"/>
    <s v="China"/>
    <m/>
    <x v="1"/>
    <s v="U"/>
    <x v="0"/>
    <d v="1974-01-01T00:00:00"/>
    <s v="Shi"/>
    <s v="Yifeng"/>
    <m/>
    <d v="2023-04-04T05:01:00"/>
    <m/>
    <m/>
    <n v="1974"/>
    <n v="125.08"/>
    <n v="2.9"/>
    <n v="19910000000000"/>
    <n v="50.6"/>
    <n v="100.2"/>
    <n v="9.4"/>
    <n v="59.2"/>
    <n v="1397715000"/>
  </r>
  <r>
    <x v="207"/>
    <x v="207"/>
    <x v="3"/>
    <x v="1493"/>
    <x v="16"/>
    <x v="16"/>
    <x v="88"/>
    <x v="38"/>
    <x v="3"/>
    <s v="Thailand"/>
    <m/>
    <x v="1"/>
    <s v="U"/>
    <x v="0"/>
    <d v="1949-07-26T00:00:00"/>
    <s v="Shinawatra"/>
    <s v="Thaksin"/>
    <m/>
    <d v="2023-04-04T05:01:00"/>
    <m/>
    <m/>
    <n v="1949"/>
    <n v="114.52"/>
    <n v="-1.9"/>
    <n v="421142267938"/>
    <n v="36.799999999999997"/>
    <n v="108.4"/>
    <n v="0.1"/>
    <n v="15.9"/>
    <n v="9770529"/>
  </r>
  <r>
    <x v="207"/>
    <x v="207"/>
    <x v="7"/>
    <x v="1494"/>
    <x v="52"/>
    <x v="25"/>
    <x v="76"/>
    <x v="163"/>
    <x v="7"/>
    <s v="Singapore"/>
    <m/>
    <x v="1"/>
    <s v="U"/>
    <x v="1"/>
    <m/>
    <s v="Shu"/>
    <s v="Ping"/>
    <m/>
    <d v="2023-04-04T05:01:00"/>
    <m/>
    <m/>
    <m/>
    <n v="114.41"/>
    <n v="0.6"/>
    <n v="372062527489"/>
    <n v="84.8"/>
    <n v="100.6"/>
    <n v="13.1"/>
    <n v="21"/>
    <n v="5703569"/>
  </r>
  <r>
    <x v="207"/>
    <x v="207"/>
    <x v="14"/>
    <x v="1495"/>
    <x v="43"/>
    <x v="1"/>
    <x v="505"/>
    <x v="233"/>
    <x v="14"/>
    <s v="United States"/>
    <m/>
    <x v="1"/>
    <s v="E"/>
    <x v="0"/>
    <d v="1948-02-23T00:00:00"/>
    <s v="Springer"/>
    <s v="Timothy"/>
    <m/>
    <d v="2023-04-04T05:01:00"/>
    <s v="Massachusetts"/>
    <s v="Northeast"/>
    <n v="1948"/>
    <n v="117.24"/>
    <n v="7.5"/>
    <n v="21427700000000"/>
    <n v="88.2"/>
    <n v="101.8"/>
    <n v="9.6"/>
    <n v="36.6"/>
    <n v="328239523"/>
  </r>
  <r>
    <x v="207"/>
    <x v="207"/>
    <x v="1"/>
    <x v="1496"/>
    <x v="36"/>
    <x v="3"/>
    <x v="463"/>
    <x v="585"/>
    <x v="1"/>
    <s v="India"/>
    <m/>
    <x v="0"/>
    <s v="U"/>
    <x v="0"/>
    <d v="1952-12-11T00:00:00"/>
    <s v="Srinivasan"/>
    <s v="Venu"/>
    <m/>
    <d v="2023-04-04T05:01:00"/>
    <m/>
    <m/>
    <n v="1952"/>
    <n v="180.44"/>
    <n v="7.7"/>
    <n v="2611000000000"/>
    <n v="28.1"/>
    <n v="113"/>
    <n v="11.2"/>
    <n v="49.7"/>
    <n v="1366417754"/>
  </r>
  <r>
    <x v="207"/>
    <x v="207"/>
    <x v="0"/>
    <x v="1497"/>
    <x v="13"/>
    <x v="1"/>
    <x v="506"/>
    <x v="586"/>
    <x v="0"/>
    <s v="United States"/>
    <s v="Dick's Sporting Goods"/>
    <x v="1"/>
    <s v="U"/>
    <x v="0"/>
    <d v="1954-12-27T00:00:00"/>
    <s v="Stack"/>
    <s v="Edward"/>
    <s v="Chairman and CEO"/>
    <d v="2023-04-04T05:01:00"/>
    <s v="Pennsylvania"/>
    <s v="Northeast"/>
    <n v="1954"/>
    <n v="117.24"/>
    <n v="7.5"/>
    <n v="21427700000000"/>
    <n v="88.2"/>
    <n v="101.8"/>
    <n v="9.6"/>
    <n v="36.6"/>
    <n v="328239523"/>
  </r>
  <r>
    <x v="207"/>
    <x v="207"/>
    <x v="7"/>
    <x v="1498"/>
    <x v="16"/>
    <x v="5"/>
    <x v="507"/>
    <x v="587"/>
    <x v="7"/>
    <s v="China"/>
    <m/>
    <x v="1"/>
    <s v="D"/>
    <x v="0"/>
    <d v="1950-03-01T00:00:00"/>
    <s v="Sun"/>
    <s v="Mengquan"/>
    <m/>
    <d v="2023-04-04T05:01:00"/>
    <m/>
    <m/>
    <n v="1950"/>
    <n v="125.08"/>
    <n v="2.9"/>
    <n v="19910000000000"/>
    <n v="50.6"/>
    <n v="100.2"/>
    <n v="9.4"/>
    <n v="59.2"/>
    <n v="1397715000"/>
  </r>
  <r>
    <x v="207"/>
    <x v="207"/>
    <x v="3"/>
    <x v="1499"/>
    <x v="42"/>
    <x v="17"/>
    <x v="48"/>
    <x v="36"/>
    <x v="3"/>
    <s v="Russia"/>
    <m/>
    <x v="1"/>
    <s v="D"/>
    <x v="0"/>
    <d v="1968-02-15T00:00:00"/>
    <s v="Svetakov"/>
    <s v="Alexander"/>
    <m/>
    <d v="2023-04-04T05:01:00"/>
    <m/>
    <m/>
    <n v="1968"/>
    <n v="180.75"/>
    <n v="4.5"/>
    <n v="1699876578871"/>
    <n v="81.900000000000006"/>
    <n v="102.6"/>
    <n v="11.4"/>
    <n v="46.2"/>
    <n v="144373535"/>
  </r>
  <r>
    <x v="207"/>
    <x v="207"/>
    <x v="0"/>
    <x v="1500"/>
    <x v="32"/>
    <x v="7"/>
    <x v="508"/>
    <x v="538"/>
    <x v="0"/>
    <s v="Germany"/>
    <m/>
    <x v="1"/>
    <s v="D"/>
    <x v="0"/>
    <d v="1966-04-06T00:00:00"/>
    <s v="Toeller"/>
    <s v="Torsten"/>
    <m/>
    <d v="2023-04-04T05:01:00"/>
    <m/>
    <m/>
    <n v="1966"/>
    <n v="112.85"/>
    <n v="1.4"/>
    <n v="3845630030824"/>
    <n v="70.2"/>
    <n v="104"/>
    <n v="11.5"/>
    <n v="48.8"/>
    <n v="83132799"/>
  </r>
  <r>
    <x v="207"/>
    <x v="207"/>
    <x v="7"/>
    <x v="1501"/>
    <x v="0"/>
    <x v="1"/>
    <x v="281"/>
    <x v="504"/>
    <x v="7"/>
    <s v="United States"/>
    <m/>
    <x v="0"/>
    <s v="N"/>
    <x v="1"/>
    <d v="1949-03-06T00:00:00"/>
    <s v="Tyson"/>
    <s v="Barbara"/>
    <m/>
    <d v="2023-04-04T05:01:00"/>
    <s v="Arkansas"/>
    <s v="South"/>
    <n v="1949"/>
    <n v="117.24"/>
    <n v="7.5"/>
    <n v="21427700000000"/>
    <n v="88.2"/>
    <n v="101.8"/>
    <n v="9.6"/>
    <n v="36.6"/>
    <n v="328239523"/>
  </r>
  <r>
    <x v="207"/>
    <x v="207"/>
    <x v="7"/>
    <x v="1502"/>
    <x v="10"/>
    <x v="1"/>
    <x v="509"/>
    <x v="588"/>
    <x v="7"/>
    <s v="Turkey"/>
    <s v="Chobani"/>
    <x v="1"/>
    <s v="D"/>
    <x v="0"/>
    <d v="1972-10-26T00:00:00"/>
    <s v="Ulukaya"/>
    <s v="Hamdi"/>
    <s v="Founder and CEO"/>
    <d v="2023-04-04T05:01:00"/>
    <s v="New York"/>
    <s v="Northeast"/>
    <n v="1972"/>
    <n v="117.24"/>
    <n v="7.5"/>
    <n v="21427700000000"/>
    <n v="88.2"/>
    <n v="101.8"/>
    <n v="9.6"/>
    <n v="36.6"/>
    <n v="328239523"/>
  </r>
  <r>
    <x v="207"/>
    <x v="207"/>
    <x v="16"/>
    <x v="1503"/>
    <x v="23"/>
    <x v="5"/>
    <x v="19"/>
    <x v="589"/>
    <x v="16"/>
    <s v="China"/>
    <m/>
    <x v="1"/>
    <s v="D"/>
    <x v="0"/>
    <d v="1968-05-01T00:00:00"/>
    <s v="Wang"/>
    <s v="Linpeng"/>
    <m/>
    <d v="2023-04-04T05:01:00"/>
    <m/>
    <m/>
    <n v="1968"/>
    <n v="125.08"/>
    <n v="2.9"/>
    <n v="19910000000000"/>
    <n v="50.6"/>
    <n v="100.2"/>
    <n v="9.4"/>
    <n v="59.2"/>
    <n v="1397715000"/>
  </r>
  <r>
    <x v="207"/>
    <x v="207"/>
    <x v="7"/>
    <x v="1504"/>
    <x v="9"/>
    <x v="5"/>
    <x v="333"/>
    <x v="225"/>
    <x v="7"/>
    <s v="Taiwan"/>
    <m/>
    <x v="1"/>
    <s v="U"/>
    <x v="0"/>
    <d v="1953-07-01T00:00:00"/>
    <s v="Wei"/>
    <s v="Ing-Chou"/>
    <m/>
    <d v="2023-04-04T05:01:00"/>
    <m/>
    <m/>
    <n v="1953"/>
    <n v="125.08"/>
    <n v="2.9"/>
    <n v="19910000000000"/>
    <n v="50.6"/>
    <n v="100.2"/>
    <n v="9.4"/>
    <n v="59.2"/>
    <n v="1397715000"/>
  </r>
  <r>
    <x v="207"/>
    <x v="207"/>
    <x v="7"/>
    <x v="1505"/>
    <x v="37"/>
    <x v="35"/>
    <x v="152"/>
    <x v="225"/>
    <x v="7"/>
    <s v="Taiwan"/>
    <m/>
    <x v="1"/>
    <s v="U"/>
    <x v="0"/>
    <d v="1957-03-08T00:00:00"/>
    <s v="Wei"/>
    <s v="Yin-Chun"/>
    <m/>
    <d v="2023-04-04T05:01:00"/>
    <m/>
    <m/>
    <n v="1957"/>
    <m/>
    <m/>
    <m/>
    <m/>
    <m/>
    <m/>
    <m/>
    <m/>
  </r>
  <r>
    <x v="207"/>
    <x v="207"/>
    <x v="7"/>
    <x v="1506"/>
    <x v="29"/>
    <x v="5"/>
    <x v="34"/>
    <x v="225"/>
    <x v="7"/>
    <s v="Taiwan"/>
    <m/>
    <x v="1"/>
    <s v="U"/>
    <x v="0"/>
    <d v="1959-01-01T00:00:00"/>
    <s v="Wei"/>
    <s v="Yin-Heng"/>
    <m/>
    <d v="2023-04-04T05:01:00"/>
    <m/>
    <m/>
    <n v="1959"/>
    <n v="125.08"/>
    <n v="2.9"/>
    <n v="19910000000000"/>
    <n v="50.6"/>
    <n v="100.2"/>
    <n v="9.4"/>
    <n v="59.2"/>
    <n v="1397715000"/>
  </r>
  <r>
    <x v="207"/>
    <x v="207"/>
    <x v="7"/>
    <x v="1507"/>
    <x v="13"/>
    <x v="35"/>
    <x v="152"/>
    <x v="225"/>
    <x v="7"/>
    <s v="Taiwan"/>
    <m/>
    <x v="1"/>
    <s v="U"/>
    <x v="0"/>
    <d v="1955-02-04T00:00:00"/>
    <s v="Wei"/>
    <s v="Ying-Chiao"/>
    <m/>
    <d v="2023-04-04T05:01:00"/>
    <m/>
    <m/>
    <n v="1955"/>
    <m/>
    <m/>
    <m/>
    <m/>
    <m/>
    <m/>
    <m/>
    <m/>
  </r>
  <r>
    <x v="207"/>
    <x v="207"/>
    <x v="9"/>
    <x v="1508"/>
    <x v="35"/>
    <x v="1"/>
    <x v="27"/>
    <x v="423"/>
    <x v="9"/>
    <s v="United States"/>
    <s v="Wynn Las Vegas, LLC"/>
    <x v="1"/>
    <s v="U"/>
    <x v="1"/>
    <d v="1942-04-28T00:00:00"/>
    <s v="Wynn"/>
    <s v="Elaine"/>
    <s v="Board Member"/>
    <d v="2023-04-04T05:01:00"/>
    <s v="Nevada"/>
    <s v="West"/>
    <n v="1942"/>
    <n v="117.24"/>
    <n v="7.5"/>
    <n v="21427700000000"/>
    <n v="88.2"/>
    <n v="101.8"/>
    <n v="9.6"/>
    <n v="36.6"/>
    <n v="328239523"/>
  </r>
  <r>
    <x v="207"/>
    <x v="207"/>
    <x v="1"/>
    <x v="1509"/>
    <x v="52"/>
    <x v="5"/>
    <x v="114"/>
    <x v="101"/>
    <x v="1"/>
    <s v="China"/>
    <m/>
    <x v="1"/>
    <s v="U"/>
    <x v="0"/>
    <d v="1970-03-01T00:00:00"/>
    <s v="Xu"/>
    <s v="Xudong"/>
    <m/>
    <d v="2023-04-04T05:01:00"/>
    <m/>
    <m/>
    <n v="1970"/>
    <n v="125.08"/>
    <n v="2.9"/>
    <n v="19910000000000"/>
    <n v="50.6"/>
    <n v="100.2"/>
    <n v="9.4"/>
    <n v="59.2"/>
    <n v="1397715000"/>
  </r>
  <r>
    <x v="207"/>
    <x v="207"/>
    <x v="0"/>
    <x v="1510"/>
    <x v="16"/>
    <x v="10"/>
    <x v="36"/>
    <x v="21"/>
    <x v="0"/>
    <s v="Hong Kong"/>
    <m/>
    <x v="1"/>
    <s v="U"/>
    <x v="0"/>
    <d v="1949-12-01T00:00:00"/>
    <s v="Ying"/>
    <s v="Michael"/>
    <m/>
    <d v="2023-04-04T05:01:00"/>
    <m/>
    <m/>
    <n v="1949"/>
    <m/>
    <m/>
    <m/>
    <m/>
    <m/>
    <m/>
    <m/>
    <m/>
  </r>
  <r>
    <x v="207"/>
    <x v="207"/>
    <x v="10"/>
    <x v="1511"/>
    <x v="41"/>
    <x v="5"/>
    <x v="114"/>
    <x v="349"/>
    <x v="10"/>
    <s v="China"/>
    <m/>
    <x v="1"/>
    <s v="D"/>
    <x v="0"/>
    <d v="1965-11-01T00:00:00"/>
    <s v="Yu"/>
    <s v="Qibing"/>
    <m/>
    <d v="2023-04-04T05:01:00"/>
    <m/>
    <m/>
    <n v="1965"/>
    <n v="125.08"/>
    <n v="2.9"/>
    <n v="19910000000000"/>
    <n v="50.6"/>
    <n v="100.2"/>
    <n v="9.4"/>
    <n v="59.2"/>
    <n v="1397715000"/>
  </r>
  <r>
    <x v="207"/>
    <x v="207"/>
    <x v="10"/>
    <x v="1512"/>
    <x v="25"/>
    <x v="5"/>
    <x v="225"/>
    <x v="590"/>
    <x v="10"/>
    <s v="China"/>
    <m/>
    <x v="1"/>
    <s v="U"/>
    <x v="0"/>
    <d v="1950-11-15T00:00:00"/>
    <s v="Yuan"/>
    <s v="Fugen"/>
    <m/>
    <d v="2023-04-04T05:01:00"/>
    <m/>
    <m/>
    <n v="1950"/>
    <n v="125.08"/>
    <n v="2.9"/>
    <n v="19910000000000"/>
    <n v="50.6"/>
    <n v="100.2"/>
    <n v="9.4"/>
    <n v="59.2"/>
    <n v="1397715000"/>
  </r>
  <r>
    <x v="207"/>
    <x v="207"/>
    <x v="10"/>
    <x v="1513"/>
    <x v="12"/>
    <x v="5"/>
    <x v="34"/>
    <x v="50"/>
    <x v="10"/>
    <s v="Canada"/>
    <m/>
    <x v="1"/>
    <s v="D"/>
    <x v="1"/>
    <d v="1974-04-01T00:00:00"/>
    <s v="Zhang"/>
    <s v="Ning"/>
    <m/>
    <d v="2023-04-04T05:01:00"/>
    <m/>
    <m/>
    <n v="1974"/>
    <n v="125.08"/>
    <n v="2.9"/>
    <n v="19910000000000"/>
    <n v="50.6"/>
    <n v="100.2"/>
    <n v="9.4"/>
    <n v="59.2"/>
    <n v="1397715000"/>
  </r>
  <r>
    <x v="207"/>
    <x v="207"/>
    <x v="14"/>
    <x v="1514"/>
    <x v="41"/>
    <x v="5"/>
    <x v="138"/>
    <x v="83"/>
    <x v="14"/>
    <s v="Singapore"/>
    <m/>
    <x v="0"/>
    <s v="D"/>
    <x v="0"/>
    <d v="1966-01-01T00:00:00"/>
    <s v="Zhao"/>
    <s v="Tao"/>
    <m/>
    <d v="2023-04-04T05:01:00"/>
    <m/>
    <m/>
    <n v="1966"/>
    <n v="125.08"/>
    <n v="2.9"/>
    <n v="19910000000000"/>
    <n v="50.6"/>
    <n v="100.2"/>
    <n v="9.4"/>
    <n v="59.2"/>
    <n v="1397715000"/>
  </r>
  <r>
    <x v="208"/>
    <x v="208"/>
    <x v="16"/>
    <x v="1515"/>
    <x v="35"/>
    <x v="3"/>
    <x v="51"/>
    <x v="449"/>
    <x v="16"/>
    <s v="India"/>
    <m/>
    <x v="0"/>
    <s v="U"/>
    <x v="1"/>
    <d v="1942-08-01T00:00:00"/>
    <s v="Aga"/>
    <s v="Anu"/>
    <m/>
    <d v="2023-04-04T05:01:00"/>
    <m/>
    <m/>
    <n v="1942"/>
    <n v="180.44"/>
    <n v="7.7"/>
    <n v="2611000000000"/>
    <n v="28.1"/>
    <n v="113"/>
    <n v="11.2"/>
    <n v="49.7"/>
    <n v="1366417754"/>
  </r>
  <r>
    <x v="208"/>
    <x v="208"/>
    <x v="0"/>
    <x v="1516"/>
    <x v="21"/>
    <x v="13"/>
    <x v="32"/>
    <x v="85"/>
    <x v="0"/>
    <s v="Egypt"/>
    <m/>
    <x v="1"/>
    <s v="D"/>
    <x v="0"/>
    <d v="1929-01-27T00:00:00"/>
    <s v="Al Fayed"/>
    <s v="Mohamed"/>
    <m/>
    <d v="2023-04-04T05:01:00"/>
    <m/>
    <m/>
    <n v="1929"/>
    <n v="119.62"/>
    <n v="1.7"/>
    <n v="2827113184696"/>
    <n v="60"/>
    <n v="101.2"/>
    <n v="25.5"/>
    <n v="30.6"/>
    <n v="66834405"/>
  </r>
  <r>
    <x v="208"/>
    <x v="208"/>
    <x v="2"/>
    <x v="1517"/>
    <x v="12"/>
    <x v="13"/>
    <x v="32"/>
    <x v="591"/>
    <x v="2"/>
    <s v="United Kingdom"/>
    <m/>
    <x v="1"/>
    <s v="E"/>
    <x v="0"/>
    <d v="1974-02-03T00:00:00"/>
    <s v="Andreev"/>
    <s v="Andrey"/>
    <m/>
    <d v="2023-04-04T05:01:00"/>
    <m/>
    <m/>
    <n v="1974"/>
    <n v="119.62"/>
    <n v="1.7"/>
    <n v="2827113184696"/>
    <n v="60"/>
    <n v="101.2"/>
    <n v="25.5"/>
    <n v="30.6"/>
    <n v="66834405"/>
  </r>
  <r>
    <x v="208"/>
    <x v="208"/>
    <x v="3"/>
    <x v="1518"/>
    <x v="22"/>
    <x v="66"/>
    <x v="510"/>
    <x v="592"/>
    <x v="3"/>
    <s v="United Kingdom"/>
    <m/>
    <x v="1"/>
    <s v="D"/>
    <x v="0"/>
    <d v="1946-01-01T00:00:00"/>
    <s v="Ashcroft"/>
    <s v="Michael"/>
    <m/>
    <d v="2023-04-04T05:01:00"/>
    <m/>
    <m/>
    <n v="1946"/>
    <m/>
    <m/>
    <m/>
    <m/>
    <m/>
    <m/>
    <m/>
    <m/>
  </r>
  <r>
    <x v="208"/>
    <x v="208"/>
    <x v="2"/>
    <x v="1519"/>
    <x v="34"/>
    <x v="20"/>
    <x v="68"/>
    <x v="117"/>
    <x v="2"/>
    <s v="Czech Republic"/>
    <m/>
    <x v="1"/>
    <s v="D"/>
    <x v="0"/>
    <d v="1960-05-15T00:00:00"/>
    <s v="Baudis"/>
    <s v="Pavel"/>
    <m/>
    <d v="2023-04-04T05:01:00"/>
    <m/>
    <m/>
    <n v="1960"/>
    <n v="116.48"/>
    <n v="2.8"/>
    <n v="246489245495"/>
    <n v="64.099999999999994"/>
    <n v="100.7"/>
    <n v="14.9"/>
    <n v="46.1"/>
    <n v="10669709"/>
  </r>
  <r>
    <x v="208"/>
    <x v="208"/>
    <x v="14"/>
    <x v="1520"/>
    <x v="37"/>
    <x v="7"/>
    <x v="25"/>
    <x v="83"/>
    <x v="14"/>
    <s v="Germany"/>
    <m/>
    <x v="1"/>
    <s v="D"/>
    <x v="0"/>
    <d v="1956-04-21T00:00:00"/>
    <s v="Beier"/>
    <s v="Wilhelm"/>
    <m/>
    <d v="2023-04-04T05:01:00"/>
    <m/>
    <m/>
    <n v="1956"/>
    <n v="112.85"/>
    <n v="1.4"/>
    <n v="3845630030824"/>
    <n v="70.2"/>
    <n v="104"/>
    <n v="11.5"/>
    <n v="48.8"/>
    <n v="83132799"/>
  </r>
  <r>
    <x v="208"/>
    <x v="208"/>
    <x v="10"/>
    <x v="1521"/>
    <x v="54"/>
    <x v="5"/>
    <x v="451"/>
    <x v="58"/>
    <x v="10"/>
    <s v="China"/>
    <m/>
    <x v="1"/>
    <s v="E"/>
    <x v="0"/>
    <d v="1978-05-30T00:00:00"/>
    <s v="Cao"/>
    <s v="Jianwei"/>
    <m/>
    <d v="2023-04-04T05:01:00"/>
    <m/>
    <m/>
    <n v="1978"/>
    <n v="125.08"/>
    <n v="2.9"/>
    <n v="19910000000000"/>
    <n v="50.6"/>
    <n v="100.2"/>
    <n v="9.4"/>
    <n v="59.2"/>
    <n v="1397715000"/>
  </r>
  <r>
    <x v="208"/>
    <x v="208"/>
    <x v="10"/>
    <x v="1522"/>
    <x v="33"/>
    <x v="5"/>
    <x v="34"/>
    <x v="593"/>
    <x v="10"/>
    <s v="China"/>
    <m/>
    <x v="1"/>
    <s v="D"/>
    <x v="0"/>
    <d v="1970-07-01T00:00:00"/>
    <s v="Chen"/>
    <s v="Huwen"/>
    <m/>
    <d v="2023-04-04T05:01:00"/>
    <m/>
    <m/>
    <n v="1970"/>
    <n v="125.08"/>
    <n v="2.9"/>
    <n v="19910000000000"/>
    <n v="50.6"/>
    <n v="100.2"/>
    <n v="9.4"/>
    <n v="59.2"/>
    <n v="1397715000"/>
  </r>
  <r>
    <x v="208"/>
    <x v="208"/>
    <x v="6"/>
    <x v="1523"/>
    <x v="48"/>
    <x v="23"/>
    <x v="73"/>
    <x v="8"/>
    <x v="6"/>
    <s v="Thailand"/>
    <m/>
    <x v="0"/>
    <s v="U"/>
    <x v="0"/>
    <d v="1952-01-01T00:00:00"/>
    <s v="Chiaravanont"/>
    <s v="Phongthep"/>
    <m/>
    <d v="2023-04-04T05:01:00"/>
    <m/>
    <m/>
    <n v="1952"/>
    <n v="113.27"/>
    <n v="0.7"/>
    <n v="543649976166"/>
    <n v="49.3"/>
    <n v="99.8"/>
    <n v="14.9"/>
    <n v="29.5"/>
    <n v="69625582"/>
  </r>
  <r>
    <x v="208"/>
    <x v="208"/>
    <x v="6"/>
    <x v="1524"/>
    <x v="9"/>
    <x v="5"/>
    <x v="12"/>
    <x v="594"/>
    <x v="6"/>
    <s v="China"/>
    <m/>
    <x v="1"/>
    <s v="D"/>
    <x v="0"/>
    <d v="1953-05-21T00:00:00"/>
    <s v="Dou"/>
    <s v="Zhenggang"/>
    <m/>
    <d v="2023-04-04T05:01:00"/>
    <m/>
    <m/>
    <n v="1953"/>
    <n v="125.08"/>
    <n v="2.9"/>
    <n v="19910000000000"/>
    <n v="50.6"/>
    <n v="100.2"/>
    <n v="9.4"/>
    <n v="59.2"/>
    <n v="1397715000"/>
  </r>
  <r>
    <x v="208"/>
    <x v="208"/>
    <x v="7"/>
    <x v="1525"/>
    <x v="50"/>
    <x v="19"/>
    <x v="192"/>
    <x v="24"/>
    <x v="7"/>
    <s v="Italy"/>
    <m/>
    <x v="0"/>
    <s v="E"/>
    <x v="1"/>
    <d v="1935-01-01T00:00:00"/>
    <s v="Fissolo"/>
    <s v="Maria Franca"/>
    <m/>
    <d v="2023-04-04T05:01:00"/>
    <m/>
    <m/>
    <n v="1935"/>
    <m/>
    <m/>
    <n v="7184844193"/>
    <m/>
    <m/>
    <m/>
    <m/>
    <n v="38964"/>
  </r>
  <r>
    <x v="208"/>
    <x v="208"/>
    <x v="6"/>
    <x v="1526"/>
    <x v="18"/>
    <x v="1"/>
    <x v="102"/>
    <x v="595"/>
    <x v="6"/>
    <s v="United States"/>
    <m/>
    <x v="1"/>
    <s v="D"/>
    <x v="0"/>
    <d v="1937-04-15T00:00:00"/>
    <s v="Franke"/>
    <s v="William"/>
    <m/>
    <d v="2023-04-04T05:01:00"/>
    <s v="Texas"/>
    <s v="South"/>
    <n v="1937"/>
    <n v="117.24"/>
    <n v="7.5"/>
    <n v="21427700000000"/>
    <n v="88.2"/>
    <n v="101.8"/>
    <n v="9.6"/>
    <n v="36.6"/>
    <n v="328239523"/>
  </r>
  <r>
    <x v="208"/>
    <x v="208"/>
    <x v="14"/>
    <x v="1527"/>
    <x v="1"/>
    <x v="19"/>
    <x v="192"/>
    <x v="83"/>
    <x v="14"/>
    <s v="Switzerland"/>
    <m/>
    <x v="0"/>
    <s v="D"/>
    <x v="0"/>
    <d v="1972-02-26T00:00:00"/>
    <s v="Giuliani"/>
    <s v="Mario Germano"/>
    <m/>
    <d v="2023-04-04T05:01:00"/>
    <m/>
    <m/>
    <n v="1972"/>
    <m/>
    <m/>
    <n v="7184844193"/>
    <m/>
    <m/>
    <m/>
    <m/>
    <n v="38964"/>
  </r>
  <r>
    <x v="208"/>
    <x v="208"/>
    <x v="11"/>
    <x v="1528"/>
    <x v="13"/>
    <x v="1"/>
    <x v="511"/>
    <x v="36"/>
    <x v="11"/>
    <s v="United States"/>
    <m/>
    <x v="0"/>
    <s v="D"/>
    <x v="1"/>
    <d v="1954-04-19T00:00:00"/>
    <s v="Goldman Fowler"/>
    <s v="Amy"/>
    <m/>
    <d v="2023-04-04T05:01:00"/>
    <s v="New York"/>
    <s v="Northeast"/>
    <n v="1954"/>
    <n v="117.24"/>
    <n v="7.5"/>
    <n v="21427700000000"/>
    <n v="88.2"/>
    <n v="101.8"/>
    <n v="9.6"/>
    <n v="36.6"/>
    <n v="328239523"/>
  </r>
  <r>
    <x v="208"/>
    <x v="208"/>
    <x v="12"/>
    <x v="1529"/>
    <x v="47"/>
    <x v="13"/>
    <x v="32"/>
    <x v="40"/>
    <x v="12"/>
    <s v="Australia"/>
    <m/>
    <x v="0"/>
    <s v="D"/>
    <x v="0"/>
    <d v="1976-01-02T00:00:00"/>
    <s v="Hancock"/>
    <s v="John"/>
    <m/>
    <d v="2023-04-04T05:01:00"/>
    <m/>
    <m/>
    <n v="1976"/>
    <n v="119.62"/>
    <n v="1.7"/>
    <n v="2827113184696"/>
    <n v="60"/>
    <n v="101.2"/>
    <n v="25.5"/>
    <n v="30.6"/>
    <n v="66834405"/>
  </r>
  <r>
    <x v="208"/>
    <x v="208"/>
    <x v="2"/>
    <x v="1530"/>
    <x v="17"/>
    <x v="5"/>
    <x v="12"/>
    <x v="596"/>
    <x v="2"/>
    <s v="China"/>
    <m/>
    <x v="1"/>
    <s v="D"/>
    <x v="0"/>
    <d v="1965-03-06T00:00:00"/>
    <s v="Hu"/>
    <s v="Yangzhong"/>
    <m/>
    <d v="2023-04-04T05:01:00"/>
    <m/>
    <m/>
    <n v="1965"/>
    <n v="125.08"/>
    <n v="2.9"/>
    <n v="19910000000000"/>
    <n v="50.6"/>
    <n v="100.2"/>
    <n v="9.4"/>
    <n v="59.2"/>
    <n v="1397715000"/>
  </r>
  <r>
    <x v="208"/>
    <x v="208"/>
    <x v="10"/>
    <x v="1531"/>
    <x v="34"/>
    <x v="10"/>
    <x v="36"/>
    <x v="597"/>
    <x v="10"/>
    <s v="Hong Kong"/>
    <m/>
    <x v="1"/>
    <s v="D"/>
    <x v="0"/>
    <d v="1960-11-01T00:00:00"/>
    <s v="Huang"/>
    <s v="Dawen"/>
    <m/>
    <d v="2023-04-04T05:01:00"/>
    <m/>
    <m/>
    <n v="1960"/>
    <m/>
    <m/>
    <m/>
    <m/>
    <m/>
    <m/>
    <m/>
    <m/>
  </r>
  <r>
    <x v="208"/>
    <x v="208"/>
    <x v="4"/>
    <x v="1532"/>
    <x v="29"/>
    <x v="5"/>
    <x v="12"/>
    <x v="598"/>
    <x v="4"/>
    <s v="China"/>
    <m/>
    <x v="1"/>
    <s v="U"/>
    <x v="0"/>
    <d v="1958-11-15T00:00:00"/>
    <s v="Huang"/>
    <s v="Qiaoling"/>
    <m/>
    <d v="2023-04-04T05:01:00"/>
    <m/>
    <m/>
    <n v="1958"/>
    <n v="125.08"/>
    <n v="2.9"/>
    <n v="19910000000000"/>
    <n v="50.6"/>
    <n v="100.2"/>
    <n v="9.4"/>
    <n v="59.2"/>
    <n v="1397715000"/>
  </r>
  <r>
    <x v="208"/>
    <x v="208"/>
    <x v="3"/>
    <x v="1533"/>
    <x v="42"/>
    <x v="1"/>
    <x v="462"/>
    <x v="224"/>
    <x v="3"/>
    <s v="United States"/>
    <m/>
    <x v="1"/>
    <s v="N"/>
    <x v="0"/>
    <d v="1968-01-27T00:00:00"/>
    <s v="Jain"/>
    <s v="Rajiv"/>
    <m/>
    <d v="2023-04-04T05:01:00"/>
    <s v="Florida"/>
    <s v="South"/>
    <n v="1968"/>
    <n v="117.24"/>
    <n v="7.5"/>
    <n v="21427700000000"/>
    <n v="88.2"/>
    <n v="101.8"/>
    <n v="9.6"/>
    <n v="36.6"/>
    <n v="328239523"/>
  </r>
  <r>
    <x v="208"/>
    <x v="208"/>
    <x v="17"/>
    <x v="1534"/>
    <x v="15"/>
    <x v="1"/>
    <x v="512"/>
    <x v="599"/>
    <x v="17"/>
    <s v="United States"/>
    <m/>
    <x v="1"/>
    <s v="U"/>
    <x v="0"/>
    <d v="1963-02-17T00:00:00"/>
    <s v="Jordan"/>
    <s v="Michael"/>
    <s v="Athlete"/>
    <d v="2023-04-04T05:01:00"/>
    <s v="Florida"/>
    <s v="South"/>
    <n v="1963"/>
    <n v="117.24"/>
    <n v="7.5"/>
    <n v="21427700000000"/>
    <n v="88.2"/>
    <n v="101.8"/>
    <n v="9.6"/>
    <n v="36.6"/>
    <n v="328239523"/>
  </r>
  <r>
    <x v="208"/>
    <x v="208"/>
    <x v="11"/>
    <x v="1535"/>
    <x v="22"/>
    <x v="1"/>
    <x v="5"/>
    <x v="36"/>
    <x v="11"/>
    <s v="United States"/>
    <m/>
    <x v="0"/>
    <s v="D"/>
    <x v="1"/>
    <d v="1945-07-21T00:00:00"/>
    <s v="Kemper"/>
    <s v="Diane"/>
    <m/>
    <d v="2023-04-04T05:01:00"/>
    <s v="New York"/>
    <s v="Northeast"/>
    <n v="1945"/>
    <n v="117.24"/>
    <n v="7.5"/>
    <n v="21427700000000"/>
    <n v="88.2"/>
    <n v="101.8"/>
    <n v="9.6"/>
    <n v="36.6"/>
    <n v="328239523"/>
  </r>
  <r>
    <x v="208"/>
    <x v="208"/>
    <x v="2"/>
    <x v="1536"/>
    <x v="41"/>
    <x v="27"/>
    <x v="199"/>
    <x v="259"/>
    <x v="2"/>
    <s v="Israel"/>
    <m/>
    <x v="1"/>
    <s v="D"/>
    <x v="0"/>
    <d v="1966-03-14T00:00:00"/>
    <s v="Kramer"/>
    <s v="Shlomo"/>
    <m/>
    <d v="2023-04-04T05:01:00"/>
    <m/>
    <m/>
    <n v="1966"/>
    <n v="108.15"/>
    <n v="0.8"/>
    <n v="395098666122"/>
    <n v="63.4"/>
    <n v="104.9"/>
    <n v="23.1"/>
    <n v="25.3"/>
    <n v="9053300"/>
  </r>
  <r>
    <x v="208"/>
    <x v="208"/>
    <x v="14"/>
    <x v="1537"/>
    <x v="22"/>
    <x v="55"/>
    <x v="513"/>
    <x v="600"/>
    <x v="14"/>
    <s v="Finland"/>
    <m/>
    <x v="1"/>
    <s v="U"/>
    <x v="0"/>
    <d v="1946-01-19T00:00:00"/>
    <s v="Kyostila"/>
    <s v="Heikki"/>
    <m/>
    <d v="2023-04-04T05:01:00"/>
    <m/>
    <m/>
    <n v="1946"/>
    <n v="112.33"/>
    <n v="1"/>
    <n v="268761201365"/>
    <n v="88.2"/>
    <n v="100.2"/>
    <n v="20.8"/>
    <n v="36.6"/>
    <n v="5520314"/>
  </r>
  <r>
    <x v="208"/>
    <x v="208"/>
    <x v="2"/>
    <x v="1538"/>
    <x v="10"/>
    <x v="10"/>
    <x v="36"/>
    <x v="34"/>
    <x v="2"/>
    <s v="Hong Kong"/>
    <m/>
    <x v="1"/>
    <s v="D"/>
    <x v="0"/>
    <d v="1973-04-01T00:00:00"/>
    <s v="Lau"/>
    <s v="Martin"/>
    <m/>
    <d v="2023-04-04T05:01:00"/>
    <m/>
    <m/>
    <n v="1973"/>
    <m/>
    <m/>
    <m/>
    <m/>
    <m/>
    <m/>
    <m/>
    <m/>
  </r>
  <r>
    <x v="208"/>
    <x v="208"/>
    <x v="2"/>
    <x v="1539"/>
    <x v="41"/>
    <x v="5"/>
    <x v="334"/>
    <x v="601"/>
    <x v="2"/>
    <s v="China"/>
    <m/>
    <x v="1"/>
    <s v="D"/>
    <x v="0"/>
    <d v="1965-12-26T00:00:00"/>
    <s v="Li"/>
    <s v="Min"/>
    <m/>
    <d v="2023-04-04T05:01:00"/>
    <m/>
    <m/>
    <n v="1965"/>
    <n v="125.08"/>
    <n v="2.9"/>
    <n v="19910000000000"/>
    <n v="50.6"/>
    <n v="100.2"/>
    <n v="9.4"/>
    <n v="59.2"/>
    <n v="1397715000"/>
  </r>
  <r>
    <x v="208"/>
    <x v="208"/>
    <x v="2"/>
    <x v="1540"/>
    <x v="60"/>
    <x v="5"/>
    <x v="19"/>
    <x v="20"/>
    <x v="2"/>
    <s v="China"/>
    <m/>
    <x v="1"/>
    <s v="D"/>
    <x v="0"/>
    <d v="1983-01-01T00:00:00"/>
    <s v="Liang"/>
    <s v="Rubo"/>
    <m/>
    <d v="2023-04-04T05:01:00"/>
    <m/>
    <m/>
    <n v="1983"/>
    <n v="125.08"/>
    <n v="2.9"/>
    <n v="19910000000000"/>
    <n v="50.6"/>
    <n v="100.2"/>
    <n v="9.4"/>
    <n v="59.2"/>
    <n v="1397715000"/>
  </r>
  <r>
    <x v="208"/>
    <x v="208"/>
    <x v="10"/>
    <x v="1541"/>
    <x v="17"/>
    <x v="5"/>
    <x v="49"/>
    <x v="579"/>
    <x v="10"/>
    <s v="China"/>
    <m/>
    <x v="0"/>
    <s v="D"/>
    <x v="0"/>
    <d v="1965-01-01T00:00:00"/>
    <s v="Liang"/>
    <s v="Zhaoxian"/>
    <m/>
    <d v="2023-04-04T05:01:00"/>
    <m/>
    <m/>
    <n v="1965"/>
    <n v="125.08"/>
    <n v="2.9"/>
    <n v="19910000000000"/>
    <n v="50.6"/>
    <n v="100.2"/>
    <n v="9.4"/>
    <n v="59.2"/>
    <n v="1397715000"/>
  </r>
  <r>
    <x v="208"/>
    <x v="208"/>
    <x v="13"/>
    <x v="1542"/>
    <x v="38"/>
    <x v="5"/>
    <x v="514"/>
    <x v="602"/>
    <x v="13"/>
    <s v="China"/>
    <m/>
    <x v="1"/>
    <s v="D"/>
    <x v="0"/>
    <d v="1961-06-01T00:00:00"/>
    <s v="Lin"/>
    <s v="Fanlian"/>
    <m/>
    <d v="2023-04-04T05:01:00"/>
    <m/>
    <m/>
    <n v="1961"/>
    <n v="125.08"/>
    <n v="2.9"/>
    <n v="19910000000000"/>
    <n v="50.6"/>
    <n v="100.2"/>
    <n v="9.4"/>
    <n v="59.2"/>
    <n v="1397715000"/>
  </r>
  <r>
    <x v="208"/>
    <x v="208"/>
    <x v="10"/>
    <x v="1543"/>
    <x v="29"/>
    <x v="23"/>
    <x v="73"/>
    <x v="156"/>
    <x v="10"/>
    <s v="India"/>
    <m/>
    <x v="0"/>
    <s v="D"/>
    <x v="0"/>
    <d v="1958-11-27T00:00:00"/>
    <s v="Lohia"/>
    <s v="Aloke"/>
    <m/>
    <d v="2023-04-04T05:01:00"/>
    <m/>
    <m/>
    <n v="1958"/>
    <n v="113.27"/>
    <n v="0.7"/>
    <n v="543649976166"/>
    <n v="49.3"/>
    <n v="99.8"/>
    <n v="14.9"/>
    <n v="29.5"/>
    <n v="69625582"/>
  </r>
  <r>
    <x v="208"/>
    <x v="208"/>
    <x v="11"/>
    <x v="1544"/>
    <x v="16"/>
    <x v="6"/>
    <x v="303"/>
    <x v="36"/>
    <x v="11"/>
    <s v="Canada"/>
    <m/>
    <x v="1"/>
    <s v="U"/>
    <x v="0"/>
    <d v="1949-09-08T00:00:00"/>
    <s v="Malhotra"/>
    <s v="Bill"/>
    <m/>
    <d v="2023-04-04T05:01:00"/>
    <m/>
    <m/>
    <n v="1949"/>
    <n v="116.76"/>
    <n v="1.9"/>
    <n v="1736425629520"/>
    <n v="68.900000000000006"/>
    <n v="100.9"/>
    <n v="12.8"/>
    <n v="24.5"/>
    <n v="36991981"/>
  </r>
  <r>
    <x v="208"/>
    <x v="208"/>
    <x v="3"/>
    <x v="1545"/>
    <x v="53"/>
    <x v="27"/>
    <x v="199"/>
    <x v="38"/>
    <x v="3"/>
    <s v="Russia"/>
    <m/>
    <x v="1"/>
    <s v="D"/>
    <x v="0"/>
    <d v="1960-01-29T00:00:00"/>
    <s v="Mamut"/>
    <s v="Alexander"/>
    <m/>
    <d v="2023-04-04T05:01:00"/>
    <m/>
    <m/>
    <n v="1960"/>
    <n v="108.15"/>
    <n v="0.8"/>
    <n v="395098666122"/>
    <n v="63.4"/>
    <n v="104.9"/>
    <n v="23.1"/>
    <n v="25.3"/>
    <n v="9053300"/>
  </r>
  <r>
    <x v="208"/>
    <x v="208"/>
    <x v="5"/>
    <x v="1546"/>
    <x v="16"/>
    <x v="1"/>
    <x v="8"/>
    <x v="7"/>
    <x v="5"/>
    <s v="United States"/>
    <m/>
    <x v="0"/>
    <s v="D"/>
    <x v="0"/>
    <d v="1949-08-11T00:00:00"/>
    <s v="McCaw"/>
    <s v="Craig"/>
    <m/>
    <d v="2023-04-04T05:01:00"/>
    <s v="Washington"/>
    <s v="West"/>
    <n v="1949"/>
    <n v="117.24"/>
    <n v="7.5"/>
    <n v="21427700000000"/>
    <n v="88.2"/>
    <n v="101.8"/>
    <n v="9.6"/>
    <n v="36.6"/>
    <n v="328239523"/>
  </r>
  <r>
    <x v="208"/>
    <x v="208"/>
    <x v="10"/>
    <x v="1547"/>
    <x v="2"/>
    <x v="5"/>
    <x v="273"/>
    <x v="603"/>
    <x v="10"/>
    <s v="China"/>
    <m/>
    <x v="1"/>
    <s v="D"/>
    <x v="0"/>
    <d v="1963-07-09T00:00:00"/>
    <s v="Nan"/>
    <s v="Cunhui"/>
    <m/>
    <d v="2023-04-04T05:01:00"/>
    <m/>
    <m/>
    <n v="1963"/>
    <n v="125.08"/>
    <n v="2.9"/>
    <n v="19910000000000"/>
    <n v="50.6"/>
    <n v="100.2"/>
    <n v="9.4"/>
    <n v="59.2"/>
    <n v="1397715000"/>
  </r>
  <r>
    <x v="208"/>
    <x v="208"/>
    <x v="15"/>
    <x v="1548"/>
    <x v="47"/>
    <x v="5"/>
    <x v="34"/>
    <x v="361"/>
    <x v="15"/>
    <s v="China"/>
    <m/>
    <x v="1"/>
    <s v="D"/>
    <x v="0"/>
    <d v="1976-01-24T00:00:00"/>
    <s v="Nie"/>
    <s v="Tengyun"/>
    <m/>
    <d v="2023-04-04T05:01:00"/>
    <m/>
    <m/>
    <n v="1976"/>
    <n v="125.08"/>
    <n v="2.9"/>
    <n v="19910000000000"/>
    <n v="50.6"/>
    <n v="100.2"/>
    <n v="9.4"/>
    <n v="59.2"/>
    <n v="1397715000"/>
  </r>
  <r>
    <x v="208"/>
    <x v="208"/>
    <x v="3"/>
    <x v="1549"/>
    <x v="43"/>
    <x v="25"/>
    <x v="76"/>
    <x v="38"/>
    <x v="3"/>
    <s v="Singapore"/>
    <m/>
    <x v="0"/>
    <s v="U"/>
    <x v="0"/>
    <d v="1948-03-21T00:00:00"/>
    <s v="Oei"/>
    <s v="Hong Leong"/>
    <m/>
    <d v="2023-04-04T05:01:00"/>
    <m/>
    <m/>
    <n v="1948"/>
    <n v="114.41"/>
    <n v="0.6"/>
    <n v="372062527489"/>
    <n v="84.8"/>
    <n v="100.6"/>
    <n v="13.1"/>
    <n v="21"/>
    <n v="5703569"/>
  </r>
  <r>
    <x v="208"/>
    <x v="208"/>
    <x v="12"/>
    <x v="1550"/>
    <x v="9"/>
    <x v="14"/>
    <x v="515"/>
    <x v="40"/>
    <x v="12"/>
    <s v="Australia"/>
    <m/>
    <x v="1"/>
    <s v="D"/>
    <x v="0"/>
    <d v="1954-03-26T00:00:00"/>
    <s v="Palmer"/>
    <s v="Clive"/>
    <m/>
    <d v="2023-04-04T05:01:00"/>
    <m/>
    <m/>
    <n v="1954"/>
    <n v="119.8"/>
    <n v="1.6"/>
    <n v="1392680589329"/>
    <n v="113.1"/>
    <n v="100.3"/>
    <n v="23"/>
    <n v="47.4"/>
    <n v="25766605"/>
  </r>
  <r>
    <x v="208"/>
    <x v="208"/>
    <x v="2"/>
    <x v="1551"/>
    <x v="65"/>
    <x v="1"/>
    <x v="516"/>
    <x v="328"/>
    <x v="2"/>
    <s v="United States"/>
    <m/>
    <x v="1"/>
    <s v="D"/>
    <x v="0"/>
    <d v="1975-01-01T00:00:00"/>
    <s v="Prince"/>
    <s v="Matthew"/>
    <m/>
    <d v="2023-04-04T05:01:00"/>
    <s v="Utah"/>
    <s v="West"/>
    <n v="1975"/>
    <n v="117.24"/>
    <n v="7.5"/>
    <n v="21427700000000"/>
    <n v="88.2"/>
    <n v="101.8"/>
    <n v="9.6"/>
    <n v="36.6"/>
    <n v="328239523"/>
  </r>
  <r>
    <x v="208"/>
    <x v="208"/>
    <x v="15"/>
    <x v="1552"/>
    <x v="9"/>
    <x v="1"/>
    <x v="196"/>
    <x v="231"/>
    <x v="15"/>
    <s v="United States"/>
    <m/>
    <x v="0"/>
    <s v="E"/>
    <x v="1"/>
    <d v="1953-09-14T00:00:00"/>
    <s v="Pritzker"/>
    <s v="Linda"/>
    <m/>
    <d v="2023-04-04T05:01:00"/>
    <s v="Montana"/>
    <s v="West"/>
    <n v="1953"/>
    <n v="117.24"/>
    <n v="7.5"/>
    <n v="21427700000000"/>
    <n v="88.2"/>
    <n v="101.8"/>
    <n v="9.6"/>
    <n v="36.6"/>
    <n v="328239523"/>
  </r>
  <r>
    <x v="208"/>
    <x v="208"/>
    <x v="16"/>
    <x v="1553"/>
    <x v="52"/>
    <x v="3"/>
    <x v="245"/>
    <x v="582"/>
    <x v="16"/>
    <s v="India"/>
    <m/>
    <x v="1"/>
    <s v="U"/>
    <x v="0"/>
    <d v="1969-06-30T00:00:00"/>
    <s v="Reddy"/>
    <s v="P.V. Krishna"/>
    <m/>
    <d v="2023-04-04T05:01:00"/>
    <m/>
    <m/>
    <n v="1969"/>
    <n v="180.44"/>
    <n v="7.7"/>
    <n v="2611000000000"/>
    <n v="28.1"/>
    <n v="113"/>
    <n v="11.2"/>
    <n v="49.7"/>
    <n v="1366417754"/>
  </r>
  <r>
    <x v="208"/>
    <x v="208"/>
    <x v="12"/>
    <x v="1554"/>
    <x v="62"/>
    <x v="14"/>
    <x v="515"/>
    <x v="40"/>
    <x v="12"/>
    <s v="Australia"/>
    <m/>
    <x v="0"/>
    <s v="D"/>
    <x v="1"/>
    <d v="1977-03-19T00:00:00"/>
    <s v="Rinehart"/>
    <s v="Bianca"/>
    <m/>
    <d v="2023-04-04T05:01:00"/>
    <m/>
    <m/>
    <n v="1977"/>
    <n v="119.8"/>
    <n v="1.6"/>
    <n v="1392680589329"/>
    <n v="113.1"/>
    <n v="100.3"/>
    <n v="23"/>
    <n v="47.4"/>
    <n v="25766605"/>
  </r>
  <r>
    <x v="208"/>
    <x v="208"/>
    <x v="12"/>
    <x v="1555"/>
    <x v="39"/>
    <x v="14"/>
    <x v="83"/>
    <x v="40"/>
    <x v="12"/>
    <s v="Australia"/>
    <m/>
    <x v="0"/>
    <s v="D"/>
    <x v="1"/>
    <d v="1986-09-06T00:00:00"/>
    <s v="Rinehart"/>
    <s v="Ginia"/>
    <m/>
    <d v="2023-04-04T05:01:00"/>
    <m/>
    <m/>
    <n v="1986"/>
    <n v="119.8"/>
    <n v="1.6"/>
    <n v="1392680589329"/>
    <n v="113.1"/>
    <n v="100.3"/>
    <n v="23"/>
    <n v="47.4"/>
    <n v="25766605"/>
  </r>
  <r>
    <x v="208"/>
    <x v="208"/>
    <x v="3"/>
    <x v="1556"/>
    <x v="11"/>
    <x v="1"/>
    <x v="517"/>
    <x v="604"/>
    <x v="3"/>
    <s v="United States"/>
    <m/>
    <x v="1"/>
    <s v="D"/>
    <x v="0"/>
    <d v="1935-12-23T00:00:00"/>
    <s v="Sanford"/>
    <s v="T. Denny"/>
    <m/>
    <d v="2023-04-04T05:01:00"/>
    <s v="South Dakota"/>
    <s v="Midwest"/>
    <n v="1935"/>
    <n v="117.24"/>
    <n v="7.5"/>
    <n v="21427700000000"/>
    <n v="88.2"/>
    <n v="101.8"/>
    <n v="9.6"/>
    <n v="36.6"/>
    <n v="328239523"/>
  </r>
  <r>
    <x v="208"/>
    <x v="208"/>
    <x v="10"/>
    <x v="1557"/>
    <x v="48"/>
    <x v="3"/>
    <x v="17"/>
    <x v="449"/>
    <x v="10"/>
    <s v="India"/>
    <m/>
    <x v="1"/>
    <s v="U"/>
    <x v="0"/>
    <d v="1951-10-07T00:00:00"/>
    <s v="Shah"/>
    <s v="Bhadresh"/>
    <m/>
    <d v="2023-04-04T05:01:00"/>
    <m/>
    <m/>
    <n v="1951"/>
    <n v="180.44"/>
    <n v="7.7"/>
    <n v="2611000000000"/>
    <n v="28.1"/>
    <n v="113"/>
    <n v="11.2"/>
    <n v="49.7"/>
    <n v="1366417754"/>
  </r>
  <r>
    <x v="208"/>
    <x v="208"/>
    <x v="4"/>
    <x v="1558"/>
    <x v="37"/>
    <x v="42"/>
    <x v="518"/>
    <x v="605"/>
    <x v="4"/>
    <s v="Poland"/>
    <m/>
    <x v="1"/>
    <s v="D"/>
    <x v="0"/>
    <d v="1956-08-04T00:00:00"/>
    <s v="Solorz-Zak"/>
    <s v="Zygmunt"/>
    <m/>
    <d v="2023-04-04T05:01:00"/>
    <m/>
    <m/>
    <n v="1956"/>
    <n v="114.11"/>
    <n v="2.2000000000000002"/>
    <n v="592164400688"/>
    <n v="67.8"/>
    <n v="100"/>
    <n v="17.399999999999999"/>
    <n v="40.799999999999997"/>
    <n v="37970874"/>
  </r>
  <r>
    <x v="208"/>
    <x v="208"/>
    <x v="10"/>
    <x v="1559"/>
    <x v="24"/>
    <x v="22"/>
    <x v="25"/>
    <x v="606"/>
    <x v="10"/>
    <s v="Czech Republic"/>
    <m/>
    <x v="0"/>
    <s v="N"/>
    <x v="0"/>
    <d v="1992-08-04T00:00:00"/>
    <s v="Strnad "/>
    <s v="Michal"/>
    <m/>
    <d v="2023-04-04T05:01:00"/>
    <m/>
    <m/>
    <n v="1992"/>
    <m/>
    <m/>
    <m/>
    <m/>
    <m/>
    <m/>
    <m/>
    <m/>
  </r>
  <r>
    <x v="208"/>
    <x v="208"/>
    <x v="0"/>
    <x v="1560"/>
    <x v="5"/>
    <x v="7"/>
    <x v="519"/>
    <x v="427"/>
    <x v="0"/>
    <s v="Germany"/>
    <m/>
    <x v="0"/>
    <s v="E"/>
    <x v="1"/>
    <d v="1955-05-30T00:00:00"/>
    <s v="Stroeher"/>
    <s v="Sylvia"/>
    <m/>
    <d v="2023-04-04T05:01:00"/>
    <m/>
    <m/>
    <n v="1955"/>
    <n v="112.85"/>
    <n v="1.4"/>
    <n v="3845630030824"/>
    <n v="70.2"/>
    <n v="104"/>
    <n v="11.5"/>
    <n v="48.8"/>
    <n v="83132799"/>
  </r>
  <r>
    <x v="208"/>
    <x v="208"/>
    <x v="2"/>
    <x v="1561"/>
    <x v="9"/>
    <x v="15"/>
    <x v="42"/>
    <x v="607"/>
    <x v="2"/>
    <s v="Indonesia"/>
    <m/>
    <x v="1"/>
    <s v="D"/>
    <x v="0"/>
    <d v="1953-09-23T00:00:00"/>
    <s v="Sugiri"/>
    <s v="Otto Toto"/>
    <m/>
    <d v="2023-04-04T05:01:00"/>
    <m/>
    <m/>
    <n v="1953"/>
    <n v="151.18"/>
    <n v="3"/>
    <n v="1119190780753"/>
    <n v="36.299999999999997"/>
    <n v="106.4"/>
    <n v="10.199999999999999"/>
    <n v="30.1"/>
    <n v="270203917"/>
  </r>
  <r>
    <x v="208"/>
    <x v="208"/>
    <x v="17"/>
    <x v="1562"/>
    <x v="22"/>
    <x v="6"/>
    <x v="16"/>
    <x v="333"/>
    <x v="17"/>
    <s v="Canada"/>
    <m/>
    <x v="1"/>
    <s v="N"/>
    <x v="0"/>
    <d v="1945-07-01T00:00:00"/>
    <s v="Tanenbaum"/>
    <s v="Larry"/>
    <m/>
    <d v="2023-04-04T05:01:00"/>
    <m/>
    <m/>
    <n v="1945"/>
    <n v="116.76"/>
    <n v="1.9"/>
    <n v="1736425629520"/>
    <n v="68.900000000000006"/>
    <n v="100.9"/>
    <n v="12.8"/>
    <n v="24.5"/>
    <n v="36991981"/>
  </r>
  <r>
    <x v="208"/>
    <x v="208"/>
    <x v="3"/>
    <x v="1563"/>
    <x v="31"/>
    <x v="23"/>
    <x v="73"/>
    <x v="38"/>
    <x v="3"/>
    <s v="Thailand"/>
    <m/>
    <x v="1"/>
    <s v="E"/>
    <x v="0"/>
    <d v="1947-01-01T00:00:00"/>
    <s v="Thongtang"/>
    <s v="Wichai"/>
    <m/>
    <d v="2023-04-04T05:01:00"/>
    <m/>
    <m/>
    <n v="1947"/>
    <n v="113.27"/>
    <n v="0.7"/>
    <n v="543649976166"/>
    <n v="49.3"/>
    <n v="99.8"/>
    <n v="14.9"/>
    <n v="29.5"/>
    <n v="69625582"/>
  </r>
  <r>
    <x v="208"/>
    <x v="208"/>
    <x v="3"/>
    <x v="1564"/>
    <x v="7"/>
    <x v="67"/>
    <x v="520"/>
    <x v="608"/>
    <x v="3"/>
    <s v="Romania"/>
    <m/>
    <x v="1"/>
    <s v="U"/>
    <x v="0"/>
    <d v="1939-05-09T00:00:00"/>
    <s v="Tiriac"/>
    <s v="Ion"/>
    <m/>
    <d v="2023-04-04T05:01:00"/>
    <m/>
    <m/>
    <n v="1939"/>
    <n v="123.78"/>
    <n v="3.8"/>
    <n v="250077444017"/>
    <n v="49.4"/>
    <n v="85.2"/>
    <n v="14.6"/>
    <n v="20"/>
    <n v="19356544"/>
  </r>
  <r>
    <x v="208"/>
    <x v="208"/>
    <x v="12"/>
    <x v="1565"/>
    <x v="59"/>
    <x v="1"/>
    <x v="5"/>
    <x v="40"/>
    <x v="12"/>
    <s v="Australia"/>
    <m/>
    <x v="0"/>
    <s v="D"/>
    <x v="1"/>
    <d v="1985-08-13T00:00:00"/>
    <s v="Welker"/>
    <s v="Hope"/>
    <m/>
    <d v="2023-04-04T05:01:00"/>
    <s v="New York"/>
    <s v="Northeast"/>
    <n v="1985"/>
    <n v="117.24"/>
    <n v="7.5"/>
    <n v="21427700000000"/>
    <n v="88.2"/>
    <n v="101.8"/>
    <n v="9.6"/>
    <n v="36.6"/>
    <n v="328239523"/>
  </r>
  <r>
    <x v="208"/>
    <x v="208"/>
    <x v="10"/>
    <x v="1566"/>
    <x v="26"/>
    <x v="1"/>
    <x v="521"/>
    <x v="609"/>
    <x v="10"/>
    <s v="United States"/>
    <m/>
    <x v="1"/>
    <s v="D"/>
    <x v="0"/>
    <d v="1941-01-01T00:00:00"/>
    <s v="Young"/>
    <s v="William"/>
    <m/>
    <d v="2023-04-04T05:01:00"/>
    <s v="Michigan"/>
    <s v="Midwest"/>
    <n v="1941"/>
    <n v="117.24"/>
    <n v="7.5"/>
    <n v="21427700000000"/>
    <n v="88.2"/>
    <n v="101.8"/>
    <n v="9.6"/>
    <n v="36.6"/>
    <n v="328239523"/>
  </r>
  <r>
    <x v="208"/>
    <x v="208"/>
    <x v="0"/>
    <x v="1567"/>
    <x v="62"/>
    <x v="22"/>
    <x v="25"/>
    <x v="34"/>
    <x v="0"/>
    <s v="Czech Republic"/>
    <m/>
    <x v="1"/>
    <s v="N"/>
    <x v="0"/>
    <d v="1976-10-24T00:00:00"/>
    <s v="Zavoral"/>
    <s v="Ales"/>
    <m/>
    <d v="2023-04-04T05:01:00"/>
    <m/>
    <m/>
    <n v="1976"/>
    <m/>
    <m/>
    <m/>
    <m/>
    <m/>
    <m/>
    <m/>
    <m/>
  </r>
  <r>
    <x v="208"/>
    <x v="208"/>
    <x v="2"/>
    <x v="1568"/>
    <x v="41"/>
    <x v="5"/>
    <x v="26"/>
    <x v="610"/>
    <x v="2"/>
    <s v="China"/>
    <m/>
    <x v="1"/>
    <s v="D"/>
    <x v="0"/>
    <d v="1965-12-29T00:00:00"/>
    <s v="Zhang"/>
    <s v="Fan"/>
    <m/>
    <d v="2023-04-04T05:01:00"/>
    <m/>
    <m/>
    <n v="1965"/>
    <n v="125.08"/>
    <n v="2.9"/>
    <n v="19910000000000"/>
    <n v="50.6"/>
    <n v="100.2"/>
    <n v="9.4"/>
    <n v="59.2"/>
    <n v="1397715000"/>
  </r>
  <r>
    <x v="208"/>
    <x v="208"/>
    <x v="2"/>
    <x v="1569"/>
    <x v="41"/>
    <x v="5"/>
    <x v="19"/>
    <x v="601"/>
    <x v="2"/>
    <s v="China"/>
    <m/>
    <x v="1"/>
    <s v="D"/>
    <x v="0"/>
    <d v="1966-01-01T00:00:00"/>
    <s v="Zhang"/>
    <s v="Shilong"/>
    <m/>
    <d v="2023-04-04T05:01:00"/>
    <m/>
    <m/>
    <n v="1966"/>
    <n v="125.08"/>
    <n v="2.9"/>
    <n v="19910000000000"/>
    <n v="50.6"/>
    <n v="100.2"/>
    <n v="9.4"/>
    <n v="59.2"/>
    <n v="1397715000"/>
  </r>
  <r>
    <x v="208"/>
    <x v="208"/>
    <x v="10"/>
    <x v="1570"/>
    <x v="16"/>
    <x v="5"/>
    <x v="522"/>
    <x v="171"/>
    <x v="10"/>
    <s v="China"/>
    <m/>
    <x v="1"/>
    <s v="D"/>
    <x v="0"/>
    <d v="1949-12-01T00:00:00"/>
    <s v="Zhang"/>
    <s v="Wanzhen"/>
    <m/>
    <d v="2023-04-04T05:01:00"/>
    <m/>
    <m/>
    <n v="1949"/>
    <n v="125.08"/>
    <n v="2.9"/>
    <n v="19910000000000"/>
    <n v="50.6"/>
    <n v="100.2"/>
    <n v="9.4"/>
    <n v="59.2"/>
    <n v="1397715000"/>
  </r>
  <r>
    <x v="208"/>
    <x v="208"/>
    <x v="2"/>
    <x v="1571"/>
    <x v="65"/>
    <x v="5"/>
    <x v="19"/>
    <x v="117"/>
    <x v="2"/>
    <s v="China"/>
    <m/>
    <x v="1"/>
    <s v="D"/>
    <x v="0"/>
    <d v="1974-06-01T00:00:00"/>
    <s v="Zhao"/>
    <s v="Hongfei"/>
    <m/>
    <d v="2023-04-04T05:01:00"/>
    <m/>
    <m/>
    <n v="1974"/>
    <n v="125.08"/>
    <n v="2.9"/>
    <n v="19910000000000"/>
    <n v="50.6"/>
    <n v="100.2"/>
    <n v="9.4"/>
    <n v="59.2"/>
    <n v="1397715000"/>
  </r>
  <r>
    <x v="208"/>
    <x v="208"/>
    <x v="13"/>
    <x v="1572"/>
    <x v="62"/>
    <x v="5"/>
    <x v="26"/>
    <x v="611"/>
    <x v="13"/>
    <s v="China"/>
    <m/>
    <x v="1"/>
    <s v="D"/>
    <x v="0"/>
    <d v="1976-07-01T00:00:00"/>
    <s v="Zhou"/>
    <s v="Jian"/>
    <m/>
    <d v="2023-04-04T05:01:00"/>
    <m/>
    <m/>
    <n v="1976"/>
    <n v="125.08"/>
    <n v="2.9"/>
    <n v="19910000000000"/>
    <n v="50.6"/>
    <n v="100.2"/>
    <n v="9.4"/>
    <n v="59.2"/>
    <n v="1397715000"/>
  </r>
  <r>
    <x v="208"/>
    <x v="208"/>
    <x v="14"/>
    <x v="1573"/>
    <x v="2"/>
    <x v="5"/>
    <x v="34"/>
    <x v="291"/>
    <x v="14"/>
    <s v="China"/>
    <m/>
    <x v="1"/>
    <s v="U"/>
    <x v="0"/>
    <d v="1964-01-01T00:00:00"/>
    <s v="Zhu"/>
    <s v="Yiwen"/>
    <m/>
    <d v="2023-04-04T05:01:00"/>
    <m/>
    <m/>
    <n v="1964"/>
    <n v="125.08"/>
    <n v="2.9"/>
    <n v="19910000000000"/>
    <n v="50.6"/>
    <n v="100.2"/>
    <n v="9.4"/>
    <n v="59.2"/>
    <n v="1397715000"/>
  </r>
  <r>
    <x v="209"/>
    <x v="209"/>
    <x v="6"/>
    <x v="1574"/>
    <x v="0"/>
    <x v="18"/>
    <x v="50"/>
    <x v="612"/>
    <x v="6"/>
    <s v="Chile"/>
    <m/>
    <x v="0"/>
    <s v="U"/>
    <x v="0"/>
    <d v="1948-07-30T00:00:00"/>
    <s v="Angelini Rossi"/>
    <s v="Roberto"/>
    <m/>
    <d v="2023-04-04T05:01:00"/>
    <m/>
    <m/>
    <n v="1948"/>
    <n v="131.91"/>
    <n v="2.6"/>
    <n v="282318159745"/>
    <n v="88.5"/>
    <n v="101.4"/>
    <n v="18.2"/>
    <n v="34"/>
    <n v="18952038"/>
  </r>
  <r>
    <x v="209"/>
    <x v="209"/>
    <x v="13"/>
    <x v="1575"/>
    <x v="32"/>
    <x v="55"/>
    <x v="513"/>
    <x v="69"/>
    <x v="13"/>
    <s v="Finland"/>
    <m/>
    <x v="1"/>
    <s v="U"/>
    <x v="0"/>
    <d v="1966-12-18T00:00:00"/>
    <s v="Anttonen"/>
    <s v="Mika"/>
    <m/>
    <d v="2023-04-04T05:01:00"/>
    <m/>
    <m/>
    <n v="1966"/>
    <n v="112.33"/>
    <n v="1"/>
    <n v="268761201365"/>
    <n v="88.2"/>
    <n v="100.2"/>
    <n v="20.8"/>
    <n v="36.6"/>
    <n v="5520314"/>
  </r>
  <r>
    <x v="209"/>
    <x v="209"/>
    <x v="17"/>
    <x v="1576"/>
    <x v="52"/>
    <x v="1"/>
    <x v="5"/>
    <x v="333"/>
    <x v="17"/>
    <s v="United States"/>
    <m/>
    <x v="1"/>
    <s v="N"/>
    <x v="0"/>
    <d v="1969-09-07T00:00:00"/>
    <s v="Blitzer"/>
    <s v="David"/>
    <m/>
    <d v="2023-04-04T05:01:00"/>
    <s v="New York"/>
    <s v="Northeast"/>
    <n v="1969"/>
    <n v="117.24"/>
    <n v="7.5"/>
    <n v="21427700000000"/>
    <n v="88.2"/>
    <n v="101.8"/>
    <n v="9.6"/>
    <n v="36.6"/>
    <n v="328239523"/>
  </r>
  <r>
    <x v="209"/>
    <x v="209"/>
    <x v="3"/>
    <x v="1577"/>
    <x v="11"/>
    <x v="30"/>
    <x v="298"/>
    <x v="75"/>
    <x v="3"/>
    <s v="Brazil"/>
    <m/>
    <x v="1"/>
    <s v="D"/>
    <x v="0"/>
    <d v="1936-02-01T00:00:00"/>
    <s v="Bozano"/>
    <s v="Julio"/>
    <m/>
    <d v="2023-04-04T05:01:00"/>
    <m/>
    <m/>
    <n v="1936"/>
    <n v="167.4"/>
    <n v="3.7"/>
    <n v="1839758040766"/>
    <n v="51.3"/>
    <n v="115.4"/>
    <n v="14.2"/>
    <n v="65.099999999999994"/>
    <n v="212559417"/>
  </r>
  <r>
    <x v="209"/>
    <x v="209"/>
    <x v="13"/>
    <x v="1578"/>
    <x v="42"/>
    <x v="17"/>
    <x v="523"/>
    <x v="70"/>
    <x v="13"/>
    <s v="Russia"/>
    <m/>
    <x v="1"/>
    <s v="U"/>
    <x v="0"/>
    <d v="1967-07-09T00:00:00"/>
    <s v="Buinov"/>
    <s v="Nikolai"/>
    <m/>
    <d v="2023-04-04T05:01:00"/>
    <m/>
    <m/>
    <n v="1967"/>
    <n v="180.75"/>
    <n v="4.5"/>
    <n v="1699876578871"/>
    <n v="81.900000000000006"/>
    <n v="102.6"/>
    <n v="11.4"/>
    <n v="46.2"/>
    <n v="144373535"/>
  </r>
  <r>
    <x v="209"/>
    <x v="209"/>
    <x v="0"/>
    <x v="1579"/>
    <x v="26"/>
    <x v="28"/>
    <x v="319"/>
    <x v="22"/>
    <x v="0"/>
    <s v="Italy"/>
    <m/>
    <x v="0"/>
    <s v="E"/>
    <x v="0"/>
    <d v="1941-01-16T00:00:00"/>
    <s v="Bulgari"/>
    <s v="Nicola"/>
    <m/>
    <d v="2023-04-04T05:01:00"/>
    <m/>
    <m/>
    <n v="1941"/>
    <n v="110.62"/>
    <n v="0.6"/>
    <n v="2001244392042"/>
    <n v="61.9"/>
    <n v="101.9"/>
    <n v="24.3"/>
    <n v="59.1"/>
    <n v="60297396"/>
  </r>
  <r>
    <x v="209"/>
    <x v="209"/>
    <x v="0"/>
    <x v="1580"/>
    <x v="48"/>
    <x v="1"/>
    <x v="156"/>
    <x v="81"/>
    <x v="0"/>
    <s v="United States"/>
    <m/>
    <x v="0"/>
    <s v="N"/>
    <x v="0"/>
    <d v="1952-04-04T00:00:00"/>
    <s v="Butt"/>
    <s v="Howard"/>
    <m/>
    <d v="2023-04-04T05:01:00"/>
    <s v="Texas"/>
    <s v="South"/>
    <n v="1952"/>
    <n v="117.24"/>
    <n v="7.5"/>
    <n v="21427700000000"/>
    <n v="88.2"/>
    <n v="101.8"/>
    <n v="9.6"/>
    <n v="36.6"/>
    <n v="328239523"/>
  </r>
  <r>
    <x v="209"/>
    <x v="209"/>
    <x v="0"/>
    <x v="1581"/>
    <x v="5"/>
    <x v="22"/>
    <x v="25"/>
    <x v="81"/>
    <x v="0"/>
    <s v="United States"/>
    <m/>
    <x v="0"/>
    <s v="N"/>
    <x v="0"/>
    <d v="1955-05-24T00:00:00"/>
    <s v="Butt"/>
    <s v="Stephen"/>
    <m/>
    <d v="2023-04-04T05:01:00"/>
    <m/>
    <m/>
    <n v="1955"/>
    <m/>
    <m/>
    <m/>
    <m/>
    <m/>
    <m/>
    <m/>
    <m/>
  </r>
  <r>
    <x v="209"/>
    <x v="209"/>
    <x v="0"/>
    <x v="1582"/>
    <x v="32"/>
    <x v="5"/>
    <x v="34"/>
    <x v="589"/>
    <x v="0"/>
    <s v="China"/>
    <m/>
    <x v="1"/>
    <s v="D"/>
    <x v="0"/>
    <d v="1966-07-18T00:00:00"/>
    <s v="Che"/>
    <s v="Jianxing"/>
    <m/>
    <d v="2023-04-04T05:01:00"/>
    <m/>
    <m/>
    <n v="1966"/>
    <n v="125.08"/>
    <n v="2.9"/>
    <n v="19910000000000"/>
    <n v="50.6"/>
    <n v="100.2"/>
    <n v="9.4"/>
    <n v="59.2"/>
    <n v="1397715000"/>
  </r>
  <r>
    <x v="209"/>
    <x v="209"/>
    <x v="10"/>
    <x v="1583"/>
    <x v="33"/>
    <x v="5"/>
    <x v="34"/>
    <x v="593"/>
    <x v="10"/>
    <s v="China"/>
    <m/>
    <x v="1"/>
    <s v="D"/>
    <x v="0"/>
    <d v="1970-07-01T00:00:00"/>
    <s v="Chen"/>
    <s v="Huxiong"/>
    <m/>
    <d v="2023-04-04T05:01:00"/>
    <m/>
    <m/>
    <n v="1970"/>
    <n v="125.08"/>
    <n v="2.9"/>
    <n v="19910000000000"/>
    <n v="50.6"/>
    <n v="100.2"/>
    <n v="9.4"/>
    <n v="59.2"/>
    <n v="1397715000"/>
  </r>
  <r>
    <x v="209"/>
    <x v="209"/>
    <x v="13"/>
    <x v="1584"/>
    <x v="44"/>
    <x v="5"/>
    <x v="30"/>
    <x v="30"/>
    <x v="13"/>
    <s v="China"/>
    <m/>
    <x v="1"/>
    <s v="D"/>
    <x v="1"/>
    <m/>
    <s v="Chen"/>
    <s v="Qiongxiang"/>
    <m/>
    <d v="2023-04-04T05:01:00"/>
    <m/>
    <m/>
    <m/>
    <n v="125.08"/>
    <n v="2.9"/>
    <n v="19910000000000"/>
    <n v="50.6"/>
    <n v="100.2"/>
    <n v="9.4"/>
    <n v="59.2"/>
    <n v="1397715000"/>
  </r>
  <r>
    <x v="209"/>
    <x v="209"/>
    <x v="2"/>
    <x v="1585"/>
    <x v="41"/>
    <x v="5"/>
    <x v="320"/>
    <x v="613"/>
    <x v="2"/>
    <s v="China"/>
    <m/>
    <x v="1"/>
    <s v="D"/>
    <x v="0"/>
    <d v="1966-01-07T00:00:00"/>
    <s v="Chen"/>
    <s v="Zhisong"/>
    <m/>
    <d v="2023-04-04T05:01:00"/>
    <m/>
    <m/>
    <n v="1966"/>
    <n v="125.08"/>
    <n v="2.9"/>
    <n v="19910000000000"/>
    <n v="50.6"/>
    <n v="100.2"/>
    <n v="9.4"/>
    <n v="59.2"/>
    <n v="1397715000"/>
  </r>
  <r>
    <x v="209"/>
    <x v="209"/>
    <x v="6"/>
    <x v="1586"/>
    <x v="44"/>
    <x v="23"/>
    <x v="73"/>
    <x v="8"/>
    <x v="6"/>
    <s v="Thailand"/>
    <m/>
    <x v="0"/>
    <s v="U"/>
    <x v="0"/>
    <m/>
    <s v="Chiaravanond"/>
    <s v="Manas"/>
    <m/>
    <d v="2023-04-04T05:01:00"/>
    <m/>
    <m/>
    <m/>
    <n v="113.27"/>
    <n v="0.7"/>
    <n v="543649976166"/>
    <n v="49.3"/>
    <n v="99.8"/>
    <n v="14.9"/>
    <n v="29.5"/>
    <n v="69625582"/>
  </r>
  <r>
    <x v="209"/>
    <x v="209"/>
    <x v="6"/>
    <x v="1587"/>
    <x v="0"/>
    <x v="23"/>
    <x v="73"/>
    <x v="8"/>
    <x v="6"/>
    <s v="Thailand"/>
    <m/>
    <x v="0"/>
    <s v="R"/>
    <x v="0"/>
    <d v="1948-10-21T00:00:00"/>
    <s v="Chiravanond"/>
    <s v="Prathip"/>
    <m/>
    <d v="2023-04-04T05:01:00"/>
    <m/>
    <m/>
    <n v="1948"/>
    <n v="113.27"/>
    <n v="0.7"/>
    <n v="543649976166"/>
    <n v="49.3"/>
    <n v="99.8"/>
    <n v="14.9"/>
    <n v="29.5"/>
    <n v="69625582"/>
  </r>
  <r>
    <x v="209"/>
    <x v="209"/>
    <x v="7"/>
    <x v="1588"/>
    <x v="15"/>
    <x v="1"/>
    <x v="524"/>
    <x v="188"/>
    <x v="7"/>
    <s v="United States"/>
    <m/>
    <x v="0"/>
    <s v="D"/>
    <x v="1"/>
    <d v="1963-01-01T00:00:00"/>
    <s v="Daitch"/>
    <s v="Alexandra"/>
    <m/>
    <d v="2023-04-04T05:01:00"/>
    <s v="Connecticut"/>
    <s v="Northeast"/>
    <n v="1963"/>
    <n v="117.24"/>
    <n v="7.5"/>
    <n v="21427700000000"/>
    <n v="88.2"/>
    <n v="101.8"/>
    <n v="9.6"/>
    <n v="36.6"/>
    <n v="328239523"/>
  </r>
  <r>
    <x v="209"/>
    <x v="209"/>
    <x v="7"/>
    <x v="1589"/>
    <x v="41"/>
    <x v="4"/>
    <x v="276"/>
    <x v="614"/>
    <x v="7"/>
    <s v="Spain"/>
    <m/>
    <x v="0"/>
    <s v="U"/>
    <x v="1"/>
    <d v="1966-01-01T00:00:00"/>
    <s v="Daurella"/>
    <s v="Sol"/>
    <m/>
    <d v="2023-04-04T05:01:00"/>
    <m/>
    <m/>
    <n v="1966"/>
    <n v="110.96"/>
    <n v="0.7"/>
    <n v="1394116310769"/>
    <n v="88.9"/>
    <n v="102.7"/>
    <n v="14.2"/>
    <n v="47"/>
    <n v="47076781"/>
  </r>
  <r>
    <x v="209"/>
    <x v="209"/>
    <x v="17"/>
    <x v="1590"/>
    <x v="5"/>
    <x v="1"/>
    <x v="149"/>
    <x v="615"/>
    <x v="17"/>
    <s v="United States"/>
    <m/>
    <x v="0"/>
    <s v="N"/>
    <x v="0"/>
    <d v="1955-05-18T00:00:00"/>
    <s v="Davis"/>
    <s v="Mark"/>
    <m/>
    <d v="2023-04-04T05:01:00"/>
    <s v="Nevada"/>
    <s v="West"/>
    <n v="1955"/>
    <n v="117.24"/>
    <n v="7.5"/>
    <n v="21427700000000"/>
    <n v="88.2"/>
    <n v="101.8"/>
    <n v="9.6"/>
    <n v="36.6"/>
    <n v="328239523"/>
  </r>
  <r>
    <x v="209"/>
    <x v="209"/>
    <x v="3"/>
    <x v="1591"/>
    <x v="53"/>
    <x v="1"/>
    <x v="525"/>
    <x v="28"/>
    <x v="3"/>
    <s v="United States"/>
    <s v="York Capital Management"/>
    <x v="1"/>
    <s v="E"/>
    <x v="0"/>
    <d v="1959-05-22T00:00:00"/>
    <s v="Dinan"/>
    <s v="James"/>
    <s v="Founder"/>
    <d v="2023-04-04T05:01:00"/>
    <s v="New York"/>
    <s v="Northeast"/>
    <n v="1959"/>
    <n v="117.24"/>
    <n v="7.5"/>
    <n v="21427700000000"/>
    <n v="88.2"/>
    <n v="101.8"/>
    <n v="9.6"/>
    <n v="36.6"/>
    <n v="328239523"/>
  </r>
  <r>
    <x v="209"/>
    <x v="209"/>
    <x v="14"/>
    <x v="1592"/>
    <x v="52"/>
    <x v="5"/>
    <x v="526"/>
    <x v="78"/>
    <x v="14"/>
    <s v="China"/>
    <m/>
    <x v="1"/>
    <s v="D"/>
    <x v="0"/>
    <m/>
    <s v="Dong"/>
    <s v="Fan"/>
    <m/>
    <d v="2023-04-04T05:01:00"/>
    <m/>
    <m/>
    <m/>
    <n v="125.08"/>
    <n v="2.9"/>
    <n v="19910000000000"/>
    <n v="50.6"/>
    <n v="100.2"/>
    <n v="9.4"/>
    <n v="59.2"/>
    <n v="1397715000"/>
  </r>
  <r>
    <x v="209"/>
    <x v="209"/>
    <x v="1"/>
    <x v="1593"/>
    <x v="44"/>
    <x v="7"/>
    <x v="527"/>
    <x v="101"/>
    <x v="1"/>
    <s v="Germany"/>
    <m/>
    <x v="0"/>
    <s v="U"/>
    <x v="0"/>
    <m/>
    <s v="Draexlmaier"/>
    <s v="Fritz"/>
    <m/>
    <d v="2023-04-04T05:01:00"/>
    <m/>
    <m/>
    <m/>
    <n v="112.85"/>
    <n v="1.4"/>
    <n v="3845630030824"/>
    <n v="70.2"/>
    <n v="104"/>
    <n v="11.5"/>
    <n v="48.8"/>
    <n v="83132799"/>
  </r>
  <r>
    <x v="209"/>
    <x v="209"/>
    <x v="6"/>
    <x v="1594"/>
    <x v="16"/>
    <x v="47"/>
    <x v="228"/>
    <x v="616"/>
    <x v="6"/>
    <s v="Turkey"/>
    <m/>
    <x v="0"/>
    <s v="U"/>
    <x v="0"/>
    <d v="1949-12-25T00:00:00"/>
    <s v="Eczacibasi"/>
    <s v="Bulent"/>
    <m/>
    <d v="2023-04-04T05:01:00"/>
    <m/>
    <m/>
    <n v="1949"/>
    <n v="234.44"/>
    <n v="15.2"/>
    <n v="754411708203"/>
    <n v="23.9"/>
    <n v="93.2"/>
    <n v="17.899999999999999"/>
    <n v="42.3"/>
    <n v="83429615"/>
  </r>
  <r>
    <x v="209"/>
    <x v="209"/>
    <x v="6"/>
    <x v="1595"/>
    <x v="13"/>
    <x v="47"/>
    <x v="228"/>
    <x v="616"/>
    <x v="6"/>
    <s v="Turkey"/>
    <m/>
    <x v="0"/>
    <s v="U"/>
    <x v="0"/>
    <d v="1954-06-15T00:00:00"/>
    <s v="Eczacibasi"/>
    <s v="Faruk"/>
    <m/>
    <d v="2023-04-04T05:01:00"/>
    <m/>
    <m/>
    <n v="1954"/>
    <n v="234.44"/>
    <n v="15.2"/>
    <n v="754411708203"/>
    <n v="23.9"/>
    <n v="93.2"/>
    <n v="17.899999999999999"/>
    <n v="42.3"/>
    <n v="83429615"/>
  </r>
  <r>
    <x v="209"/>
    <x v="209"/>
    <x v="6"/>
    <x v="1596"/>
    <x v="40"/>
    <x v="48"/>
    <x v="246"/>
    <x v="617"/>
    <x v="6"/>
    <s v="Argentina"/>
    <m/>
    <x v="1"/>
    <s v="U"/>
    <x v="0"/>
    <d v="1932-12-04T00:00:00"/>
    <s v="Eurnekian"/>
    <s v="Eduardo"/>
    <m/>
    <d v="2023-04-04T05:01:00"/>
    <m/>
    <m/>
    <n v="1932"/>
    <n v="232.75"/>
    <n v="53.5"/>
    <n v="449663446954"/>
    <n v="90"/>
    <n v="109.7"/>
    <n v="10.1"/>
    <n v="106.3"/>
    <n v="44938712"/>
  </r>
  <r>
    <x v="209"/>
    <x v="209"/>
    <x v="11"/>
    <x v="1597"/>
    <x v="8"/>
    <x v="10"/>
    <x v="36"/>
    <x v="36"/>
    <x v="11"/>
    <s v="Hong Kong"/>
    <m/>
    <x v="0"/>
    <s v="N"/>
    <x v="0"/>
    <d v="1957-05-29T00:00:00"/>
    <s v="Fong"/>
    <s v="David"/>
    <m/>
    <d v="2023-04-04T05:01:00"/>
    <m/>
    <m/>
    <n v="1957"/>
    <m/>
    <m/>
    <m/>
    <m/>
    <m/>
    <m/>
    <m/>
    <m/>
  </r>
  <r>
    <x v="209"/>
    <x v="209"/>
    <x v="0"/>
    <x v="1598"/>
    <x v="2"/>
    <x v="5"/>
    <x v="528"/>
    <x v="427"/>
    <x v="0"/>
    <s v="Canada"/>
    <m/>
    <x v="1"/>
    <s v="D"/>
    <x v="0"/>
    <d v="1963-11-01T00:00:00"/>
    <s v="Guo"/>
    <s v="Zhenyu"/>
    <m/>
    <d v="2023-04-04T05:01:00"/>
    <m/>
    <m/>
    <n v="1963"/>
    <n v="125.08"/>
    <n v="2.9"/>
    <n v="19910000000000"/>
    <n v="50.6"/>
    <n v="100.2"/>
    <n v="9.4"/>
    <n v="59.2"/>
    <n v="1397715000"/>
  </r>
  <r>
    <x v="209"/>
    <x v="209"/>
    <x v="10"/>
    <x v="1599"/>
    <x v="6"/>
    <x v="3"/>
    <x v="41"/>
    <x v="332"/>
    <x v="10"/>
    <s v="India"/>
    <m/>
    <x v="0"/>
    <s v="U"/>
    <x v="0"/>
    <d v="1942-01-13T00:00:00"/>
    <s v="Gupta"/>
    <s v="Surjit Kumar"/>
    <m/>
    <d v="2023-04-04T05:01:00"/>
    <m/>
    <m/>
    <n v="1942"/>
    <n v="180.44"/>
    <n v="7.7"/>
    <n v="2611000000000"/>
    <n v="28.1"/>
    <n v="113"/>
    <n v="11.2"/>
    <n v="49.7"/>
    <n v="1366417754"/>
  </r>
  <r>
    <x v="209"/>
    <x v="209"/>
    <x v="6"/>
    <x v="1600"/>
    <x v="19"/>
    <x v="8"/>
    <x v="529"/>
    <x v="331"/>
    <x v="6"/>
    <s v="Norway"/>
    <m/>
    <x v="0"/>
    <s v="D"/>
    <x v="1"/>
    <d v="1984-01-01T00:00:00"/>
    <s v="Hagen Kjos"/>
    <s v="Caroline"/>
    <m/>
    <d v="2023-04-04T05:01:00"/>
    <m/>
    <m/>
    <n v="1984"/>
    <n v="99.55"/>
    <n v="0.4"/>
    <n v="703082435360"/>
    <n v="59.6"/>
    <n v="105.2"/>
    <n v="10.1"/>
    <n v="28.8"/>
    <n v="8574832"/>
  </r>
  <r>
    <x v="209"/>
    <x v="209"/>
    <x v="3"/>
    <x v="1601"/>
    <x v="6"/>
    <x v="2"/>
    <x v="6"/>
    <x v="618"/>
    <x v="3"/>
    <s v="Mexico"/>
    <m/>
    <x v="1"/>
    <s v="E"/>
    <x v="0"/>
    <d v="1942-03-24T00:00:00"/>
    <s v="Hernandez Ramirez"/>
    <s v="Roberto"/>
    <m/>
    <d v="2023-04-04T05:01:00"/>
    <m/>
    <m/>
    <n v="1942"/>
    <n v="141.54"/>
    <n v="3.6"/>
    <n v="1258286717125"/>
    <n v="40.200000000000003"/>
    <n v="105.8"/>
    <n v="13.1"/>
    <n v="55.1"/>
    <n v="126014024"/>
  </r>
  <r>
    <x v="209"/>
    <x v="209"/>
    <x v="2"/>
    <x v="1602"/>
    <x v="42"/>
    <x v="1"/>
    <x v="9"/>
    <x v="619"/>
    <x v="2"/>
    <s v="United States"/>
    <s v="Greylock"/>
    <x v="1"/>
    <s v="D"/>
    <x v="0"/>
    <d v="1967-08-05T00:00:00"/>
    <s v="Hoffman"/>
    <s v="Reid"/>
    <s v="Partner"/>
    <d v="2023-04-04T05:01:00"/>
    <s v="California"/>
    <s v="West"/>
    <n v="1967"/>
    <n v="117.24"/>
    <n v="7.5"/>
    <n v="21427700000000"/>
    <n v="88.2"/>
    <n v="101.8"/>
    <n v="9.6"/>
    <n v="36.6"/>
    <n v="328239523"/>
  </r>
  <r>
    <x v="209"/>
    <x v="209"/>
    <x v="10"/>
    <x v="1603"/>
    <x v="29"/>
    <x v="5"/>
    <x v="530"/>
    <x v="50"/>
    <x v="10"/>
    <s v="China"/>
    <m/>
    <x v="1"/>
    <s v="U"/>
    <x v="0"/>
    <d v="1959-01-01T00:00:00"/>
    <s v="Hu"/>
    <s v="Rongda"/>
    <m/>
    <d v="2023-04-04T05:01:00"/>
    <m/>
    <m/>
    <n v="1959"/>
    <n v="125.08"/>
    <n v="2.9"/>
    <n v="19910000000000"/>
    <n v="50.6"/>
    <n v="100.2"/>
    <n v="9.4"/>
    <n v="59.2"/>
    <n v="1397715000"/>
  </r>
  <r>
    <x v="209"/>
    <x v="209"/>
    <x v="11"/>
    <x v="1604"/>
    <x v="53"/>
    <x v="1"/>
    <x v="24"/>
    <x v="620"/>
    <x v="11"/>
    <s v="United States"/>
    <m/>
    <x v="0"/>
    <s v="D"/>
    <x v="0"/>
    <d v="1959-05-27T00:00:00"/>
    <s v="Hughes"/>
    <s v="B. Wayne"/>
    <m/>
    <d v="2023-04-04T05:01:00"/>
    <s v="Wyoming"/>
    <s v="South"/>
    <n v="1959"/>
    <n v="117.24"/>
    <n v="7.5"/>
    <n v="21427700000000"/>
    <n v="88.2"/>
    <n v="101.8"/>
    <n v="9.6"/>
    <n v="36.6"/>
    <n v="328239523"/>
  </r>
  <r>
    <x v="209"/>
    <x v="209"/>
    <x v="11"/>
    <x v="1605"/>
    <x v="25"/>
    <x v="10"/>
    <x v="36"/>
    <x v="36"/>
    <x v="11"/>
    <s v="Hong Kong"/>
    <m/>
    <x v="1"/>
    <s v="D"/>
    <x v="0"/>
    <d v="1950-07-01T00:00:00"/>
    <s v="Hui"/>
    <s v="Wing Mau"/>
    <m/>
    <d v="2023-04-04T05:01:00"/>
    <m/>
    <m/>
    <n v="1950"/>
    <m/>
    <m/>
    <m/>
    <m/>
    <m/>
    <m/>
    <m/>
    <m/>
  </r>
  <r>
    <x v="209"/>
    <x v="209"/>
    <x v="3"/>
    <x v="1606"/>
    <x v="29"/>
    <x v="1"/>
    <x v="87"/>
    <x v="122"/>
    <x v="3"/>
    <s v="United States"/>
    <m/>
    <x v="1"/>
    <s v="U"/>
    <x v="0"/>
    <d v="1959-02-09T00:00:00"/>
    <s v="Kapnick"/>
    <s v="Scott"/>
    <s v="Investor"/>
    <d v="2023-04-04T05:01:00"/>
    <s v="Florida"/>
    <s v="South"/>
    <n v="1959"/>
    <n v="117.24"/>
    <n v="7.5"/>
    <n v="21427700000000"/>
    <n v="88.2"/>
    <n v="101.8"/>
    <n v="9.6"/>
    <n v="36.6"/>
    <n v="328239523"/>
  </r>
  <r>
    <x v="209"/>
    <x v="209"/>
    <x v="3"/>
    <x v="1607"/>
    <x v="22"/>
    <x v="1"/>
    <x v="531"/>
    <x v="38"/>
    <x v="3"/>
    <s v="United States"/>
    <m/>
    <x v="1"/>
    <s v="U"/>
    <x v="0"/>
    <d v="1946-01-01T00:00:00"/>
    <s v="Kayne"/>
    <s v="Richard"/>
    <m/>
    <d v="2023-04-04T05:01:00"/>
    <s v="California"/>
    <s v="West"/>
    <n v="1946"/>
    <n v="117.24"/>
    <n v="7.5"/>
    <n v="21427700000000"/>
    <n v="88.2"/>
    <n v="101.8"/>
    <n v="9.6"/>
    <n v="36.6"/>
    <n v="328239523"/>
  </r>
  <r>
    <x v="209"/>
    <x v="209"/>
    <x v="3"/>
    <x v="1608"/>
    <x v="45"/>
    <x v="13"/>
    <x v="32"/>
    <x v="8"/>
    <x v="3"/>
    <s v="Poland"/>
    <m/>
    <x v="0"/>
    <s v="U"/>
    <x v="1"/>
    <d v="1977-07-30T00:00:00"/>
    <s v="Kulczyk"/>
    <s v="Dominika"/>
    <m/>
    <d v="2023-04-04T05:01:00"/>
    <m/>
    <m/>
    <n v="1977"/>
    <n v="119.62"/>
    <n v="1.7"/>
    <n v="2827113184696"/>
    <n v="60"/>
    <n v="101.2"/>
    <n v="25.5"/>
    <n v="30.6"/>
    <n v="66834405"/>
  </r>
  <r>
    <x v="209"/>
    <x v="209"/>
    <x v="3"/>
    <x v="1609"/>
    <x v="15"/>
    <x v="1"/>
    <x v="147"/>
    <x v="621"/>
    <x v="3"/>
    <s v="United States"/>
    <s v="ESL Investments Inc."/>
    <x v="1"/>
    <s v="U"/>
    <x v="0"/>
    <d v="1962-07-19T00:00:00"/>
    <s v="Lampert"/>
    <s v="Edward"/>
    <s v="Founder"/>
    <d v="2023-04-04T05:01:00"/>
    <s v="Florida"/>
    <s v="South"/>
    <n v="1962"/>
    <n v="117.24"/>
    <n v="7.5"/>
    <n v="21427700000000"/>
    <n v="88.2"/>
    <n v="101.8"/>
    <n v="9.6"/>
    <n v="36.6"/>
    <n v="328239523"/>
  </r>
  <r>
    <x v="209"/>
    <x v="209"/>
    <x v="6"/>
    <x v="1610"/>
    <x v="44"/>
    <x v="23"/>
    <x v="73"/>
    <x v="8"/>
    <x v="6"/>
    <s v="Thailand"/>
    <m/>
    <x v="0"/>
    <s v="N"/>
    <x v="0"/>
    <m/>
    <s v="Lamsam"/>
    <s v="Somsri"/>
    <m/>
    <d v="2023-04-04T05:01:00"/>
    <m/>
    <m/>
    <m/>
    <n v="113.27"/>
    <n v="0.7"/>
    <n v="543649976166"/>
    <n v="49.3"/>
    <n v="99.8"/>
    <n v="14.9"/>
    <n v="29.5"/>
    <n v="69625582"/>
  </r>
  <r>
    <x v="209"/>
    <x v="209"/>
    <x v="7"/>
    <x v="1611"/>
    <x v="18"/>
    <x v="1"/>
    <x v="532"/>
    <x v="54"/>
    <x v="7"/>
    <s v="United States"/>
    <s v="Leprino Foods"/>
    <x v="0"/>
    <s v="D"/>
    <x v="0"/>
    <d v="1937-11-22T00:00:00"/>
    <s v="Leprino"/>
    <s v="James"/>
    <s v="Chairman"/>
    <d v="2023-04-04T05:01:00"/>
    <s v="Colorado"/>
    <s v="West"/>
    <n v="1937"/>
    <n v="117.24"/>
    <n v="7.5"/>
    <n v="21427700000000"/>
    <n v="88.2"/>
    <n v="101.8"/>
    <n v="9.6"/>
    <n v="36.6"/>
    <n v="328239523"/>
  </r>
  <r>
    <x v="209"/>
    <x v="209"/>
    <x v="11"/>
    <x v="1612"/>
    <x v="38"/>
    <x v="1"/>
    <x v="533"/>
    <x v="36"/>
    <x v="11"/>
    <s v="United States"/>
    <m/>
    <x v="1"/>
    <s v="E"/>
    <x v="0"/>
    <d v="1961-11-21T00:00:00"/>
    <s v="Lichtenstein"/>
    <s v="David"/>
    <m/>
    <d v="2023-04-04T05:01:00"/>
    <s v="New York"/>
    <s v="Northeast"/>
    <n v="1961"/>
    <n v="117.24"/>
    <n v="7.5"/>
    <n v="21427700000000"/>
    <n v="88.2"/>
    <n v="101.8"/>
    <n v="9.6"/>
    <n v="36.6"/>
    <n v="328239523"/>
  </r>
  <r>
    <x v="209"/>
    <x v="209"/>
    <x v="11"/>
    <x v="1613"/>
    <x v="32"/>
    <x v="5"/>
    <x v="19"/>
    <x v="36"/>
    <x v="11"/>
    <s v="Hong Kong"/>
    <m/>
    <x v="1"/>
    <s v="E"/>
    <x v="0"/>
    <d v="1966-10-01T00:00:00"/>
    <s v="Lin"/>
    <s v="Dingqiang"/>
    <m/>
    <d v="2023-04-04T05:01:00"/>
    <m/>
    <m/>
    <n v="1966"/>
    <n v="125.08"/>
    <n v="2.9"/>
    <n v="19910000000000"/>
    <n v="50.6"/>
    <n v="100.2"/>
    <n v="9.4"/>
    <n v="59.2"/>
    <n v="1397715000"/>
  </r>
  <r>
    <x v="209"/>
    <x v="209"/>
    <x v="7"/>
    <x v="1614"/>
    <x v="9"/>
    <x v="1"/>
    <x v="115"/>
    <x v="188"/>
    <x v="7"/>
    <s v="United States"/>
    <m/>
    <x v="0"/>
    <s v="D"/>
    <x v="1"/>
    <d v="1954-01-01T00:00:00"/>
    <s v="MacMillan"/>
    <s v="Sarah"/>
    <m/>
    <d v="2023-04-04T05:01:00"/>
    <s v="California"/>
    <s v="West"/>
    <n v="1954"/>
    <n v="117.24"/>
    <n v="7.5"/>
    <n v="21427700000000"/>
    <n v="88.2"/>
    <n v="101.8"/>
    <n v="9.6"/>
    <n v="36.6"/>
    <n v="328239523"/>
  </r>
  <r>
    <x v="209"/>
    <x v="209"/>
    <x v="5"/>
    <x v="1615"/>
    <x v="34"/>
    <x v="13"/>
    <x v="32"/>
    <x v="7"/>
    <x v="5"/>
    <s v="Zimbabwe"/>
    <m/>
    <x v="1"/>
    <s v="D"/>
    <x v="0"/>
    <d v="1961-01-29T00:00:00"/>
    <s v="Masiyiwa"/>
    <s v="Strive"/>
    <m/>
    <d v="2023-04-04T05:01:00"/>
    <m/>
    <m/>
    <n v="1961"/>
    <n v="119.62"/>
    <n v="1.7"/>
    <n v="2827113184696"/>
    <n v="60"/>
    <n v="101.2"/>
    <n v="25.5"/>
    <n v="30.6"/>
    <n v="66834405"/>
  </r>
  <r>
    <x v="209"/>
    <x v="209"/>
    <x v="0"/>
    <x v="1616"/>
    <x v="58"/>
    <x v="10"/>
    <x v="36"/>
    <x v="21"/>
    <x v="0"/>
    <s v="United Kingdom"/>
    <m/>
    <x v="1"/>
    <s v="D"/>
    <x v="0"/>
    <d v="1933-05-23T00:00:00"/>
    <s v="Miller"/>
    <s v="Robert"/>
    <m/>
    <d v="2023-04-04T05:01:00"/>
    <m/>
    <m/>
    <n v="1933"/>
    <m/>
    <m/>
    <m/>
    <m/>
    <m/>
    <m/>
    <m/>
    <m/>
  </r>
  <r>
    <x v="209"/>
    <x v="209"/>
    <x v="2"/>
    <x v="1617"/>
    <x v="42"/>
    <x v="13"/>
    <x v="534"/>
    <x v="622"/>
    <x v="2"/>
    <s v="United Kingdom"/>
    <m/>
    <x v="1"/>
    <s v="U"/>
    <x v="0"/>
    <d v="1967-08-01T00:00:00"/>
    <s v="Nixon"/>
    <s v="Simon"/>
    <m/>
    <d v="2023-04-04T05:01:00"/>
    <m/>
    <m/>
    <n v="1967"/>
    <n v="119.62"/>
    <n v="1.7"/>
    <n v="2827113184696"/>
    <n v="60"/>
    <n v="101.2"/>
    <n v="25.5"/>
    <n v="30.6"/>
    <n v="66834405"/>
  </r>
  <r>
    <x v="209"/>
    <x v="209"/>
    <x v="7"/>
    <x v="1618"/>
    <x v="0"/>
    <x v="12"/>
    <x v="31"/>
    <x v="163"/>
    <x v="7"/>
    <s v="Japan"/>
    <m/>
    <x v="1"/>
    <s v="U"/>
    <x v="0"/>
    <d v="1948-07-01T00:00:00"/>
    <s v="Ogawa"/>
    <s v="Kentaro"/>
    <m/>
    <d v="2023-04-04T05:01:00"/>
    <m/>
    <m/>
    <n v="1948"/>
    <n v="105.48"/>
    <n v="0.5"/>
    <n v="5081769542380"/>
    <n v="63.2"/>
    <n v="98.8"/>
    <n v="11.9"/>
    <n v="46.7"/>
    <n v="126226568"/>
  </r>
  <r>
    <x v="209"/>
    <x v="209"/>
    <x v="10"/>
    <x v="1619"/>
    <x v="8"/>
    <x v="3"/>
    <x v="7"/>
    <x v="463"/>
    <x v="10"/>
    <s v="India"/>
    <m/>
    <x v="0"/>
    <s v="D"/>
    <x v="0"/>
    <d v="1957-06-23T00:00:00"/>
    <s v="Parekh"/>
    <s v="Ajay"/>
    <m/>
    <d v="2023-04-04T05:01:00"/>
    <m/>
    <m/>
    <n v="1957"/>
    <n v="180.44"/>
    <n v="7.7"/>
    <n v="2611000000000"/>
    <n v="28.1"/>
    <n v="113"/>
    <n v="11.2"/>
    <n v="49.7"/>
    <n v="1366417754"/>
  </r>
  <r>
    <x v="209"/>
    <x v="209"/>
    <x v="10"/>
    <x v="1620"/>
    <x v="30"/>
    <x v="3"/>
    <x v="7"/>
    <x v="463"/>
    <x v="10"/>
    <s v="India"/>
    <m/>
    <x v="0"/>
    <s v="D"/>
    <x v="0"/>
    <d v="1938-04-17T00:00:00"/>
    <s v="Parekh"/>
    <s v="Narendrakumar"/>
    <m/>
    <d v="2023-04-04T05:01:00"/>
    <m/>
    <m/>
    <n v="1938"/>
    <n v="180.44"/>
    <n v="7.7"/>
    <n v="2611000000000"/>
    <n v="28.1"/>
    <n v="113"/>
    <n v="11.2"/>
    <n v="49.7"/>
    <n v="1366417754"/>
  </r>
  <r>
    <x v="209"/>
    <x v="209"/>
    <x v="3"/>
    <x v="1621"/>
    <x v="25"/>
    <x v="1"/>
    <x v="54"/>
    <x v="231"/>
    <x v="3"/>
    <s v="United States"/>
    <s v="Tawani Enterprises"/>
    <x v="0"/>
    <s v="D"/>
    <x v="1"/>
    <d v="1950-08-13T00:00:00"/>
    <s v="Pritzker"/>
    <s v="Jennifer"/>
    <s v="CEO"/>
    <d v="2023-04-04T05:01:00"/>
    <s v="Illinois"/>
    <s v="Midwest"/>
    <n v="1950"/>
    <n v="117.24"/>
    <n v="7.5"/>
    <n v="21427700000000"/>
    <n v="88.2"/>
    <n v="101.8"/>
    <n v="9.6"/>
    <n v="36.6"/>
    <n v="328239523"/>
  </r>
  <r>
    <x v="209"/>
    <x v="209"/>
    <x v="0"/>
    <x v="1622"/>
    <x v="35"/>
    <x v="3"/>
    <x v="463"/>
    <x v="623"/>
    <x v="0"/>
    <s v="India"/>
    <m/>
    <x v="1"/>
    <s v="U"/>
    <x v="0"/>
    <d v="1942-10-05T00:00:00"/>
    <s v="Rajendran"/>
    <s v="G."/>
    <m/>
    <d v="2023-04-04T05:01:00"/>
    <m/>
    <m/>
    <n v="1942"/>
    <n v="180.44"/>
    <n v="7.7"/>
    <n v="2611000000000"/>
    <n v="28.1"/>
    <n v="113"/>
    <n v="11.2"/>
    <n v="49.7"/>
    <n v="1366417754"/>
  </r>
  <r>
    <x v="209"/>
    <x v="209"/>
    <x v="10"/>
    <x v="1623"/>
    <x v="37"/>
    <x v="5"/>
    <x v="12"/>
    <x v="242"/>
    <x v="10"/>
    <s v="China"/>
    <m/>
    <x v="1"/>
    <s v="D"/>
    <x v="0"/>
    <d v="1956-08-01T00:00:00"/>
    <s v="Ren"/>
    <s v="Jianhua"/>
    <m/>
    <d v="2023-04-04T05:01:00"/>
    <m/>
    <m/>
    <n v="1956"/>
    <n v="125.08"/>
    <n v="2.9"/>
    <n v="19910000000000"/>
    <n v="50.6"/>
    <n v="100.2"/>
    <n v="9.4"/>
    <n v="59.2"/>
    <n v="1397715000"/>
  </r>
  <r>
    <x v="209"/>
    <x v="209"/>
    <x v="3"/>
    <x v="1624"/>
    <x v="52"/>
    <x v="1"/>
    <x v="535"/>
    <x v="28"/>
    <x v="3"/>
    <s v="United States"/>
    <s v="Glenview Capital Management"/>
    <x v="1"/>
    <s v="E"/>
    <x v="0"/>
    <d v="1969-10-21T00:00:00"/>
    <s v="Robbins"/>
    <s v="Larry"/>
    <s v="Investor"/>
    <d v="2023-04-04T05:01:00"/>
    <s v="New Jersey"/>
    <s v="Northeast"/>
    <n v="1969"/>
    <n v="117.24"/>
    <n v="7.5"/>
    <n v="21427700000000"/>
    <n v="88.2"/>
    <n v="101.8"/>
    <n v="9.6"/>
    <n v="36.6"/>
    <n v="328239523"/>
  </r>
  <r>
    <x v="209"/>
    <x v="209"/>
    <x v="16"/>
    <x v="1625"/>
    <x v="6"/>
    <x v="1"/>
    <x v="43"/>
    <x v="624"/>
    <x v="16"/>
    <s v="United States"/>
    <m/>
    <x v="1"/>
    <s v="E"/>
    <x v="0"/>
    <d v="1942-02-08T00:00:00"/>
    <s v="Schar"/>
    <s v="Dwight"/>
    <m/>
    <d v="2023-04-04T05:01:00"/>
    <s v="Florida"/>
    <s v="South"/>
    <n v="1942"/>
    <n v="117.24"/>
    <n v="7.5"/>
    <n v="21427700000000"/>
    <n v="88.2"/>
    <n v="101.8"/>
    <n v="9.6"/>
    <n v="36.6"/>
    <n v="328239523"/>
  </r>
  <r>
    <x v="209"/>
    <x v="209"/>
    <x v="13"/>
    <x v="1626"/>
    <x v="44"/>
    <x v="5"/>
    <x v="12"/>
    <x v="625"/>
    <x v="13"/>
    <s v="China"/>
    <m/>
    <x v="1"/>
    <s v="U"/>
    <x v="0"/>
    <m/>
    <s v="Shao"/>
    <s v="Jianxiong"/>
    <m/>
    <d v="2023-04-04T05:01:00"/>
    <m/>
    <m/>
    <m/>
    <n v="125.08"/>
    <n v="2.9"/>
    <n v="19910000000000"/>
    <n v="50.6"/>
    <n v="100.2"/>
    <n v="9.4"/>
    <n v="59.2"/>
    <n v="1397715000"/>
  </r>
  <r>
    <x v="209"/>
    <x v="209"/>
    <x v="10"/>
    <x v="1627"/>
    <x v="13"/>
    <x v="5"/>
    <x v="12"/>
    <x v="8"/>
    <x v="10"/>
    <s v="China"/>
    <m/>
    <x v="1"/>
    <s v="U"/>
    <x v="0"/>
    <d v="1954-09-01T00:00:00"/>
    <s v="Shao"/>
    <s v="Qinxiang"/>
    <m/>
    <d v="2023-04-04T05:01:00"/>
    <m/>
    <m/>
    <n v="1954"/>
    <n v="125.08"/>
    <n v="2.9"/>
    <n v="19910000000000"/>
    <n v="50.6"/>
    <n v="100.2"/>
    <n v="9.4"/>
    <n v="59.2"/>
    <n v="1397715000"/>
  </r>
  <r>
    <x v="209"/>
    <x v="209"/>
    <x v="2"/>
    <x v="1628"/>
    <x v="15"/>
    <x v="5"/>
    <x v="316"/>
    <x v="58"/>
    <x v="2"/>
    <s v="United States"/>
    <m/>
    <x v="1"/>
    <s v="D"/>
    <x v="0"/>
    <d v="1963-01-01T00:00:00"/>
    <s v="Shen"/>
    <s v="Hua"/>
    <m/>
    <d v="2023-04-04T05:01:00"/>
    <m/>
    <m/>
    <n v="1963"/>
    <n v="125.08"/>
    <n v="2.9"/>
    <n v="19910000000000"/>
    <n v="50.6"/>
    <n v="100.2"/>
    <n v="9.4"/>
    <n v="59.2"/>
    <n v="1397715000"/>
  </r>
  <r>
    <x v="209"/>
    <x v="209"/>
    <x v="10"/>
    <x v="1629"/>
    <x v="28"/>
    <x v="35"/>
    <x v="536"/>
    <x v="609"/>
    <x v="10"/>
    <s v="Taiwan"/>
    <m/>
    <x v="1"/>
    <s v="D"/>
    <x v="0"/>
    <d v="1928-02-01T00:00:00"/>
    <s v="Shi"/>
    <s v="Wen-long"/>
    <m/>
    <d v="2023-04-04T05:01:00"/>
    <m/>
    <m/>
    <n v="1928"/>
    <m/>
    <m/>
    <m/>
    <m/>
    <m/>
    <m/>
    <m/>
    <m/>
  </r>
  <r>
    <x v="209"/>
    <x v="209"/>
    <x v="3"/>
    <x v="1630"/>
    <x v="16"/>
    <x v="15"/>
    <x v="537"/>
    <x v="38"/>
    <x v="3"/>
    <s v="Indonesia"/>
    <m/>
    <x v="1"/>
    <s v="D"/>
    <x v="0"/>
    <d v="1950-02-26T00:00:00"/>
    <s v="Sondakh"/>
    <s v="Peter"/>
    <m/>
    <d v="2023-04-04T05:01:00"/>
    <m/>
    <m/>
    <n v="1950"/>
    <n v="151.18"/>
    <n v="3"/>
    <n v="1119190780753"/>
    <n v="36.299999999999997"/>
    <n v="106.4"/>
    <n v="10.199999999999999"/>
    <n v="30.1"/>
    <n v="270203917"/>
  </r>
  <r>
    <x v="209"/>
    <x v="209"/>
    <x v="7"/>
    <x v="1631"/>
    <x v="53"/>
    <x v="1"/>
    <x v="57"/>
    <x v="188"/>
    <x v="7"/>
    <s v="United States"/>
    <m/>
    <x v="0"/>
    <s v="D"/>
    <x v="1"/>
    <d v="1960-01-01T00:00:00"/>
    <s v="Stitzer"/>
    <s v="Lucy"/>
    <m/>
    <d v="2023-04-04T05:01:00"/>
    <s v="Connecticut"/>
    <s v="Northeast"/>
    <n v="1960"/>
    <n v="117.24"/>
    <n v="7.5"/>
    <n v="21427700000000"/>
    <n v="88.2"/>
    <n v="101.8"/>
    <n v="9.6"/>
    <n v="36.6"/>
    <n v="328239523"/>
  </r>
  <r>
    <x v="209"/>
    <x v="209"/>
    <x v="6"/>
    <x v="1632"/>
    <x v="36"/>
    <x v="34"/>
    <x v="137"/>
    <x v="8"/>
    <x v="6"/>
    <s v="Philippines"/>
    <m/>
    <x v="0"/>
    <s v="D"/>
    <x v="1"/>
    <d v="1952-06-01T00:00:00"/>
    <s v="Sy"/>
    <s v="Elizabeth"/>
    <m/>
    <d v="2023-04-04T05:01:00"/>
    <m/>
    <m/>
    <n v="1952"/>
    <n v="129.61000000000001"/>
    <n v="2.5"/>
    <n v="376795508680"/>
    <n v="35.5"/>
    <n v="107.5"/>
    <n v="14"/>
    <n v="43.1"/>
    <n v="108116615"/>
  </r>
  <r>
    <x v="209"/>
    <x v="209"/>
    <x v="10"/>
    <x v="1633"/>
    <x v="15"/>
    <x v="15"/>
    <x v="537"/>
    <x v="89"/>
    <x v="10"/>
    <s v="Indonesia"/>
    <m/>
    <x v="0"/>
    <s v="Split Family Fortune"/>
    <x v="0"/>
    <d v="1962-09-17T00:00:00"/>
    <s v="Tanoko"/>
    <s v="Hermanto"/>
    <m/>
    <d v="2023-04-04T05:01:00"/>
    <m/>
    <m/>
    <n v="1962"/>
    <n v="151.18"/>
    <n v="3"/>
    <n v="1119190780753"/>
    <n v="36.299999999999997"/>
    <n v="106.4"/>
    <n v="10.199999999999999"/>
    <n v="30.1"/>
    <n v="270203917"/>
  </r>
  <r>
    <x v="209"/>
    <x v="209"/>
    <x v="16"/>
    <x v="1634"/>
    <x v="29"/>
    <x v="47"/>
    <x v="228"/>
    <x v="300"/>
    <x v="16"/>
    <s v="Turkey"/>
    <m/>
    <x v="0"/>
    <s v="U"/>
    <x v="0"/>
    <d v="1958-05-24T00:00:00"/>
    <s v="Tara"/>
    <s v="Mehmet Sinan"/>
    <m/>
    <d v="2023-04-04T05:01:00"/>
    <m/>
    <m/>
    <n v="1958"/>
    <n v="234.44"/>
    <n v="15.2"/>
    <n v="754411708203"/>
    <n v="23.9"/>
    <n v="93.2"/>
    <n v="17.899999999999999"/>
    <n v="42.3"/>
    <n v="83429615"/>
  </r>
  <r>
    <x v="209"/>
    <x v="209"/>
    <x v="0"/>
    <x v="1635"/>
    <x v="31"/>
    <x v="12"/>
    <x v="538"/>
    <x v="146"/>
    <x v="0"/>
    <s v="Japan"/>
    <m/>
    <x v="1"/>
    <s v="D"/>
    <x v="0"/>
    <d v="1947-02-06T00:00:00"/>
    <s v="Uno"/>
    <s v="Masateru"/>
    <m/>
    <d v="2023-04-04T05:01:00"/>
    <m/>
    <m/>
    <n v="1947"/>
    <n v="105.48"/>
    <n v="0.5"/>
    <n v="5081769542380"/>
    <n v="63.2"/>
    <n v="98.8"/>
    <n v="11.9"/>
    <n v="46.7"/>
    <n v="126226568"/>
  </r>
  <r>
    <x v="209"/>
    <x v="209"/>
    <x v="13"/>
    <x v="1636"/>
    <x v="40"/>
    <x v="46"/>
    <x v="539"/>
    <x v="626"/>
    <x v="13"/>
    <s v="Greece"/>
    <m/>
    <x v="1"/>
    <s v="U"/>
    <x v="0"/>
    <d v="1933-01-01T00:00:00"/>
    <s v="Vardinoyannis &amp; family"/>
    <s v="Vardis"/>
    <m/>
    <d v="2023-04-04T05:01:00"/>
    <m/>
    <m/>
    <n v="1933"/>
    <n v="101.87"/>
    <n v="0.2"/>
    <n v="209852761469"/>
    <n v="136.6"/>
    <n v="99.6"/>
    <n v="26.2"/>
    <n v="51.9"/>
    <n v="10716322"/>
  </r>
  <r>
    <x v="209"/>
    <x v="209"/>
    <x v="11"/>
    <x v="1637"/>
    <x v="41"/>
    <x v="3"/>
    <x v="123"/>
    <x v="36"/>
    <x v="11"/>
    <s v="India"/>
    <m/>
    <x v="0"/>
    <s v="D"/>
    <x v="0"/>
    <d v="1966-02-18T00:00:00"/>
    <s v="Virwani"/>
    <s v="Jitendra"/>
    <m/>
    <d v="2023-04-04T05:01:00"/>
    <m/>
    <m/>
    <n v="1966"/>
    <n v="180.44"/>
    <n v="7.7"/>
    <n v="2611000000000"/>
    <n v="28.1"/>
    <n v="113"/>
    <n v="11.2"/>
    <n v="49.7"/>
    <n v="1366417754"/>
  </r>
  <r>
    <x v="209"/>
    <x v="209"/>
    <x v="11"/>
    <x v="1638"/>
    <x v="5"/>
    <x v="5"/>
    <x v="540"/>
    <x v="36"/>
    <x v="11"/>
    <s v="China"/>
    <m/>
    <x v="1"/>
    <s v="E"/>
    <x v="0"/>
    <d v="1956-01-01T00:00:00"/>
    <s v="Wang"/>
    <s v="Chaobin"/>
    <m/>
    <d v="2023-04-04T05:01:00"/>
    <m/>
    <m/>
    <n v="1956"/>
    <n v="125.08"/>
    <n v="2.9"/>
    <n v="19910000000000"/>
    <n v="50.6"/>
    <n v="100.2"/>
    <n v="9.4"/>
    <n v="59.2"/>
    <n v="1397715000"/>
  </r>
  <r>
    <x v="209"/>
    <x v="209"/>
    <x v="0"/>
    <x v="1639"/>
    <x v="56"/>
    <x v="5"/>
    <x v="540"/>
    <x v="21"/>
    <x v="0"/>
    <s v="Taiwan"/>
    <m/>
    <x v="1"/>
    <s v="D"/>
    <x v="0"/>
    <d v="1931-12-01T00:00:00"/>
    <s v="Wang"/>
    <s v="Ren-sheng"/>
    <m/>
    <d v="2023-04-04T05:01:00"/>
    <m/>
    <m/>
    <n v="1931"/>
    <n v="125.08"/>
    <n v="2.9"/>
    <n v="19910000000000"/>
    <n v="50.6"/>
    <n v="100.2"/>
    <n v="9.4"/>
    <n v="59.2"/>
    <n v="1397715000"/>
  </r>
  <r>
    <x v="209"/>
    <x v="209"/>
    <x v="7"/>
    <x v="1640"/>
    <x v="35"/>
    <x v="1"/>
    <x v="169"/>
    <x v="323"/>
    <x v="7"/>
    <s v="United States"/>
    <s v="Campbell Soup"/>
    <x v="0"/>
    <s v="U"/>
    <x v="1"/>
    <d v="1942-11-19T00:00:00"/>
    <s v="Weber"/>
    <s v="Charlotte Colket"/>
    <s v="Director"/>
    <d v="2023-04-04T05:01:00"/>
    <s v="Florida"/>
    <s v="South"/>
    <n v="1942"/>
    <n v="117.24"/>
    <n v="7.5"/>
    <n v="21427700000000"/>
    <n v="88.2"/>
    <n v="101.8"/>
    <n v="9.6"/>
    <n v="36.6"/>
    <n v="328239523"/>
  </r>
  <r>
    <x v="209"/>
    <x v="209"/>
    <x v="14"/>
    <x v="1641"/>
    <x v="25"/>
    <x v="5"/>
    <x v="454"/>
    <x v="83"/>
    <x v="14"/>
    <s v="China"/>
    <m/>
    <x v="0"/>
    <s v="D"/>
    <x v="1"/>
    <d v="1951-01-01T00:00:00"/>
    <s v="Xie"/>
    <s v="Juhua"/>
    <m/>
    <d v="2023-04-04T05:01:00"/>
    <m/>
    <m/>
    <n v="1951"/>
    <n v="125.08"/>
    <n v="2.9"/>
    <n v="19910000000000"/>
    <n v="50.6"/>
    <n v="100.2"/>
    <n v="9.4"/>
    <n v="59.2"/>
    <n v="1397715000"/>
  </r>
  <r>
    <x v="209"/>
    <x v="209"/>
    <x v="10"/>
    <x v="1642"/>
    <x v="50"/>
    <x v="5"/>
    <x v="12"/>
    <x v="627"/>
    <x v="10"/>
    <s v="China"/>
    <s v="Transfar Group"/>
    <x v="1"/>
    <s v="D"/>
    <x v="0"/>
    <d v="1935-01-01T00:00:00"/>
    <s v="Xu"/>
    <s v="Chuanhua"/>
    <s v="Founder"/>
    <d v="2023-04-04T05:01:00"/>
    <m/>
    <m/>
    <n v="1935"/>
    <n v="125.08"/>
    <n v="2.9"/>
    <n v="19910000000000"/>
    <n v="50.6"/>
    <n v="100.2"/>
    <n v="9.4"/>
    <n v="59.2"/>
    <n v="1397715000"/>
  </r>
  <r>
    <x v="209"/>
    <x v="209"/>
    <x v="3"/>
    <x v="1643"/>
    <x v="8"/>
    <x v="27"/>
    <x v="25"/>
    <x v="628"/>
    <x v="3"/>
    <s v="Russia"/>
    <m/>
    <x v="1"/>
    <s v="U"/>
    <x v="0"/>
    <d v="1957-07-23T00:00:00"/>
    <s v="Yushvaev"/>
    <s v="Gavril"/>
    <m/>
    <d v="2023-04-04T05:01:00"/>
    <m/>
    <m/>
    <n v="1957"/>
    <n v="108.15"/>
    <n v="0.8"/>
    <n v="395098666122"/>
    <n v="63.4"/>
    <n v="104.9"/>
    <n v="23.1"/>
    <n v="25.3"/>
    <n v="9053300"/>
  </r>
  <r>
    <x v="209"/>
    <x v="209"/>
    <x v="6"/>
    <x v="1644"/>
    <x v="13"/>
    <x v="5"/>
    <x v="19"/>
    <x v="629"/>
    <x v="6"/>
    <s v="China"/>
    <m/>
    <x v="1"/>
    <s v="D"/>
    <x v="0"/>
    <d v="1954-12-26T00:00:00"/>
    <s v="Zhang"/>
    <s v="Hongwei"/>
    <m/>
    <d v="2023-04-04T05:01:00"/>
    <m/>
    <m/>
    <n v="1954"/>
    <n v="125.08"/>
    <n v="2.9"/>
    <n v="19910000000000"/>
    <n v="50.6"/>
    <n v="100.2"/>
    <n v="9.4"/>
    <n v="59.2"/>
    <n v="1397715000"/>
  </r>
  <r>
    <x v="209"/>
    <x v="209"/>
    <x v="10"/>
    <x v="1645"/>
    <x v="48"/>
    <x v="1"/>
    <x v="232"/>
    <x v="50"/>
    <x v="10"/>
    <s v="United States"/>
    <m/>
    <x v="0"/>
    <s v="U"/>
    <x v="1"/>
    <d v="1952-01-19T00:00:00"/>
    <s v="Zucker"/>
    <s v="Anita"/>
    <m/>
    <d v="2023-04-04T05:01:00"/>
    <s v="South Carolina"/>
    <s v="South"/>
    <n v="1952"/>
    <n v="117.24"/>
    <n v="7.5"/>
    <n v="21427700000000"/>
    <n v="88.2"/>
    <n v="101.8"/>
    <n v="9.6"/>
    <n v="36.6"/>
    <n v="328239523"/>
  </r>
  <r>
    <x v="210"/>
    <x v="210"/>
    <x v="2"/>
    <x v="1646"/>
    <x v="27"/>
    <x v="14"/>
    <x v="83"/>
    <x v="117"/>
    <x v="2"/>
    <s v="Australia"/>
    <m/>
    <x v="1"/>
    <s v="D"/>
    <x v="0"/>
    <d v="1979-12-26T00:00:00"/>
    <s v="Adams"/>
    <s v="Cameron"/>
    <m/>
    <d v="2023-04-04T05:01:00"/>
    <m/>
    <m/>
    <n v="1979"/>
    <n v="119.8"/>
    <n v="1.6"/>
    <n v="1392680589329"/>
    <n v="113.1"/>
    <n v="100.3"/>
    <n v="23"/>
    <n v="47.4"/>
    <n v="25766605"/>
  </r>
  <r>
    <x v="210"/>
    <x v="210"/>
    <x v="0"/>
    <x v="1647"/>
    <x v="1"/>
    <x v="13"/>
    <x v="25"/>
    <x v="400"/>
    <x v="0"/>
    <s v="United Kingdom"/>
    <m/>
    <x v="0"/>
    <s v="Split Family Fortune"/>
    <x v="0"/>
    <d v="1972-03-04T00:00:00"/>
    <s v="Adderley"/>
    <s v="Will"/>
    <m/>
    <d v="2023-04-04T05:01:00"/>
    <m/>
    <m/>
    <n v="1972"/>
    <n v="119.62"/>
    <n v="1.7"/>
    <n v="2827113184696"/>
    <n v="60"/>
    <n v="101.2"/>
    <n v="25.5"/>
    <n v="30.6"/>
    <n v="66834405"/>
  </r>
  <r>
    <x v="210"/>
    <x v="210"/>
    <x v="6"/>
    <x v="1648"/>
    <x v="43"/>
    <x v="68"/>
    <x v="541"/>
    <x v="630"/>
    <x v="6"/>
    <s v="Qatar"/>
    <m/>
    <x v="1"/>
    <s v="D"/>
    <x v="0"/>
    <d v="1948-01-01T00:00:00"/>
    <s v="Al Thani"/>
    <s v="Faisal Bin Qassim"/>
    <m/>
    <d v="2023-04-04T05:01:00"/>
    <m/>
    <m/>
    <n v="1948"/>
    <n v="115.38"/>
    <n v="-0.7"/>
    <n v="183466208791"/>
    <n v="17.899999999999999"/>
    <n v="103.8"/>
    <n v="14.7"/>
    <n v="11.3"/>
    <n v="2832067"/>
  </r>
  <r>
    <x v="210"/>
    <x v="210"/>
    <x v="17"/>
    <x v="1649"/>
    <x v="55"/>
    <x v="1"/>
    <x v="102"/>
    <x v="631"/>
    <x v="17"/>
    <s v="United States"/>
    <m/>
    <x v="1"/>
    <s v="E"/>
    <x v="0"/>
    <d v="1943-06-30T00:00:00"/>
    <s v="Alexander"/>
    <s v="Leslie"/>
    <m/>
    <d v="2023-04-04T05:01:00"/>
    <s v="Texas"/>
    <s v="South"/>
    <n v="1943"/>
    <n v="117.24"/>
    <n v="7.5"/>
    <n v="21427700000000"/>
    <n v="88.2"/>
    <n v="101.8"/>
    <n v="9.6"/>
    <n v="36.6"/>
    <n v="328239523"/>
  </r>
  <r>
    <x v="210"/>
    <x v="210"/>
    <x v="11"/>
    <x v="1650"/>
    <x v="41"/>
    <x v="12"/>
    <x v="31"/>
    <x v="632"/>
    <x v="11"/>
    <s v="Japan"/>
    <m/>
    <x v="1"/>
    <s v="D"/>
    <x v="0"/>
    <d v="1965-10-29T00:00:00"/>
    <s v="Arai"/>
    <s v="Masaaki"/>
    <m/>
    <d v="2023-04-04T05:01:00"/>
    <m/>
    <m/>
    <n v="1965"/>
    <n v="105.48"/>
    <n v="0.5"/>
    <n v="5081769542380"/>
    <n v="63.2"/>
    <n v="98.8"/>
    <n v="11.9"/>
    <n v="46.7"/>
    <n v="126226568"/>
  </r>
  <r>
    <x v="210"/>
    <x v="210"/>
    <x v="0"/>
    <x v="1651"/>
    <x v="12"/>
    <x v="28"/>
    <x v="312"/>
    <x v="403"/>
    <x v="0"/>
    <s v="Italy"/>
    <m/>
    <x v="0"/>
    <s v="U"/>
    <x v="1"/>
    <d v="1973-10-04T00:00:00"/>
    <s v="Benetton"/>
    <s v="Sabrina"/>
    <m/>
    <d v="2023-04-04T05:01:00"/>
    <m/>
    <m/>
    <n v="1973"/>
    <n v="110.62"/>
    <n v="0.6"/>
    <n v="2001244392042"/>
    <n v="61.9"/>
    <n v="101.9"/>
    <n v="24.3"/>
    <n v="59.1"/>
    <n v="60297396"/>
  </r>
  <r>
    <x v="210"/>
    <x v="210"/>
    <x v="2"/>
    <x v="1652"/>
    <x v="2"/>
    <x v="3"/>
    <x v="41"/>
    <x v="633"/>
    <x v="2"/>
    <s v="India"/>
    <m/>
    <x v="1"/>
    <s v="D"/>
    <x v="0"/>
    <d v="1963-06-29T00:00:00"/>
    <s v="Bikhchandani"/>
    <s v="Sanjeev"/>
    <m/>
    <d v="2023-04-04T05:01:00"/>
    <m/>
    <m/>
    <n v="1963"/>
    <n v="180.44"/>
    <n v="7.7"/>
    <n v="2611000000000"/>
    <n v="28.1"/>
    <n v="113"/>
    <n v="11.2"/>
    <n v="49.7"/>
    <n v="1366417754"/>
  </r>
  <r>
    <x v="210"/>
    <x v="210"/>
    <x v="3"/>
    <x v="1653"/>
    <x v="17"/>
    <x v="1"/>
    <x v="5"/>
    <x v="28"/>
    <x v="3"/>
    <s v="United States"/>
    <m/>
    <x v="1"/>
    <s v="E"/>
    <x v="0"/>
    <d v="1964-07-04T00:00:00"/>
    <s v="Biondi"/>
    <s v="O. Francis"/>
    <m/>
    <d v="2023-04-04T05:01:00"/>
    <s v="New York"/>
    <s v="Northeast"/>
    <n v="1964"/>
    <n v="117.24"/>
    <n v="7.5"/>
    <n v="21427700000000"/>
    <n v="88.2"/>
    <n v="101.8"/>
    <n v="9.6"/>
    <n v="36.6"/>
    <n v="328239523"/>
  </r>
  <r>
    <x v="210"/>
    <x v="210"/>
    <x v="13"/>
    <x v="1654"/>
    <x v="3"/>
    <x v="69"/>
    <x v="542"/>
    <x v="69"/>
    <x v="13"/>
    <s v="Argentina"/>
    <m/>
    <x v="0"/>
    <s v="D"/>
    <x v="0"/>
    <d v="1944-11-01T00:00:00"/>
    <s v="Bulgheroni"/>
    <s v="Alejandro"/>
    <m/>
    <d v="2023-04-04T05:01:00"/>
    <m/>
    <m/>
    <n v="1944"/>
    <n v="202.92"/>
    <n v="7.9"/>
    <n v="56045912952"/>
    <n v="63.1"/>
    <n v="108.5"/>
    <n v="20.100000000000001"/>
    <n v="41.8"/>
    <n v="3461734"/>
  </r>
  <r>
    <x v="210"/>
    <x v="210"/>
    <x v="7"/>
    <x v="1655"/>
    <x v="0"/>
    <x v="3"/>
    <x v="463"/>
    <x v="294"/>
    <x v="7"/>
    <s v="India"/>
    <m/>
    <x v="1"/>
    <s v="D"/>
    <x v="0"/>
    <d v="1949-03-01T00:00:00"/>
    <s v="Chandramogan"/>
    <s v="R.G."/>
    <m/>
    <d v="2023-04-04T05:01:00"/>
    <m/>
    <m/>
    <n v="1949"/>
    <n v="180.44"/>
    <n v="7.7"/>
    <n v="2611000000000"/>
    <n v="28.1"/>
    <n v="113"/>
    <n v="11.2"/>
    <n v="49.7"/>
    <n v="1366417754"/>
  </r>
  <r>
    <x v="210"/>
    <x v="210"/>
    <x v="6"/>
    <x v="1656"/>
    <x v="5"/>
    <x v="70"/>
    <x v="543"/>
    <x v="8"/>
    <x v="6"/>
    <s v="Nepal"/>
    <m/>
    <x v="0"/>
    <s v="U"/>
    <x v="0"/>
    <d v="1955-04-14T00:00:00"/>
    <s v="Chaudhary"/>
    <s v="Binod"/>
    <m/>
    <d v="2023-04-04T05:01:00"/>
    <m/>
    <m/>
    <n v="1955"/>
    <n v="188.73"/>
    <n v="5.6"/>
    <n v="30641380604"/>
    <n v="12.4"/>
    <n v="142.1"/>
    <n v="20.7"/>
    <n v="41.8"/>
    <n v="28608710"/>
  </r>
  <r>
    <x v="210"/>
    <x v="210"/>
    <x v="2"/>
    <x v="1657"/>
    <x v="57"/>
    <x v="1"/>
    <x v="120"/>
    <x v="117"/>
    <x v="2"/>
    <s v="United States"/>
    <m/>
    <x v="1"/>
    <s v="N"/>
    <x v="0"/>
    <d v="1980-04-13T00:00:00"/>
    <s v="Conrad"/>
    <s v="Parker"/>
    <m/>
    <d v="2023-04-04T05:01:00"/>
    <s v="California"/>
    <s v="West"/>
    <n v="1980"/>
    <n v="117.24"/>
    <n v="7.5"/>
    <n v="21427700000000"/>
    <n v="88.2"/>
    <n v="101.8"/>
    <n v="9.6"/>
    <n v="36.6"/>
    <n v="328239523"/>
  </r>
  <r>
    <x v="210"/>
    <x v="210"/>
    <x v="2"/>
    <x v="1658"/>
    <x v="34"/>
    <x v="1"/>
    <x v="544"/>
    <x v="634"/>
    <x v="2"/>
    <s v="United States"/>
    <s v="Apple"/>
    <x v="1"/>
    <s v="D"/>
    <x v="0"/>
    <d v="1960-11-01T00:00:00"/>
    <s v="Cook"/>
    <s v="Tim"/>
    <s v="CEO"/>
    <d v="2023-04-04T05:01:00"/>
    <s v="California"/>
    <s v="West"/>
    <n v="1960"/>
    <n v="117.24"/>
    <n v="7.5"/>
    <n v="21427700000000"/>
    <n v="88.2"/>
    <n v="101.8"/>
    <n v="9.6"/>
    <n v="36.6"/>
    <n v="328239523"/>
  </r>
  <r>
    <x v="210"/>
    <x v="210"/>
    <x v="3"/>
    <x v="1659"/>
    <x v="34"/>
    <x v="13"/>
    <x v="32"/>
    <x v="224"/>
    <x v="3"/>
    <s v="United Kingdom"/>
    <m/>
    <x v="1"/>
    <s v="E"/>
    <x v="0"/>
    <d v="1961-01-01T00:00:00"/>
    <s v="Coombs"/>
    <s v="Mark"/>
    <m/>
    <d v="2023-04-04T05:01:00"/>
    <m/>
    <m/>
    <n v="1961"/>
    <n v="119.62"/>
    <n v="1.7"/>
    <n v="2827113184696"/>
    <n v="60"/>
    <n v="101.2"/>
    <n v="25.5"/>
    <n v="30.6"/>
    <n v="66834405"/>
  </r>
  <r>
    <x v="210"/>
    <x v="210"/>
    <x v="4"/>
    <x v="1660"/>
    <x v="13"/>
    <x v="41"/>
    <x v="545"/>
    <x v="635"/>
    <x v="4"/>
    <s v="Netherlands"/>
    <m/>
    <x v="1"/>
    <s v="E"/>
    <x v="0"/>
    <d v="1955-03-24T00:00:00"/>
    <s v="de Mol"/>
    <s v="John"/>
    <m/>
    <d v="2023-04-04T05:01:00"/>
    <m/>
    <m/>
    <n v="1955"/>
    <n v="115.91"/>
    <n v="2.6"/>
    <n v="909070395161"/>
    <n v="85"/>
    <n v="104.2"/>
    <n v="23"/>
    <n v="41.2"/>
    <n v="17332850"/>
  </r>
  <r>
    <x v="210"/>
    <x v="210"/>
    <x v="16"/>
    <x v="1661"/>
    <x v="15"/>
    <x v="4"/>
    <x v="276"/>
    <x v="300"/>
    <x v="16"/>
    <s v="Spain"/>
    <m/>
    <x v="0"/>
    <s v="D"/>
    <x v="0"/>
    <d v="1962-07-30T00:00:00"/>
    <s v="Del Pino"/>
    <s v="D. Leopoldo"/>
    <m/>
    <d v="2023-04-04T05:01:00"/>
    <m/>
    <m/>
    <n v="1962"/>
    <n v="110.96"/>
    <n v="0.7"/>
    <n v="1394116310769"/>
    <n v="88.9"/>
    <n v="102.7"/>
    <n v="14.2"/>
    <n v="47"/>
    <n v="47076781"/>
  </r>
  <r>
    <x v="210"/>
    <x v="210"/>
    <x v="2"/>
    <x v="1662"/>
    <x v="2"/>
    <x v="5"/>
    <x v="19"/>
    <x v="117"/>
    <x v="2"/>
    <s v="China"/>
    <m/>
    <x v="1"/>
    <s v="U"/>
    <x v="0"/>
    <d v="1963-11-06T00:00:00"/>
    <s v="Diao"/>
    <s v="Zhizhong"/>
    <m/>
    <d v="2023-04-04T05:01:00"/>
    <m/>
    <m/>
    <n v="1963"/>
    <n v="125.08"/>
    <n v="2.9"/>
    <n v="19910000000000"/>
    <n v="50.6"/>
    <n v="100.2"/>
    <n v="9.4"/>
    <n v="59.2"/>
    <n v="1397715000"/>
  </r>
  <r>
    <x v="210"/>
    <x v="210"/>
    <x v="14"/>
    <x v="1663"/>
    <x v="3"/>
    <x v="1"/>
    <x v="394"/>
    <x v="83"/>
    <x v="14"/>
    <s v="United States"/>
    <m/>
    <x v="1"/>
    <s v="D"/>
    <x v="0"/>
    <d v="1944-04-28T00:00:00"/>
    <s v="Duggan"/>
    <s v="Robert"/>
    <m/>
    <d v="2023-04-04T05:01:00"/>
    <s v="Florida"/>
    <s v="South"/>
    <n v="1944"/>
    <n v="117.24"/>
    <n v="7.5"/>
    <n v="21427700000000"/>
    <n v="88.2"/>
    <n v="101.8"/>
    <n v="9.6"/>
    <n v="36.6"/>
    <n v="328239523"/>
  </r>
  <r>
    <x v="210"/>
    <x v="210"/>
    <x v="17"/>
    <x v="1664"/>
    <x v="3"/>
    <x v="1"/>
    <x v="546"/>
    <x v="636"/>
    <x v="17"/>
    <s v="United States"/>
    <m/>
    <x v="0"/>
    <s v="E"/>
    <x v="0"/>
    <d v="1944-10-24T00:00:00"/>
    <s v="France"/>
    <s v="James"/>
    <m/>
    <d v="2023-04-04T05:01:00"/>
    <s v="Florida"/>
    <s v="South"/>
    <n v="1944"/>
    <n v="117.24"/>
    <n v="7.5"/>
    <n v="21427700000000"/>
    <n v="88.2"/>
    <n v="101.8"/>
    <n v="9.6"/>
    <n v="36.6"/>
    <n v="328239523"/>
  </r>
  <r>
    <x v="210"/>
    <x v="210"/>
    <x v="14"/>
    <x v="1665"/>
    <x v="20"/>
    <x v="1"/>
    <x v="147"/>
    <x v="83"/>
    <x v="14"/>
    <s v="United States"/>
    <m/>
    <x v="1"/>
    <s v="D"/>
    <x v="0"/>
    <d v="1936-11-11T00:00:00"/>
    <s v="Frost"/>
    <s v="Phillip"/>
    <m/>
    <d v="2023-04-04T05:01:00"/>
    <s v="Florida"/>
    <s v="South"/>
    <n v="1936"/>
    <n v="117.24"/>
    <n v="7.5"/>
    <n v="21427700000000"/>
    <n v="88.2"/>
    <n v="101.8"/>
    <n v="9.6"/>
    <n v="36.6"/>
    <n v="328239523"/>
  </r>
  <r>
    <x v="210"/>
    <x v="210"/>
    <x v="3"/>
    <x v="1666"/>
    <x v="22"/>
    <x v="30"/>
    <x v="99"/>
    <x v="150"/>
    <x v="3"/>
    <s v="Brazil"/>
    <m/>
    <x v="0"/>
    <s v="U"/>
    <x v="0"/>
    <d v="1945-11-30T00:00:00"/>
    <s v="Garfinkel"/>
    <s v="Jayme"/>
    <m/>
    <d v="2023-04-04T05:01:00"/>
    <m/>
    <m/>
    <n v="1945"/>
    <n v="167.4"/>
    <n v="3.7"/>
    <n v="1839758040766"/>
    <n v="51.3"/>
    <n v="115.4"/>
    <n v="14.2"/>
    <n v="65.099999999999994"/>
    <n v="212559417"/>
  </r>
  <r>
    <x v="210"/>
    <x v="210"/>
    <x v="7"/>
    <x v="1667"/>
    <x v="35"/>
    <x v="1"/>
    <x v="156"/>
    <x v="637"/>
    <x v="7"/>
    <s v="United States"/>
    <s v="Silver Ventures"/>
    <x v="0"/>
    <s v="E"/>
    <x v="0"/>
    <d v="1943-01-01T00:00:00"/>
    <s v="Goldsbury"/>
    <s v="Christopher"/>
    <s v="Chief Executive Officer"/>
    <d v="2023-04-04T05:01:00"/>
    <s v="Texas"/>
    <s v="South"/>
    <n v="1943"/>
    <n v="117.24"/>
    <n v="7.5"/>
    <n v="21427700000000"/>
    <n v="88.2"/>
    <n v="101.8"/>
    <n v="9.6"/>
    <n v="36.6"/>
    <n v="328239523"/>
  </r>
  <r>
    <x v="210"/>
    <x v="210"/>
    <x v="14"/>
    <x v="1668"/>
    <x v="20"/>
    <x v="3"/>
    <x v="7"/>
    <x v="83"/>
    <x v="14"/>
    <s v="India"/>
    <m/>
    <x v="0"/>
    <s v="D"/>
    <x v="0"/>
    <d v="1936-07-26T00:00:00"/>
    <s v="Hamied"/>
    <s v="Yusuf"/>
    <m/>
    <d v="2023-04-04T05:01:00"/>
    <m/>
    <m/>
    <n v="1936"/>
    <n v="180.44"/>
    <n v="7.7"/>
    <n v="2611000000000"/>
    <n v="28.1"/>
    <n v="113"/>
    <n v="11.2"/>
    <n v="49.7"/>
    <n v="1366417754"/>
  </r>
  <r>
    <x v="210"/>
    <x v="210"/>
    <x v="3"/>
    <x v="1669"/>
    <x v="17"/>
    <x v="1"/>
    <x v="5"/>
    <x v="28"/>
    <x v="3"/>
    <s v="United States"/>
    <s v="King Street Capital Management"/>
    <x v="1"/>
    <s v="E"/>
    <x v="0"/>
    <d v="1965-02-08T00:00:00"/>
    <s v="Higgins"/>
    <s v="Brian"/>
    <s v="Investor"/>
    <d v="2023-04-04T05:01:00"/>
    <s v="New York"/>
    <s v="Northeast"/>
    <n v="1965"/>
    <n v="117.24"/>
    <n v="7.5"/>
    <n v="21427700000000"/>
    <n v="88.2"/>
    <n v="101.8"/>
    <n v="9.6"/>
    <n v="36.6"/>
    <n v="328239523"/>
  </r>
  <r>
    <x v="210"/>
    <x v="210"/>
    <x v="11"/>
    <x v="1670"/>
    <x v="53"/>
    <x v="5"/>
    <x v="12"/>
    <x v="36"/>
    <x v="11"/>
    <s v="China"/>
    <m/>
    <x v="1"/>
    <s v="U"/>
    <x v="0"/>
    <d v="1959-09-30T00:00:00"/>
    <s v="Huang"/>
    <s v="Wei"/>
    <m/>
    <d v="2023-04-04T05:01:00"/>
    <m/>
    <m/>
    <n v="1959"/>
    <n v="125.08"/>
    <n v="2.9"/>
    <n v="19910000000000"/>
    <n v="50.6"/>
    <n v="100.2"/>
    <n v="9.4"/>
    <n v="59.2"/>
    <n v="1397715000"/>
  </r>
  <r>
    <x v="210"/>
    <x v="210"/>
    <x v="1"/>
    <x v="1671"/>
    <x v="25"/>
    <x v="5"/>
    <x v="34"/>
    <x v="101"/>
    <x v="1"/>
    <s v="China"/>
    <m/>
    <x v="1"/>
    <s v="U"/>
    <x v="0"/>
    <d v="1950-07-30T00:00:00"/>
    <s v="Jiang"/>
    <s v="Yintai"/>
    <m/>
    <d v="2023-04-04T05:01:00"/>
    <m/>
    <m/>
    <n v="1950"/>
    <n v="125.08"/>
    <n v="2.9"/>
    <n v="19910000000000"/>
    <n v="50.6"/>
    <n v="100.2"/>
    <n v="9.4"/>
    <n v="59.2"/>
    <n v="1397715000"/>
  </r>
  <r>
    <x v="210"/>
    <x v="210"/>
    <x v="14"/>
    <x v="1672"/>
    <x v="41"/>
    <x v="5"/>
    <x v="547"/>
    <x v="83"/>
    <x v="14"/>
    <s v="China"/>
    <m/>
    <x v="1"/>
    <s v="U"/>
    <x v="0"/>
    <d v="1965-08-01T00:00:00"/>
    <s v="Jin"/>
    <s v="Lei"/>
    <m/>
    <d v="2023-04-04T05:01:00"/>
    <m/>
    <m/>
    <n v="1965"/>
    <n v="125.08"/>
    <n v="2.9"/>
    <n v="19910000000000"/>
    <n v="50.6"/>
    <n v="100.2"/>
    <n v="9.4"/>
    <n v="59.2"/>
    <n v="1397715000"/>
  </r>
  <r>
    <x v="210"/>
    <x v="210"/>
    <x v="14"/>
    <x v="1673"/>
    <x v="13"/>
    <x v="5"/>
    <x v="19"/>
    <x v="191"/>
    <x v="14"/>
    <s v="China"/>
    <m/>
    <x v="1"/>
    <s v="U"/>
    <x v="0"/>
    <d v="1954-09-23T00:00:00"/>
    <s v="Jin"/>
    <s v="Lei"/>
    <m/>
    <d v="2023-04-04T05:01:00"/>
    <m/>
    <m/>
    <n v="1954"/>
    <n v="125.08"/>
    <n v="2.9"/>
    <n v="19910000000000"/>
    <n v="50.6"/>
    <n v="100.2"/>
    <n v="9.4"/>
    <n v="59.2"/>
    <n v="1397715000"/>
  </r>
  <r>
    <x v="210"/>
    <x v="210"/>
    <x v="2"/>
    <x v="1674"/>
    <x v="62"/>
    <x v="63"/>
    <x v="548"/>
    <x v="117"/>
    <x v="2"/>
    <s v="Cyprus"/>
    <m/>
    <x v="1"/>
    <s v="D"/>
    <x v="0"/>
    <d v="1976-06-05T00:00:00"/>
    <s v="Kipyatkov"/>
    <s v="Valentin"/>
    <m/>
    <d v="2023-04-04T05:01:00"/>
    <m/>
    <m/>
    <n v="1976"/>
    <n v="102.51"/>
    <n v="0.3"/>
    <n v="24564647935"/>
    <n v="75.900000000000006"/>
    <n v="99.3"/>
    <n v="24.5"/>
    <n v="22.4"/>
    <n v="1198575"/>
  </r>
  <r>
    <x v="210"/>
    <x v="210"/>
    <x v="6"/>
    <x v="1675"/>
    <x v="45"/>
    <x v="32"/>
    <x v="109"/>
    <x v="638"/>
    <x v="6"/>
    <s v="South Korea"/>
    <m/>
    <x v="0"/>
    <s v="U"/>
    <x v="0"/>
    <d v="1978-01-23T00:00:00"/>
    <s v="Koo"/>
    <s v="Kwang-mo"/>
    <m/>
    <d v="2023-04-04T05:01:00"/>
    <m/>
    <m/>
    <n v="1978"/>
    <n v="115.16"/>
    <n v="0.4"/>
    <n v="2029000000000"/>
    <n v="94.3"/>
    <n v="98.1"/>
    <n v="15.6"/>
    <n v="33.200000000000003"/>
    <n v="51709098"/>
  </r>
  <r>
    <x v="210"/>
    <x v="210"/>
    <x v="2"/>
    <x v="1676"/>
    <x v="33"/>
    <x v="1"/>
    <x v="359"/>
    <x v="222"/>
    <x v="2"/>
    <s v="United States"/>
    <m/>
    <x v="1"/>
    <s v="D"/>
    <x v="0"/>
    <d v="1970-10-01T00:00:00"/>
    <s v="Kurtz"/>
    <s v="George"/>
    <m/>
    <d v="2023-04-04T05:01:00"/>
    <s v="Arizona"/>
    <s v="West"/>
    <n v="1970"/>
    <n v="117.24"/>
    <n v="7.5"/>
    <n v="21427700000000"/>
    <n v="88.2"/>
    <n v="101.8"/>
    <n v="9.6"/>
    <n v="36.6"/>
    <n v="328239523"/>
  </r>
  <r>
    <x v="210"/>
    <x v="210"/>
    <x v="17"/>
    <x v="1677"/>
    <x v="5"/>
    <x v="1"/>
    <x v="70"/>
    <x v="639"/>
    <x v="17"/>
    <s v="United States"/>
    <m/>
    <x v="1"/>
    <s v="U"/>
    <x v="0"/>
    <d v="1956-01-10T00:00:00"/>
    <s v="Lacob"/>
    <s v="Joe"/>
    <m/>
    <d v="2023-04-04T05:01:00"/>
    <s v="California"/>
    <s v="West"/>
    <n v="1956"/>
    <n v="117.24"/>
    <n v="7.5"/>
    <n v="21427700000000"/>
    <n v="88.2"/>
    <n v="101.8"/>
    <n v="9.6"/>
    <n v="36.6"/>
    <n v="328239523"/>
  </r>
  <r>
    <x v="210"/>
    <x v="210"/>
    <x v="2"/>
    <x v="1678"/>
    <x v="67"/>
    <x v="1"/>
    <x v="549"/>
    <x v="640"/>
    <x v="2"/>
    <s v="United States"/>
    <m/>
    <x v="1"/>
    <s v="D"/>
    <x v="0"/>
    <d v="1989-07-01T00:00:00"/>
    <s v="Lau"/>
    <s v="Joe"/>
    <m/>
    <d v="2023-04-04T05:01:00"/>
    <s v="California"/>
    <s v="West"/>
    <n v="1989"/>
    <n v="117.24"/>
    <n v="7.5"/>
    <n v="21427700000000"/>
    <n v="88.2"/>
    <n v="101.8"/>
    <n v="9.6"/>
    <n v="36.6"/>
    <n v="328239523"/>
  </r>
  <r>
    <x v="210"/>
    <x v="210"/>
    <x v="6"/>
    <x v="1679"/>
    <x v="27"/>
    <x v="21"/>
    <x v="69"/>
    <x v="38"/>
    <x v="6"/>
    <s v="Sweden"/>
    <m/>
    <x v="0"/>
    <s v="U"/>
    <x v="1"/>
    <d v="1979-10-20T00:00:00"/>
    <s v="Lindh"/>
    <s v="Louise"/>
    <m/>
    <d v="2023-04-04T05:01:00"/>
    <m/>
    <m/>
    <n v="1979"/>
    <n v="110.51"/>
    <n v="1.8"/>
    <n v="530832908738"/>
    <n v="67"/>
    <n v="126.6"/>
    <n v="27.9"/>
    <n v="49.1"/>
    <n v="10285453"/>
  </r>
  <r>
    <x v="210"/>
    <x v="210"/>
    <x v="12"/>
    <x v="1680"/>
    <x v="47"/>
    <x v="5"/>
    <x v="550"/>
    <x v="40"/>
    <x v="12"/>
    <s v="China"/>
    <m/>
    <x v="1"/>
    <s v="D"/>
    <x v="0"/>
    <d v="1975-06-02T00:00:00"/>
    <s v="Luo"/>
    <s v="Yangyong"/>
    <m/>
    <d v="2023-04-04T05:01:00"/>
    <m/>
    <m/>
    <n v="1975"/>
    <n v="125.08"/>
    <n v="2.9"/>
    <n v="19910000000000"/>
    <n v="50.6"/>
    <n v="100.2"/>
    <n v="9.4"/>
    <n v="59.2"/>
    <n v="1397715000"/>
  </r>
  <r>
    <x v="210"/>
    <x v="210"/>
    <x v="4"/>
    <x v="1681"/>
    <x v="9"/>
    <x v="30"/>
    <x v="298"/>
    <x v="16"/>
    <x v="4"/>
    <s v="Brazil"/>
    <m/>
    <x v="0"/>
    <s v="D"/>
    <x v="0"/>
    <d v="1953-09-16T00:00:00"/>
    <s v="Marinho"/>
    <s v="Joao Roberto"/>
    <m/>
    <d v="2023-04-04T05:01:00"/>
    <m/>
    <m/>
    <n v="1953"/>
    <n v="167.4"/>
    <n v="3.7"/>
    <n v="1839758040766"/>
    <n v="51.3"/>
    <n v="115.4"/>
    <n v="14.2"/>
    <n v="65.099999999999994"/>
    <n v="212559417"/>
  </r>
  <r>
    <x v="210"/>
    <x v="210"/>
    <x v="4"/>
    <x v="1682"/>
    <x v="5"/>
    <x v="30"/>
    <x v="298"/>
    <x v="16"/>
    <x v="4"/>
    <s v="Brazil"/>
    <m/>
    <x v="0"/>
    <s v="D"/>
    <x v="0"/>
    <d v="1955-12-26T00:00:00"/>
    <s v="Marinho"/>
    <s v="Jose Roberto"/>
    <m/>
    <d v="2023-04-04T05:01:00"/>
    <m/>
    <m/>
    <n v="1955"/>
    <n v="167.4"/>
    <n v="3.7"/>
    <n v="1839758040766"/>
    <n v="51.3"/>
    <n v="115.4"/>
    <n v="14.2"/>
    <n v="65.099999999999994"/>
    <n v="212559417"/>
  </r>
  <r>
    <x v="210"/>
    <x v="210"/>
    <x v="4"/>
    <x v="1683"/>
    <x v="43"/>
    <x v="30"/>
    <x v="298"/>
    <x v="16"/>
    <x v="4"/>
    <s v="Brazil"/>
    <m/>
    <x v="0"/>
    <s v="D"/>
    <x v="0"/>
    <d v="1947-10-13T00:00:00"/>
    <s v="Marinho"/>
    <s v="Roberto Irineu"/>
    <m/>
    <d v="2023-04-04T05:01:00"/>
    <m/>
    <m/>
    <n v="1947"/>
    <n v="167.4"/>
    <n v="3.7"/>
    <n v="1839758040766"/>
    <n v="51.3"/>
    <n v="115.4"/>
    <n v="14.2"/>
    <n v="65.099999999999994"/>
    <n v="212559417"/>
  </r>
  <r>
    <x v="210"/>
    <x v="210"/>
    <x v="14"/>
    <x v="1684"/>
    <x v="0"/>
    <x v="1"/>
    <x v="115"/>
    <x v="641"/>
    <x v="14"/>
    <s v="United States"/>
    <m/>
    <x v="1"/>
    <s v="E"/>
    <x v="0"/>
    <d v="1949-01-14T00:00:00"/>
    <s v="Michelson"/>
    <s v="Gary"/>
    <m/>
    <d v="2023-04-04T05:01:00"/>
    <s v="California"/>
    <s v="West"/>
    <n v="1949"/>
    <n v="117.24"/>
    <n v="7.5"/>
    <n v="21427700000000"/>
    <n v="88.2"/>
    <n v="101.8"/>
    <n v="9.6"/>
    <n v="36.6"/>
    <n v="328239523"/>
  </r>
  <r>
    <x v="210"/>
    <x v="210"/>
    <x v="2"/>
    <x v="1685"/>
    <x v="22"/>
    <x v="6"/>
    <x v="202"/>
    <x v="171"/>
    <x v="2"/>
    <s v="Canada"/>
    <s v="Future Electronics"/>
    <x v="1"/>
    <s v="E"/>
    <x v="0"/>
    <d v="1945-07-03T00:00:00"/>
    <s v="Miller"/>
    <s v="Robert G."/>
    <s v="Founder"/>
    <d v="2023-04-04T05:01:00"/>
    <m/>
    <m/>
    <n v="1945"/>
    <n v="116.76"/>
    <n v="1.9"/>
    <n v="1736425629520"/>
    <n v="68.900000000000006"/>
    <n v="100.9"/>
    <n v="12.8"/>
    <n v="24.5"/>
    <n v="36991981"/>
  </r>
  <r>
    <x v="210"/>
    <x v="210"/>
    <x v="11"/>
    <x v="1686"/>
    <x v="1"/>
    <x v="21"/>
    <x v="69"/>
    <x v="36"/>
    <x v="11"/>
    <s v="Sweden"/>
    <m/>
    <x v="1"/>
    <s v="D"/>
    <x v="0"/>
    <d v="1972-01-26T00:00:00"/>
    <s v="Mindus"/>
    <s v="David"/>
    <m/>
    <d v="2023-04-04T05:01:00"/>
    <m/>
    <m/>
    <n v="1972"/>
    <n v="110.51"/>
    <n v="1.8"/>
    <n v="530832908738"/>
    <n v="67"/>
    <n v="126.6"/>
    <n v="27.9"/>
    <n v="49.1"/>
    <n v="10285453"/>
  </r>
  <r>
    <x v="210"/>
    <x v="210"/>
    <x v="2"/>
    <x v="1687"/>
    <x v="19"/>
    <x v="41"/>
    <x v="200"/>
    <x v="176"/>
    <x v="2"/>
    <s v="Netherlands"/>
    <m/>
    <x v="1"/>
    <s v="N"/>
    <x v="0"/>
    <d v="1984-03-14T00:00:00"/>
    <s v="Mol"/>
    <s v="Adriaan"/>
    <m/>
    <d v="2023-04-04T05:01:00"/>
    <m/>
    <m/>
    <n v="1984"/>
    <n v="115.91"/>
    <n v="2.6"/>
    <n v="909070395161"/>
    <n v="85"/>
    <n v="104.2"/>
    <n v="23"/>
    <n v="41.2"/>
    <n v="17332850"/>
  </r>
  <r>
    <x v="210"/>
    <x v="210"/>
    <x v="11"/>
    <x v="1688"/>
    <x v="3"/>
    <x v="3"/>
    <x v="7"/>
    <x v="36"/>
    <x v="11"/>
    <s v="India"/>
    <m/>
    <x v="1"/>
    <s v="U"/>
    <x v="0"/>
    <d v="1944-10-04T00:00:00"/>
    <s v="Munot"/>
    <s v="Mofatraj"/>
    <m/>
    <d v="2023-04-04T05:01:00"/>
    <m/>
    <m/>
    <n v="1944"/>
    <n v="180.44"/>
    <n v="7.7"/>
    <n v="2611000000000"/>
    <n v="28.1"/>
    <n v="113"/>
    <n v="11.2"/>
    <n v="49.7"/>
    <n v="1366417754"/>
  </r>
  <r>
    <x v="210"/>
    <x v="210"/>
    <x v="3"/>
    <x v="1689"/>
    <x v="22"/>
    <x v="19"/>
    <x v="58"/>
    <x v="642"/>
    <x v="3"/>
    <s v="Monaco"/>
    <m/>
    <x v="0"/>
    <s v="U"/>
    <x v="0"/>
    <d v="1945-07-31T00:00:00"/>
    <s v="Nahmad"/>
    <s v="Ezra"/>
    <s v="Investor"/>
    <d v="2023-04-04T05:01:00"/>
    <m/>
    <m/>
    <n v="1945"/>
    <m/>
    <m/>
    <n v="7184844193"/>
    <m/>
    <m/>
    <m/>
    <m/>
    <n v="38964"/>
  </r>
  <r>
    <x v="210"/>
    <x v="210"/>
    <x v="10"/>
    <x v="1690"/>
    <x v="36"/>
    <x v="3"/>
    <x v="551"/>
    <x v="643"/>
    <x v="10"/>
    <s v="India"/>
    <m/>
    <x v="1"/>
    <s v="U"/>
    <x v="0"/>
    <d v="1952-07-25T00:00:00"/>
    <s v="Nuwal"/>
    <s v="Satyanarayan"/>
    <m/>
    <d v="2023-04-04T05:01:00"/>
    <m/>
    <m/>
    <n v="1952"/>
    <n v="180.44"/>
    <n v="7.7"/>
    <n v="2611000000000"/>
    <n v="28.1"/>
    <n v="113"/>
    <n v="11.2"/>
    <n v="49.7"/>
    <n v="1366417754"/>
  </r>
  <r>
    <x v="210"/>
    <x v="210"/>
    <x v="7"/>
    <x v="1691"/>
    <x v="44"/>
    <x v="22"/>
    <x v="25"/>
    <x v="476"/>
    <x v="7"/>
    <s v="Germany"/>
    <m/>
    <x v="0"/>
    <s v="Split Family Fortune"/>
    <x v="1"/>
    <m/>
    <s v="Oberwelland-Height"/>
    <s v="Maike"/>
    <m/>
    <d v="2023-04-04T05:01:00"/>
    <m/>
    <m/>
    <m/>
    <m/>
    <m/>
    <m/>
    <m/>
    <m/>
    <m/>
    <m/>
    <m/>
  </r>
  <r>
    <x v="210"/>
    <x v="210"/>
    <x v="6"/>
    <x v="1692"/>
    <x v="25"/>
    <x v="47"/>
    <x v="469"/>
    <x v="8"/>
    <x v="6"/>
    <s v="Turkey"/>
    <m/>
    <x v="1"/>
    <s v="D"/>
    <x v="0"/>
    <d v="1950-04-05T00:00:00"/>
    <s v="Ozdemir"/>
    <s v="Nihat"/>
    <m/>
    <d v="2023-04-04T05:01:00"/>
    <m/>
    <m/>
    <n v="1950"/>
    <n v="234.44"/>
    <n v="15.2"/>
    <n v="754411708203"/>
    <n v="23.9"/>
    <n v="93.2"/>
    <n v="17.899999999999999"/>
    <n v="42.3"/>
    <n v="83429615"/>
  </r>
  <r>
    <x v="210"/>
    <x v="210"/>
    <x v="2"/>
    <x v="1693"/>
    <x v="52"/>
    <x v="5"/>
    <x v="26"/>
    <x v="172"/>
    <x v="2"/>
    <s v="China"/>
    <m/>
    <x v="1"/>
    <s v="D"/>
    <x v="0"/>
    <d v="1969-12-01T00:00:00"/>
    <s v="Pan"/>
    <s v="Benjamin Zhengmin"/>
    <m/>
    <d v="2023-04-04T05:01:00"/>
    <m/>
    <m/>
    <n v="1969"/>
    <n v="125.08"/>
    <n v="2.9"/>
    <n v="19910000000000"/>
    <n v="50.6"/>
    <n v="100.2"/>
    <n v="9.4"/>
    <n v="59.2"/>
    <n v="1397715000"/>
  </r>
  <r>
    <x v="210"/>
    <x v="210"/>
    <x v="4"/>
    <x v="1694"/>
    <x v="38"/>
    <x v="6"/>
    <x v="202"/>
    <x v="16"/>
    <x v="4"/>
    <s v="Canada"/>
    <m/>
    <x v="0"/>
    <s v="E"/>
    <x v="0"/>
    <d v="1961-10-16T00:00:00"/>
    <s v="Péladeau"/>
    <s v="Pierre Karl"/>
    <m/>
    <d v="2023-04-04T05:01:00"/>
    <m/>
    <m/>
    <n v="1961"/>
    <n v="116.76"/>
    <n v="1.9"/>
    <n v="1736425629520"/>
    <n v="68.900000000000006"/>
    <n v="100.9"/>
    <n v="12.8"/>
    <n v="24.5"/>
    <n v="36991981"/>
  </r>
  <r>
    <x v="210"/>
    <x v="210"/>
    <x v="3"/>
    <x v="1695"/>
    <x v="35"/>
    <x v="1"/>
    <x v="5"/>
    <x v="644"/>
    <x v="3"/>
    <s v="United States"/>
    <m/>
    <x v="1"/>
    <s v="D"/>
    <x v="0"/>
    <d v="1943-01-01T00:00:00"/>
    <s v="Perelman"/>
    <s v="Ronald"/>
    <m/>
    <d v="2023-04-04T05:01:00"/>
    <s v="New York"/>
    <s v="Northeast"/>
    <n v="1943"/>
    <n v="117.24"/>
    <n v="7.5"/>
    <n v="21427700000000"/>
    <n v="88.2"/>
    <n v="101.8"/>
    <n v="9.6"/>
    <n v="36.6"/>
    <n v="328239523"/>
  </r>
  <r>
    <x v="210"/>
    <x v="210"/>
    <x v="2"/>
    <x v="1696"/>
    <x v="62"/>
    <x v="1"/>
    <x v="5"/>
    <x v="645"/>
    <x v="2"/>
    <s v="France"/>
    <s v="Datadog"/>
    <x v="1"/>
    <s v="D"/>
    <x v="0"/>
    <d v="1977-03-26T00:00:00"/>
    <s v="Pomel"/>
    <s v="Olivier"/>
    <s v="Cofounder"/>
    <d v="2023-04-04T05:01:00"/>
    <s v="New York"/>
    <s v="Northeast"/>
    <n v="1977"/>
    <n v="117.24"/>
    <n v="7.5"/>
    <n v="21427700000000"/>
    <n v="88.2"/>
    <n v="101.8"/>
    <n v="9.6"/>
    <n v="36.6"/>
    <n v="328239523"/>
  </r>
  <r>
    <x v="210"/>
    <x v="210"/>
    <x v="4"/>
    <x v="1697"/>
    <x v="31"/>
    <x v="23"/>
    <x v="73"/>
    <x v="646"/>
    <x v="4"/>
    <s v="Thailand"/>
    <m/>
    <x v="0"/>
    <s v="E"/>
    <x v="0"/>
    <d v="1946-04-19T00:00:00"/>
    <s v="Ratanarak"/>
    <s v="Krit"/>
    <m/>
    <d v="2023-04-04T05:01:00"/>
    <m/>
    <m/>
    <n v="1946"/>
    <n v="113.27"/>
    <n v="0.7"/>
    <n v="543649976166"/>
    <n v="49.3"/>
    <n v="99.8"/>
    <n v="14.9"/>
    <n v="29.5"/>
    <n v="69625582"/>
  </r>
  <r>
    <x v="210"/>
    <x v="210"/>
    <x v="10"/>
    <x v="1698"/>
    <x v="36"/>
    <x v="3"/>
    <x v="7"/>
    <x v="50"/>
    <x v="10"/>
    <s v="India"/>
    <m/>
    <x v="1"/>
    <s v="D"/>
    <x v="0"/>
    <d v="1952-06-16T00:00:00"/>
    <s v="Saraf"/>
    <s v="Vinod"/>
    <m/>
    <d v="2023-04-04T05:01:00"/>
    <m/>
    <m/>
    <n v="1952"/>
    <n v="180.44"/>
    <n v="7.7"/>
    <n v="2611000000000"/>
    <n v="28.1"/>
    <n v="113"/>
    <n v="11.2"/>
    <n v="49.7"/>
    <n v="1366417754"/>
  </r>
  <r>
    <x v="210"/>
    <x v="210"/>
    <x v="2"/>
    <x v="1699"/>
    <x v="44"/>
    <x v="7"/>
    <x v="552"/>
    <x v="512"/>
    <x v="2"/>
    <s v="Germany"/>
    <m/>
    <x v="0"/>
    <s v="D"/>
    <x v="1"/>
    <m/>
    <s v="Schick"/>
    <s v="Karin"/>
    <m/>
    <d v="2023-04-04T05:01:00"/>
    <m/>
    <m/>
    <m/>
    <n v="112.85"/>
    <n v="1.4"/>
    <n v="3845630030824"/>
    <n v="70.2"/>
    <n v="104"/>
    <n v="11.5"/>
    <n v="48.8"/>
    <n v="83132799"/>
  </r>
  <r>
    <x v="210"/>
    <x v="210"/>
    <x v="12"/>
    <x v="1700"/>
    <x v="17"/>
    <x v="17"/>
    <x v="48"/>
    <x v="647"/>
    <x v="12"/>
    <s v="Russia"/>
    <m/>
    <x v="1"/>
    <s v="R"/>
    <x v="0"/>
    <d v="1964-11-28T00:00:00"/>
    <s v="Sedykh"/>
    <s v="Anatoly"/>
    <m/>
    <d v="2023-04-04T05:01:00"/>
    <m/>
    <m/>
    <n v="1964"/>
    <n v="180.75"/>
    <n v="4.5"/>
    <n v="1699876578871"/>
    <n v="81.900000000000006"/>
    <n v="102.6"/>
    <n v="11.4"/>
    <n v="46.2"/>
    <n v="144373535"/>
  </r>
  <r>
    <x v="210"/>
    <x v="210"/>
    <x v="7"/>
    <x v="1701"/>
    <x v="41"/>
    <x v="5"/>
    <x v="19"/>
    <x v="105"/>
    <x v="7"/>
    <s v="China"/>
    <m/>
    <x v="1"/>
    <s v="D"/>
    <x v="0"/>
    <d v="1965-07-29T00:00:00"/>
    <s v="Shao"/>
    <s v="Genhuo"/>
    <m/>
    <d v="2023-04-04T05:01:00"/>
    <m/>
    <m/>
    <n v="1965"/>
    <n v="125.08"/>
    <n v="2.9"/>
    <n v="19910000000000"/>
    <n v="50.6"/>
    <n v="100.2"/>
    <n v="9.4"/>
    <n v="59.2"/>
    <n v="1397715000"/>
  </r>
  <r>
    <x v="210"/>
    <x v="210"/>
    <x v="13"/>
    <x v="1702"/>
    <x v="43"/>
    <x v="5"/>
    <x v="553"/>
    <x v="648"/>
    <x v="13"/>
    <s v="China"/>
    <m/>
    <x v="1"/>
    <s v="D"/>
    <x v="0"/>
    <d v="1948-03-02T00:00:00"/>
    <s v="Shen"/>
    <s v="Xiqiang"/>
    <m/>
    <d v="2023-04-04T05:01:00"/>
    <m/>
    <m/>
    <n v="1948"/>
    <n v="125.08"/>
    <n v="2.9"/>
    <n v="19910000000000"/>
    <n v="50.6"/>
    <n v="100.2"/>
    <n v="9.4"/>
    <n v="59.2"/>
    <n v="1397715000"/>
  </r>
  <r>
    <x v="210"/>
    <x v="210"/>
    <x v="2"/>
    <x v="1703"/>
    <x v="13"/>
    <x v="3"/>
    <x v="123"/>
    <x v="42"/>
    <x v="2"/>
    <s v="India"/>
    <m/>
    <x v="1"/>
    <s v="D"/>
    <x v="0"/>
    <d v="1955-03-01T00:00:00"/>
    <s v="Shibulal"/>
    <s v="S.D."/>
    <m/>
    <d v="2023-04-04T05:01:00"/>
    <m/>
    <m/>
    <n v="1955"/>
    <n v="180.44"/>
    <n v="7.7"/>
    <n v="2611000000000"/>
    <n v="28.1"/>
    <n v="113"/>
    <n v="11.2"/>
    <n v="49.7"/>
    <n v="1366417754"/>
  </r>
  <r>
    <x v="210"/>
    <x v="210"/>
    <x v="0"/>
    <x v="1704"/>
    <x v="15"/>
    <x v="32"/>
    <x v="109"/>
    <x v="427"/>
    <x v="0"/>
    <s v="South Korea"/>
    <s v="Amorepacific Corp. (New)"/>
    <x v="0"/>
    <s v="D"/>
    <x v="0"/>
    <d v="1963-01-14T00:00:00"/>
    <s v="Suh"/>
    <s v="Kyung-bae"/>
    <s v="Chairman"/>
    <d v="2023-04-04T05:01:00"/>
    <m/>
    <m/>
    <n v="1963"/>
    <n v="115.16"/>
    <n v="0.4"/>
    <n v="2029000000000"/>
    <n v="94.3"/>
    <n v="98.1"/>
    <n v="15.6"/>
    <n v="33.200000000000003"/>
    <n v="51709098"/>
  </r>
  <r>
    <x v="210"/>
    <x v="210"/>
    <x v="7"/>
    <x v="1705"/>
    <x v="29"/>
    <x v="15"/>
    <x v="25"/>
    <x v="649"/>
    <x v="7"/>
    <s v="Indonesia"/>
    <m/>
    <x v="1"/>
    <s v="U"/>
    <x v="0"/>
    <d v="1958-12-26T00:00:00"/>
    <s v="Sutantio"/>
    <s v="Bambang"/>
    <m/>
    <d v="2023-04-04T05:01:00"/>
    <m/>
    <m/>
    <n v="1958"/>
    <n v="151.18"/>
    <n v="3"/>
    <n v="1119190780753"/>
    <n v="36.299999999999997"/>
    <n v="106.4"/>
    <n v="10.199999999999999"/>
    <n v="30.1"/>
    <n v="270203917"/>
  </r>
  <r>
    <x v="210"/>
    <x v="210"/>
    <x v="10"/>
    <x v="1706"/>
    <x v="16"/>
    <x v="5"/>
    <x v="554"/>
    <x v="650"/>
    <x v="10"/>
    <s v="China"/>
    <m/>
    <x v="1"/>
    <s v="D"/>
    <x v="0"/>
    <d v="1950-01-01T00:00:00"/>
    <s v="Sze"/>
    <s v="Man Bok"/>
    <m/>
    <d v="2023-04-04T05:01:00"/>
    <m/>
    <m/>
    <n v="1950"/>
    <n v="125.08"/>
    <n v="2.9"/>
    <n v="19910000000000"/>
    <n v="50.6"/>
    <n v="100.2"/>
    <n v="9.4"/>
    <n v="59.2"/>
    <n v="1397715000"/>
  </r>
  <r>
    <x v="210"/>
    <x v="210"/>
    <x v="8"/>
    <x v="1707"/>
    <x v="7"/>
    <x v="10"/>
    <x v="36"/>
    <x v="361"/>
    <x v="8"/>
    <s v="United States"/>
    <m/>
    <x v="1"/>
    <s v="U"/>
    <x v="0"/>
    <d v="1940-01-14T00:00:00"/>
    <s v="Thompson"/>
    <s v="Jim"/>
    <m/>
    <d v="2023-04-04T05:01:00"/>
    <m/>
    <m/>
    <n v="1940"/>
    <m/>
    <m/>
    <m/>
    <m/>
    <m/>
    <m/>
    <m/>
    <m/>
  </r>
  <r>
    <x v="210"/>
    <x v="210"/>
    <x v="10"/>
    <x v="1708"/>
    <x v="34"/>
    <x v="53"/>
    <x v="286"/>
    <x v="72"/>
    <x v="10"/>
    <s v="Vietnam"/>
    <m/>
    <x v="1"/>
    <s v="D"/>
    <x v="0"/>
    <d v="1961-01-01T00:00:00"/>
    <s v="Tran Dinh"/>
    <s v="Long"/>
    <m/>
    <d v="2023-04-04T05:01:00"/>
    <m/>
    <m/>
    <n v="1961"/>
    <n v="163.52000000000001"/>
    <n v="2.8"/>
    <n v="261921244843"/>
    <n v="28.5"/>
    <n v="110.6"/>
    <n v="19.100000000000001"/>
    <n v="37.6"/>
    <n v="96462106"/>
  </r>
  <r>
    <x v="210"/>
    <x v="210"/>
    <x v="2"/>
    <x v="1709"/>
    <x v="5"/>
    <x v="1"/>
    <x v="98"/>
    <x v="117"/>
    <x v="2"/>
    <s v="United States"/>
    <m/>
    <x v="1"/>
    <s v="D"/>
    <x v="0"/>
    <d v="1956-03-10T00:00:00"/>
    <s v="Trefler"/>
    <s v="Alan"/>
    <m/>
    <d v="2023-04-04T05:01:00"/>
    <s v="Massachusetts"/>
    <s v="Northeast"/>
    <n v="1956"/>
    <n v="117.24"/>
    <n v="7.5"/>
    <n v="21427700000000"/>
    <n v="88.2"/>
    <n v="101.8"/>
    <n v="9.6"/>
    <n v="36.6"/>
    <n v="328239523"/>
  </r>
  <r>
    <x v="210"/>
    <x v="210"/>
    <x v="3"/>
    <x v="1710"/>
    <x v="62"/>
    <x v="1"/>
    <x v="164"/>
    <x v="491"/>
    <x v="3"/>
    <s v="United States"/>
    <m/>
    <x v="1"/>
    <s v="D"/>
    <x v="0"/>
    <d v="1976-09-01T00:00:00"/>
    <s v="Valani"/>
    <s v="Riaz"/>
    <m/>
    <d v="2023-04-04T05:01:00"/>
    <s v="California"/>
    <s v="West"/>
    <n v="1976"/>
    <n v="117.24"/>
    <n v="7.5"/>
    <n v="21427700000000"/>
    <n v="88.2"/>
    <n v="101.8"/>
    <n v="9.6"/>
    <n v="36.6"/>
    <n v="328239523"/>
  </r>
  <r>
    <x v="210"/>
    <x v="210"/>
    <x v="2"/>
    <x v="1711"/>
    <x v="52"/>
    <x v="41"/>
    <x v="200"/>
    <x v="235"/>
    <x v="2"/>
    <s v="Netherlands"/>
    <m/>
    <x v="1"/>
    <s v="D"/>
    <x v="0"/>
    <d v="1969-05-01T00:00:00"/>
    <s v="van der Does"/>
    <s v="Pieter"/>
    <m/>
    <d v="2023-04-04T05:01:00"/>
    <m/>
    <m/>
    <n v="1969"/>
    <n v="115.91"/>
    <n v="2.6"/>
    <n v="909070395161"/>
    <n v="85"/>
    <n v="104.2"/>
    <n v="23"/>
    <n v="41.2"/>
    <n v="17332850"/>
  </r>
  <r>
    <x v="210"/>
    <x v="210"/>
    <x v="10"/>
    <x v="1712"/>
    <x v="9"/>
    <x v="7"/>
    <x v="555"/>
    <x v="505"/>
    <x v="10"/>
    <s v="Germany"/>
    <m/>
    <x v="0"/>
    <s v="D"/>
    <x v="0"/>
    <d v="1953-10-10T00:00:00"/>
    <s v="Viessmann"/>
    <s v="Martin"/>
    <m/>
    <d v="2023-04-04T05:01:00"/>
    <m/>
    <m/>
    <n v="1953"/>
    <n v="112.85"/>
    <n v="1.4"/>
    <n v="3845630030824"/>
    <n v="70.2"/>
    <n v="104"/>
    <n v="11.5"/>
    <n v="48.8"/>
    <n v="83132799"/>
  </r>
  <r>
    <x v="210"/>
    <x v="210"/>
    <x v="2"/>
    <x v="1713"/>
    <x v="66"/>
    <x v="1"/>
    <x v="120"/>
    <x v="651"/>
    <x v="2"/>
    <s v="United States"/>
    <m/>
    <x v="1"/>
    <s v="D"/>
    <x v="0"/>
    <d v="1987-10-16T00:00:00"/>
    <s v="Viswanathan"/>
    <s v="Nikil"/>
    <m/>
    <d v="2023-04-04T05:01:00"/>
    <s v="California"/>
    <s v="West"/>
    <n v="1987"/>
    <n v="117.24"/>
    <n v="7.5"/>
    <n v="21427700000000"/>
    <n v="88.2"/>
    <n v="101.8"/>
    <n v="9.6"/>
    <n v="36.6"/>
    <n v="328239523"/>
  </r>
  <r>
    <x v="210"/>
    <x v="210"/>
    <x v="4"/>
    <x v="1714"/>
    <x v="34"/>
    <x v="1"/>
    <x v="80"/>
    <x v="352"/>
    <x v="4"/>
    <s v="United States"/>
    <m/>
    <x v="1"/>
    <s v="D"/>
    <x v="0"/>
    <d v="1960-08-02T00:00:00"/>
    <s v="Wagner"/>
    <s v="Todd"/>
    <m/>
    <d v="2023-04-04T05:01:00"/>
    <s v="Texas"/>
    <s v="South"/>
    <n v="1960"/>
    <n v="117.24"/>
    <n v="7.5"/>
    <n v="21427700000000"/>
    <n v="88.2"/>
    <n v="101.8"/>
    <n v="9.6"/>
    <n v="36.6"/>
    <n v="328239523"/>
  </r>
  <r>
    <x v="210"/>
    <x v="210"/>
    <x v="2"/>
    <x v="1715"/>
    <x v="1"/>
    <x v="1"/>
    <x v="120"/>
    <x v="652"/>
    <x v="2"/>
    <s v="United States"/>
    <s v="Twitter"/>
    <x v="1"/>
    <s v="D"/>
    <x v="0"/>
    <d v="1972-03-31T00:00:00"/>
    <s v="Williams"/>
    <s v="Evan"/>
    <s v="Cofounder and Director"/>
    <d v="2023-04-04T05:01:00"/>
    <s v="California"/>
    <s v="West"/>
    <n v="1972"/>
    <n v="117.24"/>
    <n v="7.5"/>
    <n v="21427700000000"/>
    <n v="88.2"/>
    <n v="101.8"/>
    <n v="9.6"/>
    <n v="36.6"/>
    <n v="328239523"/>
  </r>
  <r>
    <x v="210"/>
    <x v="210"/>
    <x v="12"/>
    <x v="1716"/>
    <x v="43"/>
    <x v="14"/>
    <x v="83"/>
    <x v="38"/>
    <x v="12"/>
    <s v="Malaysia"/>
    <m/>
    <x v="0"/>
    <s v="U"/>
    <x v="0"/>
    <d v="1948-04-04T00:00:00"/>
    <s v="Wong"/>
    <s v="Kie Chie"/>
    <m/>
    <d v="2023-04-04T05:01:00"/>
    <m/>
    <m/>
    <n v="1948"/>
    <n v="119.8"/>
    <n v="1.6"/>
    <n v="1392680589329"/>
    <n v="113.1"/>
    <n v="100.3"/>
    <n v="23"/>
    <n v="47.4"/>
    <n v="25766605"/>
  </r>
  <r>
    <x v="210"/>
    <x v="210"/>
    <x v="3"/>
    <x v="1717"/>
    <x v="25"/>
    <x v="35"/>
    <x v="152"/>
    <x v="224"/>
    <x v="3"/>
    <s v="Taiwan"/>
    <m/>
    <x v="0"/>
    <s v="D"/>
    <x v="0"/>
    <d v="1950-04-11T00:00:00"/>
    <s v="Wu"/>
    <s v="Thomas"/>
    <m/>
    <d v="2023-04-04T05:01:00"/>
    <m/>
    <m/>
    <n v="1950"/>
    <m/>
    <m/>
    <m/>
    <m/>
    <m/>
    <m/>
    <m/>
    <m/>
  </r>
  <r>
    <x v="210"/>
    <x v="210"/>
    <x v="13"/>
    <x v="1718"/>
    <x v="32"/>
    <x v="5"/>
    <x v="30"/>
    <x v="30"/>
    <x v="13"/>
    <s v="China"/>
    <m/>
    <x v="1"/>
    <s v="D"/>
    <x v="0"/>
    <d v="1967-01-01T00:00:00"/>
    <s v="Wu"/>
    <s v="Yingming"/>
    <m/>
    <d v="2023-04-04T05:01:00"/>
    <m/>
    <m/>
    <n v="1967"/>
    <n v="125.08"/>
    <n v="2.9"/>
    <n v="19910000000000"/>
    <n v="50.6"/>
    <n v="100.2"/>
    <n v="9.4"/>
    <n v="59.2"/>
    <n v="1397715000"/>
  </r>
  <r>
    <x v="210"/>
    <x v="210"/>
    <x v="14"/>
    <x v="1719"/>
    <x v="33"/>
    <x v="1"/>
    <x v="238"/>
    <x v="191"/>
    <x v="14"/>
    <s v="United States"/>
    <m/>
    <x v="0"/>
    <s v="D"/>
    <x v="1"/>
    <d v="1971-01-01T00:00:00"/>
    <s v="Wyss"/>
    <s v="Amy"/>
    <m/>
    <d v="2023-04-04T05:01:00"/>
    <s v="Wyoming"/>
    <s v="South"/>
    <n v="1971"/>
    <n v="117.24"/>
    <n v="7.5"/>
    <n v="21427700000000"/>
    <n v="88.2"/>
    <n v="101.8"/>
    <n v="9.6"/>
    <n v="36.6"/>
    <n v="328239523"/>
  </r>
  <r>
    <x v="210"/>
    <x v="210"/>
    <x v="11"/>
    <x v="1720"/>
    <x v="10"/>
    <x v="5"/>
    <x v="269"/>
    <x v="36"/>
    <x v="11"/>
    <s v="China"/>
    <m/>
    <x v="1"/>
    <s v="D"/>
    <x v="0"/>
    <d v="1972-07-01T00:00:00"/>
    <s v="Yan"/>
    <s v="Zhi"/>
    <m/>
    <d v="2023-04-04T05:01:00"/>
    <m/>
    <m/>
    <n v="1972"/>
    <n v="125.08"/>
    <n v="2.9"/>
    <n v="19910000000000"/>
    <n v="50.6"/>
    <n v="100.2"/>
    <n v="9.4"/>
    <n v="59.2"/>
    <n v="1397715000"/>
  </r>
  <r>
    <x v="210"/>
    <x v="210"/>
    <x v="0"/>
    <x v="1721"/>
    <x v="26"/>
    <x v="12"/>
    <x v="25"/>
    <x v="427"/>
    <x v="0"/>
    <s v="Japan"/>
    <m/>
    <x v="1"/>
    <s v="U"/>
    <x v="0"/>
    <d v="1941-01-31T00:00:00"/>
    <s v="Yoshida"/>
    <s v="Yoshiaki"/>
    <m/>
    <d v="2023-04-04T05:01:00"/>
    <m/>
    <m/>
    <n v="1941"/>
    <n v="105.48"/>
    <n v="0.5"/>
    <n v="5081769542380"/>
    <n v="63.2"/>
    <n v="98.8"/>
    <n v="11.9"/>
    <n v="46.7"/>
    <n v="126226568"/>
  </r>
  <r>
    <x v="210"/>
    <x v="210"/>
    <x v="10"/>
    <x v="1722"/>
    <x v="15"/>
    <x v="1"/>
    <x v="224"/>
    <x v="72"/>
    <x v="10"/>
    <s v="Canada"/>
    <m/>
    <x v="0"/>
    <s v="U"/>
    <x v="0"/>
    <d v="1962-10-01T00:00:00"/>
    <s v="Zekelman"/>
    <s v="Alan"/>
    <m/>
    <d v="2023-04-04T05:01:00"/>
    <s v="Michigan"/>
    <s v="Midwest"/>
    <n v="1962"/>
    <n v="117.24"/>
    <n v="7.5"/>
    <n v="21427700000000"/>
    <n v="88.2"/>
    <n v="101.8"/>
    <n v="9.6"/>
    <n v="36.6"/>
    <n v="328239523"/>
  </r>
  <r>
    <x v="210"/>
    <x v="210"/>
    <x v="11"/>
    <x v="1723"/>
    <x v="36"/>
    <x v="5"/>
    <x v="82"/>
    <x v="36"/>
    <x v="11"/>
    <s v="China"/>
    <m/>
    <x v="1"/>
    <s v="D"/>
    <x v="0"/>
    <d v="1953-01-01T00:00:00"/>
    <s v="Zhang"/>
    <s v="Li"/>
    <m/>
    <d v="2023-04-04T05:01:00"/>
    <m/>
    <m/>
    <n v="1953"/>
    <n v="125.08"/>
    <n v="2.9"/>
    <n v="19910000000000"/>
    <n v="50.6"/>
    <n v="100.2"/>
    <n v="9.4"/>
    <n v="59.2"/>
    <n v="1397715000"/>
  </r>
  <r>
    <x v="211"/>
    <x v="211"/>
    <x v="17"/>
    <x v="1724"/>
    <x v="5"/>
    <x v="1"/>
    <x v="56"/>
    <x v="653"/>
    <x v="17"/>
    <s v="United States"/>
    <s v="Tennessee Titans"/>
    <x v="0"/>
    <s v="N"/>
    <x v="1"/>
    <d v="1955-09-29T00:00:00"/>
    <s v="Adams Strunk"/>
    <s v="Amy"/>
    <s v="Owner"/>
    <d v="2023-04-04T05:01:00"/>
    <s v="Tennessee"/>
    <s v="South"/>
    <n v="1955"/>
    <n v="117.24"/>
    <n v="7.5"/>
    <n v="21427700000000"/>
    <n v="88.2"/>
    <n v="101.8"/>
    <n v="9.6"/>
    <n v="36.6"/>
    <n v="328239523"/>
  </r>
  <r>
    <x v="211"/>
    <x v="211"/>
    <x v="3"/>
    <x v="1725"/>
    <x v="1"/>
    <x v="1"/>
    <x v="70"/>
    <x v="654"/>
    <x v="3"/>
    <s v="United States"/>
    <s v="Andreessen Horowitz"/>
    <x v="1"/>
    <s v="E"/>
    <x v="0"/>
    <d v="1971-07-09T00:00:00"/>
    <s v="Andreessen"/>
    <s v="Marc"/>
    <s v="Investor"/>
    <d v="2023-04-04T05:01:00"/>
    <s v="California"/>
    <s v="West"/>
    <n v="1971"/>
    <n v="117.24"/>
    <n v="7.5"/>
    <n v="21427700000000"/>
    <n v="88.2"/>
    <n v="101.8"/>
    <n v="9.6"/>
    <n v="36.6"/>
    <n v="328239523"/>
  </r>
  <r>
    <x v="211"/>
    <x v="211"/>
    <x v="12"/>
    <x v="1726"/>
    <x v="18"/>
    <x v="28"/>
    <x v="556"/>
    <x v="72"/>
    <x v="12"/>
    <s v="Italy"/>
    <m/>
    <x v="1"/>
    <s v="N"/>
    <x v="0"/>
    <d v="1937-08-28T00:00:00"/>
    <s v="Arvedi"/>
    <s v="Giovanni"/>
    <m/>
    <d v="2023-04-04T05:01:00"/>
    <m/>
    <m/>
    <n v="1937"/>
    <n v="110.62"/>
    <n v="0.6"/>
    <n v="2001244392042"/>
    <n v="61.9"/>
    <n v="101.9"/>
    <n v="24.3"/>
    <n v="59.1"/>
    <n v="60297396"/>
  </r>
  <r>
    <x v="211"/>
    <x v="211"/>
    <x v="11"/>
    <x v="1727"/>
    <x v="41"/>
    <x v="41"/>
    <x v="200"/>
    <x v="36"/>
    <x v="11"/>
    <s v="Netherlands"/>
    <m/>
    <x v="0"/>
    <s v="U"/>
    <x v="0"/>
    <d v="1965-06-03T00:00:00"/>
    <s v="Bamberger"/>
    <s v="Lesley"/>
    <m/>
    <d v="2023-04-04T05:01:00"/>
    <m/>
    <m/>
    <n v="1965"/>
    <n v="115.91"/>
    <n v="2.6"/>
    <n v="909070395161"/>
    <n v="85"/>
    <n v="104.2"/>
    <n v="23"/>
    <n v="41.2"/>
    <n v="17332850"/>
  </r>
  <r>
    <x v="211"/>
    <x v="211"/>
    <x v="4"/>
    <x v="1728"/>
    <x v="10"/>
    <x v="32"/>
    <x v="109"/>
    <x v="475"/>
    <x v="4"/>
    <s v="South Korea"/>
    <m/>
    <x v="1"/>
    <s v="D"/>
    <x v="0"/>
    <d v="1972-08-09T00:00:00"/>
    <s v="Bang"/>
    <s v="Si-hyuk"/>
    <m/>
    <d v="2023-04-04T05:01:00"/>
    <m/>
    <m/>
    <n v="1972"/>
    <n v="115.16"/>
    <n v="0.4"/>
    <n v="2029000000000"/>
    <n v="94.3"/>
    <n v="98.1"/>
    <n v="15.6"/>
    <n v="33.200000000000003"/>
    <n v="51709098"/>
  </r>
  <r>
    <x v="211"/>
    <x v="211"/>
    <x v="3"/>
    <x v="1729"/>
    <x v="22"/>
    <x v="1"/>
    <x v="1"/>
    <x v="655"/>
    <x v="3"/>
    <s v="United States"/>
    <s v="Dimensional Fund Advisors"/>
    <x v="1"/>
    <s v="E"/>
    <x v="0"/>
    <d v="1946-01-01T00:00:00"/>
    <s v="Booth"/>
    <s v="David"/>
    <s v="Chairman and CEO"/>
    <d v="2023-04-04T05:01:00"/>
    <s v="Texas"/>
    <s v="South"/>
    <n v="1946"/>
    <n v="117.24"/>
    <n v="7.5"/>
    <n v="21427700000000"/>
    <n v="88.2"/>
    <n v="101.8"/>
    <n v="9.6"/>
    <n v="36.6"/>
    <n v="328239523"/>
  </r>
  <r>
    <x v="211"/>
    <x v="211"/>
    <x v="2"/>
    <x v="1730"/>
    <x v="38"/>
    <x v="1"/>
    <x v="1"/>
    <x v="137"/>
    <x v="2"/>
    <s v="United States"/>
    <s v="Breyer Capital"/>
    <x v="1"/>
    <s v="D"/>
    <x v="0"/>
    <d v="1961-07-26T00:00:00"/>
    <s v="Breyer"/>
    <s v="Jim"/>
    <s v="Investor"/>
    <d v="2023-04-04T05:01:00"/>
    <s v="Texas"/>
    <s v="South"/>
    <n v="1961"/>
    <n v="117.24"/>
    <n v="7.5"/>
    <n v="21427700000000"/>
    <n v="88.2"/>
    <n v="101.8"/>
    <n v="9.6"/>
    <n v="36.6"/>
    <n v="328239523"/>
  </r>
  <r>
    <x v="211"/>
    <x v="211"/>
    <x v="10"/>
    <x v="1731"/>
    <x v="44"/>
    <x v="5"/>
    <x v="82"/>
    <x v="405"/>
    <x v="10"/>
    <s v="China"/>
    <m/>
    <x v="1"/>
    <s v="D"/>
    <x v="0"/>
    <m/>
    <s v="Chen"/>
    <s v="Kaichen"/>
    <m/>
    <d v="2023-04-04T05:01:00"/>
    <m/>
    <m/>
    <m/>
    <n v="125.08"/>
    <n v="2.9"/>
    <n v="19910000000000"/>
    <n v="50.6"/>
    <n v="100.2"/>
    <n v="9.4"/>
    <n v="59.2"/>
    <n v="1397715000"/>
  </r>
  <r>
    <x v="211"/>
    <x v="211"/>
    <x v="10"/>
    <x v="1732"/>
    <x v="55"/>
    <x v="41"/>
    <x v="557"/>
    <x v="656"/>
    <x v="10"/>
    <s v="Netherlands"/>
    <m/>
    <x v="0"/>
    <s v="D"/>
    <x v="0"/>
    <d v="1944-03-30T00:00:00"/>
    <s v="Damen"/>
    <s v="Kommer"/>
    <m/>
    <d v="2023-04-04T05:01:00"/>
    <m/>
    <m/>
    <n v="1944"/>
    <n v="115.91"/>
    <n v="2.6"/>
    <n v="909070395161"/>
    <n v="85"/>
    <n v="104.2"/>
    <n v="23"/>
    <n v="41.2"/>
    <n v="17332850"/>
  </r>
  <r>
    <x v="211"/>
    <x v="211"/>
    <x v="7"/>
    <x v="1733"/>
    <x v="7"/>
    <x v="1"/>
    <x v="268"/>
    <x v="657"/>
    <x v="7"/>
    <s v="United States"/>
    <m/>
    <x v="1"/>
    <s v="U"/>
    <x v="0"/>
    <d v="1939-07-19T00:00:00"/>
    <s v="DeSantis"/>
    <s v="Carl"/>
    <m/>
    <d v="2023-04-04T05:01:00"/>
    <s v="Florida"/>
    <m/>
    <n v="1939"/>
    <n v="117.24"/>
    <n v="7.5"/>
    <n v="21427700000000"/>
    <n v="88.2"/>
    <n v="101.8"/>
    <n v="9.6"/>
    <n v="36.6"/>
    <n v="328239523"/>
  </r>
  <r>
    <x v="211"/>
    <x v="211"/>
    <x v="3"/>
    <x v="1734"/>
    <x v="52"/>
    <x v="20"/>
    <x v="68"/>
    <x v="38"/>
    <x v="3"/>
    <s v="Czech Republic"/>
    <m/>
    <x v="1"/>
    <s v="U"/>
    <x v="0"/>
    <d v="1969-07-18T00:00:00"/>
    <s v="Dospiva"/>
    <s v="Marek"/>
    <m/>
    <d v="2023-04-04T05:01:00"/>
    <m/>
    <m/>
    <n v="1969"/>
    <n v="116.48"/>
    <n v="2.8"/>
    <n v="246489245495"/>
    <n v="64.099999999999994"/>
    <n v="100.7"/>
    <n v="14.9"/>
    <n v="46.1"/>
    <n v="10669709"/>
  </r>
  <r>
    <x v="211"/>
    <x v="211"/>
    <x v="14"/>
    <x v="1735"/>
    <x v="52"/>
    <x v="1"/>
    <x v="558"/>
    <x v="559"/>
    <x v="14"/>
    <s v="United States"/>
    <m/>
    <x v="1"/>
    <s v="E"/>
    <x v="0"/>
    <d v="1969-06-25T00:00:00"/>
    <s v="Dunleavy"/>
    <s v="Keith"/>
    <m/>
    <d v="2023-04-04T05:01:00"/>
    <s v="Maryland"/>
    <s v="South"/>
    <n v="1969"/>
    <n v="117.24"/>
    <n v="7.5"/>
    <n v="21427700000000"/>
    <n v="88.2"/>
    <n v="101.8"/>
    <n v="9.6"/>
    <n v="36.6"/>
    <n v="328239523"/>
  </r>
  <r>
    <x v="211"/>
    <x v="211"/>
    <x v="3"/>
    <x v="1736"/>
    <x v="47"/>
    <x v="28"/>
    <x v="559"/>
    <x v="658"/>
    <x v="3"/>
    <s v="Italy"/>
    <m/>
    <x v="0"/>
    <s v="D"/>
    <x v="0"/>
    <d v="1976-01-04T00:00:00"/>
    <s v="Elkann"/>
    <s v="John"/>
    <m/>
    <d v="2023-04-04T05:01:00"/>
    <m/>
    <m/>
    <n v="1976"/>
    <n v="110.62"/>
    <n v="0.6"/>
    <n v="2001244392042"/>
    <n v="61.9"/>
    <n v="101.9"/>
    <n v="24.3"/>
    <n v="59.1"/>
    <n v="60297396"/>
  </r>
  <r>
    <x v="211"/>
    <x v="211"/>
    <x v="1"/>
    <x v="1737"/>
    <x v="0"/>
    <x v="0"/>
    <x v="0"/>
    <x v="659"/>
    <x v="1"/>
    <s v="France"/>
    <m/>
    <x v="0"/>
    <s v="D"/>
    <x v="0"/>
    <d v="1949-01-01T00:00:00"/>
    <s v="Feuillet"/>
    <s v="Francois"/>
    <m/>
    <d v="2023-04-04T05:01:00"/>
    <m/>
    <m/>
    <n v="1949"/>
    <n v="110.05"/>
    <n v="1.1000000000000001"/>
    <n v="2715518274227"/>
    <n v="65.599999999999994"/>
    <n v="102.5"/>
    <n v="24.2"/>
    <n v="60.7"/>
    <n v="67059887"/>
  </r>
  <r>
    <x v="211"/>
    <x v="211"/>
    <x v="4"/>
    <x v="1738"/>
    <x v="43"/>
    <x v="12"/>
    <x v="31"/>
    <x v="281"/>
    <x v="4"/>
    <s v="Japan"/>
    <m/>
    <x v="1"/>
    <s v="D"/>
    <x v="0"/>
    <d v="1947-08-18T00:00:00"/>
    <s v="Fukushima"/>
    <s v="Yasuhiro"/>
    <m/>
    <d v="2023-04-04T05:01:00"/>
    <m/>
    <m/>
    <n v="1947"/>
    <n v="105.48"/>
    <n v="0.5"/>
    <n v="5081769542380"/>
    <n v="63.2"/>
    <n v="98.8"/>
    <n v="11.9"/>
    <n v="46.7"/>
    <n v="126226568"/>
  </r>
  <r>
    <x v="211"/>
    <x v="211"/>
    <x v="3"/>
    <x v="1739"/>
    <x v="6"/>
    <x v="1"/>
    <x v="57"/>
    <x v="196"/>
    <x v="3"/>
    <s v="United States"/>
    <m/>
    <x v="1"/>
    <s v="D"/>
    <x v="0"/>
    <d v="1942-03-31T00:00:00"/>
    <s v="Gabelli"/>
    <s v="Mario"/>
    <m/>
    <d v="2023-04-04T05:01:00"/>
    <s v="Connecticut"/>
    <s v="Northeast"/>
    <n v="1942"/>
    <n v="117.24"/>
    <n v="7.5"/>
    <n v="21427700000000"/>
    <n v="88.2"/>
    <n v="101.8"/>
    <n v="9.6"/>
    <n v="36.6"/>
    <n v="328239523"/>
  </r>
  <r>
    <x v="211"/>
    <x v="211"/>
    <x v="3"/>
    <x v="1740"/>
    <x v="13"/>
    <x v="8"/>
    <x v="71"/>
    <x v="150"/>
    <x v="3"/>
    <s v="Germany"/>
    <m/>
    <x v="0"/>
    <s v="E"/>
    <x v="0"/>
    <d v="1954-12-15T00:00:00"/>
    <s v="Gerling"/>
    <s v="Rolf"/>
    <m/>
    <d v="2023-04-04T05:01:00"/>
    <m/>
    <m/>
    <n v="1954"/>
    <n v="99.55"/>
    <n v="0.4"/>
    <n v="703082435360"/>
    <n v="59.6"/>
    <n v="105.2"/>
    <n v="10.1"/>
    <n v="28.8"/>
    <n v="8574832"/>
  </r>
  <r>
    <x v="211"/>
    <x v="211"/>
    <x v="11"/>
    <x v="1741"/>
    <x v="5"/>
    <x v="1"/>
    <x v="15"/>
    <x v="36"/>
    <x v="11"/>
    <s v="United States"/>
    <m/>
    <x v="1"/>
    <s v="U"/>
    <x v="0"/>
    <d v="1955-08-26T00:00:00"/>
    <s v="Goff"/>
    <s v="John"/>
    <m/>
    <d v="2023-04-04T05:01:00"/>
    <s v="Texas"/>
    <s v="South"/>
    <n v="1955"/>
    <n v="117.24"/>
    <n v="7.5"/>
    <n v="21427700000000"/>
    <n v="88.2"/>
    <n v="101.8"/>
    <n v="9.6"/>
    <n v="36.6"/>
    <n v="328239523"/>
  </r>
  <r>
    <x v="211"/>
    <x v="211"/>
    <x v="0"/>
    <x v="1742"/>
    <x v="16"/>
    <x v="30"/>
    <x v="560"/>
    <x v="159"/>
    <x v="0"/>
    <s v="Brazil"/>
    <m/>
    <x v="1"/>
    <s v="D"/>
    <x v="0"/>
    <d v="1950-01-23T00:00:00"/>
    <s v="Grendene Bartelle"/>
    <s v="Alexandre"/>
    <m/>
    <d v="2023-04-04T05:01:00"/>
    <m/>
    <m/>
    <n v="1950"/>
    <n v="167.4"/>
    <n v="3.7"/>
    <n v="1839758040766"/>
    <n v="51.3"/>
    <n v="115.4"/>
    <n v="14.2"/>
    <n v="65.099999999999994"/>
    <n v="212559417"/>
  </r>
  <r>
    <x v="211"/>
    <x v="211"/>
    <x v="0"/>
    <x v="1743"/>
    <x v="7"/>
    <x v="14"/>
    <x v="83"/>
    <x v="21"/>
    <x v="0"/>
    <s v="Australia"/>
    <m/>
    <x v="1"/>
    <s v="D"/>
    <x v="0"/>
    <d v="1939-09-18T00:00:00"/>
    <s v="Harvey"/>
    <s v="Gerry"/>
    <m/>
    <d v="2023-04-04T05:01:00"/>
    <m/>
    <m/>
    <n v="1939"/>
    <n v="119.8"/>
    <n v="1.6"/>
    <n v="1392680589329"/>
    <n v="113.1"/>
    <n v="100.3"/>
    <n v="23"/>
    <n v="47.4"/>
    <n v="25766605"/>
  </r>
  <r>
    <x v="211"/>
    <x v="211"/>
    <x v="2"/>
    <x v="1744"/>
    <x v="12"/>
    <x v="5"/>
    <x v="26"/>
    <x v="117"/>
    <x v="2"/>
    <s v="China"/>
    <m/>
    <x v="1"/>
    <s v="E"/>
    <x v="0"/>
    <d v="1974-01-01T00:00:00"/>
    <s v="He"/>
    <s v="Zhaoxi"/>
    <m/>
    <d v="2023-04-04T05:01:00"/>
    <m/>
    <m/>
    <n v="1974"/>
    <n v="125.08"/>
    <n v="2.9"/>
    <n v="19910000000000"/>
    <n v="50.6"/>
    <n v="100.2"/>
    <n v="9.4"/>
    <n v="59.2"/>
    <n v="1397715000"/>
  </r>
  <r>
    <x v="211"/>
    <x v="211"/>
    <x v="11"/>
    <x v="1745"/>
    <x v="16"/>
    <x v="23"/>
    <x v="73"/>
    <x v="368"/>
    <x v="11"/>
    <s v="Thailand"/>
    <m/>
    <x v="1"/>
    <s v="E"/>
    <x v="0"/>
    <d v="1949-06-04T00:00:00"/>
    <s v="Heinecke"/>
    <s v="William"/>
    <m/>
    <d v="2023-04-04T05:01:00"/>
    <m/>
    <m/>
    <n v="1949"/>
    <n v="113.27"/>
    <n v="0.7"/>
    <n v="543649976166"/>
    <n v="49.3"/>
    <n v="99.8"/>
    <n v="14.9"/>
    <n v="29.5"/>
    <n v="69625582"/>
  </r>
  <r>
    <x v="211"/>
    <x v="211"/>
    <x v="3"/>
    <x v="1746"/>
    <x v="37"/>
    <x v="6"/>
    <x v="16"/>
    <x v="660"/>
    <x v="3"/>
    <s v="Canada"/>
    <m/>
    <x v="1"/>
    <s v="D"/>
    <x v="0"/>
    <d v="1957-01-20T00:00:00"/>
    <s v="Hennick"/>
    <s v="Jay"/>
    <m/>
    <d v="2023-04-04T05:01:00"/>
    <m/>
    <m/>
    <n v="1957"/>
    <n v="116.76"/>
    <n v="1.9"/>
    <n v="1736425629520"/>
    <n v="68.900000000000006"/>
    <n v="100.9"/>
    <n v="12.8"/>
    <n v="24.5"/>
    <n v="36991981"/>
  </r>
  <r>
    <x v="211"/>
    <x v="211"/>
    <x v="10"/>
    <x v="1747"/>
    <x v="29"/>
    <x v="55"/>
    <x v="513"/>
    <x v="319"/>
    <x v="10"/>
    <s v="Finland"/>
    <m/>
    <x v="0"/>
    <s v="U"/>
    <x v="0"/>
    <d v="1959-01-01T00:00:00"/>
    <s v="Herlin"/>
    <s v="Ilkka"/>
    <m/>
    <d v="2023-04-04T05:01:00"/>
    <m/>
    <m/>
    <n v="1959"/>
    <n v="112.33"/>
    <n v="1"/>
    <n v="268761201365"/>
    <n v="88.2"/>
    <n v="100.2"/>
    <n v="20.8"/>
    <n v="36.6"/>
    <n v="5520314"/>
  </r>
  <r>
    <x v="211"/>
    <x v="211"/>
    <x v="11"/>
    <x v="1748"/>
    <x v="13"/>
    <x v="25"/>
    <x v="76"/>
    <x v="36"/>
    <x v="11"/>
    <s v="Singapore"/>
    <m/>
    <x v="0"/>
    <s v="U"/>
    <x v="0"/>
    <d v="1954-11-28T00:00:00"/>
    <s v="Hiranandani"/>
    <s v="Asok Kumar"/>
    <m/>
    <d v="2023-04-04T05:01:00"/>
    <m/>
    <m/>
    <n v="1954"/>
    <n v="114.41"/>
    <n v="0.6"/>
    <n v="372062527489"/>
    <n v="84.8"/>
    <n v="100.6"/>
    <n v="13.1"/>
    <n v="21"/>
    <n v="5703569"/>
  </r>
  <r>
    <x v="211"/>
    <x v="211"/>
    <x v="3"/>
    <x v="1749"/>
    <x v="40"/>
    <x v="6"/>
    <x v="16"/>
    <x v="661"/>
    <x v="3"/>
    <s v="Canada"/>
    <m/>
    <x v="1"/>
    <s v="D"/>
    <x v="0"/>
    <d v="1932-06-10T00:00:00"/>
    <s v="Jackman"/>
    <s v="Hal"/>
    <m/>
    <d v="2023-04-04T05:01:00"/>
    <m/>
    <m/>
    <n v="1932"/>
    <n v="116.76"/>
    <n v="1.9"/>
    <n v="1736425629520"/>
    <n v="68.900000000000006"/>
    <n v="100.9"/>
    <n v="12.8"/>
    <n v="24.5"/>
    <n v="36991981"/>
  </r>
  <r>
    <x v="211"/>
    <x v="211"/>
    <x v="10"/>
    <x v="1750"/>
    <x v="48"/>
    <x v="3"/>
    <x v="41"/>
    <x v="50"/>
    <x v="10"/>
    <s v="India"/>
    <m/>
    <x v="0"/>
    <s v="N"/>
    <x v="0"/>
    <d v="1951-05-17T00:00:00"/>
    <s v="Jain"/>
    <s v="Pavan"/>
    <m/>
    <d v="2023-04-04T05:01:00"/>
    <m/>
    <m/>
    <n v="1951"/>
    <n v="180.44"/>
    <n v="7.7"/>
    <n v="2611000000000"/>
    <n v="28.1"/>
    <n v="113"/>
    <n v="11.2"/>
    <n v="49.7"/>
    <n v="1366417754"/>
  </r>
  <r>
    <x v="211"/>
    <x v="211"/>
    <x v="11"/>
    <x v="1751"/>
    <x v="25"/>
    <x v="23"/>
    <x v="73"/>
    <x v="662"/>
    <x v="11"/>
    <s v="Thailand"/>
    <m/>
    <x v="1"/>
    <s v="D"/>
    <x v="0"/>
    <d v="1950-10-18T00:00:00"/>
    <s v="Kanjanapas"/>
    <s v="Keeree"/>
    <m/>
    <d v="2023-04-04T05:01:00"/>
    <m/>
    <m/>
    <n v="1950"/>
    <n v="113.27"/>
    <n v="0.7"/>
    <n v="543649976166"/>
    <n v="49.3"/>
    <n v="99.8"/>
    <n v="14.9"/>
    <n v="29.5"/>
    <n v="69625582"/>
  </r>
  <r>
    <x v="211"/>
    <x v="211"/>
    <x v="14"/>
    <x v="1752"/>
    <x v="33"/>
    <x v="1"/>
    <x v="561"/>
    <x v="233"/>
    <x v="14"/>
    <s v="United States"/>
    <s v="Samumed"/>
    <x v="1"/>
    <s v="D"/>
    <x v="0"/>
    <d v="1971-04-01T00:00:00"/>
    <s v="Kibar"/>
    <s v="Osman"/>
    <s v="Founder, CEO"/>
    <d v="2023-04-04T05:01:00"/>
    <s v="California"/>
    <s v="West"/>
    <n v="1971"/>
    <n v="117.24"/>
    <n v="7.5"/>
    <n v="21427700000000"/>
    <n v="88.2"/>
    <n v="101.8"/>
    <n v="9.6"/>
    <n v="36.6"/>
    <n v="328239523"/>
  </r>
  <r>
    <x v="211"/>
    <x v="211"/>
    <x v="0"/>
    <x v="1753"/>
    <x v="34"/>
    <x v="32"/>
    <x v="109"/>
    <x v="185"/>
    <x v="0"/>
    <s v="South Korea"/>
    <m/>
    <x v="1"/>
    <s v="D"/>
    <x v="0"/>
    <d v="1961-04-01T00:00:00"/>
    <s v="Kim"/>
    <s v="Chang-soo"/>
    <m/>
    <d v="2023-04-04T05:01:00"/>
    <m/>
    <m/>
    <n v="1961"/>
    <n v="115.16"/>
    <n v="0.4"/>
    <n v="2029000000000"/>
    <n v="94.3"/>
    <n v="98.1"/>
    <n v="15.6"/>
    <n v="33.200000000000003"/>
    <n v="51709098"/>
  </r>
  <r>
    <x v="211"/>
    <x v="211"/>
    <x v="4"/>
    <x v="1754"/>
    <x v="70"/>
    <x v="22"/>
    <x v="25"/>
    <x v="663"/>
    <x v="4"/>
    <s v="South Korea"/>
    <m/>
    <x v="0"/>
    <s v="N"/>
    <x v="1"/>
    <d v="2002-01-01T00:00:00"/>
    <s v="Kim"/>
    <s v="Jung-min"/>
    <m/>
    <d v="2023-04-04T05:01:00"/>
    <m/>
    <m/>
    <n v="2002"/>
    <m/>
    <m/>
    <m/>
    <m/>
    <m/>
    <m/>
    <m/>
    <m/>
  </r>
  <r>
    <x v="211"/>
    <x v="211"/>
    <x v="4"/>
    <x v="1755"/>
    <x v="75"/>
    <x v="22"/>
    <x v="25"/>
    <x v="663"/>
    <x v="4"/>
    <s v="South Korea"/>
    <m/>
    <x v="0"/>
    <s v="N"/>
    <x v="1"/>
    <d v="2004-01-01T00:00:00"/>
    <s v="Kim"/>
    <s v="Jung-youn"/>
    <m/>
    <d v="2023-04-04T05:01:00"/>
    <m/>
    <m/>
    <n v="2004"/>
    <m/>
    <m/>
    <m/>
    <m/>
    <m/>
    <m/>
    <m/>
    <m/>
  </r>
  <r>
    <x v="211"/>
    <x v="211"/>
    <x v="0"/>
    <x v="1756"/>
    <x v="2"/>
    <x v="47"/>
    <x v="228"/>
    <x v="31"/>
    <x v="0"/>
    <s v="Turkey"/>
    <m/>
    <x v="1"/>
    <s v="U"/>
    <x v="0"/>
    <d v="1963-06-03T00:00:00"/>
    <s v="Kucuk"/>
    <s v="Mustafa"/>
    <m/>
    <d v="2023-04-04T05:01:00"/>
    <m/>
    <m/>
    <n v="1963"/>
    <n v="234.44"/>
    <n v="15.2"/>
    <n v="754411708203"/>
    <n v="23.9"/>
    <n v="93.2"/>
    <n v="17.899999999999999"/>
    <n v="42.3"/>
    <n v="83429615"/>
  </r>
  <r>
    <x v="211"/>
    <x v="211"/>
    <x v="11"/>
    <x v="1757"/>
    <x v="59"/>
    <x v="10"/>
    <x v="36"/>
    <x v="36"/>
    <x v="11"/>
    <s v="Hong Kong"/>
    <m/>
    <x v="0"/>
    <s v="U"/>
    <x v="0"/>
    <d v="1986-04-01T00:00:00"/>
    <s v="Kwok"/>
    <s v="Christopher"/>
    <m/>
    <d v="2023-04-04T05:01:00"/>
    <m/>
    <m/>
    <n v="1986"/>
    <m/>
    <m/>
    <m/>
    <m/>
    <m/>
    <m/>
    <m/>
    <m/>
  </r>
  <r>
    <x v="211"/>
    <x v="211"/>
    <x v="11"/>
    <x v="1758"/>
    <x v="57"/>
    <x v="10"/>
    <x v="36"/>
    <x v="36"/>
    <x v="11"/>
    <s v="Hong Kong"/>
    <m/>
    <x v="0"/>
    <s v="U"/>
    <x v="0"/>
    <d v="1981-04-01T00:00:00"/>
    <s v="Kwok"/>
    <s v="Edward"/>
    <m/>
    <d v="2023-04-04T05:01:00"/>
    <m/>
    <m/>
    <n v="1981"/>
    <m/>
    <m/>
    <m/>
    <m/>
    <m/>
    <m/>
    <m/>
    <m/>
  </r>
  <r>
    <x v="211"/>
    <x v="211"/>
    <x v="8"/>
    <x v="1759"/>
    <x v="52"/>
    <x v="5"/>
    <x v="34"/>
    <x v="664"/>
    <x v="8"/>
    <s v="China"/>
    <m/>
    <x v="1"/>
    <s v="U"/>
    <x v="0"/>
    <m/>
    <s v="Lai"/>
    <s v="Jianfa"/>
    <m/>
    <d v="2023-04-04T05:01:00"/>
    <m/>
    <m/>
    <m/>
    <n v="125.08"/>
    <n v="2.9"/>
    <n v="19910000000000"/>
    <n v="50.6"/>
    <n v="100.2"/>
    <n v="9.4"/>
    <n v="59.2"/>
    <n v="1397715000"/>
  </r>
  <r>
    <x v="211"/>
    <x v="211"/>
    <x v="6"/>
    <x v="1760"/>
    <x v="11"/>
    <x v="31"/>
    <x v="562"/>
    <x v="459"/>
    <x v="6"/>
    <s v="Malaysia"/>
    <m/>
    <x v="0"/>
    <s v="D"/>
    <x v="0"/>
    <d v="1936-01-10T00:00:00"/>
    <s v="Lau"/>
    <s v="Cho Kun"/>
    <m/>
    <d v="2023-04-04T05:01:00"/>
    <m/>
    <m/>
    <n v="1936"/>
    <n v="121.46"/>
    <n v="0.7"/>
    <n v="364701517788"/>
    <n v="45.1"/>
    <n v="105.3"/>
    <n v="12"/>
    <n v="38.700000000000003"/>
    <n v="32447385"/>
  </r>
  <r>
    <x v="211"/>
    <x v="211"/>
    <x v="2"/>
    <x v="1761"/>
    <x v="65"/>
    <x v="1"/>
    <x v="5"/>
    <x v="645"/>
    <x v="2"/>
    <s v="United States"/>
    <s v="Datadog"/>
    <x v="1"/>
    <s v="D"/>
    <x v="0"/>
    <d v="1974-11-14T00:00:00"/>
    <s v="Lê-Quôc"/>
    <s v="Alexis"/>
    <s v="Cofounder"/>
    <d v="2023-04-04T05:01:00"/>
    <s v="New York"/>
    <s v="Northeast"/>
    <n v="1974"/>
    <n v="117.24"/>
    <n v="7.5"/>
    <n v="21427700000000"/>
    <n v="88.2"/>
    <n v="101.8"/>
    <n v="9.6"/>
    <n v="36.6"/>
    <n v="328239523"/>
  </r>
  <r>
    <x v="211"/>
    <x v="211"/>
    <x v="14"/>
    <x v="1762"/>
    <x v="36"/>
    <x v="5"/>
    <x v="563"/>
    <x v="83"/>
    <x v="14"/>
    <s v="China"/>
    <m/>
    <x v="1"/>
    <s v="D"/>
    <x v="1"/>
    <d v="1953-01-03T00:00:00"/>
    <s v="Lei"/>
    <s v="Jufang"/>
    <m/>
    <d v="2023-04-04T05:01:00"/>
    <m/>
    <m/>
    <n v="1953"/>
    <n v="125.08"/>
    <n v="2.9"/>
    <n v="19910000000000"/>
    <n v="50.6"/>
    <n v="100.2"/>
    <n v="9.4"/>
    <n v="59.2"/>
    <n v="1397715000"/>
  </r>
  <r>
    <x v="211"/>
    <x v="211"/>
    <x v="14"/>
    <x v="1763"/>
    <x v="3"/>
    <x v="1"/>
    <x v="156"/>
    <x v="665"/>
    <x v="14"/>
    <s v="United States"/>
    <m/>
    <x v="1"/>
    <s v="E"/>
    <x v="0"/>
    <d v="1945-03-30T00:00:00"/>
    <s v="Leininger"/>
    <s v="James"/>
    <m/>
    <d v="2023-04-04T05:01:00"/>
    <s v="Texas"/>
    <s v="South"/>
    <n v="1945"/>
    <n v="117.24"/>
    <n v="7.5"/>
    <n v="21427700000000"/>
    <n v="88.2"/>
    <n v="101.8"/>
    <n v="9.6"/>
    <n v="36.6"/>
    <n v="328239523"/>
  </r>
  <r>
    <x v="211"/>
    <x v="211"/>
    <x v="7"/>
    <x v="1764"/>
    <x v="23"/>
    <x v="5"/>
    <x v="49"/>
    <x v="80"/>
    <x v="7"/>
    <s v="China"/>
    <m/>
    <x v="1"/>
    <s v="D"/>
    <x v="1"/>
    <d v="1968-06-15T00:00:00"/>
    <s v="Li"/>
    <s v="Xuhui"/>
    <m/>
    <d v="2023-04-04T05:01:00"/>
    <m/>
    <m/>
    <n v="1968"/>
    <n v="125.08"/>
    <n v="2.9"/>
    <n v="19910000000000"/>
    <n v="50.6"/>
    <n v="100.2"/>
    <n v="9.4"/>
    <n v="59.2"/>
    <n v="1397715000"/>
  </r>
  <r>
    <x v="211"/>
    <x v="211"/>
    <x v="7"/>
    <x v="1765"/>
    <x v="2"/>
    <x v="1"/>
    <x v="564"/>
    <x v="666"/>
    <x v="7"/>
    <s v="United States"/>
    <m/>
    <x v="1"/>
    <s v="E"/>
    <x v="0"/>
    <d v="1964-01-12T00:00:00"/>
    <s v="Liautaud"/>
    <s v="Jimmy John"/>
    <m/>
    <d v="2023-04-04T05:01:00"/>
    <s v="Florida"/>
    <s v="South"/>
    <n v="1964"/>
    <n v="117.24"/>
    <n v="7.5"/>
    <n v="21427700000000"/>
    <n v="88.2"/>
    <n v="101.8"/>
    <n v="9.6"/>
    <n v="36.6"/>
    <n v="328239523"/>
  </r>
  <r>
    <x v="211"/>
    <x v="211"/>
    <x v="12"/>
    <x v="1766"/>
    <x v="23"/>
    <x v="5"/>
    <x v="565"/>
    <x v="667"/>
    <x v="12"/>
    <s v="China"/>
    <m/>
    <x v="1"/>
    <s v="D"/>
    <x v="0"/>
    <d v="1968-08-09T00:00:00"/>
    <s v="Lin"/>
    <s v="Lairong"/>
    <m/>
    <d v="2023-04-04T05:01:00"/>
    <m/>
    <m/>
    <n v="1968"/>
    <n v="125.08"/>
    <n v="2.9"/>
    <n v="19910000000000"/>
    <n v="50.6"/>
    <n v="100.2"/>
    <n v="9.4"/>
    <n v="59.2"/>
    <n v="1397715000"/>
  </r>
  <r>
    <x v="211"/>
    <x v="211"/>
    <x v="2"/>
    <x v="1767"/>
    <x v="44"/>
    <x v="5"/>
    <x v="26"/>
    <x v="309"/>
    <x v="2"/>
    <s v="China"/>
    <m/>
    <x v="1"/>
    <s v="E"/>
    <x v="0"/>
    <m/>
    <s v="Lu"/>
    <s v="Di"/>
    <s v="Investor"/>
    <d v="2023-04-04T05:01:00"/>
    <m/>
    <m/>
    <m/>
    <n v="125.08"/>
    <n v="2.9"/>
    <n v="19910000000000"/>
    <n v="50.6"/>
    <n v="100.2"/>
    <n v="9.4"/>
    <n v="59.2"/>
    <n v="1397715000"/>
  </r>
  <r>
    <x v="211"/>
    <x v="211"/>
    <x v="2"/>
    <x v="1768"/>
    <x v="24"/>
    <x v="1"/>
    <x v="64"/>
    <x v="668"/>
    <x v="2"/>
    <s v="United States"/>
    <s v="Oculus VR"/>
    <x v="1"/>
    <s v="N"/>
    <x v="0"/>
    <d v="1992-09-19T00:00:00"/>
    <s v="Luckey"/>
    <s v="Palmer"/>
    <s v="Entrepreneur"/>
    <d v="2023-04-04T05:01:00"/>
    <s v="California"/>
    <s v="West"/>
    <n v="1992"/>
    <n v="117.24"/>
    <n v="7.5"/>
    <n v="21427700000000"/>
    <n v="88.2"/>
    <n v="101.8"/>
    <n v="9.6"/>
    <n v="36.6"/>
    <n v="328239523"/>
  </r>
  <r>
    <x v="211"/>
    <x v="211"/>
    <x v="3"/>
    <x v="1769"/>
    <x v="18"/>
    <x v="1"/>
    <x v="566"/>
    <x v="6"/>
    <x v="3"/>
    <s v="United States"/>
    <m/>
    <x v="1"/>
    <s v="U"/>
    <x v="0"/>
    <d v="1937-12-17T00:00:00"/>
    <s v="MacMillan"/>
    <s v="Duncan"/>
    <m/>
    <d v="2023-04-04T05:01:00"/>
    <s v="New Jersey"/>
    <s v="Northeast"/>
    <n v="1937"/>
    <n v="117.24"/>
    <n v="7.5"/>
    <n v="21427700000000"/>
    <n v="88.2"/>
    <n v="101.8"/>
    <n v="9.6"/>
    <n v="36.6"/>
    <n v="328239523"/>
  </r>
  <r>
    <x v="211"/>
    <x v="211"/>
    <x v="2"/>
    <x v="1770"/>
    <x v="47"/>
    <x v="12"/>
    <x v="567"/>
    <x v="106"/>
    <x v="2"/>
    <s v="Japan"/>
    <m/>
    <x v="1"/>
    <s v="D"/>
    <x v="0"/>
    <d v="1975-11-22T00:00:00"/>
    <s v="Maezawa"/>
    <s v="Yusaku"/>
    <m/>
    <d v="2023-04-04T05:01:00"/>
    <m/>
    <m/>
    <n v="1975"/>
    <n v="105.48"/>
    <n v="0.5"/>
    <n v="5081769542380"/>
    <n v="63.2"/>
    <n v="98.8"/>
    <n v="11.9"/>
    <n v="46.7"/>
    <n v="126226568"/>
  </r>
  <r>
    <x v="211"/>
    <x v="211"/>
    <x v="0"/>
    <x v="1771"/>
    <x v="15"/>
    <x v="30"/>
    <x v="568"/>
    <x v="81"/>
    <x v="0"/>
    <s v="Brazil"/>
    <m/>
    <x v="1"/>
    <s v="U"/>
    <x v="0"/>
    <d v="1963-02-06T00:00:00"/>
    <s v="Mateus"/>
    <s v="Ilson"/>
    <m/>
    <d v="2023-04-04T05:01:00"/>
    <m/>
    <m/>
    <n v="1963"/>
    <n v="167.4"/>
    <n v="3.7"/>
    <n v="1839758040766"/>
    <n v="51.3"/>
    <n v="115.4"/>
    <n v="14.2"/>
    <n v="65.099999999999994"/>
    <n v="212559417"/>
  </r>
  <r>
    <x v="211"/>
    <x v="211"/>
    <x v="10"/>
    <x v="1772"/>
    <x v="0"/>
    <x v="5"/>
    <x v="198"/>
    <x v="50"/>
    <x v="10"/>
    <s v="China"/>
    <m/>
    <x v="1"/>
    <s v="U"/>
    <x v="0"/>
    <d v="1948-11-17T00:00:00"/>
    <s v="Meng"/>
    <s v="Qingshan"/>
    <m/>
    <d v="2023-04-04T05:01:00"/>
    <m/>
    <m/>
    <n v="1948"/>
    <n v="125.08"/>
    <n v="2.9"/>
    <n v="19910000000000"/>
    <n v="50.6"/>
    <n v="100.2"/>
    <n v="9.4"/>
    <n v="59.2"/>
    <n v="1397715000"/>
  </r>
  <r>
    <x v="211"/>
    <x v="211"/>
    <x v="0"/>
    <x v="1773"/>
    <x v="16"/>
    <x v="4"/>
    <x v="276"/>
    <x v="669"/>
    <x v="0"/>
    <s v="Spain"/>
    <m/>
    <x v="1"/>
    <s v="E"/>
    <x v="0"/>
    <d v="1949-06-26T00:00:00"/>
    <s v="Palatchi"/>
    <s v="Alberto"/>
    <m/>
    <d v="2023-04-04T05:01:00"/>
    <m/>
    <m/>
    <n v="1949"/>
    <n v="110.96"/>
    <n v="0.7"/>
    <n v="1394116310769"/>
    <n v="88.9"/>
    <n v="102.7"/>
    <n v="14.2"/>
    <n v="47"/>
    <n v="47076781"/>
  </r>
  <r>
    <x v="211"/>
    <x v="211"/>
    <x v="10"/>
    <x v="1774"/>
    <x v="43"/>
    <x v="3"/>
    <x v="7"/>
    <x v="463"/>
    <x v="10"/>
    <s v="India"/>
    <m/>
    <x v="0"/>
    <s v="D"/>
    <x v="1"/>
    <d v="1948-01-01T00:00:00"/>
    <s v="Parekh"/>
    <s v="Mrudula"/>
    <m/>
    <d v="2023-04-04T05:01:00"/>
    <m/>
    <m/>
    <n v="1948"/>
    <n v="180.44"/>
    <n v="7.7"/>
    <n v="2611000000000"/>
    <n v="28.1"/>
    <n v="113"/>
    <n v="11.2"/>
    <n v="49.7"/>
    <n v="1366417754"/>
  </r>
  <r>
    <x v="211"/>
    <x v="211"/>
    <x v="0"/>
    <x v="1775"/>
    <x v="32"/>
    <x v="67"/>
    <x v="569"/>
    <x v="21"/>
    <x v="0"/>
    <s v="Romania"/>
    <m/>
    <x v="1"/>
    <s v="U"/>
    <x v="0"/>
    <d v="1966-06-22T00:00:00"/>
    <s v="Paval"/>
    <s v="Dragos"/>
    <m/>
    <d v="2023-04-04T05:01:00"/>
    <m/>
    <m/>
    <n v="1966"/>
    <n v="123.78"/>
    <n v="3.8"/>
    <n v="250077444017"/>
    <n v="49.4"/>
    <n v="85.2"/>
    <n v="14.6"/>
    <n v="20"/>
    <n v="19356544"/>
  </r>
  <r>
    <x v="211"/>
    <x v="211"/>
    <x v="11"/>
    <x v="1776"/>
    <x v="16"/>
    <x v="1"/>
    <x v="28"/>
    <x v="36"/>
    <x v="11"/>
    <s v="United States"/>
    <m/>
    <x v="1"/>
    <s v="E"/>
    <x v="0"/>
    <d v="1949-10-17T00:00:00"/>
    <s v="Perez"/>
    <s v="Jorge"/>
    <m/>
    <d v="2023-04-04T05:01:00"/>
    <s v="Florida"/>
    <s v="South"/>
    <n v="1949"/>
    <n v="117.24"/>
    <n v="7.5"/>
    <n v="21427700000000"/>
    <n v="88.2"/>
    <n v="101.8"/>
    <n v="9.6"/>
    <n v="36.6"/>
    <n v="328239523"/>
  </r>
  <r>
    <x v="211"/>
    <x v="211"/>
    <x v="12"/>
    <x v="1777"/>
    <x v="2"/>
    <x v="17"/>
    <x v="48"/>
    <x v="647"/>
    <x v="12"/>
    <s v="Russia"/>
    <m/>
    <x v="1"/>
    <s v="R"/>
    <x v="0"/>
    <d v="1964-03-22T00:00:00"/>
    <s v="Pumpyansky"/>
    <s v="Dmitry"/>
    <m/>
    <d v="2023-04-04T05:01:00"/>
    <m/>
    <m/>
    <n v="1964"/>
    <n v="180.75"/>
    <n v="4.5"/>
    <n v="1699876578871"/>
    <n v="81.900000000000006"/>
    <n v="102.6"/>
    <n v="11.4"/>
    <n v="46.2"/>
    <n v="144373535"/>
  </r>
  <r>
    <x v="211"/>
    <x v="211"/>
    <x v="14"/>
    <x v="1778"/>
    <x v="15"/>
    <x v="5"/>
    <x v="454"/>
    <x v="670"/>
    <x v="14"/>
    <s v="China"/>
    <m/>
    <x v="1"/>
    <s v="U"/>
    <x v="0"/>
    <d v="1963-01-01T00:00:00"/>
    <s v="Ren"/>
    <s v="Jinsheng"/>
    <m/>
    <d v="2023-04-04T05:01:00"/>
    <m/>
    <m/>
    <n v="1963"/>
    <n v="125.08"/>
    <n v="2.9"/>
    <n v="19910000000000"/>
    <n v="50.6"/>
    <n v="100.2"/>
    <n v="9.4"/>
    <n v="59.2"/>
    <n v="1397715000"/>
  </r>
  <r>
    <x v="211"/>
    <x v="211"/>
    <x v="4"/>
    <x v="1779"/>
    <x v="53"/>
    <x v="1"/>
    <x v="117"/>
    <x v="671"/>
    <x v="4"/>
    <s v="United States"/>
    <s v="Comcast"/>
    <x v="0"/>
    <s v="U"/>
    <x v="0"/>
    <d v="1959-06-28T00:00:00"/>
    <s v="Roberts"/>
    <s v="Brian"/>
    <s v="CEO"/>
    <d v="2023-04-04T05:01:00"/>
    <s v="Pennsylvania"/>
    <s v="Northeast"/>
    <n v="1959"/>
    <n v="117.24"/>
    <n v="7.5"/>
    <n v="21427700000000"/>
    <n v="88.2"/>
    <n v="101.8"/>
    <n v="9.6"/>
    <n v="36.6"/>
    <n v="328239523"/>
  </r>
  <r>
    <x v="211"/>
    <x v="211"/>
    <x v="7"/>
    <x v="1780"/>
    <x v="31"/>
    <x v="1"/>
    <x v="139"/>
    <x v="672"/>
    <x v="7"/>
    <s v="United States"/>
    <m/>
    <x v="0"/>
    <s v="D"/>
    <x v="0"/>
    <d v="1946-12-02T00:00:00"/>
    <s v="Rogers"/>
    <s v="Joe"/>
    <m/>
    <d v="2023-04-04T05:01:00"/>
    <s v="Georgia"/>
    <s v="South"/>
    <n v="1946"/>
    <n v="117.24"/>
    <n v="7.5"/>
    <n v="21427700000000"/>
    <n v="88.2"/>
    <n v="101.8"/>
    <n v="9.6"/>
    <n v="36.6"/>
    <n v="328239523"/>
  </r>
  <r>
    <x v="211"/>
    <x v="211"/>
    <x v="10"/>
    <x v="1781"/>
    <x v="11"/>
    <x v="5"/>
    <x v="451"/>
    <x v="50"/>
    <x v="10"/>
    <s v="China"/>
    <m/>
    <x v="1"/>
    <s v="D"/>
    <x v="0"/>
    <d v="1935-12-01T00:00:00"/>
    <s v="Ruan"/>
    <s v="Shuilong"/>
    <m/>
    <d v="2023-04-04T05:01:00"/>
    <m/>
    <m/>
    <n v="1935"/>
    <n v="125.08"/>
    <n v="2.9"/>
    <n v="19910000000000"/>
    <n v="50.6"/>
    <n v="100.2"/>
    <n v="9.4"/>
    <n v="59.2"/>
    <n v="1397715000"/>
  </r>
  <r>
    <x v="211"/>
    <x v="211"/>
    <x v="11"/>
    <x v="1782"/>
    <x v="5"/>
    <x v="1"/>
    <x v="43"/>
    <x v="673"/>
    <x v="11"/>
    <s v="United States"/>
    <m/>
    <x v="1"/>
    <s v="U"/>
    <x v="0"/>
    <d v="1955-12-14T00:00:00"/>
    <s v="Saville"/>
    <s v="Paul"/>
    <m/>
    <d v="2023-04-04T05:01:00"/>
    <s v="Florida"/>
    <s v="South"/>
    <n v="1955"/>
    <n v="117.24"/>
    <n v="7.5"/>
    <n v="21427700000000"/>
    <n v="88.2"/>
    <n v="101.8"/>
    <n v="9.6"/>
    <n v="36.6"/>
    <n v="328239523"/>
  </r>
  <r>
    <x v="211"/>
    <x v="211"/>
    <x v="6"/>
    <x v="1783"/>
    <x v="29"/>
    <x v="17"/>
    <x v="570"/>
    <x v="105"/>
    <x v="6"/>
    <s v="Russia"/>
    <m/>
    <x v="1"/>
    <s v="U"/>
    <x v="0"/>
    <d v="1959-03-27T00:00:00"/>
    <s v="Savvidis"/>
    <s v="Ivan"/>
    <m/>
    <d v="2023-04-04T05:01:00"/>
    <m/>
    <m/>
    <n v="1959"/>
    <n v="180.75"/>
    <n v="4.5"/>
    <n v="1699876578871"/>
    <n v="81.900000000000006"/>
    <n v="102.6"/>
    <n v="11.4"/>
    <n v="46.2"/>
    <n v="144373535"/>
  </r>
  <r>
    <x v="211"/>
    <x v="211"/>
    <x v="14"/>
    <x v="1784"/>
    <x v="17"/>
    <x v="12"/>
    <x v="31"/>
    <x v="291"/>
    <x v="14"/>
    <s v="Japan"/>
    <m/>
    <x v="1"/>
    <s v="U"/>
    <x v="0"/>
    <d v="1964-10-09T00:00:00"/>
    <s v="Shibahara"/>
    <s v="Keiichi"/>
    <m/>
    <d v="2023-04-04T05:01:00"/>
    <m/>
    <m/>
    <n v="1964"/>
    <n v="105.48"/>
    <n v="0.5"/>
    <n v="5081769542380"/>
    <n v="63.2"/>
    <n v="98.8"/>
    <n v="11.9"/>
    <n v="46.7"/>
    <n v="126226568"/>
  </r>
  <r>
    <x v="211"/>
    <x v="211"/>
    <x v="10"/>
    <x v="1785"/>
    <x v="58"/>
    <x v="3"/>
    <x v="7"/>
    <x v="481"/>
    <x v="10"/>
    <s v="India"/>
    <m/>
    <x v="1"/>
    <s v="D"/>
    <x v="0"/>
    <d v="1933-10-20T00:00:00"/>
    <s v="Shroff"/>
    <s v="Rajju"/>
    <m/>
    <d v="2023-04-04T05:01:00"/>
    <m/>
    <m/>
    <n v="1933"/>
    <n v="180.44"/>
    <n v="7.7"/>
    <n v="2611000000000"/>
    <n v="28.1"/>
    <n v="113"/>
    <n v="11.2"/>
    <n v="49.7"/>
    <n v="1366417754"/>
  </r>
  <r>
    <x v="211"/>
    <x v="211"/>
    <x v="0"/>
    <x v="1786"/>
    <x v="52"/>
    <x v="5"/>
    <x v="82"/>
    <x v="427"/>
    <x v="0"/>
    <s v="China"/>
    <m/>
    <x v="1"/>
    <s v="U"/>
    <x v="0"/>
    <d v="1969-10-02T00:00:00"/>
    <s v="Sun"/>
    <s v="Huaiqing"/>
    <m/>
    <d v="2023-04-04T05:01:00"/>
    <m/>
    <m/>
    <n v="1969"/>
    <n v="125.08"/>
    <n v="2.9"/>
    <n v="19910000000000"/>
    <n v="50.6"/>
    <n v="100.2"/>
    <n v="9.4"/>
    <n v="59.2"/>
    <n v="1397715000"/>
  </r>
  <r>
    <x v="211"/>
    <x v="211"/>
    <x v="11"/>
    <x v="1787"/>
    <x v="43"/>
    <x v="0"/>
    <x v="0"/>
    <x v="674"/>
    <x v="11"/>
    <s v="France"/>
    <m/>
    <x v="1"/>
    <s v="D"/>
    <x v="0"/>
    <d v="1948-01-01T00:00:00"/>
    <s v="Taravella"/>
    <s v="Alain"/>
    <m/>
    <d v="2023-04-04T05:01:00"/>
    <m/>
    <m/>
    <n v="1948"/>
    <n v="110.05"/>
    <n v="1.1000000000000001"/>
    <n v="2715518274227"/>
    <n v="65.599999999999994"/>
    <n v="102.5"/>
    <n v="24.2"/>
    <n v="60.7"/>
    <n v="67059887"/>
  </r>
  <r>
    <x v="211"/>
    <x v="211"/>
    <x v="6"/>
    <x v="1788"/>
    <x v="9"/>
    <x v="1"/>
    <x v="5"/>
    <x v="675"/>
    <x v="6"/>
    <s v="United States"/>
    <m/>
    <x v="0"/>
    <s v="U"/>
    <x v="0"/>
    <d v="1953-12-07T00:00:00"/>
    <s v="Tisch"/>
    <s v="Jonathan"/>
    <m/>
    <d v="2023-04-04T05:01:00"/>
    <s v="New York"/>
    <s v="Northeast"/>
    <n v="1953"/>
    <n v="117.24"/>
    <n v="7.5"/>
    <n v="21427700000000"/>
    <n v="88.2"/>
    <n v="101.8"/>
    <n v="9.6"/>
    <n v="36.6"/>
    <n v="328239523"/>
  </r>
  <r>
    <x v="211"/>
    <x v="211"/>
    <x v="15"/>
    <x v="1789"/>
    <x v="53"/>
    <x v="1"/>
    <x v="97"/>
    <x v="676"/>
    <x v="15"/>
    <s v="United States"/>
    <m/>
    <x v="1"/>
    <s v="D"/>
    <x v="0"/>
    <d v="1959-10-23T00:00:00"/>
    <s v="Tuchman"/>
    <s v="Kenneth"/>
    <m/>
    <d v="2023-04-04T05:01:00"/>
    <s v="Colorado"/>
    <s v="West"/>
    <n v="1959"/>
    <n v="117.24"/>
    <n v="7.5"/>
    <n v="21427700000000"/>
    <n v="88.2"/>
    <n v="101.8"/>
    <n v="9.6"/>
    <n v="36.6"/>
    <n v="328239523"/>
  </r>
  <r>
    <x v="211"/>
    <x v="211"/>
    <x v="10"/>
    <x v="1790"/>
    <x v="26"/>
    <x v="35"/>
    <x v="571"/>
    <x v="577"/>
    <x v="10"/>
    <s v="Taiwan"/>
    <m/>
    <x v="1"/>
    <s v="D"/>
    <x v="0"/>
    <d v="1941-01-01T00:00:00"/>
    <s v="Wang"/>
    <s v="Chou-hsiong"/>
    <m/>
    <d v="2023-04-04T05:01:00"/>
    <m/>
    <m/>
    <n v="1941"/>
    <m/>
    <m/>
    <m/>
    <m/>
    <m/>
    <m/>
    <m/>
    <m/>
  </r>
  <r>
    <x v="211"/>
    <x v="211"/>
    <x v="2"/>
    <x v="1791"/>
    <x v="2"/>
    <x v="5"/>
    <x v="19"/>
    <x v="601"/>
    <x v="2"/>
    <s v="China"/>
    <m/>
    <x v="1"/>
    <s v="D"/>
    <x v="0"/>
    <d v="1963-11-01T00:00:00"/>
    <s v="Wang"/>
    <s v="Minwen"/>
    <m/>
    <d v="2023-04-04T05:01:00"/>
    <m/>
    <m/>
    <n v="1963"/>
    <n v="125.08"/>
    <n v="2.9"/>
    <n v="19910000000000"/>
    <n v="50.6"/>
    <n v="100.2"/>
    <n v="9.4"/>
    <n v="59.2"/>
    <n v="1397715000"/>
  </r>
  <r>
    <x v="211"/>
    <x v="211"/>
    <x v="17"/>
    <x v="1792"/>
    <x v="25"/>
    <x v="1"/>
    <x v="115"/>
    <x v="560"/>
    <x v="17"/>
    <s v="United States"/>
    <m/>
    <x v="1"/>
    <s v="U"/>
    <x v="0"/>
    <d v="1950-04-12T00:00:00"/>
    <s v="Werner"/>
    <s v="Tom"/>
    <m/>
    <d v="2023-04-04T05:01:00"/>
    <s v="California"/>
    <s v="West"/>
    <n v="1950"/>
    <n v="117.24"/>
    <n v="7.5"/>
    <n v="21427700000000"/>
    <n v="88.2"/>
    <n v="101.8"/>
    <n v="9.6"/>
    <n v="36.6"/>
    <n v="328239523"/>
  </r>
  <r>
    <x v="211"/>
    <x v="211"/>
    <x v="11"/>
    <x v="1793"/>
    <x v="31"/>
    <x v="1"/>
    <x v="80"/>
    <x v="677"/>
    <x v="11"/>
    <s v="United States"/>
    <m/>
    <x v="1"/>
    <s v="E"/>
    <x v="0"/>
    <d v="1946-09-12T00:00:00"/>
    <s v="Winn"/>
    <s v="Stephen"/>
    <m/>
    <d v="2023-04-04T05:01:00"/>
    <s v="Texas"/>
    <s v="South"/>
    <n v="1946"/>
    <n v="117.24"/>
    <n v="7.5"/>
    <n v="21427700000000"/>
    <n v="88.2"/>
    <n v="101.8"/>
    <n v="9.6"/>
    <n v="36.6"/>
    <n v="328239523"/>
  </r>
  <r>
    <x v="211"/>
    <x v="211"/>
    <x v="13"/>
    <x v="1794"/>
    <x v="35"/>
    <x v="13"/>
    <x v="572"/>
    <x v="678"/>
    <x v="13"/>
    <s v="United Kingdom"/>
    <m/>
    <x v="0"/>
    <s v="E"/>
    <x v="0"/>
    <d v="1942-07-21T00:00:00"/>
    <s v="Wood"/>
    <s v="Ian"/>
    <m/>
    <d v="2023-04-04T05:01:00"/>
    <m/>
    <m/>
    <n v="1942"/>
    <n v="119.62"/>
    <n v="1.7"/>
    <n v="2827113184696"/>
    <n v="60"/>
    <n v="101.2"/>
    <n v="25.5"/>
    <n v="30.6"/>
    <n v="66834405"/>
  </r>
  <r>
    <x v="211"/>
    <x v="211"/>
    <x v="10"/>
    <x v="1795"/>
    <x v="12"/>
    <x v="5"/>
    <x v="26"/>
    <x v="135"/>
    <x v="10"/>
    <s v="China"/>
    <m/>
    <x v="1"/>
    <s v="D"/>
    <x v="1"/>
    <d v="1974-01-01T00:00:00"/>
    <s v="Wu"/>
    <s v="Lanlan"/>
    <m/>
    <d v="2023-04-04T05:01:00"/>
    <m/>
    <m/>
    <n v="1974"/>
    <n v="125.08"/>
    <n v="2.9"/>
    <n v="19910000000000"/>
    <n v="50.6"/>
    <n v="100.2"/>
    <n v="9.4"/>
    <n v="59.2"/>
    <n v="1397715000"/>
  </r>
  <r>
    <x v="211"/>
    <x v="211"/>
    <x v="7"/>
    <x v="1796"/>
    <x v="12"/>
    <x v="5"/>
    <x v="26"/>
    <x v="679"/>
    <x v="7"/>
    <s v="China"/>
    <m/>
    <x v="1"/>
    <s v="U"/>
    <x v="0"/>
    <d v="1974-01-01T00:00:00"/>
    <s v="Xu"/>
    <s v="Bingzhong"/>
    <m/>
    <d v="2023-04-04T05:01:00"/>
    <m/>
    <m/>
    <n v="1974"/>
    <n v="125.08"/>
    <n v="2.9"/>
    <n v="19910000000000"/>
    <n v="50.6"/>
    <n v="100.2"/>
    <n v="9.4"/>
    <n v="59.2"/>
    <n v="1397715000"/>
  </r>
  <r>
    <x v="211"/>
    <x v="211"/>
    <x v="10"/>
    <x v="1797"/>
    <x v="17"/>
    <x v="5"/>
    <x v="19"/>
    <x v="680"/>
    <x v="10"/>
    <s v="China"/>
    <m/>
    <x v="1"/>
    <s v="D"/>
    <x v="0"/>
    <d v="1965-02-01T00:00:00"/>
    <s v="Yang"/>
    <s v="Xuegang"/>
    <m/>
    <d v="2023-04-04T05:01:00"/>
    <m/>
    <m/>
    <n v="1965"/>
    <n v="125.08"/>
    <n v="2.9"/>
    <n v="19910000000000"/>
    <n v="50.6"/>
    <n v="100.2"/>
    <n v="9.4"/>
    <n v="59.2"/>
    <n v="1397715000"/>
  </r>
  <r>
    <x v="211"/>
    <x v="211"/>
    <x v="5"/>
    <x v="1798"/>
    <x v="0"/>
    <x v="17"/>
    <x v="48"/>
    <x v="681"/>
    <x v="5"/>
    <s v="Russia"/>
    <m/>
    <x v="1"/>
    <s v="E"/>
    <x v="0"/>
    <d v="1948-09-25T00:00:00"/>
    <s v="Yevtushenkov"/>
    <s v="Vladimir"/>
    <m/>
    <d v="2023-04-04T05:01:00"/>
    <m/>
    <m/>
    <n v="1948"/>
    <n v="180.75"/>
    <n v="4.5"/>
    <n v="1699876578871"/>
    <n v="81.900000000000006"/>
    <n v="102.6"/>
    <n v="11.4"/>
    <n v="46.2"/>
    <n v="144373535"/>
  </r>
  <r>
    <x v="211"/>
    <x v="211"/>
    <x v="2"/>
    <x v="1799"/>
    <x v="12"/>
    <x v="1"/>
    <x v="139"/>
    <x v="682"/>
    <x v="2"/>
    <s v="United States"/>
    <s v="GreenSky"/>
    <x v="1"/>
    <s v="D"/>
    <x v="0"/>
    <d v="1974-02-02T00:00:00"/>
    <s v="Zalik"/>
    <s v="David"/>
    <s v="CEO"/>
    <d v="2023-04-04T05:01:00"/>
    <s v="Georgia"/>
    <s v="South"/>
    <n v="1974"/>
    <n v="117.24"/>
    <n v="7.5"/>
    <n v="21427700000000"/>
    <n v="88.2"/>
    <n v="101.8"/>
    <n v="9.6"/>
    <n v="36.6"/>
    <n v="328239523"/>
  </r>
  <r>
    <x v="211"/>
    <x v="211"/>
    <x v="8"/>
    <x v="1800"/>
    <x v="52"/>
    <x v="5"/>
    <x v="34"/>
    <x v="361"/>
    <x v="8"/>
    <s v="China"/>
    <m/>
    <x v="1"/>
    <s v="D"/>
    <x v="1"/>
    <d v="1969-10-01T00:00:00"/>
    <s v="Zhang"/>
    <s v="Xiaojuan"/>
    <m/>
    <d v="2023-04-04T05:01:00"/>
    <m/>
    <m/>
    <n v="1969"/>
    <n v="125.08"/>
    <n v="2.9"/>
    <n v="19910000000000"/>
    <n v="50.6"/>
    <n v="100.2"/>
    <n v="9.4"/>
    <n v="59.2"/>
    <n v="1397715000"/>
  </r>
  <r>
    <x v="211"/>
    <x v="211"/>
    <x v="10"/>
    <x v="1801"/>
    <x v="2"/>
    <x v="5"/>
    <x v="34"/>
    <x v="108"/>
    <x v="10"/>
    <s v="China"/>
    <m/>
    <x v="1"/>
    <s v="D"/>
    <x v="0"/>
    <d v="1964-03-01T00:00:00"/>
    <s v="Zheng"/>
    <s v="Xiaodong"/>
    <m/>
    <d v="2023-04-04T05:01:00"/>
    <m/>
    <m/>
    <n v="1964"/>
    <n v="125.08"/>
    <n v="2.9"/>
    <n v="19910000000000"/>
    <n v="50.6"/>
    <n v="100.2"/>
    <n v="9.4"/>
    <n v="59.2"/>
    <n v="1397715000"/>
  </r>
  <r>
    <x v="211"/>
    <x v="211"/>
    <x v="10"/>
    <x v="1802"/>
    <x v="15"/>
    <x v="5"/>
    <x v="573"/>
    <x v="172"/>
    <x v="10"/>
    <s v="China"/>
    <m/>
    <x v="1"/>
    <s v="D"/>
    <x v="1"/>
    <d v="1962-10-30T00:00:00"/>
    <s v="Zhong"/>
    <s v="Ruonong"/>
    <m/>
    <d v="2023-04-04T05:01:00"/>
    <m/>
    <m/>
    <n v="1962"/>
    <n v="125.08"/>
    <n v="2.9"/>
    <n v="19910000000000"/>
    <n v="50.6"/>
    <n v="100.2"/>
    <n v="9.4"/>
    <n v="59.2"/>
    <n v="1397715000"/>
  </r>
  <r>
    <x v="212"/>
    <x v="212"/>
    <x v="14"/>
    <x v="1803"/>
    <x v="15"/>
    <x v="1"/>
    <x v="166"/>
    <x v="233"/>
    <x v="14"/>
    <s v="United States"/>
    <m/>
    <x v="1"/>
    <s v="D"/>
    <x v="0"/>
    <d v="1962-07-25T00:00:00"/>
    <s v="Afeyan"/>
    <s v="Noubar"/>
    <m/>
    <d v="2023-04-04T05:01:00"/>
    <s v="Massachusetts"/>
    <s v="Northeast"/>
    <n v="1962"/>
    <n v="117.24"/>
    <n v="7.5"/>
    <n v="21427700000000"/>
    <n v="88.2"/>
    <n v="101.8"/>
    <n v="9.6"/>
    <n v="36.6"/>
    <n v="328239523"/>
  </r>
  <r>
    <x v="212"/>
    <x v="212"/>
    <x v="16"/>
    <x v="1804"/>
    <x v="48"/>
    <x v="31"/>
    <x v="105"/>
    <x v="683"/>
    <x v="16"/>
    <s v="Malaysia"/>
    <m/>
    <x v="1"/>
    <s v="U"/>
    <x v="0"/>
    <d v="1951-12-12T00:00:00"/>
    <s v="AlBukhary"/>
    <s v="Syed Mokhtar"/>
    <m/>
    <d v="2023-04-04T05:01:00"/>
    <m/>
    <m/>
    <n v="1951"/>
    <n v="121.46"/>
    <n v="0.7"/>
    <n v="364701517788"/>
    <n v="45.1"/>
    <n v="105.3"/>
    <n v="12"/>
    <n v="38.700000000000003"/>
    <n v="32447385"/>
  </r>
  <r>
    <x v="212"/>
    <x v="212"/>
    <x v="3"/>
    <x v="1805"/>
    <x v="7"/>
    <x v="1"/>
    <x v="5"/>
    <x v="419"/>
    <x v="3"/>
    <s v="United States"/>
    <m/>
    <x v="0"/>
    <s v="E"/>
    <x v="0"/>
    <d v="1940-03-05T00:00:00"/>
    <s v="Allen"/>
    <s v="Herbert"/>
    <m/>
    <d v="2023-04-04T05:01:00"/>
    <s v="New York"/>
    <s v="Northeast"/>
    <n v="1940"/>
    <n v="117.24"/>
    <n v="7.5"/>
    <n v="21427700000000"/>
    <n v="88.2"/>
    <n v="101.8"/>
    <n v="9.6"/>
    <n v="36.6"/>
    <n v="328239523"/>
  </r>
  <r>
    <x v="212"/>
    <x v="212"/>
    <x v="12"/>
    <x v="1806"/>
    <x v="48"/>
    <x v="8"/>
    <x v="25"/>
    <x v="36"/>
    <x v="12"/>
    <s v="Russia"/>
    <m/>
    <x v="1"/>
    <s v="E"/>
    <x v="0"/>
    <d v="1951-09-19T00:00:00"/>
    <s v="Anisimov"/>
    <s v="Vasily"/>
    <m/>
    <d v="2023-04-04T05:01:00"/>
    <m/>
    <m/>
    <n v="1951"/>
    <n v="99.55"/>
    <n v="0.4"/>
    <n v="703082435360"/>
    <n v="59.6"/>
    <n v="105.2"/>
    <n v="10.1"/>
    <n v="28.8"/>
    <n v="8574832"/>
  </r>
  <r>
    <x v="212"/>
    <x v="212"/>
    <x v="3"/>
    <x v="1807"/>
    <x v="32"/>
    <x v="1"/>
    <x v="57"/>
    <x v="196"/>
    <x v="3"/>
    <s v="United States"/>
    <s v="AQR Capital Management"/>
    <x v="1"/>
    <s v="E"/>
    <x v="0"/>
    <d v="1966-10-17T00:00:00"/>
    <s v="Asness"/>
    <s v="Clifford"/>
    <m/>
    <d v="2023-04-04T05:01:00"/>
    <s v="Connecticut"/>
    <s v="Northeast"/>
    <n v="1966"/>
    <n v="117.24"/>
    <n v="7.5"/>
    <n v="21427700000000"/>
    <n v="88.2"/>
    <n v="101.8"/>
    <n v="9.6"/>
    <n v="36.6"/>
    <n v="328239523"/>
  </r>
  <r>
    <x v="212"/>
    <x v="212"/>
    <x v="3"/>
    <x v="1808"/>
    <x v="37"/>
    <x v="1"/>
    <x v="261"/>
    <x v="28"/>
    <x v="3"/>
    <s v="United States"/>
    <s v="Moore Capital Management, LP"/>
    <x v="1"/>
    <s v="E"/>
    <x v="0"/>
    <d v="1956-07-25T00:00:00"/>
    <s v="Bacon"/>
    <s v="Louis"/>
    <s v="Founder"/>
    <d v="2023-04-04T05:01:00"/>
    <s v="New York"/>
    <s v="Northeast"/>
    <n v="1956"/>
    <n v="117.24"/>
    <n v="7.5"/>
    <n v="21427700000000"/>
    <n v="88.2"/>
    <n v="101.8"/>
    <n v="9.6"/>
    <n v="36.6"/>
    <n v="328239523"/>
  </r>
  <r>
    <x v="212"/>
    <x v="212"/>
    <x v="10"/>
    <x v="1809"/>
    <x v="52"/>
    <x v="5"/>
    <x v="574"/>
    <x v="684"/>
    <x v="10"/>
    <s v="China"/>
    <m/>
    <x v="1"/>
    <s v="D"/>
    <x v="0"/>
    <m/>
    <s v="Bai"/>
    <s v="Baokun"/>
    <m/>
    <d v="2023-04-04T05:01:00"/>
    <m/>
    <m/>
    <m/>
    <n v="125.08"/>
    <n v="2.9"/>
    <n v="19910000000000"/>
    <n v="50.6"/>
    <n v="100.2"/>
    <n v="9.4"/>
    <n v="59.2"/>
    <n v="1397715000"/>
  </r>
  <r>
    <x v="212"/>
    <x v="212"/>
    <x v="0"/>
    <x v="1810"/>
    <x v="23"/>
    <x v="22"/>
    <x v="25"/>
    <x v="159"/>
    <x v="0"/>
    <s v="Germany"/>
    <m/>
    <x v="0"/>
    <s v="D"/>
    <x v="0"/>
    <d v="1968-11-18T00:00:00"/>
    <s v="Birkenstock"/>
    <s v="Alex"/>
    <m/>
    <d v="2023-04-04T05:01:00"/>
    <m/>
    <m/>
    <n v="1968"/>
    <m/>
    <m/>
    <m/>
    <m/>
    <m/>
    <m/>
    <m/>
    <m/>
  </r>
  <r>
    <x v="212"/>
    <x v="212"/>
    <x v="0"/>
    <x v="1811"/>
    <x v="10"/>
    <x v="11"/>
    <x v="575"/>
    <x v="159"/>
    <x v="0"/>
    <s v="Germany"/>
    <m/>
    <x v="0"/>
    <s v="D"/>
    <x v="0"/>
    <d v="1972-09-21T00:00:00"/>
    <s v="Birkenstock"/>
    <s v="Christian"/>
    <m/>
    <d v="2023-04-04T05:01:00"/>
    <m/>
    <m/>
    <n v="1972"/>
    <n v="118.06"/>
    <n v="1.5"/>
    <n v="446314739528"/>
    <n v="85.1"/>
    <n v="103.1"/>
    <n v="25.4"/>
    <n v="51.4"/>
    <n v="8877067"/>
  </r>
  <r>
    <x v="212"/>
    <x v="212"/>
    <x v="7"/>
    <x v="1812"/>
    <x v="58"/>
    <x v="7"/>
    <x v="576"/>
    <x v="250"/>
    <x v="7"/>
    <s v="Germany"/>
    <m/>
    <x v="1"/>
    <s v="D"/>
    <x v="0"/>
    <d v="1934-01-01T00:00:00"/>
    <s v="Boquoi"/>
    <s v="Josef"/>
    <m/>
    <d v="2023-04-04T05:01:00"/>
    <m/>
    <m/>
    <n v="1934"/>
    <n v="112.85"/>
    <n v="1.4"/>
    <n v="3845630030824"/>
    <n v="70.2"/>
    <n v="104"/>
    <n v="11.5"/>
    <n v="48.8"/>
    <n v="83132799"/>
  </r>
  <r>
    <x v="212"/>
    <x v="212"/>
    <x v="2"/>
    <x v="1813"/>
    <x v="47"/>
    <x v="5"/>
    <x v="577"/>
    <x v="172"/>
    <x v="2"/>
    <s v="China"/>
    <m/>
    <x v="1"/>
    <s v="N"/>
    <x v="0"/>
    <d v="1976-01-01T00:00:00"/>
    <s v="Cai"/>
    <s v="Huabo"/>
    <m/>
    <d v="2023-04-04T05:01:00"/>
    <m/>
    <m/>
    <n v="1976"/>
    <n v="125.08"/>
    <n v="2.9"/>
    <n v="19910000000000"/>
    <n v="50.6"/>
    <n v="100.2"/>
    <n v="9.4"/>
    <n v="59.2"/>
    <n v="1397715000"/>
  </r>
  <r>
    <x v="212"/>
    <x v="212"/>
    <x v="2"/>
    <x v="1814"/>
    <x v="14"/>
    <x v="5"/>
    <x v="19"/>
    <x v="58"/>
    <x v="2"/>
    <s v="China"/>
    <m/>
    <x v="1"/>
    <s v="E"/>
    <x v="0"/>
    <d v="1985-01-01T00:00:00"/>
    <s v="Chen"/>
    <s v="Tianshi"/>
    <m/>
    <d v="2023-04-04T05:01:00"/>
    <m/>
    <m/>
    <n v="1985"/>
    <n v="125.08"/>
    <n v="2.9"/>
    <n v="19910000000000"/>
    <n v="50.6"/>
    <n v="100.2"/>
    <n v="9.4"/>
    <n v="59.2"/>
    <n v="1397715000"/>
  </r>
  <r>
    <x v="212"/>
    <x v="212"/>
    <x v="11"/>
    <x v="1815"/>
    <x v="11"/>
    <x v="35"/>
    <x v="152"/>
    <x v="36"/>
    <x v="11"/>
    <s v="Taiwan"/>
    <m/>
    <x v="1"/>
    <s v="D"/>
    <x v="0"/>
    <d v="1936-01-20T00:00:00"/>
    <s v="Chen"/>
    <s v="Yung-tai"/>
    <m/>
    <d v="2023-04-04T05:01:00"/>
    <m/>
    <m/>
    <n v="1936"/>
    <m/>
    <m/>
    <m/>
    <m/>
    <m/>
    <m/>
    <m/>
    <m/>
  </r>
  <r>
    <x v="212"/>
    <x v="212"/>
    <x v="2"/>
    <x v="1816"/>
    <x v="34"/>
    <x v="32"/>
    <x v="109"/>
    <x v="685"/>
    <x v="2"/>
    <s v="South Korea"/>
    <s v="SK Holdings"/>
    <x v="0"/>
    <s v="D"/>
    <x v="0"/>
    <d v="1960-12-03T00:00:00"/>
    <s v="Chey"/>
    <s v="Tae-won"/>
    <m/>
    <d v="2023-04-04T05:01:00"/>
    <m/>
    <m/>
    <n v="1960"/>
    <n v="115.16"/>
    <n v="0.4"/>
    <n v="2029000000000"/>
    <n v="94.3"/>
    <n v="98.1"/>
    <n v="15.6"/>
    <n v="33.200000000000003"/>
    <n v="51709098"/>
  </r>
  <r>
    <x v="212"/>
    <x v="212"/>
    <x v="11"/>
    <x v="1817"/>
    <x v="42"/>
    <x v="71"/>
    <x v="578"/>
    <x v="36"/>
    <x v="11"/>
    <s v="Slovakia"/>
    <m/>
    <x v="1"/>
    <s v="D"/>
    <x v="0"/>
    <d v="1967-06-27T00:00:00"/>
    <s v="Chrenko"/>
    <s v="Ivan"/>
    <m/>
    <d v="2023-04-04T05:01:00"/>
    <m/>
    <m/>
    <n v="1967"/>
    <n v="115.34"/>
    <n v="2.7"/>
    <n v="105422304976"/>
    <n v="46.6"/>
    <n v="98.7"/>
    <n v="18.7"/>
    <n v="49.7"/>
    <n v="5454073"/>
  </r>
  <r>
    <x v="212"/>
    <x v="212"/>
    <x v="16"/>
    <x v="1818"/>
    <x v="29"/>
    <x v="1"/>
    <x v="171"/>
    <x v="300"/>
    <x v="16"/>
    <s v="United States"/>
    <m/>
    <x v="1"/>
    <s v="E"/>
    <x v="0"/>
    <d v="1959-01-30T00:00:00"/>
    <s v="Clark"/>
    <s v="Robert"/>
    <m/>
    <d v="2023-04-04T05:01:00"/>
    <s v="Missouri"/>
    <s v="Midwest"/>
    <n v="1959"/>
    <n v="117.24"/>
    <n v="7.5"/>
    <n v="21427700000000"/>
    <n v="88.2"/>
    <n v="101.8"/>
    <n v="9.6"/>
    <n v="36.6"/>
    <n v="328239523"/>
  </r>
  <r>
    <x v="212"/>
    <x v="212"/>
    <x v="3"/>
    <x v="1819"/>
    <x v="26"/>
    <x v="6"/>
    <x v="16"/>
    <x v="252"/>
    <x v="3"/>
    <s v="Canada"/>
    <m/>
    <x v="1"/>
    <s v="D"/>
    <x v="0"/>
    <d v="1941-01-12T00:00:00"/>
    <s v="Cockwell"/>
    <s v="Jack"/>
    <m/>
    <d v="2023-04-04T05:01:00"/>
    <m/>
    <m/>
    <n v="1941"/>
    <n v="116.76"/>
    <n v="1.9"/>
    <n v="1736425629520"/>
    <n v="68.900000000000006"/>
    <n v="100.9"/>
    <n v="12.8"/>
    <n v="24.5"/>
    <n v="36991981"/>
  </r>
  <r>
    <x v="212"/>
    <x v="212"/>
    <x v="3"/>
    <x v="1820"/>
    <x v="8"/>
    <x v="1"/>
    <x v="9"/>
    <x v="137"/>
    <x v="3"/>
    <s v="United States"/>
    <m/>
    <x v="1"/>
    <s v="D"/>
    <x v="0"/>
    <d v="1958-01-14T00:00:00"/>
    <s v="Coxe"/>
    <s v="Tench"/>
    <m/>
    <d v="2023-04-04T05:01:00"/>
    <s v="California"/>
    <s v="West"/>
    <n v="1958"/>
    <n v="117.24"/>
    <n v="7.5"/>
    <n v="21427700000000"/>
    <n v="88.2"/>
    <n v="101.8"/>
    <n v="9.6"/>
    <n v="36.6"/>
    <n v="328239523"/>
  </r>
  <r>
    <x v="212"/>
    <x v="212"/>
    <x v="17"/>
    <x v="1821"/>
    <x v="9"/>
    <x v="1"/>
    <x v="102"/>
    <x v="686"/>
    <x v="17"/>
    <s v="United States"/>
    <m/>
    <x v="1"/>
    <s v="U"/>
    <x v="0"/>
    <d v="1954-01-17T00:00:00"/>
    <s v="Crane"/>
    <s v="Jim"/>
    <m/>
    <d v="2023-04-04T05:01:00"/>
    <s v="Texas"/>
    <s v="South"/>
    <n v="1954"/>
    <n v="117.24"/>
    <n v="7.5"/>
    <n v="21427700000000"/>
    <n v="88.2"/>
    <n v="101.8"/>
    <n v="9.6"/>
    <n v="36.6"/>
    <n v="328239523"/>
  </r>
  <r>
    <x v="212"/>
    <x v="212"/>
    <x v="8"/>
    <x v="1822"/>
    <x v="13"/>
    <x v="0"/>
    <x v="197"/>
    <x v="687"/>
    <x v="8"/>
    <s v="France"/>
    <m/>
    <x v="1"/>
    <s v="D"/>
    <x v="0"/>
    <d v="1954-07-09T00:00:00"/>
    <s v="Dentressangle"/>
    <s v="Norbert"/>
    <m/>
    <d v="2023-04-04T05:01:00"/>
    <m/>
    <m/>
    <n v="1954"/>
    <n v="110.05"/>
    <n v="1.1000000000000001"/>
    <n v="2715518274227"/>
    <n v="65.599999999999994"/>
    <n v="102.5"/>
    <n v="24.2"/>
    <n v="60.7"/>
    <n v="67059887"/>
  </r>
  <r>
    <x v="212"/>
    <x v="212"/>
    <x v="3"/>
    <x v="1823"/>
    <x v="5"/>
    <x v="1"/>
    <x v="5"/>
    <x v="75"/>
    <x v="3"/>
    <s v="United States"/>
    <s v="JPMorgan Chase &amp; Co."/>
    <x v="1"/>
    <s v="E"/>
    <x v="0"/>
    <d v="1956-03-13T00:00:00"/>
    <s v="Dimon"/>
    <s v="Jamie"/>
    <s v="CEO"/>
    <d v="2023-04-04T05:01:00"/>
    <s v="New York"/>
    <s v="Northeast"/>
    <n v="1956"/>
    <n v="117.24"/>
    <n v="7.5"/>
    <n v="21427700000000"/>
    <n v="88.2"/>
    <n v="101.8"/>
    <n v="9.6"/>
    <n v="36.6"/>
    <n v="328239523"/>
  </r>
  <r>
    <x v="212"/>
    <x v="212"/>
    <x v="2"/>
    <x v="1824"/>
    <x v="1"/>
    <x v="1"/>
    <x v="5"/>
    <x v="117"/>
    <x v="2"/>
    <s v="Romania"/>
    <m/>
    <x v="1"/>
    <s v="D"/>
    <x v="0"/>
    <d v="1972-01-01T00:00:00"/>
    <s v="Dines"/>
    <s v="Daniel"/>
    <m/>
    <d v="2023-04-04T05:01:00"/>
    <s v="New York"/>
    <s v="Northeast"/>
    <n v="1972"/>
    <n v="117.24"/>
    <n v="7.5"/>
    <n v="21427700000000"/>
    <n v="88.2"/>
    <n v="101.8"/>
    <n v="9.6"/>
    <n v="36.6"/>
    <n v="328239523"/>
  </r>
  <r>
    <x v="212"/>
    <x v="212"/>
    <x v="3"/>
    <x v="1825"/>
    <x v="52"/>
    <x v="30"/>
    <x v="99"/>
    <x v="75"/>
    <x v="3"/>
    <s v="Brazil"/>
    <m/>
    <x v="0"/>
    <s v="D"/>
    <x v="0"/>
    <d v="1969-11-18T00:00:00"/>
    <s v="Egydio Arruda Villela Filho"/>
    <s v="Alfredo"/>
    <m/>
    <d v="2023-04-04T05:01:00"/>
    <m/>
    <m/>
    <n v="1969"/>
    <n v="167.4"/>
    <n v="3.7"/>
    <n v="1839758040766"/>
    <n v="51.3"/>
    <n v="115.4"/>
    <n v="14.2"/>
    <n v="65.099999999999994"/>
    <n v="212559417"/>
  </r>
  <r>
    <x v="212"/>
    <x v="212"/>
    <x v="12"/>
    <x v="1826"/>
    <x v="12"/>
    <x v="8"/>
    <x v="119"/>
    <x v="688"/>
    <x v="12"/>
    <s v="Switzerland"/>
    <m/>
    <x v="1"/>
    <s v="E"/>
    <x v="0"/>
    <d v="1974-01-01T00:00:00"/>
    <s v="Fegel"/>
    <s v="Gary"/>
    <m/>
    <d v="2023-04-04T05:01:00"/>
    <m/>
    <m/>
    <n v="1974"/>
    <n v="99.55"/>
    <n v="0.4"/>
    <n v="703082435360"/>
    <n v="59.6"/>
    <n v="105.2"/>
    <n v="10.1"/>
    <n v="28.8"/>
    <n v="8574832"/>
  </r>
  <r>
    <x v="212"/>
    <x v="212"/>
    <x v="3"/>
    <x v="1827"/>
    <x v="3"/>
    <x v="1"/>
    <x v="27"/>
    <x v="285"/>
    <x v="3"/>
    <s v="United States"/>
    <m/>
    <x v="1"/>
    <s v="U"/>
    <x v="0"/>
    <d v="1944-12-29T00:00:00"/>
    <s v="Foley"/>
    <s v="William"/>
    <m/>
    <d v="2023-04-04T05:01:00"/>
    <s v="Nevada"/>
    <s v="West"/>
    <n v="1944"/>
    <n v="117.24"/>
    <n v="7.5"/>
    <n v="21427700000000"/>
    <n v="88.2"/>
    <n v="101.8"/>
    <n v="9.6"/>
    <n v="36.6"/>
    <n v="328239523"/>
  </r>
  <r>
    <x v="212"/>
    <x v="212"/>
    <x v="0"/>
    <x v="1828"/>
    <x v="0"/>
    <x v="6"/>
    <x v="579"/>
    <x v="221"/>
    <x v="0"/>
    <s v="Canada"/>
    <m/>
    <x v="1"/>
    <s v="U"/>
    <x v="0"/>
    <d v="1948-09-01T00:00:00"/>
    <s v="Fortin"/>
    <s v="Richard"/>
    <m/>
    <d v="2023-04-04T05:01:00"/>
    <m/>
    <m/>
    <n v="1948"/>
    <n v="116.76"/>
    <n v="1.9"/>
    <n v="1736425629520"/>
    <n v="68.900000000000006"/>
    <n v="100.9"/>
    <n v="12.8"/>
    <n v="24.5"/>
    <n v="36991981"/>
  </r>
  <r>
    <x v="212"/>
    <x v="212"/>
    <x v="14"/>
    <x v="1829"/>
    <x v="23"/>
    <x v="5"/>
    <x v="78"/>
    <x v="83"/>
    <x v="14"/>
    <s v="China"/>
    <m/>
    <x v="1"/>
    <s v="U"/>
    <x v="0"/>
    <d v="1968-10-25T00:00:00"/>
    <s v="Gao"/>
    <s v="Yi"/>
    <m/>
    <d v="2023-04-04T05:01:00"/>
    <m/>
    <m/>
    <n v="1968"/>
    <n v="125.08"/>
    <n v="2.9"/>
    <n v="19910000000000"/>
    <n v="50.6"/>
    <n v="100.2"/>
    <n v="9.4"/>
    <n v="59.2"/>
    <n v="1397715000"/>
  </r>
  <r>
    <x v="212"/>
    <x v="212"/>
    <x v="14"/>
    <x v="1830"/>
    <x v="45"/>
    <x v="8"/>
    <x v="580"/>
    <x v="83"/>
    <x v="14"/>
    <s v="Switzerland"/>
    <m/>
    <x v="0"/>
    <s v="D"/>
    <x v="0"/>
    <d v="1978-02-20T00:00:00"/>
    <s v="Giuliani"/>
    <s v="Giammaria"/>
    <m/>
    <d v="2023-04-04T05:01:00"/>
    <m/>
    <m/>
    <n v="1978"/>
    <n v="99.55"/>
    <n v="0.4"/>
    <n v="703082435360"/>
    <n v="59.6"/>
    <n v="105.2"/>
    <n v="10.1"/>
    <n v="28.8"/>
    <n v="8574832"/>
  </r>
  <r>
    <x v="212"/>
    <x v="212"/>
    <x v="3"/>
    <x v="1831"/>
    <x v="3"/>
    <x v="1"/>
    <x v="412"/>
    <x v="38"/>
    <x v="3"/>
    <s v="United States"/>
    <s v="Pacific Investment Management Company LLC"/>
    <x v="1"/>
    <s v="E"/>
    <x v="0"/>
    <d v="1944-04-13T00:00:00"/>
    <s v="Gross"/>
    <s v="Bill"/>
    <s v="Cofounder and Co-Chief Investment Officer"/>
    <d v="2023-04-04T05:01:00"/>
    <s v="California"/>
    <s v="West"/>
    <n v="1944"/>
    <n v="117.24"/>
    <n v="7.5"/>
    <n v="21427700000000"/>
    <n v="88.2"/>
    <n v="101.8"/>
    <n v="9.6"/>
    <n v="36.6"/>
    <n v="328239523"/>
  </r>
  <r>
    <x v="212"/>
    <x v="212"/>
    <x v="3"/>
    <x v="1832"/>
    <x v="16"/>
    <x v="1"/>
    <x v="412"/>
    <x v="38"/>
    <x v="3"/>
    <s v="United States"/>
    <m/>
    <x v="0"/>
    <s v="E"/>
    <x v="1"/>
    <d v="1950-02-17T00:00:00"/>
    <s v="Gross"/>
    <s v="Sue"/>
    <m/>
    <d v="2023-04-04T05:01:00"/>
    <s v="California"/>
    <s v="West"/>
    <n v="1950"/>
    <n v="117.24"/>
    <n v="7.5"/>
    <n v="21427700000000"/>
    <n v="88.2"/>
    <n v="101.8"/>
    <n v="9.6"/>
    <n v="36.6"/>
    <n v="328239523"/>
  </r>
  <r>
    <x v="212"/>
    <x v="212"/>
    <x v="17"/>
    <x v="1833"/>
    <x v="50"/>
    <x v="1"/>
    <x v="255"/>
    <x v="689"/>
    <x v="17"/>
    <s v="United States"/>
    <m/>
    <x v="1"/>
    <s v="N"/>
    <x v="0"/>
    <d v="1934-07-20T00:00:00"/>
    <s v="Grousbeck"/>
    <s v="Irving"/>
    <m/>
    <d v="2023-04-04T05:01:00"/>
    <s v="California"/>
    <s v="West"/>
    <n v="1934"/>
    <n v="117.24"/>
    <n v="7.5"/>
    <n v="21427700000000"/>
    <n v="88.2"/>
    <n v="101.8"/>
    <n v="9.6"/>
    <n v="36.6"/>
    <n v="328239523"/>
  </r>
  <r>
    <x v="212"/>
    <x v="212"/>
    <x v="13"/>
    <x v="1834"/>
    <x v="25"/>
    <x v="1"/>
    <x v="80"/>
    <x v="418"/>
    <x v="13"/>
    <s v="United States"/>
    <m/>
    <x v="0"/>
    <s v="U"/>
    <x v="0"/>
    <d v="1950-04-24T00:00:00"/>
    <s v="Headington"/>
    <s v="Timothy"/>
    <m/>
    <d v="2023-04-04T05:01:00"/>
    <s v="Texas"/>
    <s v="South"/>
    <n v="1950"/>
    <n v="117.24"/>
    <n v="7.5"/>
    <n v="21427700000000"/>
    <n v="88.2"/>
    <n v="101.8"/>
    <n v="9.6"/>
    <n v="36.6"/>
    <n v="328239523"/>
  </r>
  <r>
    <x v="212"/>
    <x v="212"/>
    <x v="10"/>
    <x v="1835"/>
    <x v="17"/>
    <x v="55"/>
    <x v="513"/>
    <x v="319"/>
    <x v="10"/>
    <s v="Finland"/>
    <m/>
    <x v="0"/>
    <s v="U"/>
    <x v="1"/>
    <d v="1965-01-01T00:00:00"/>
    <s v="Herlin"/>
    <s v="Ilona"/>
    <m/>
    <d v="2023-04-04T05:01:00"/>
    <m/>
    <m/>
    <n v="1965"/>
    <n v="112.33"/>
    <n v="1"/>
    <n v="268761201365"/>
    <n v="88.2"/>
    <n v="100.2"/>
    <n v="20.8"/>
    <n v="36.6"/>
    <n v="5520314"/>
  </r>
  <r>
    <x v="212"/>
    <x v="212"/>
    <x v="6"/>
    <x v="1836"/>
    <x v="36"/>
    <x v="1"/>
    <x v="87"/>
    <x v="690"/>
    <x v="6"/>
    <s v="United States"/>
    <m/>
    <x v="1"/>
    <s v="U"/>
    <x v="0"/>
    <d v="1952-08-07T00:00:00"/>
    <s v="Hoffmann"/>
    <s v="David"/>
    <m/>
    <d v="2023-04-04T05:01:00"/>
    <s v="Florida"/>
    <s v="South"/>
    <n v="1952"/>
    <n v="117.24"/>
    <n v="7.5"/>
    <n v="21427700000000"/>
    <n v="88.2"/>
    <n v="101.8"/>
    <n v="9.6"/>
    <n v="36.6"/>
    <n v="328239523"/>
  </r>
  <r>
    <x v="212"/>
    <x v="212"/>
    <x v="4"/>
    <x v="1837"/>
    <x v="58"/>
    <x v="1"/>
    <x v="581"/>
    <x v="691"/>
    <x v="4"/>
    <s v="United States"/>
    <s v="Hubbard Broadcasting, Inc."/>
    <x v="0"/>
    <s v="D"/>
    <x v="0"/>
    <d v="1933-05-28T00:00:00"/>
    <s v="Hubbard"/>
    <s v="Stanley"/>
    <s v="Chairman and CEO"/>
    <d v="2023-04-04T05:01:00"/>
    <s v="Minnesota"/>
    <s v="Midwest"/>
    <n v="1933"/>
    <n v="117.24"/>
    <n v="7.5"/>
    <n v="21427700000000"/>
    <n v="88.2"/>
    <n v="101.8"/>
    <n v="9.6"/>
    <n v="36.6"/>
    <n v="328239523"/>
  </r>
  <r>
    <x v="212"/>
    <x v="212"/>
    <x v="10"/>
    <x v="1838"/>
    <x v="9"/>
    <x v="5"/>
    <x v="554"/>
    <x v="650"/>
    <x v="10"/>
    <s v="China"/>
    <m/>
    <x v="1"/>
    <s v="D"/>
    <x v="0"/>
    <d v="1953-06-16T00:00:00"/>
    <s v="Hui"/>
    <s v="Lin Chit"/>
    <m/>
    <d v="2023-04-04T05:01:00"/>
    <m/>
    <m/>
    <n v="1953"/>
    <n v="125.08"/>
    <n v="2.9"/>
    <n v="19910000000000"/>
    <n v="50.6"/>
    <n v="100.2"/>
    <n v="9.4"/>
    <n v="59.2"/>
    <n v="1397715000"/>
  </r>
  <r>
    <x v="212"/>
    <x v="212"/>
    <x v="12"/>
    <x v="1839"/>
    <x v="15"/>
    <x v="5"/>
    <x v="85"/>
    <x v="692"/>
    <x v="12"/>
    <s v="China"/>
    <m/>
    <x v="1"/>
    <s v="D"/>
    <x v="0"/>
    <d v="1962-07-01T00:00:00"/>
    <s v="Jia"/>
    <s v="Tianjiang"/>
    <m/>
    <d v="2023-04-04T05:01:00"/>
    <m/>
    <m/>
    <n v="1962"/>
    <n v="125.08"/>
    <n v="2.9"/>
    <n v="19910000000000"/>
    <n v="50.6"/>
    <n v="100.2"/>
    <n v="9.4"/>
    <n v="59.2"/>
    <n v="1397715000"/>
  </r>
  <r>
    <x v="212"/>
    <x v="212"/>
    <x v="11"/>
    <x v="1840"/>
    <x v="2"/>
    <x v="5"/>
    <x v="34"/>
    <x v="36"/>
    <x v="11"/>
    <s v="China"/>
    <m/>
    <x v="1"/>
    <s v="D"/>
    <x v="0"/>
    <d v="1963-08-17T00:00:00"/>
    <s v="Jiang"/>
    <s v="Zhaobai"/>
    <m/>
    <d v="2023-04-04T05:01:00"/>
    <m/>
    <m/>
    <n v="1963"/>
    <n v="125.08"/>
    <n v="2.9"/>
    <n v="19910000000000"/>
    <n v="50.6"/>
    <n v="100.2"/>
    <n v="9.4"/>
    <n v="59.2"/>
    <n v="1397715000"/>
  </r>
  <r>
    <x v="212"/>
    <x v="212"/>
    <x v="0"/>
    <x v="1841"/>
    <x v="8"/>
    <x v="17"/>
    <x v="48"/>
    <x v="693"/>
    <x v="0"/>
    <s v="Russia"/>
    <m/>
    <x v="1"/>
    <s v="R"/>
    <x v="0"/>
    <d v="1958-01-11T00:00:00"/>
    <s v="Katsiev"/>
    <s v="Sergei"/>
    <m/>
    <d v="2023-04-04T05:01:00"/>
    <m/>
    <m/>
    <n v="1958"/>
    <n v="180.75"/>
    <n v="4.5"/>
    <n v="1699876578871"/>
    <n v="81.900000000000006"/>
    <n v="102.6"/>
    <n v="11.4"/>
    <n v="46.2"/>
    <n v="144373535"/>
  </r>
  <r>
    <x v="212"/>
    <x v="212"/>
    <x v="4"/>
    <x v="1842"/>
    <x v="44"/>
    <x v="22"/>
    <x v="25"/>
    <x v="41"/>
    <x v="4"/>
    <s v="South Korea"/>
    <m/>
    <x v="1"/>
    <s v="N"/>
    <x v="0"/>
    <d v="1973-11-01T00:00:00"/>
    <s v="Kim"/>
    <s v="Jae-young"/>
    <m/>
    <d v="2023-04-04T05:01:00"/>
    <m/>
    <m/>
    <n v="1973"/>
    <m/>
    <m/>
    <m/>
    <m/>
    <m/>
    <m/>
    <m/>
    <m/>
  </r>
  <r>
    <x v="212"/>
    <x v="212"/>
    <x v="14"/>
    <x v="1843"/>
    <x v="9"/>
    <x v="1"/>
    <x v="582"/>
    <x v="83"/>
    <x v="14"/>
    <s v="United States"/>
    <m/>
    <x v="1"/>
    <s v="E"/>
    <x v="0"/>
    <d v="1954-03-01T00:00:00"/>
    <s v="Kirk"/>
    <s v="Randal J."/>
    <m/>
    <d v="2023-04-04T05:01:00"/>
    <s v="Florida"/>
    <s v="South"/>
    <n v="1954"/>
    <n v="117.24"/>
    <n v="7.5"/>
    <n v="21427700000000"/>
    <n v="88.2"/>
    <n v="101.8"/>
    <n v="9.6"/>
    <n v="36.6"/>
    <n v="328239523"/>
  </r>
  <r>
    <x v="212"/>
    <x v="212"/>
    <x v="13"/>
    <x v="1844"/>
    <x v="26"/>
    <x v="1"/>
    <x v="43"/>
    <x v="256"/>
    <x v="13"/>
    <s v="United States"/>
    <m/>
    <x v="0"/>
    <s v="E"/>
    <x v="0"/>
    <d v="1940-05-03T00:00:00"/>
    <s v="Koch"/>
    <s v="William"/>
    <m/>
    <d v="2023-04-04T05:01:00"/>
    <s v="Florida"/>
    <s v="South"/>
    <n v="1940"/>
    <n v="117.24"/>
    <n v="7.5"/>
    <n v="21427700000000"/>
    <n v="88.2"/>
    <n v="101.8"/>
    <n v="9.6"/>
    <n v="36.6"/>
    <n v="328239523"/>
  </r>
  <r>
    <x v="212"/>
    <x v="212"/>
    <x v="10"/>
    <x v="1845"/>
    <x v="16"/>
    <x v="11"/>
    <x v="583"/>
    <x v="38"/>
    <x v="10"/>
    <s v="Russia"/>
    <m/>
    <x v="1"/>
    <s v="U"/>
    <x v="0"/>
    <d v="1949-07-16T00:00:00"/>
    <s v="Kondrashev"/>
    <s v="Pyotr"/>
    <m/>
    <d v="2023-04-04T05:01:00"/>
    <m/>
    <m/>
    <n v="1949"/>
    <n v="118.06"/>
    <n v="1.5"/>
    <n v="446314739528"/>
    <n v="85.1"/>
    <n v="103.1"/>
    <n v="25.4"/>
    <n v="51.4"/>
    <n v="8877067"/>
  </r>
  <r>
    <x v="212"/>
    <x v="212"/>
    <x v="8"/>
    <x v="1846"/>
    <x v="31"/>
    <x v="12"/>
    <x v="55"/>
    <x v="57"/>
    <x v="8"/>
    <s v="Japan"/>
    <m/>
    <x v="1"/>
    <s v="D"/>
    <x v="0"/>
    <d v="1946-10-10T00:00:00"/>
    <s v="Kuriwada"/>
    <s v="Eiichi"/>
    <m/>
    <d v="2023-04-04T05:01:00"/>
    <m/>
    <m/>
    <n v="1946"/>
    <n v="105.48"/>
    <n v="0.5"/>
    <n v="5081769542380"/>
    <n v="63.2"/>
    <n v="98.8"/>
    <n v="11.9"/>
    <n v="46.7"/>
    <n v="126226568"/>
  </r>
  <r>
    <x v="212"/>
    <x v="212"/>
    <x v="14"/>
    <x v="1847"/>
    <x v="0"/>
    <x v="1"/>
    <x v="176"/>
    <x v="233"/>
    <x v="14"/>
    <s v="United States"/>
    <m/>
    <x v="1"/>
    <s v="E"/>
    <x v="0"/>
    <d v="1948-08-29T00:00:00"/>
    <s v="Langer"/>
    <s v="Robert"/>
    <m/>
    <d v="2023-04-04T05:01:00"/>
    <s v="Massachusetts"/>
    <s v="Northeast"/>
    <n v="1948"/>
    <n v="117.24"/>
    <n v="7.5"/>
    <n v="21427700000000"/>
    <n v="88.2"/>
    <n v="101.8"/>
    <n v="9.6"/>
    <n v="36.6"/>
    <n v="328239523"/>
  </r>
  <r>
    <x v="212"/>
    <x v="212"/>
    <x v="6"/>
    <x v="1848"/>
    <x v="13"/>
    <x v="13"/>
    <x v="584"/>
    <x v="108"/>
    <x v="6"/>
    <s v="United Kingdom"/>
    <m/>
    <x v="1"/>
    <s v="D"/>
    <x v="0"/>
    <d v="1954-12-02T00:00:00"/>
    <s v="Langley"/>
    <s v="Anthony"/>
    <m/>
    <d v="2023-04-04T05:01:00"/>
    <m/>
    <m/>
    <n v="1954"/>
    <n v="119.62"/>
    <n v="1.7"/>
    <n v="2827113184696"/>
    <n v="60"/>
    <n v="101.2"/>
    <n v="25.5"/>
    <n v="30.6"/>
    <n v="66834405"/>
  </r>
  <r>
    <x v="212"/>
    <x v="212"/>
    <x v="6"/>
    <x v="1849"/>
    <x v="36"/>
    <x v="46"/>
    <x v="539"/>
    <x v="694"/>
    <x v="6"/>
    <s v="Greece"/>
    <m/>
    <x v="0"/>
    <s v="N"/>
    <x v="1"/>
    <d v="1953-03-29T00:00:00"/>
    <s v="Latsis"/>
    <s v="Marianna"/>
    <m/>
    <d v="2023-04-04T05:01:00"/>
    <m/>
    <m/>
    <n v="1953"/>
    <n v="101.87"/>
    <n v="0.2"/>
    <n v="209852761469"/>
    <n v="136.6"/>
    <n v="99.6"/>
    <n v="26.2"/>
    <n v="51.9"/>
    <n v="10716322"/>
  </r>
  <r>
    <x v="212"/>
    <x v="212"/>
    <x v="11"/>
    <x v="1850"/>
    <x v="45"/>
    <x v="31"/>
    <x v="25"/>
    <x v="459"/>
    <x v="11"/>
    <s v="Malaysia"/>
    <m/>
    <x v="0"/>
    <s v="Split Family Fortune"/>
    <x v="0"/>
    <d v="1978-01-01T00:00:00"/>
    <s v="Lee"/>
    <s v="Yeow Seng"/>
    <m/>
    <d v="2023-04-04T05:01:00"/>
    <m/>
    <m/>
    <n v="1978"/>
    <n v="121.46"/>
    <n v="0.7"/>
    <n v="364701517788"/>
    <n v="45.1"/>
    <n v="105.3"/>
    <n v="12"/>
    <n v="38.700000000000003"/>
    <n v="32447385"/>
  </r>
  <r>
    <x v="212"/>
    <x v="212"/>
    <x v="11"/>
    <x v="1851"/>
    <x v="37"/>
    <x v="5"/>
    <x v="82"/>
    <x v="36"/>
    <x v="11"/>
    <s v="Hong Kong"/>
    <m/>
    <x v="1"/>
    <s v="E"/>
    <x v="0"/>
    <d v="1957-04-01T00:00:00"/>
    <s v="Li"/>
    <s v="Sze Lim"/>
    <m/>
    <d v="2023-04-04T05:01:00"/>
    <m/>
    <m/>
    <n v="1957"/>
    <n v="125.08"/>
    <n v="2.9"/>
    <n v="19910000000000"/>
    <n v="50.6"/>
    <n v="100.2"/>
    <n v="9.4"/>
    <n v="59.2"/>
    <n v="1397715000"/>
  </r>
  <r>
    <x v="212"/>
    <x v="212"/>
    <x v="11"/>
    <x v="1852"/>
    <x v="41"/>
    <x v="5"/>
    <x v="26"/>
    <x v="36"/>
    <x v="11"/>
    <s v="Hong Kong"/>
    <m/>
    <x v="1"/>
    <s v="D"/>
    <x v="0"/>
    <d v="1966-01-01T00:00:00"/>
    <s v="Li"/>
    <s v="Wa"/>
    <m/>
    <d v="2023-04-04T05:01:00"/>
    <m/>
    <m/>
    <n v="1966"/>
    <n v="125.08"/>
    <n v="2.9"/>
    <n v="19910000000000"/>
    <n v="50.6"/>
    <n v="100.2"/>
    <n v="9.4"/>
    <n v="59.2"/>
    <n v="1397715000"/>
  </r>
  <r>
    <x v="212"/>
    <x v="212"/>
    <x v="2"/>
    <x v="1853"/>
    <x v="62"/>
    <x v="5"/>
    <x v="34"/>
    <x v="41"/>
    <x v="2"/>
    <s v="China"/>
    <m/>
    <x v="1"/>
    <s v="D"/>
    <x v="0"/>
    <d v="1977-01-01T00:00:00"/>
    <s v="Li"/>
    <s v="Weiwei"/>
    <m/>
    <d v="2023-04-04T05:01:00"/>
    <m/>
    <m/>
    <n v="1977"/>
    <n v="125.08"/>
    <n v="2.9"/>
    <n v="19910000000000"/>
    <n v="50.6"/>
    <n v="100.2"/>
    <n v="9.4"/>
    <n v="59.2"/>
    <n v="1397715000"/>
  </r>
  <r>
    <x v="212"/>
    <x v="212"/>
    <x v="2"/>
    <x v="1854"/>
    <x v="1"/>
    <x v="5"/>
    <x v="585"/>
    <x v="695"/>
    <x v="2"/>
    <s v="China"/>
    <m/>
    <x v="1"/>
    <s v="D"/>
    <x v="1"/>
    <d v="1971-10-26T00:00:00"/>
    <s v="Liang"/>
    <s v="Qin"/>
    <m/>
    <d v="2023-04-04T05:01:00"/>
    <m/>
    <m/>
    <n v="1971"/>
    <n v="125.08"/>
    <n v="2.9"/>
    <n v="19910000000000"/>
    <n v="50.6"/>
    <n v="100.2"/>
    <n v="9.4"/>
    <n v="59.2"/>
    <n v="1397715000"/>
  </r>
  <r>
    <x v="212"/>
    <x v="212"/>
    <x v="11"/>
    <x v="1855"/>
    <x v="43"/>
    <x v="10"/>
    <x v="36"/>
    <x v="36"/>
    <x v="11"/>
    <s v="Hong Kong"/>
    <m/>
    <x v="0"/>
    <s v="E"/>
    <x v="0"/>
    <d v="1948-04-01T00:00:00"/>
    <s v="Lo"/>
    <s v="Vincent"/>
    <m/>
    <d v="2023-04-04T05:01:00"/>
    <m/>
    <m/>
    <n v="1948"/>
    <m/>
    <m/>
    <m/>
    <m/>
    <m/>
    <m/>
    <m/>
    <m/>
  </r>
  <r>
    <x v="212"/>
    <x v="212"/>
    <x v="5"/>
    <x v="1856"/>
    <x v="35"/>
    <x v="6"/>
    <x v="303"/>
    <x v="7"/>
    <x v="5"/>
    <s v="Canada"/>
    <m/>
    <x v="1"/>
    <s v="E"/>
    <x v="0"/>
    <d v="1943-04-01T00:00:00"/>
    <s v="Matthews"/>
    <s v="Terence (Terry)"/>
    <m/>
    <d v="2023-04-04T05:01:00"/>
    <m/>
    <m/>
    <n v="1943"/>
    <n v="116.76"/>
    <n v="1.9"/>
    <n v="1736425629520"/>
    <n v="68.900000000000006"/>
    <n v="100.9"/>
    <n v="12.8"/>
    <n v="24.5"/>
    <n v="36991981"/>
  </r>
  <r>
    <x v="212"/>
    <x v="212"/>
    <x v="2"/>
    <x v="1857"/>
    <x v="41"/>
    <x v="1"/>
    <x v="171"/>
    <x v="696"/>
    <x v="2"/>
    <s v="United States"/>
    <m/>
    <x v="1"/>
    <s v="D"/>
    <x v="0"/>
    <d v="1965-10-19T00:00:00"/>
    <s v="McKelvey"/>
    <s v="Jim"/>
    <m/>
    <d v="2023-04-04T05:01:00"/>
    <s v="Missouri"/>
    <s v="Midwest"/>
    <n v="1965"/>
    <n v="117.24"/>
    <n v="7.5"/>
    <n v="21427700000000"/>
    <n v="88.2"/>
    <n v="101.8"/>
    <n v="9.6"/>
    <n v="36.6"/>
    <n v="328239523"/>
  </r>
  <r>
    <x v="212"/>
    <x v="212"/>
    <x v="11"/>
    <x v="1858"/>
    <x v="0"/>
    <x v="16"/>
    <x v="88"/>
    <x v="36"/>
    <x v="11"/>
    <s v="Oman"/>
    <m/>
    <x v="1"/>
    <s v="R"/>
    <x v="0"/>
    <d v="1948-11-17T00:00:00"/>
    <s v="Menon"/>
    <s v="P.N.C."/>
    <m/>
    <d v="2023-04-04T05:01:00"/>
    <m/>
    <m/>
    <n v="1948"/>
    <n v="114.52"/>
    <n v="-1.9"/>
    <n v="421142267938"/>
    <n v="36.799999999999997"/>
    <n v="108.4"/>
    <n v="0.1"/>
    <n v="15.9"/>
    <n v="9770529"/>
  </r>
  <r>
    <x v="212"/>
    <x v="212"/>
    <x v="13"/>
    <x v="1859"/>
    <x v="22"/>
    <x v="28"/>
    <x v="95"/>
    <x v="697"/>
    <x v="13"/>
    <s v="Italy"/>
    <m/>
    <x v="0"/>
    <s v="U"/>
    <x v="0"/>
    <d v="1945-05-16T00:00:00"/>
    <s v="Moratti"/>
    <s v="Massimo"/>
    <m/>
    <d v="2023-04-04T05:01:00"/>
    <m/>
    <m/>
    <n v="1945"/>
    <n v="110.62"/>
    <n v="0.6"/>
    <n v="2001244392042"/>
    <n v="61.9"/>
    <n v="101.9"/>
    <n v="24.3"/>
    <n v="59.1"/>
    <n v="60297396"/>
  </r>
  <r>
    <x v="212"/>
    <x v="212"/>
    <x v="3"/>
    <x v="1860"/>
    <x v="9"/>
    <x v="27"/>
    <x v="199"/>
    <x v="38"/>
    <x v="3"/>
    <s v="Israel"/>
    <m/>
    <x v="0"/>
    <s v="D"/>
    <x v="1"/>
    <d v="1953-12-22T00:00:00"/>
    <s v="Ofer"/>
    <s v="Liora"/>
    <m/>
    <d v="2023-04-04T05:01:00"/>
    <m/>
    <m/>
    <n v="1953"/>
    <n v="108.15"/>
    <n v="0.8"/>
    <n v="395098666122"/>
    <n v="63.4"/>
    <n v="104.9"/>
    <n v="23.1"/>
    <n v="25.3"/>
    <n v="9053300"/>
  </r>
  <r>
    <x v="212"/>
    <x v="212"/>
    <x v="1"/>
    <x v="1861"/>
    <x v="37"/>
    <x v="11"/>
    <x v="586"/>
    <x v="552"/>
    <x v="1"/>
    <s v="Austria"/>
    <m/>
    <x v="1"/>
    <s v="U"/>
    <x v="0"/>
    <d v="1956-11-25T00:00:00"/>
    <s v="Pierer"/>
    <s v="Stefan"/>
    <m/>
    <d v="2023-04-04T05:01:00"/>
    <m/>
    <m/>
    <n v="1956"/>
    <n v="118.06"/>
    <n v="1.5"/>
    <n v="446314739528"/>
    <n v="85.1"/>
    <n v="103.1"/>
    <n v="25.4"/>
    <n v="51.4"/>
    <n v="8877067"/>
  </r>
  <r>
    <x v="212"/>
    <x v="212"/>
    <x v="3"/>
    <x v="1862"/>
    <x v="17"/>
    <x v="7"/>
    <x v="587"/>
    <x v="655"/>
    <x v="3"/>
    <s v="Germany"/>
    <m/>
    <x v="0"/>
    <s v="U"/>
    <x v="0"/>
    <d v="1964-07-28T00:00:00"/>
    <s v="Pohl"/>
    <s v="Andreas"/>
    <m/>
    <d v="2023-04-04T05:01:00"/>
    <m/>
    <m/>
    <n v="1964"/>
    <n v="112.85"/>
    <n v="1.4"/>
    <n v="3845630030824"/>
    <n v="70.2"/>
    <n v="104"/>
    <n v="11.5"/>
    <n v="48.8"/>
    <n v="83132799"/>
  </r>
  <r>
    <x v="212"/>
    <x v="212"/>
    <x v="3"/>
    <x v="1863"/>
    <x v="53"/>
    <x v="7"/>
    <x v="587"/>
    <x v="655"/>
    <x v="3"/>
    <s v="Germany"/>
    <m/>
    <x v="0"/>
    <s v="U"/>
    <x v="0"/>
    <d v="1959-11-02T00:00:00"/>
    <s v="Pohl"/>
    <s v="Reinfried"/>
    <m/>
    <d v="2023-04-04T05:01:00"/>
    <m/>
    <m/>
    <n v="1959"/>
    <n v="112.85"/>
    <n v="1.4"/>
    <n v="3845630030824"/>
    <n v="70.2"/>
    <n v="104"/>
    <n v="11.5"/>
    <n v="48.8"/>
    <n v="83132799"/>
  </r>
  <r>
    <x v="212"/>
    <x v="212"/>
    <x v="13"/>
    <x v="1864"/>
    <x v="0"/>
    <x v="1"/>
    <x v="54"/>
    <x v="698"/>
    <x v="13"/>
    <s v="United States"/>
    <m/>
    <x v="1"/>
    <s v="U"/>
    <x v="0"/>
    <d v="1949-01-01T00:00:00"/>
    <s v="Polsky"/>
    <s v="Michael"/>
    <m/>
    <d v="2023-04-04T05:01:00"/>
    <s v="Illinois"/>
    <s v="Midwest"/>
    <n v="1949"/>
    <n v="117.24"/>
    <n v="7.5"/>
    <n v="21427700000000"/>
    <n v="88.2"/>
    <n v="101.8"/>
    <n v="9.6"/>
    <n v="36.6"/>
    <n v="328239523"/>
  </r>
  <r>
    <x v="212"/>
    <x v="212"/>
    <x v="10"/>
    <x v="1865"/>
    <x v="17"/>
    <x v="4"/>
    <x v="276"/>
    <x v="699"/>
    <x v="10"/>
    <s v="Spain"/>
    <m/>
    <x v="0"/>
    <s v="U"/>
    <x v="0"/>
    <d v="1964-06-01T00:00:00"/>
    <s v="Riberas Mera"/>
    <s v="Francisco Jose"/>
    <m/>
    <d v="2023-04-04T05:01:00"/>
    <m/>
    <m/>
    <n v="1964"/>
    <n v="110.96"/>
    <n v="0.7"/>
    <n v="1394116310769"/>
    <n v="88.9"/>
    <n v="102.7"/>
    <n v="14.2"/>
    <n v="47"/>
    <n v="47076781"/>
  </r>
  <r>
    <x v="212"/>
    <x v="212"/>
    <x v="12"/>
    <x v="1866"/>
    <x v="23"/>
    <x v="4"/>
    <x v="276"/>
    <x v="61"/>
    <x v="12"/>
    <s v="Spain"/>
    <m/>
    <x v="0"/>
    <s v="R"/>
    <x v="0"/>
    <d v="1968-10-01T00:00:00"/>
    <s v="Riberas Mera"/>
    <s v="Juan Maria"/>
    <m/>
    <d v="2023-04-04T05:01:00"/>
    <m/>
    <m/>
    <n v="1968"/>
    <n v="110.96"/>
    <n v="0.7"/>
    <n v="1394116310769"/>
    <n v="88.9"/>
    <n v="102.7"/>
    <n v="14.2"/>
    <n v="47"/>
    <n v="47076781"/>
  </r>
  <r>
    <x v="212"/>
    <x v="212"/>
    <x v="7"/>
    <x v="1867"/>
    <x v="54"/>
    <x v="1"/>
    <x v="5"/>
    <x v="82"/>
    <x v="7"/>
    <s v="United States"/>
    <m/>
    <x v="0"/>
    <s v="E"/>
    <x v="0"/>
    <d v="1978-06-01T00:00:00"/>
    <s v="Santo Domingo"/>
    <s v="Andres"/>
    <m/>
    <d v="2023-04-04T05:01:00"/>
    <s v="New York"/>
    <s v="Northeast"/>
    <n v="1978"/>
    <n v="117.24"/>
    <n v="7.5"/>
    <n v="21427700000000"/>
    <n v="88.2"/>
    <n v="101.8"/>
    <n v="9.6"/>
    <n v="36.6"/>
    <n v="328239523"/>
  </r>
  <r>
    <x v="212"/>
    <x v="212"/>
    <x v="7"/>
    <x v="1868"/>
    <x v="13"/>
    <x v="23"/>
    <x v="73"/>
    <x v="290"/>
    <x v="7"/>
    <s v="Thailand"/>
    <m/>
    <x v="1"/>
    <s v="E"/>
    <x v="0"/>
    <d v="1954-04-20T00:00:00"/>
    <s v="Sathientham"/>
    <s v="Sathien"/>
    <m/>
    <d v="2023-04-04T05:01:00"/>
    <m/>
    <m/>
    <n v="1954"/>
    <n v="113.27"/>
    <n v="0.7"/>
    <n v="543649976166"/>
    <n v="49.3"/>
    <n v="99.8"/>
    <n v="14.9"/>
    <n v="29.5"/>
    <n v="69625582"/>
  </r>
  <r>
    <x v="212"/>
    <x v="212"/>
    <x v="10"/>
    <x v="1869"/>
    <x v="12"/>
    <x v="5"/>
    <x v="155"/>
    <x v="108"/>
    <x v="10"/>
    <s v="China"/>
    <m/>
    <x v="1"/>
    <s v="D"/>
    <x v="0"/>
    <d v="1974-03-30T00:00:00"/>
    <s v="Shang"/>
    <s v="Xiaobo"/>
    <m/>
    <d v="2023-04-04T05:01:00"/>
    <m/>
    <m/>
    <n v="1974"/>
    <n v="125.08"/>
    <n v="2.9"/>
    <n v="19910000000000"/>
    <n v="50.6"/>
    <n v="100.2"/>
    <n v="9.4"/>
    <n v="59.2"/>
    <n v="1397715000"/>
  </r>
  <r>
    <x v="212"/>
    <x v="212"/>
    <x v="7"/>
    <x v="1870"/>
    <x v="42"/>
    <x v="8"/>
    <x v="33"/>
    <x v="700"/>
    <x v="7"/>
    <s v="Russia"/>
    <m/>
    <x v="1"/>
    <s v="U"/>
    <x v="0"/>
    <d v="1967-09-10T00:00:00"/>
    <s v="Shefler"/>
    <s v="Yuri"/>
    <m/>
    <d v="2023-04-04T05:01:00"/>
    <m/>
    <m/>
    <n v="1967"/>
    <n v="99.55"/>
    <n v="0.4"/>
    <n v="703082435360"/>
    <n v="59.6"/>
    <n v="105.2"/>
    <n v="10.1"/>
    <n v="28.8"/>
    <n v="8574832"/>
  </r>
  <r>
    <x v="212"/>
    <x v="212"/>
    <x v="12"/>
    <x v="1871"/>
    <x v="2"/>
    <x v="13"/>
    <x v="32"/>
    <x v="195"/>
    <x v="12"/>
    <s v="United States"/>
    <m/>
    <x v="1"/>
    <s v="E"/>
    <x v="0"/>
    <d v="1964-03-23T00:00:00"/>
    <s v="Shvidler"/>
    <s v="Evgeny (Eugene)"/>
    <m/>
    <d v="2023-04-04T05:01:00"/>
    <m/>
    <m/>
    <n v="1964"/>
    <n v="119.62"/>
    <n v="1.7"/>
    <n v="2827113184696"/>
    <n v="60"/>
    <n v="101.2"/>
    <n v="25.5"/>
    <n v="30.6"/>
    <n v="66834405"/>
  </r>
  <r>
    <x v="212"/>
    <x v="212"/>
    <x v="2"/>
    <x v="1872"/>
    <x v="54"/>
    <x v="1"/>
    <x v="588"/>
    <x v="645"/>
    <x v="2"/>
    <s v="United States"/>
    <s v="Qualtrics"/>
    <x v="1"/>
    <s v="E"/>
    <x v="0"/>
    <d v="1978-06-28T00:00:00"/>
    <s v="Smith"/>
    <s v="Ryan"/>
    <s v="Co-Founder &amp; CEO"/>
    <d v="2023-04-04T05:01:00"/>
    <s v="Utah"/>
    <s v="West"/>
    <n v="1978"/>
    <n v="117.24"/>
    <n v="7.5"/>
    <n v="21427700000000"/>
    <n v="88.2"/>
    <n v="101.8"/>
    <n v="9.6"/>
    <n v="36.6"/>
    <n v="328239523"/>
  </r>
  <r>
    <x v="212"/>
    <x v="212"/>
    <x v="6"/>
    <x v="1873"/>
    <x v="38"/>
    <x v="17"/>
    <x v="229"/>
    <x v="701"/>
    <x v="6"/>
    <s v="Russia"/>
    <m/>
    <x v="1"/>
    <s v="R"/>
    <x v="0"/>
    <d v="1962-01-23T00:00:00"/>
    <s v="Smushkin"/>
    <s v="Zakhar"/>
    <m/>
    <d v="2023-04-04T05:01:00"/>
    <m/>
    <m/>
    <n v="1962"/>
    <n v="180.75"/>
    <n v="4.5"/>
    <n v="1699876578871"/>
    <n v="81.900000000000006"/>
    <n v="102.6"/>
    <n v="11.4"/>
    <n v="46.2"/>
    <n v="144373535"/>
  </r>
  <r>
    <x v="212"/>
    <x v="212"/>
    <x v="15"/>
    <x v="1874"/>
    <x v="53"/>
    <x v="1"/>
    <x v="249"/>
    <x v="426"/>
    <x v="15"/>
    <s v="United States"/>
    <m/>
    <x v="0"/>
    <s v="E"/>
    <x v="0"/>
    <d v="1959-11-22T00:00:00"/>
    <s v="Sperling"/>
    <s v="Peter"/>
    <m/>
    <d v="2023-04-04T05:01:00"/>
    <s v="Arizona"/>
    <s v="West"/>
    <n v="1959"/>
    <n v="117.24"/>
    <n v="7.5"/>
    <n v="21427700000000"/>
    <n v="88.2"/>
    <n v="101.8"/>
    <n v="9.6"/>
    <n v="36.6"/>
    <n v="328239523"/>
  </r>
  <r>
    <x v="212"/>
    <x v="212"/>
    <x v="6"/>
    <x v="1875"/>
    <x v="25"/>
    <x v="1"/>
    <x v="5"/>
    <x v="675"/>
    <x v="6"/>
    <s v="United States"/>
    <m/>
    <x v="0"/>
    <s v="U"/>
    <x v="1"/>
    <d v="1951-02-19T00:00:00"/>
    <s v="Tisch"/>
    <s v="Laurie"/>
    <m/>
    <d v="2023-04-04T05:01:00"/>
    <s v="New York"/>
    <s v="Northeast"/>
    <n v="1951"/>
    <n v="117.24"/>
    <n v="7.5"/>
    <n v="21427700000000"/>
    <n v="88.2"/>
    <n v="101.8"/>
    <n v="9.6"/>
    <n v="36.6"/>
    <n v="328239523"/>
  </r>
  <r>
    <x v="212"/>
    <x v="212"/>
    <x v="6"/>
    <x v="1876"/>
    <x v="0"/>
    <x v="1"/>
    <x v="125"/>
    <x v="150"/>
    <x v="6"/>
    <s v="United States"/>
    <m/>
    <x v="0"/>
    <s v="U"/>
    <x v="0"/>
    <d v="1949-02-14T00:00:00"/>
    <s v="Tisch"/>
    <s v="Steven"/>
    <m/>
    <d v="2023-04-04T05:01:00"/>
    <s v="California"/>
    <s v="West"/>
    <n v="1949"/>
    <n v="117.24"/>
    <n v="7.5"/>
    <n v="21427700000000"/>
    <n v="88.2"/>
    <n v="101.8"/>
    <n v="9.6"/>
    <n v="36.6"/>
    <n v="328239523"/>
  </r>
  <r>
    <x v="212"/>
    <x v="212"/>
    <x v="10"/>
    <x v="1877"/>
    <x v="41"/>
    <x v="11"/>
    <x v="150"/>
    <x v="702"/>
    <x v="10"/>
    <s v="Austria"/>
    <m/>
    <x v="1"/>
    <s v="D"/>
    <x v="0"/>
    <d v="1966-03-31T00:00:00"/>
    <s v="Tojner"/>
    <s v="Michael"/>
    <m/>
    <d v="2023-04-04T05:01:00"/>
    <m/>
    <m/>
    <n v="1966"/>
    <n v="118.06"/>
    <n v="1.5"/>
    <n v="446314739528"/>
    <n v="85.1"/>
    <n v="103.1"/>
    <n v="25.4"/>
    <n v="51.4"/>
    <n v="8877067"/>
  </r>
  <r>
    <x v="212"/>
    <x v="212"/>
    <x v="14"/>
    <x v="1878"/>
    <x v="5"/>
    <x v="1"/>
    <x v="589"/>
    <x v="703"/>
    <x v="14"/>
    <s v="United States"/>
    <m/>
    <x v="1"/>
    <s v="U"/>
    <x v="0"/>
    <d v="1956-01-01T00:00:00"/>
    <s v="Troendle"/>
    <s v="August"/>
    <m/>
    <d v="2023-04-04T05:01:00"/>
    <s v="Ohio"/>
    <s v="Midwest"/>
    <n v="1956"/>
    <n v="117.24"/>
    <n v="7.5"/>
    <n v="21427700000000"/>
    <n v="88.2"/>
    <n v="101.8"/>
    <n v="9.6"/>
    <n v="36.6"/>
    <n v="328239523"/>
  </r>
  <r>
    <x v="212"/>
    <x v="212"/>
    <x v="10"/>
    <x v="1879"/>
    <x v="44"/>
    <x v="35"/>
    <x v="25"/>
    <x v="156"/>
    <x v="10"/>
    <s v="Taiwan"/>
    <m/>
    <x v="0"/>
    <s v="E"/>
    <x v="1"/>
    <m/>
    <s v="Tseng"/>
    <s v="Sing-ai"/>
    <m/>
    <d v="2023-04-04T05:01:00"/>
    <m/>
    <m/>
    <m/>
    <m/>
    <m/>
    <m/>
    <m/>
    <m/>
    <m/>
    <m/>
    <m/>
  </r>
  <r>
    <x v="212"/>
    <x v="212"/>
    <x v="2"/>
    <x v="1880"/>
    <x v="1"/>
    <x v="3"/>
    <x v="463"/>
    <x v="118"/>
    <x v="2"/>
    <s v="India"/>
    <m/>
    <x v="1"/>
    <s v="U"/>
    <x v="0"/>
    <d v="1972-01-01T00:00:00"/>
    <s v="Vembu"/>
    <s v="Sekar"/>
    <m/>
    <d v="2023-04-04T05:01:00"/>
    <m/>
    <m/>
    <n v="1972"/>
    <n v="180.44"/>
    <n v="7.7"/>
    <n v="2611000000000"/>
    <n v="28.1"/>
    <n v="113"/>
    <n v="11.2"/>
    <n v="49.7"/>
    <n v="1366417754"/>
  </r>
  <r>
    <x v="212"/>
    <x v="212"/>
    <x v="13"/>
    <x v="1881"/>
    <x v="36"/>
    <x v="14"/>
    <x v="515"/>
    <x v="40"/>
    <x v="13"/>
    <s v="Australia"/>
    <m/>
    <x v="1"/>
    <s v="R"/>
    <x v="0"/>
    <d v="1953-01-01T00:00:00"/>
    <s v="Wallin"/>
    <s v="Chris"/>
    <m/>
    <d v="2023-04-04T05:01:00"/>
    <m/>
    <m/>
    <n v="1953"/>
    <n v="119.8"/>
    <n v="1.6"/>
    <n v="1392680589329"/>
    <n v="113.1"/>
    <n v="100.3"/>
    <n v="23"/>
    <n v="47.4"/>
    <n v="25766605"/>
  </r>
  <r>
    <x v="212"/>
    <x v="212"/>
    <x v="4"/>
    <x v="1882"/>
    <x v="41"/>
    <x v="5"/>
    <x v="19"/>
    <x v="704"/>
    <x v="4"/>
    <s v="China"/>
    <m/>
    <x v="1"/>
    <s v="D"/>
    <x v="0"/>
    <d v="1965-04-26T00:00:00"/>
    <s v="Wang"/>
    <s v="Changtian"/>
    <m/>
    <d v="2023-04-04T05:01:00"/>
    <m/>
    <m/>
    <n v="1965"/>
    <n v="125.08"/>
    <n v="2.9"/>
    <n v="19910000000000"/>
    <n v="50.6"/>
    <n v="100.2"/>
    <n v="9.4"/>
    <n v="59.2"/>
    <n v="1397715000"/>
  </r>
  <r>
    <x v="212"/>
    <x v="212"/>
    <x v="4"/>
    <x v="1883"/>
    <x v="39"/>
    <x v="5"/>
    <x v="19"/>
    <x v="705"/>
    <x v="4"/>
    <s v="China"/>
    <m/>
    <x v="1"/>
    <s v="D"/>
    <x v="0"/>
    <d v="1987-01-01T00:00:00"/>
    <s v="Wang"/>
    <s v="Ning"/>
    <m/>
    <d v="2023-04-04T05:01:00"/>
    <m/>
    <m/>
    <n v="1987"/>
    <n v="125.08"/>
    <n v="2.9"/>
    <n v="19910000000000"/>
    <n v="50.6"/>
    <n v="100.2"/>
    <n v="9.4"/>
    <n v="59.2"/>
    <n v="1397715000"/>
  </r>
  <r>
    <x v="212"/>
    <x v="212"/>
    <x v="2"/>
    <x v="1884"/>
    <x v="5"/>
    <x v="1"/>
    <x v="590"/>
    <x v="706"/>
    <x v="2"/>
    <s v="United States"/>
    <m/>
    <x v="1"/>
    <s v="E"/>
    <x v="0"/>
    <d v="1955-05-18T00:00:00"/>
    <s v="Watterson"/>
    <s v="Scott"/>
    <m/>
    <d v="2023-04-04T05:01:00"/>
    <s v="Utah"/>
    <s v="West"/>
    <n v="1955"/>
    <n v="117.24"/>
    <n v="7.5"/>
    <n v="21427700000000"/>
    <n v="88.2"/>
    <n v="101.8"/>
    <n v="9.6"/>
    <n v="36.6"/>
    <n v="328239523"/>
  </r>
  <r>
    <x v="212"/>
    <x v="212"/>
    <x v="13"/>
    <x v="1885"/>
    <x v="37"/>
    <x v="1"/>
    <x v="591"/>
    <x v="199"/>
    <x v="13"/>
    <s v="United States"/>
    <m/>
    <x v="1"/>
    <s v="U"/>
    <x v="0"/>
    <d v="1956-05-30T00:00:00"/>
    <s v="Wilks"/>
    <s v="Dan"/>
    <m/>
    <d v="2023-04-04T05:01:00"/>
    <s v="Texas"/>
    <s v="South"/>
    <n v="1956"/>
    <n v="117.24"/>
    <n v="7.5"/>
    <n v="21427700000000"/>
    <n v="88.2"/>
    <n v="101.8"/>
    <n v="9.6"/>
    <n v="36.6"/>
    <n v="328239523"/>
  </r>
  <r>
    <x v="212"/>
    <x v="212"/>
    <x v="0"/>
    <x v="1886"/>
    <x v="26"/>
    <x v="14"/>
    <x v="93"/>
    <x v="500"/>
    <x v="0"/>
    <s v="Australia"/>
    <m/>
    <x v="0"/>
    <s v="Split Family Fortune"/>
    <x v="0"/>
    <d v="1940-10-28T00:00:00"/>
    <s v="Wilson"/>
    <s v="Alan"/>
    <m/>
    <d v="2023-04-04T05:01:00"/>
    <m/>
    <m/>
    <n v="1940"/>
    <n v="119.8"/>
    <n v="1.6"/>
    <n v="1392680589329"/>
    <n v="113.1"/>
    <n v="100.3"/>
    <n v="23"/>
    <n v="47.4"/>
    <n v="25766605"/>
  </r>
  <r>
    <x v="212"/>
    <x v="212"/>
    <x v="0"/>
    <x v="1887"/>
    <x v="31"/>
    <x v="14"/>
    <x v="93"/>
    <x v="500"/>
    <x v="0"/>
    <s v="Australia"/>
    <m/>
    <x v="0"/>
    <s v="Split Family Fortune"/>
    <x v="0"/>
    <d v="1946-04-19T00:00:00"/>
    <s v="Wilson"/>
    <s v="Bruce"/>
    <m/>
    <d v="2023-04-04T05:01:00"/>
    <m/>
    <m/>
    <n v="1946"/>
    <n v="119.8"/>
    <n v="1.6"/>
    <n v="1392680589329"/>
    <n v="113.1"/>
    <n v="100.3"/>
    <n v="23"/>
    <n v="47.4"/>
    <n v="25766605"/>
  </r>
  <r>
    <x v="212"/>
    <x v="212"/>
    <x v="0"/>
    <x v="1888"/>
    <x v="18"/>
    <x v="14"/>
    <x v="93"/>
    <x v="500"/>
    <x v="0"/>
    <s v="Australia"/>
    <m/>
    <x v="0"/>
    <s v="Split Family Fortune"/>
    <x v="0"/>
    <d v="1937-12-31T00:00:00"/>
    <s v="Wilson"/>
    <s v="John"/>
    <m/>
    <d v="2023-04-04T05:01:00"/>
    <m/>
    <m/>
    <n v="1937"/>
    <n v="119.8"/>
    <n v="1.6"/>
    <n v="1392680589329"/>
    <n v="113.1"/>
    <n v="100.3"/>
    <n v="23"/>
    <n v="47.4"/>
    <n v="25766605"/>
  </r>
  <r>
    <x v="212"/>
    <x v="212"/>
    <x v="2"/>
    <x v="1889"/>
    <x v="41"/>
    <x v="1"/>
    <x v="9"/>
    <x v="707"/>
    <x v="2"/>
    <s v="United States"/>
    <m/>
    <x v="1"/>
    <s v="D"/>
    <x v="0"/>
    <d v="1965-12-04T00:00:00"/>
    <s v="Wood"/>
    <s v="Anthony"/>
    <m/>
    <d v="2023-04-04T05:01:00"/>
    <s v="California"/>
    <s v="West"/>
    <n v="1965"/>
    <n v="117.24"/>
    <n v="7.5"/>
    <n v="21427700000000"/>
    <n v="88.2"/>
    <n v="101.8"/>
    <n v="9.6"/>
    <n v="36.6"/>
    <n v="328239523"/>
  </r>
  <r>
    <x v="212"/>
    <x v="212"/>
    <x v="10"/>
    <x v="1890"/>
    <x v="17"/>
    <x v="5"/>
    <x v="592"/>
    <x v="708"/>
    <x v="10"/>
    <s v="China"/>
    <m/>
    <x v="1"/>
    <s v="D"/>
    <x v="0"/>
    <d v="1964-04-16T00:00:00"/>
    <s v="Wu"/>
    <s v="Ying"/>
    <m/>
    <d v="2023-04-04T05:01:00"/>
    <m/>
    <m/>
    <n v="1964"/>
    <n v="125.08"/>
    <n v="2.9"/>
    <n v="19910000000000"/>
    <n v="50.6"/>
    <n v="100.2"/>
    <n v="9.4"/>
    <n v="59.2"/>
    <n v="1397715000"/>
  </r>
  <r>
    <x v="212"/>
    <x v="212"/>
    <x v="14"/>
    <x v="1891"/>
    <x v="52"/>
    <x v="5"/>
    <x v="111"/>
    <x v="83"/>
    <x v="14"/>
    <s v="China"/>
    <m/>
    <x v="1"/>
    <s v="D"/>
    <x v="1"/>
    <d v="1969-08-26T00:00:00"/>
    <s v="Wu"/>
    <s v="Yulan"/>
    <m/>
    <d v="2023-04-04T05:01:00"/>
    <m/>
    <m/>
    <n v="1969"/>
    <n v="125.08"/>
    <n v="2.9"/>
    <n v="19910000000000"/>
    <n v="50.6"/>
    <n v="100.2"/>
    <n v="9.4"/>
    <n v="59.2"/>
    <n v="1397715000"/>
  </r>
  <r>
    <x v="212"/>
    <x v="212"/>
    <x v="2"/>
    <x v="1892"/>
    <x v="12"/>
    <x v="5"/>
    <x v="320"/>
    <x v="172"/>
    <x v="2"/>
    <s v="China"/>
    <m/>
    <x v="1"/>
    <s v="D"/>
    <x v="0"/>
    <d v="1973-10-28T00:00:00"/>
    <s v="Wu"/>
    <s v="Zhongyi"/>
    <m/>
    <d v="2023-04-04T05:01:00"/>
    <m/>
    <m/>
    <n v="1973"/>
    <n v="125.08"/>
    <n v="2.9"/>
    <n v="19910000000000"/>
    <n v="50.6"/>
    <n v="100.2"/>
    <n v="9.4"/>
    <n v="59.2"/>
    <n v="1397715000"/>
  </r>
  <r>
    <x v="212"/>
    <x v="212"/>
    <x v="10"/>
    <x v="1893"/>
    <x v="2"/>
    <x v="5"/>
    <x v="273"/>
    <x v="709"/>
    <x v="10"/>
    <s v="China"/>
    <m/>
    <x v="1"/>
    <s v="D"/>
    <x v="0"/>
    <d v="1963-10-01T00:00:00"/>
    <s v="Xiang"/>
    <s v="Guangming"/>
    <m/>
    <d v="2023-04-04T05:01:00"/>
    <m/>
    <m/>
    <n v="1963"/>
    <n v="125.08"/>
    <n v="2.9"/>
    <n v="19910000000000"/>
    <n v="50.6"/>
    <n v="100.2"/>
    <n v="9.4"/>
    <n v="59.2"/>
    <n v="1397715000"/>
  </r>
  <r>
    <x v="212"/>
    <x v="212"/>
    <x v="2"/>
    <x v="1894"/>
    <x v="29"/>
    <x v="5"/>
    <x v="19"/>
    <x v="117"/>
    <x v="2"/>
    <s v="China"/>
    <m/>
    <x v="1"/>
    <s v="D"/>
    <x v="0"/>
    <d v="1959-02-10T00:00:00"/>
    <s v="Xue"/>
    <s v="Xiangdong"/>
    <m/>
    <d v="2023-04-04T05:01:00"/>
    <m/>
    <m/>
    <n v="1959"/>
    <n v="125.08"/>
    <n v="2.9"/>
    <n v="19910000000000"/>
    <n v="50.6"/>
    <n v="100.2"/>
    <n v="9.4"/>
    <n v="59.2"/>
    <n v="1397715000"/>
  </r>
  <r>
    <x v="212"/>
    <x v="212"/>
    <x v="14"/>
    <x v="1895"/>
    <x v="53"/>
    <x v="1"/>
    <x v="593"/>
    <x v="83"/>
    <x v="14"/>
    <s v="United States"/>
    <m/>
    <x v="1"/>
    <s v="U"/>
    <x v="0"/>
    <d v="1959-09-10T00:00:00"/>
    <s v="Yancopoulos"/>
    <s v="George"/>
    <m/>
    <d v="2023-04-04T05:01:00"/>
    <s v="New York"/>
    <s v="Northeast"/>
    <n v="1959"/>
    <n v="117.24"/>
    <n v="7.5"/>
    <n v="21427700000000"/>
    <n v="88.2"/>
    <n v="101.8"/>
    <n v="9.6"/>
    <n v="36.6"/>
    <n v="328239523"/>
  </r>
  <r>
    <x v="212"/>
    <x v="212"/>
    <x v="2"/>
    <x v="1896"/>
    <x v="60"/>
    <x v="5"/>
    <x v="78"/>
    <x v="172"/>
    <x v="2"/>
    <s v="China"/>
    <m/>
    <x v="1"/>
    <s v="D"/>
    <x v="0"/>
    <d v="1982-05-01T00:00:00"/>
    <s v="Yang"/>
    <s v="Steven Meng"/>
    <m/>
    <d v="2023-04-04T05:01:00"/>
    <m/>
    <m/>
    <n v="1982"/>
    <n v="125.08"/>
    <n v="2.9"/>
    <n v="19910000000000"/>
    <n v="50.6"/>
    <n v="100.2"/>
    <n v="9.4"/>
    <n v="59.2"/>
    <n v="1397715000"/>
  </r>
  <r>
    <x v="212"/>
    <x v="212"/>
    <x v="1"/>
    <x v="1897"/>
    <x v="33"/>
    <x v="5"/>
    <x v="574"/>
    <x v="496"/>
    <x v="1"/>
    <s v="China"/>
    <m/>
    <x v="1"/>
    <s v="D"/>
    <x v="0"/>
    <d v="1971-01-01T00:00:00"/>
    <s v="Ye"/>
    <s v="Fan"/>
    <m/>
    <d v="2023-04-04T05:01:00"/>
    <m/>
    <m/>
    <n v="1971"/>
    <n v="125.08"/>
    <n v="2.9"/>
    <n v="19910000000000"/>
    <n v="50.6"/>
    <n v="100.2"/>
    <n v="9.4"/>
    <n v="59.2"/>
    <n v="1397715000"/>
  </r>
  <r>
    <x v="212"/>
    <x v="212"/>
    <x v="6"/>
    <x v="1898"/>
    <x v="34"/>
    <x v="5"/>
    <x v="78"/>
    <x v="331"/>
    <x v="6"/>
    <s v="China"/>
    <m/>
    <x v="1"/>
    <s v="D"/>
    <x v="0"/>
    <d v="1961-02-01T00:00:00"/>
    <s v="Yi"/>
    <s v="Dasheng"/>
    <m/>
    <d v="2023-04-04T05:01:00"/>
    <m/>
    <m/>
    <n v="1961"/>
    <n v="125.08"/>
    <n v="2.9"/>
    <n v="19910000000000"/>
    <n v="50.6"/>
    <n v="100.2"/>
    <n v="9.4"/>
    <n v="59.2"/>
    <n v="1397715000"/>
  </r>
  <r>
    <x v="212"/>
    <x v="212"/>
    <x v="10"/>
    <x v="1899"/>
    <x v="42"/>
    <x v="5"/>
    <x v="78"/>
    <x v="710"/>
    <x v="10"/>
    <s v="China"/>
    <m/>
    <x v="1"/>
    <s v="D"/>
    <x v="1"/>
    <d v="1968-01-01T00:00:00"/>
    <s v="Yu"/>
    <s v="Lili"/>
    <m/>
    <d v="2023-04-04T05:01:00"/>
    <m/>
    <m/>
    <n v="1968"/>
    <n v="125.08"/>
    <n v="2.9"/>
    <n v="19910000000000"/>
    <n v="50.6"/>
    <n v="100.2"/>
    <n v="9.4"/>
    <n v="59.2"/>
    <n v="1397715000"/>
  </r>
  <r>
    <x v="212"/>
    <x v="212"/>
    <x v="2"/>
    <x v="1900"/>
    <x v="65"/>
    <x v="5"/>
    <x v="34"/>
    <x v="41"/>
    <x v="2"/>
    <s v="China"/>
    <m/>
    <x v="1"/>
    <s v="D"/>
    <x v="0"/>
    <d v="1975-01-01T00:00:00"/>
    <s v="Zeng"/>
    <s v="Kaitian"/>
    <m/>
    <d v="2023-04-04T05:01:00"/>
    <m/>
    <m/>
    <n v="1975"/>
    <n v="125.08"/>
    <n v="2.9"/>
    <n v="19910000000000"/>
    <n v="50.6"/>
    <n v="100.2"/>
    <n v="9.4"/>
    <n v="59.2"/>
    <n v="1397715000"/>
  </r>
  <r>
    <x v="212"/>
    <x v="212"/>
    <x v="12"/>
    <x v="1901"/>
    <x v="43"/>
    <x v="5"/>
    <x v="594"/>
    <x v="335"/>
    <x v="12"/>
    <s v="China"/>
    <m/>
    <x v="1"/>
    <s v="D"/>
    <x v="0"/>
    <d v="1947-07-01T00:00:00"/>
    <s v="Zhang"/>
    <s v="Xuexin"/>
    <m/>
    <d v="2023-04-04T05:01:00"/>
    <m/>
    <m/>
    <n v="1947"/>
    <n v="125.08"/>
    <n v="2.9"/>
    <n v="19910000000000"/>
    <n v="50.6"/>
    <n v="100.2"/>
    <n v="9.4"/>
    <n v="59.2"/>
    <n v="1397715000"/>
  </r>
  <r>
    <x v="212"/>
    <x v="212"/>
    <x v="7"/>
    <x v="1902"/>
    <x v="17"/>
    <x v="5"/>
    <x v="595"/>
    <x v="422"/>
    <x v="7"/>
    <s v="China"/>
    <m/>
    <x v="1"/>
    <s v="D"/>
    <x v="0"/>
    <d v="1964-10-01T00:00:00"/>
    <s v="Zhang"/>
    <s v="Yubai"/>
    <m/>
    <d v="2023-04-04T05:01:00"/>
    <m/>
    <m/>
    <n v="1964"/>
    <n v="125.08"/>
    <n v="2.9"/>
    <n v="19910000000000"/>
    <n v="50.6"/>
    <n v="100.2"/>
    <n v="9.4"/>
    <n v="59.2"/>
    <n v="1397715000"/>
  </r>
  <r>
    <x v="212"/>
    <x v="212"/>
    <x v="9"/>
    <x v="1903"/>
    <x v="33"/>
    <x v="21"/>
    <x v="69"/>
    <x v="711"/>
    <x v="9"/>
    <s v="Sweden"/>
    <m/>
    <x v="1"/>
    <s v="U"/>
    <x v="0"/>
    <d v="1971-01-19T00:00:00"/>
    <s v="Österberg"/>
    <s v="Fredrik"/>
    <m/>
    <d v="2023-04-04T05:01:00"/>
    <m/>
    <m/>
    <n v="1971"/>
    <n v="110.51"/>
    <n v="1.8"/>
    <n v="530832908738"/>
    <n v="67"/>
    <n v="126.6"/>
    <n v="27.9"/>
    <n v="49.1"/>
    <n v="10285453"/>
  </r>
  <r>
    <x v="213"/>
    <x v="213"/>
    <x v="7"/>
    <x v="1904"/>
    <x v="26"/>
    <x v="3"/>
    <x v="551"/>
    <x v="712"/>
    <x v="7"/>
    <s v="India"/>
    <m/>
    <x v="0"/>
    <s v="N"/>
    <x v="0"/>
    <d v="1941-01-01T00:00:00"/>
    <s v="Agrawal"/>
    <s v="Shiv Kishan"/>
    <m/>
    <d v="2023-04-04T05:01:00"/>
    <m/>
    <m/>
    <n v="1941"/>
    <n v="180.44"/>
    <n v="7.7"/>
    <n v="2611000000000"/>
    <n v="28.1"/>
    <n v="113"/>
    <n v="11.2"/>
    <n v="49.7"/>
    <n v="1366417754"/>
  </r>
  <r>
    <x v="213"/>
    <x v="213"/>
    <x v="6"/>
    <x v="1905"/>
    <x v="34"/>
    <x v="72"/>
    <x v="596"/>
    <x v="713"/>
    <x v="6"/>
    <s v="Morocco"/>
    <m/>
    <x v="0"/>
    <s v="D"/>
    <x v="0"/>
    <d v="1961-01-01T00:00:00"/>
    <s v="Akhannouch"/>
    <s v="Aziz"/>
    <m/>
    <d v="2023-04-04T05:01:00"/>
    <m/>
    <m/>
    <n v="1961"/>
    <n v="111.07"/>
    <n v="0.2"/>
    <n v="118725279596"/>
    <n v="35.9"/>
    <n v="113.9"/>
    <n v="21.9"/>
    <n v="45.8"/>
    <n v="36910560"/>
  </r>
  <r>
    <x v="213"/>
    <x v="213"/>
    <x v="6"/>
    <x v="1906"/>
    <x v="13"/>
    <x v="47"/>
    <x v="228"/>
    <x v="8"/>
    <x v="6"/>
    <s v="Turkey"/>
    <m/>
    <x v="1"/>
    <s v="E"/>
    <x v="0"/>
    <d v="1955-01-01T00:00:00"/>
    <s v="Akin"/>
    <s v="Hamdi"/>
    <m/>
    <d v="2023-04-04T05:01:00"/>
    <m/>
    <m/>
    <n v="1955"/>
    <n v="234.44"/>
    <n v="15.2"/>
    <n v="754411708203"/>
    <n v="23.9"/>
    <n v="93.2"/>
    <n v="17.899999999999999"/>
    <n v="42.3"/>
    <n v="83429615"/>
  </r>
  <r>
    <x v="213"/>
    <x v="213"/>
    <x v="10"/>
    <x v="1907"/>
    <x v="38"/>
    <x v="28"/>
    <x v="597"/>
    <x v="714"/>
    <x v="10"/>
    <s v="Italy"/>
    <m/>
    <x v="1"/>
    <s v="U"/>
    <x v="0"/>
    <d v="1961-04-08T00:00:00"/>
    <s v="Alessandri"/>
    <s v="Nerio"/>
    <m/>
    <d v="2023-04-04T05:01:00"/>
    <m/>
    <m/>
    <n v="1961"/>
    <n v="110.62"/>
    <n v="0.6"/>
    <n v="2001244392042"/>
    <n v="61.9"/>
    <n v="101.9"/>
    <n v="24.3"/>
    <n v="59.1"/>
    <n v="60297396"/>
  </r>
  <r>
    <x v="213"/>
    <x v="213"/>
    <x v="6"/>
    <x v="1908"/>
    <x v="76"/>
    <x v="36"/>
    <x v="154"/>
    <x v="38"/>
    <x v="6"/>
    <s v="Norway"/>
    <m/>
    <x v="0"/>
    <s v="U"/>
    <x v="1"/>
    <d v="1996-07-23T00:00:00"/>
    <s v="Andresen"/>
    <s v="Alexandra"/>
    <m/>
    <d v="2023-04-04T05:01:00"/>
    <m/>
    <m/>
    <n v="1996"/>
    <n v="120.27"/>
    <n v="2.2000000000000002"/>
    <n v="403336363636"/>
    <n v="82"/>
    <n v="100.3"/>
    <n v="23.9"/>
    <n v="36.200000000000003"/>
    <n v="5347896"/>
  </r>
  <r>
    <x v="213"/>
    <x v="213"/>
    <x v="6"/>
    <x v="1909"/>
    <x v="69"/>
    <x v="36"/>
    <x v="154"/>
    <x v="38"/>
    <x v="6"/>
    <s v="Norway"/>
    <m/>
    <x v="0"/>
    <s v="U"/>
    <x v="1"/>
    <d v="1995-05-21T00:00:00"/>
    <s v="Andresen"/>
    <s v="Katharina"/>
    <m/>
    <d v="2023-04-04T05:01:00"/>
    <m/>
    <m/>
    <n v="1995"/>
    <n v="120.27"/>
    <n v="2.2000000000000002"/>
    <n v="403336363636"/>
    <n v="82"/>
    <n v="100.3"/>
    <n v="23.9"/>
    <n v="36.200000000000003"/>
    <n v="5347896"/>
  </r>
  <r>
    <x v="213"/>
    <x v="213"/>
    <x v="6"/>
    <x v="1910"/>
    <x v="13"/>
    <x v="18"/>
    <x v="50"/>
    <x v="612"/>
    <x v="6"/>
    <s v="Chile"/>
    <m/>
    <x v="0"/>
    <s v="U"/>
    <x v="1"/>
    <d v="1954-04-05T00:00:00"/>
    <s v="Angelini Rossi"/>
    <s v="Patricia"/>
    <m/>
    <d v="2023-04-04T05:01:00"/>
    <m/>
    <m/>
    <n v="1954"/>
    <n v="131.91"/>
    <n v="2.6"/>
    <n v="282318159745"/>
    <n v="88.5"/>
    <n v="101.4"/>
    <n v="18.2"/>
    <n v="34"/>
    <n v="18952038"/>
  </r>
  <r>
    <x v="213"/>
    <x v="213"/>
    <x v="14"/>
    <x v="1911"/>
    <x v="36"/>
    <x v="27"/>
    <x v="598"/>
    <x v="83"/>
    <x v="14"/>
    <s v="Israel"/>
    <m/>
    <x v="1"/>
    <s v="D"/>
    <x v="0"/>
    <d v="1952-09-24T00:00:00"/>
    <s v="Arkin"/>
    <s v="Mori"/>
    <m/>
    <d v="2023-04-04T05:01:00"/>
    <m/>
    <m/>
    <n v="1952"/>
    <n v="108.15"/>
    <n v="0.8"/>
    <n v="395098666122"/>
    <n v="63.4"/>
    <n v="104.9"/>
    <n v="23.1"/>
    <n v="25.3"/>
    <n v="9053300"/>
  </r>
  <r>
    <x v="213"/>
    <x v="213"/>
    <x v="0"/>
    <x v="1912"/>
    <x v="52"/>
    <x v="28"/>
    <x v="599"/>
    <x v="403"/>
    <x v="0"/>
    <s v="Italy"/>
    <m/>
    <x v="0"/>
    <s v="U"/>
    <x v="1"/>
    <d v="1969-07-02T00:00:00"/>
    <s v="Benetton"/>
    <s v="Barbara"/>
    <m/>
    <d v="2023-04-04T05:01:00"/>
    <m/>
    <m/>
    <n v="1969"/>
    <n v="110.62"/>
    <n v="0.6"/>
    <n v="2001244392042"/>
    <n v="61.9"/>
    <n v="101.9"/>
    <n v="24.3"/>
    <n v="59.1"/>
    <n v="60297396"/>
  </r>
  <r>
    <x v="213"/>
    <x v="213"/>
    <x v="12"/>
    <x v="1913"/>
    <x v="55"/>
    <x v="14"/>
    <x v="40"/>
    <x v="40"/>
    <x v="12"/>
    <s v="Australia"/>
    <m/>
    <x v="0"/>
    <s v="U"/>
    <x v="1"/>
    <d v="1944-04-01T00:00:00"/>
    <s v="Bennett"/>
    <s v="Angela"/>
    <m/>
    <d v="2023-04-04T05:01:00"/>
    <m/>
    <m/>
    <n v="1944"/>
    <n v="119.8"/>
    <n v="1.6"/>
    <n v="1392680589329"/>
    <n v="113.1"/>
    <n v="100.3"/>
    <n v="23"/>
    <n v="47.4"/>
    <n v="25766605"/>
  </r>
  <r>
    <x v="213"/>
    <x v="213"/>
    <x v="6"/>
    <x v="1914"/>
    <x v="55"/>
    <x v="27"/>
    <x v="199"/>
    <x v="715"/>
    <x v="6"/>
    <s v="Israel"/>
    <m/>
    <x v="1"/>
    <s v="D"/>
    <x v="0"/>
    <d v="1944-01-01T00:00:00"/>
    <s v="Bino"/>
    <s v="Zadik"/>
    <m/>
    <d v="2023-04-04T05:01:00"/>
    <m/>
    <m/>
    <n v="1944"/>
    <n v="108.15"/>
    <n v="0.8"/>
    <n v="395098666122"/>
    <n v="63.4"/>
    <n v="104.9"/>
    <n v="23.1"/>
    <n v="25.3"/>
    <n v="9053300"/>
  </r>
  <r>
    <x v="213"/>
    <x v="213"/>
    <x v="0"/>
    <x v="1915"/>
    <x v="18"/>
    <x v="28"/>
    <x v="319"/>
    <x v="22"/>
    <x v="0"/>
    <s v="Italy"/>
    <m/>
    <x v="0"/>
    <s v="E"/>
    <x v="0"/>
    <d v="1937-09-08T00:00:00"/>
    <s v="Bulgari"/>
    <s v="Paolo"/>
    <m/>
    <d v="2023-04-04T05:01:00"/>
    <m/>
    <m/>
    <n v="1937"/>
    <n v="110.62"/>
    <n v="0.6"/>
    <n v="2001244392042"/>
    <n v="61.9"/>
    <n v="101.9"/>
    <n v="24.3"/>
    <n v="59.1"/>
    <n v="60297396"/>
  </r>
  <r>
    <x v="213"/>
    <x v="213"/>
    <x v="7"/>
    <x v="1916"/>
    <x v="62"/>
    <x v="16"/>
    <x v="88"/>
    <x v="243"/>
    <x v="7"/>
    <s v="United Kingdom"/>
    <m/>
    <x v="0"/>
    <s v="D"/>
    <x v="0"/>
    <d v="1977-03-10T00:00:00"/>
    <s v="Burman"/>
    <s v="Saket"/>
    <m/>
    <d v="2023-04-04T05:01:00"/>
    <m/>
    <m/>
    <n v="1977"/>
    <n v="114.52"/>
    <n v="-1.9"/>
    <n v="421142267938"/>
    <n v="36.799999999999997"/>
    <n v="108.4"/>
    <n v="0.1"/>
    <n v="15.9"/>
    <n v="9770529"/>
  </r>
  <r>
    <x v="213"/>
    <x v="213"/>
    <x v="6"/>
    <x v="1917"/>
    <x v="8"/>
    <x v="47"/>
    <x v="228"/>
    <x v="716"/>
    <x v="6"/>
    <s v="Turkey"/>
    <m/>
    <x v="1"/>
    <s v="E"/>
    <x v="0"/>
    <d v="1958-03-01T00:00:00"/>
    <s v="Calik"/>
    <s v="Ahmet"/>
    <m/>
    <d v="2023-04-04T05:01:00"/>
    <m/>
    <m/>
    <n v="1958"/>
    <n v="234.44"/>
    <n v="15.2"/>
    <n v="754411708203"/>
    <n v="23.9"/>
    <n v="93.2"/>
    <n v="17.899999999999999"/>
    <n v="42.3"/>
    <n v="83429615"/>
  </r>
  <r>
    <x v="213"/>
    <x v="213"/>
    <x v="2"/>
    <x v="1918"/>
    <x v="38"/>
    <x v="1"/>
    <x v="600"/>
    <x v="117"/>
    <x v="2"/>
    <s v="United States"/>
    <s v="Oracle"/>
    <x v="1"/>
    <s v="E"/>
    <x v="1"/>
    <d v="1961-12-13T00:00:00"/>
    <s v="Catz"/>
    <s v="Safra"/>
    <s v="CEO"/>
    <d v="2023-04-04T05:01:00"/>
    <s v="California"/>
    <s v="South"/>
    <n v="1961"/>
    <n v="117.24"/>
    <n v="7.5"/>
    <n v="21427700000000"/>
    <n v="88.2"/>
    <n v="101.8"/>
    <n v="9.6"/>
    <n v="36.6"/>
    <n v="328239523"/>
  </r>
  <r>
    <x v="213"/>
    <x v="213"/>
    <x v="8"/>
    <x v="1919"/>
    <x v="13"/>
    <x v="35"/>
    <x v="152"/>
    <x v="717"/>
    <x v="8"/>
    <s v="Taiwan"/>
    <m/>
    <x v="0"/>
    <s v="D"/>
    <x v="0"/>
    <d v="1955-01-01T00:00:00"/>
    <s v="Chang"/>
    <s v="Kuo-Hua"/>
    <m/>
    <d v="2023-04-04T05:01:00"/>
    <m/>
    <m/>
    <n v="1955"/>
    <m/>
    <m/>
    <m/>
    <m/>
    <m/>
    <m/>
    <m/>
    <m/>
  </r>
  <r>
    <x v="213"/>
    <x v="213"/>
    <x v="10"/>
    <x v="1920"/>
    <x v="15"/>
    <x v="5"/>
    <x v="12"/>
    <x v="108"/>
    <x v="10"/>
    <s v="China"/>
    <m/>
    <x v="1"/>
    <s v="U"/>
    <x v="0"/>
    <d v="1963-04-01T00:00:00"/>
    <s v="Chu"/>
    <s v="Jian"/>
    <m/>
    <d v="2023-04-04T05:01:00"/>
    <m/>
    <m/>
    <n v="1963"/>
    <n v="125.08"/>
    <n v="2.9"/>
    <n v="19910000000000"/>
    <n v="50.6"/>
    <n v="100.2"/>
    <n v="9.4"/>
    <n v="59.2"/>
    <n v="1397715000"/>
  </r>
  <r>
    <x v="213"/>
    <x v="213"/>
    <x v="6"/>
    <x v="1921"/>
    <x v="36"/>
    <x v="73"/>
    <x v="601"/>
    <x v="718"/>
    <x v="6"/>
    <s v="Hungary"/>
    <m/>
    <x v="1"/>
    <s v="U"/>
    <x v="0"/>
    <d v="1953-03-20T00:00:00"/>
    <s v="Csanyi"/>
    <s v="Sandor"/>
    <m/>
    <d v="2023-04-04T05:01:00"/>
    <m/>
    <m/>
    <n v="1953"/>
    <n v="121.64"/>
    <n v="3.3"/>
    <n v="160967157504"/>
    <n v="48.5"/>
    <n v="100.8"/>
    <n v="23"/>
    <n v="37.9"/>
    <n v="9769949"/>
  </r>
  <r>
    <x v="213"/>
    <x v="213"/>
    <x v="3"/>
    <x v="1922"/>
    <x v="12"/>
    <x v="30"/>
    <x v="99"/>
    <x v="75"/>
    <x v="3"/>
    <s v="Brazil"/>
    <m/>
    <x v="0"/>
    <s v="D"/>
    <x v="1"/>
    <d v="1973-10-25T00:00:00"/>
    <s v="de Mattos Barretto Villela"/>
    <s v="Ana Lucia"/>
    <m/>
    <d v="2023-04-04T05:01:00"/>
    <m/>
    <m/>
    <n v="1973"/>
    <n v="167.4"/>
    <n v="3.7"/>
    <n v="1839758040766"/>
    <n v="51.3"/>
    <n v="115.4"/>
    <n v="14.2"/>
    <n v="65.099999999999994"/>
    <n v="212559417"/>
  </r>
  <r>
    <x v="213"/>
    <x v="213"/>
    <x v="10"/>
    <x v="1923"/>
    <x v="42"/>
    <x v="28"/>
    <x v="95"/>
    <x v="719"/>
    <x v="10"/>
    <s v="Italy"/>
    <m/>
    <x v="0"/>
    <s v="D"/>
    <x v="0"/>
    <d v="1968-03-23T00:00:00"/>
    <s v="De Nora"/>
    <s v="Federico"/>
    <m/>
    <d v="2023-04-04T05:01:00"/>
    <m/>
    <m/>
    <n v="1968"/>
    <n v="110.62"/>
    <n v="0.6"/>
    <n v="2001244392042"/>
    <n v="61.9"/>
    <n v="101.9"/>
    <n v="24.3"/>
    <n v="59.1"/>
    <n v="60297396"/>
  </r>
  <r>
    <x v="213"/>
    <x v="213"/>
    <x v="2"/>
    <x v="1924"/>
    <x v="36"/>
    <x v="1"/>
    <x v="602"/>
    <x v="720"/>
    <x v="2"/>
    <s v="United States"/>
    <s v="Syntel"/>
    <x v="1"/>
    <s v="E"/>
    <x v="0"/>
    <d v="1952-11-20T00:00:00"/>
    <s v="Desai"/>
    <s v="Bharat"/>
    <s v="Chairman and Co-founder"/>
    <d v="2023-04-04T05:01:00"/>
    <s v="Florida"/>
    <s v="South"/>
    <n v="1952"/>
    <n v="117.24"/>
    <n v="7.5"/>
    <n v="21427700000000"/>
    <n v="88.2"/>
    <n v="101.8"/>
    <n v="9.6"/>
    <n v="36.6"/>
    <n v="328239523"/>
  </r>
  <r>
    <x v="213"/>
    <x v="213"/>
    <x v="6"/>
    <x v="1925"/>
    <x v="47"/>
    <x v="74"/>
    <x v="603"/>
    <x v="8"/>
    <x v="6"/>
    <s v="Tanzania"/>
    <m/>
    <x v="0"/>
    <s v="E"/>
    <x v="0"/>
    <d v="1975-05-08T00:00:00"/>
    <s v="Dewji"/>
    <s v="Mohammed"/>
    <m/>
    <d v="2023-04-04T05:01:00"/>
    <m/>
    <m/>
    <n v="1975"/>
    <n v="187.43"/>
    <n v="3.5"/>
    <n v="63177068175"/>
    <n v="4"/>
    <n v="94.2"/>
    <n v="11.5"/>
    <n v="43.8"/>
    <n v="58005463"/>
  </r>
  <r>
    <x v="213"/>
    <x v="213"/>
    <x v="3"/>
    <x v="1926"/>
    <x v="12"/>
    <x v="1"/>
    <x v="70"/>
    <x v="122"/>
    <x v="3"/>
    <s v="United States"/>
    <m/>
    <x v="1"/>
    <s v="E"/>
    <x v="0"/>
    <d v="1973-08-23T00:00:00"/>
    <s v="Durban"/>
    <s v="Egon"/>
    <m/>
    <d v="2023-04-04T05:01:00"/>
    <s v="California"/>
    <s v="West"/>
    <n v="1973"/>
    <n v="117.24"/>
    <n v="7.5"/>
    <n v="21427700000000"/>
    <n v="88.2"/>
    <n v="101.8"/>
    <n v="9.6"/>
    <n v="36.6"/>
    <n v="328239523"/>
  </r>
  <r>
    <x v="213"/>
    <x v="213"/>
    <x v="10"/>
    <x v="1927"/>
    <x v="15"/>
    <x v="5"/>
    <x v="114"/>
    <x v="108"/>
    <x v="10"/>
    <s v="China"/>
    <m/>
    <x v="1"/>
    <s v="D"/>
    <x v="0"/>
    <d v="1963-03-17T00:00:00"/>
    <s v="Fu"/>
    <s v="Mingkang"/>
    <m/>
    <d v="2023-04-04T05:01:00"/>
    <m/>
    <m/>
    <n v="1963"/>
    <n v="125.08"/>
    <n v="2.9"/>
    <n v="19910000000000"/>
    <n v="50.6"/>
    <n v="100.2"/>
    <n v="9.4"/>
    <n v="59.2"/>
    <n v="1397715000"/>
  </r>
  <r>
    <x v="213"/>
    <x v="213"/>
    <x v="4"/>
    <x v="1928"/>
    <x v="21"/>
    <x v="1"/>
    <x v="604"/>
    <x v="131"/>
    <x v="4"/>
    <s v="United States"/>
    <m/>
    <x v="1"/>
    <s v="E"/>
    <x v="0"/>
    <d v="1928-12-25T00:00:00"/>
    <s v="Gerry"/>
    <s v="Alan"/>
    <m/>
    <d v="2023-04-04T05:01:00"/>
    <s v="New York"/>
    <s v="Northeast"/>
    <n v="1928"/>
    <n v="117.24"/>
    <n v="7.5"/>
    <n v="21427700000000"/>
    <n v="88.2"/>
    <n v="101.8"/>
    <n v="9.6"/>
    <n v="36.6"/>
    <n v="328239523"/>
  </r>
  <r>
    <x v="213"/>
    <x v="213"/>
    <x v="0"/>
    <x v="1929"/>
    <x v="9"/>
    <x v="0"/>
    <x v="605"/>
    <x v="721"/>
    <x v="0"/>
    <s v="France"/>
    <m/>
    <x v="1"/>
    <s v="D"/>
    <x v="0"/>
    <d v="1954-01-01T00:00:00"/>
    <s v="Ginestet"/>
    <s v="Philippe"/>
    <m/>
    <d v="2023-04-04T05:01:00"/>
    <m/>
    <m/>
    <n v="1954"/>
    <n v="110.05"/>
    <n v="1.1000000000000001"/>
    <n v="2715518274227"/>
    <n v="65.599999999999994"/>
    <n v="102.5"/>
    <n v="24.2"/>
    <n v="60.7"/>
    <n v="67059887"/>
  </r>
  <r>
    <x v="213"/>
    <x v="213"/>
    <x v="8"/>
    <x v="1930"/>
    <x v="3"/>
    <x v="31"/>
    <x v="105"/>
    <x v="170"/>
    <x v="8"/>
    <s v="Malaysia"/>
    <m/>
    <x v="1"/>
    <s v="D"/>
    <x v="0"/>
    <d v="1944-09-10T00:00:00"/>
    <s v="Gnanalingam"/>
    <s v="G."/>
    <m/>
    <d v="2023-04-04T05:01:00"/>
    <m/>
    <m/>
    <n v="1944"/>
    <n v="121.46"/>
    <n v="0.7"/>
    <n v="364701517788"/>
    <n v="45.1"/>
    <n v="105.3"/>
    <n v="12"/>
    <n v="38.700000000000003"/>
    <n v="32447385"/>
  </r>
  <r>
    <x v="213"/>
    <x v="213"/>
    <x v="0"/>
    <x v="1931"/>
    <x v="11"/>
    <x v="8"/>
    <x v="243"/>
    <x v="462"/>
    <x v="0"/>
    <s v="Switzerland"/>
    <m/>
    <x v="0"/>
    <s v="E"/>
    <x v="1"/>
    <d v="1936-01-01T00:00:00"/>
    <s v="Grether"/>
    <s v="Esther"/>
    <m/>
    <d v="2023-04-04T05:01:00"/>
    <m/>
    <m/>
    <n v="1936"/>
    <n v="99.55"/>
    <n v="0.4"/>
    <n v="703082435360"/>
    <n v="59.6"/>
    <n v="105.2"/>
    <n v="10.1"/>
    <n v="28.8"/>
    <n v="8574832"/>
  </r>
  <r>
    <x v="213"/>
    <x v="213"/>
    <x v="10"/>
    <x v="1932"/>
    <x v="17"/>
    <x v="5"/>
    <x v="26"/>
    <x v="722"/>
    <x v="10"/>
    <s v="China"/>
    <m/>
    <x v="1"/>
    <s v="E"/>
    <x v="0"/>
    <d v="1965-01-27T00:00:00"/>
    <s v="Gu"/>
    <s v="Wei"/>
    <m/>
    <d v="2023-04-04T05:01:00"/>
    <m/>
    <m/>
    <n v="1965"/>
    <n v="125.08"/>
    <n v="2.9"/>
    <n v="19910000000000"/>
    <n v="50.6"/>
    <n v="100.2"/>
    <n v="9.4"/>
    <n v="59.2"/>
    <n v="1397715000"/>
  </r>
  <r>
    <x v="213"/>
    <x v="213"/>
    <x v="2"/>
    <x v="1933"/>
    <x v="5"/>
    <x v="1"/>
    <x v="255"/>
    <x v="117"/>
    <x v="2"/>
    <s v="United States"/>
    <m/>
    <x v="1"/>
    <s v="D"/>
    <x v="0"/>
    <d v="1955-05-08T00:00:00"/>
    <s v="Hanrahan"/>
    <s v="Patrick"/>
    <m/>
    <d v="2023-04-04T05:01:00"/>
    <s v="California"/>
    <s v="West"/>
    <n v="1955"/>
    <n v="117.24"/>
    <n v="7.5"/>
    <n v="21427700000000"/>
    <n v="88.2"/>
    <n v="101.8"/>
    <n v="9.6"/>
    <n v="36.6"/>
    <n v="328239523"/>
  </r>
  <r>
    <x v="213"/>
    <x v="213"/>
    <x v="3"/>
    <x v="1934"/>
    <x v="23"/>
    <x v="1"/>
    <x v="606"/>
    <x v="122"/>
    <x v="3"/>
    <s v="United States"/>
    <m/>
    <x v="1"/>
    <s v="E"/>
    <x v="0"/>
    <d v="1968-09-11T00:00:00"/>
    <s v="Hao"/>
    <s v="Kenneth"/>
    <m/>
    <d v="2023-04-04T05:01:00"/>
    <s v="California"/>
    <s v="West"/>
    <n v="1968"/>
    <n v="117.24"/>
    <n v="7.5"/>
    <n v="21427700000000"/>
    <n v="88.2"/>
    <n v="101.8"/>
    <n v="9.6"/>
    <n v="36.6"/>
    <n v="328239523"/>
  </r>
  <r>
    <x v="213"/>
    <x v="213"/>
    <x v="3"/>
    <x v="1935"/>
    <x v="52"/>
    <x v="71"/>
    <x v="578"/>
    <x v="38"/>
    <x v="3"/>
    <s v="Slovakia"/>
    <m/>
    <x v="1"/>
    <s v="U"/>
    <x v="0"/>
    <d v="1969-08-30T00:00:00"/>
    <s v="Hascak"/>
    <s v="Jaroslav"/>
    <m/>
    <d v="2023-04-04T05:01:00"/>
    <m/>
    <m/>
    <n v="1969"/>
    <n v="115.34"/>
    <n v="2.7"/>
    <n v="105422304976"/>
    <n v="46.6"/>
    <n v="98.7"/>
    <n v="18.7"/>
    <n v="49.7"/>
    <n v="5454073"/>
  </r>
  <r>
    <x v="213"/>
    <x v="213"/>
    <x v="10"/>
    <x v="1936"/>
    <x v="9"/>
    <x v="5"/>
    <x v="607"/>
    <x v="50"/>
    <x v="10"/>
    <s v="China"/>
    <m/>
    <x v="1"/>
    <s v="D"/>
    <x v="0"/>
    <d v="1954-03-25T00:00:00"/>
    <s v="He"/>
    <s v="Zhenggang"/>
    <m/>
    <d v="2023-04-04T05:01:00"/>
    <m/>
    <m/>
    <n v="1954"/>
    <n v="125.08"/>
    <n v="2.9"/>
    <n v="19910000000000"/>
    <n v="50.6"/>
    <n v="100.2"/>
    <n v="9.4"/>
    <n v="59.2"/>
    <n v="1397715000"/>
  </r>
  <r>
    <x v="213"/>
    <x v="213"/>
    <x v="11"/>
    <x v="1937"/>
    <x v="16"/>
    <x v="3"/>
    <x v="7"/>
    <x v="36"/>
    <x v="11"/>
    <s v="India"/>
    <m/>
    <x v="1"/>
    <s v="E"/>
    <x v="0"/>
    <d v="1950-03-08T00:00:00"/>
    <s v="Hiranandani"/>
    <s v="Niranjan"/>
    <m/>
    <d v="2023-04-04T05:01:00"/>
    <m/>
    <m/>
    <n v="1950"/>
    <n v="180.44"/>
    <n v="7.7"/>
    <n v="2611000000000"/>
    <n v="28.1"/>
    <n v="113"/>
    <n v="11.2"/>
    <n v="49.7"/>
    <n v="1366417754"/>
  </r>
  <r>
    <x v="213"/>
    <x v="213"/>
    <x v="3"/>
    <x v="1938"/>
    <x v="33"/>
    <x v="53"/>
    <x v="286"/>
    <x v="723"/>
    <x v="3"/>
    <s v="Vietnam"/>
    <m/>
    <x v="1"/>
    <s v="D"/>
    <x v="0"/>
    <d v="1970-06-08T00:00:00"/>
    <s v="Ho"/>
    <s v="Hung Anh"/>
    <m/>
    <d v="2023-04-04T05:01:00"/>
    <m/>
    <m/>
    <n v="1970"/>
    <n v="163.52000000000001"/>
    <n v="2.8"/>
    <n v="261921244843"/>
    <n v="28.5"/>
    <n v="110.6"/>
    <n v="19.100000000000001"/>
    <n v="37.6"/>
    <n v="96462106"/>
  </r>
  <r>
    <x v="213"/>
    <x v="213"/>
    <x v="2"/>
    <x v="1939"/>
    <x v="36"/>
    <x v="35"/>
    <x v="152"/>
    <x v="58"/>
    <x v="2"/>
    <s v="Taiwan"/>
    <m/>
    <x v="1"/>
    <s v="D"/>
    <x v="0"/>
    <d v="1952-08-20T00:00:00"/>
    <s v="Hwang"/>
    <s v="Archie"/>
    <m/>
    <d v="2023-04-04T05:01:00"/>
    <m/>
    <m/>
    <n v="1952"/>
    <m/>
    <m/>
    <m/>
    <m/>
    <m/>
    <m/>
    <m/>
    <m/>
  </r>
  <r>
    <x v="213"/>
    <x v="213"/>
    <x v="4"/>
    <x v="1940"/>
    <x v="38"/>
    <x v="33"/>
    <x v="608"/>
    <x v="724"/>
    <x v="4"/>
    <s v="New Zealand"/>
    <s v="Film"/>
    <x v="1"/>
    <s v="E"/>
    <x v="0"/>
    <d v="1961-10-31T00:00:00"/>
    <s v="Jackson"/>
    <s v="Peter"/>
    <s v="Director"/>
    <d v="2023-04-04T05:01:00"/>
    <m/>
    <m/>
    <n v="1961"/>
    <n v="114.24"/>
    <n v="1.6"/>
    <n v="206928765544"/>
    <n v="82"/>
    <n v="100"/>
    <n v="29"/>
    <n v="34.6"/>
    <n v="4841000"/>
  </r>
  <r>
    <x v="213"/>
    <x v="213"/>
    <x v="3"/>
    <x v="1941"/>
    <x v="77"/>
    <x v="6"/>
    <x v="202"/>
    <x v="196"/>
    <x v="3"/>
    <s v="Canada"/>
    <s v="Jarislowsky &amp; Fraser"/>
    <x v="1"/>
    <s v="D"/>
    <x v="0"/>
    <d v="1925-09-09T00:00:00"/>
    <s v="Jarislowsky"/>
    <s v="Stephen"/>
    <s v="Cofounder and Chairman"/>
    <d v="2023-04-04T05:01:00"/>
    <m/>
    <m/>
    <n v="1925"/>
    <n v="116.76"/>
    <n v="1.9"/>
    <n v="1736425629520"/>
    <n v="68.900000000000006"/>
    <n v="100.9"/>
    <n v="12.8"/>
    <n v="24.5"/>
    <n v="36991981"/>
  </r>
  <r>
    <x v="213"/>
    <x v="213"/>
    <x v="14"/>
    <x v="1942"/>
    <x v="41"/>
    <x v="3"/>
    <x v="41"/>
    <x v="725"/>
    <x v="14"/>
    <s v="India"/>
    <m/>
    <x v="1"/>
    <s v="U"/>
    <x v="0"/>
    <d v="1965-07-28T00:00:00"/>
    <s v="Juneja"/>
    <s v="Rajeev"/>
    <m/>
    <d v="2023-04-04T05:01:00"/>
    <m/>
    <m/>
    <n v="1965"/>
    <n v="180.44"/>
    <n v="7.7"/>
    <n v="2611000000000"/>
    <n v="28.1"/>
    <n v="113"/>
    <n v="11.2"/>
    <n v="49.7"/>
    <n v="1366417754"/>
  </r>
  <r>
    <x v="213"/>
    <x v="213"/>
    <x v="14"/>
    <x v="1943"/>
    <x v="5"/>
    <x v="3"/>
    <x v="41"/>
    <x v="83"/>
    <x v="14"/>
    <s v="India"/>
    <m/>
    <x v="1"/>
    <s v="U"/>
    <x v="0"/>
    <d v="1955-07-28T00:00:00"/>
    <s v="Juneja"/>
    <s v="Ramesh"/>
    <m/>
    <d v="2023-04-04T05:01:00"/>
    <m/>
    <m/>
    <n v="1955"/>
    <n v="180.44"/>
    <n v="7.7"/>
    <n v="2611000000000"/>
    <n v="28.1"/>
    <n v="113"/>
    <n v="11.2"/>
    <n v="49.7"/>
    <n v="1366417754"/>
  </r>
  <r>
    <x v="213"/>
    <x v="213"/>
    <x v="6"/>
    <x v="1944"/>
    <x v="34"/>
    <x v="5"/>
    <x v="320"/>
    <x v="38"/>
    <x v="6"/>
    <s v="China"/>
    <m/>
    <x v="1"/>
    <s v="E"/>
    <x v="0"/>
    <d v="1960-06-07T00:00:00"/>
    <s v="Ke"/>
    <s v="Xiping"/>
    <m/>
    <d v="2023-04-04T05:01:00"/>
    <m/>
    <m/>
    <n v="1960"/>
    <n v="125.08"/>
    <n v="2.9"/>
    <n v="19910000000000"/>
    <n v="50.6"/>
    <n v="100.2"/>
    <n v="9.4"/>
    <n v="59.2"/>
    <n v="1397715000"/>
  </r>
  <r>
    <x v="213"/>
    <x v="213"/>
    <x v="6"/>
    <x v="1945"/>
    <x v="3"/>
    <x v="32"/>
    <x v="109"/>
    <x v="8"/>
    <x v="6"/>
    <s v="South Korea"/>
    <s v="Dongbu Insurance Co. Ltd."/>
    <x v="1"/>
    <s v="U"/>
    <x v="0"/>
    <d v="1944-12-04T00:00:00"/>
    <s v="Kim"/>
    <s v="Jun-ki"/>
    <m/>
    <d v="2023-04-04T05:01:00"/>
    <m/>
    <m/>
    <n v="1944"/>
    <n v="115.16"/>
    <n v="0.4"/>
    <n v="2029000000000"/>
    <n v="94.3"/>
    <n v="98.1"/>
    <n v="15.6"/>
    <n v="33.200000000000003"/>
    <n v="51709098"/>
  </r>
  <r>
    <x v="213"/>
    <x v="213"/>
    <x v="0"/>
    <x v="1946"/>
    <x v="28"/>
    <x v="1"/>
    <x v="5"/>
    <x v="21"/>
    <x v="0"/>
    <s v="United States"/>
    <m/>
    <x v="1"/>
    <s v="E"/>
    <x v="0"/>
    <d v="1928-01-16T00:00:00"/>
    <s v="Kimmel"/>
    <s v="Sidney"/>
    <m/>
    <d v="2023-04-04T05:01:00"/>
    <s v="New York"/>
    <s v="Northeast"/>
    <n v="1928"/>
    <n v="117.24"/>
    <n v="7.5"/>
    <n v="21427700000000"/>
    <n v="88.2"/>
    <n v="101.8"/>
    <n v="9.6"/>
    <n v="36.6"/>
    <n v="328239523"/>
  </r>
  <r>
    <x v="213"/>
    <x v="213"/>
    <x v="7"/>
    <x v="1947"/>
    <x v="16"/>
    <x v="1"/>
    <x v="244"/>
    <x v="82"/>
    <x v="7"/>
    <s v="United States"/>
    <m/>
    <x v="1"/>
    <s v="D"/>
    <x v="0"/>
    <d v="1949-05-27T00:00:00"/>
    <s v="Koch"/>
    <s v="Jim"/>
    <m/>
    <d v="2023-04-04T05:01:00"/>
    <s v="Massachusetts"/>
    <s v="Northeast"/>
    <n v="1949"/>
    <n v="117.24"/>
    <n v="7.5"/>
    <n v="21427700000000"/>
    <n v="88.2"/>
    <n v="101.8"/>
    <n v="9.6"/>
    <n v="36.6"/>
    <n v="328239523"/>
  </r>
  <r>
    <x v="213"/>
    <x v="213"/>
    <x v="11"/>
    <x v="1948"/>
    <x v="13"/>
    <x v="25"/>
    <x v="76"/>
    <x v="726"/>
    <x v="11"/>
    <s v="Singapore"/>
    <m/>
    <x v="1"/>
    <s v="Split Family Fortune"/>
    <x v="0"/>
    <d v="1954-05-25T00:00:00"/>
    <s v="Kumar"/>
    <s v="Raj"/>
    <m/>
    <d v="2023-04-04T05:01:00"/>
    <m/>
    <m/>
    <n v="1954"/>
    <n v="114.41"/>
    <n v="0.6"/>
    <n v="372062527489"/>
    <n v="84.8"/>
    <n v="100.6"/>
    <n v="13.1"/>
    <n v="21"/>
    <n v="5703569"/>
  </r>
  <r>
    <x v="213"/>
    <x v="213"/>
    <x v="6"/>
    <x v="1949"/>
    <x v="31"/>
    <x v="8"/>
    <x v="33"/>
    <x v="694"/>
    <x v="6"/>
    <s v="Greece"/>
    <m/>
    <x v="0"/>
    <s v="R"/>
    <x v="0"/>
    <d v="1946-08-15T00:00:00"/>
    <s v="Latsis"/>
    <s v="Spiro"/>
    <m/>
    <d v="2023-04-04T05:01:00"/>
    <m/>
    <m/>
    <n v="1946"/>
    <n v="99.55"/>
    <n v="0.4"/>
    <n v="703082435360"/>
    <n v="59.6"/>
    <n v="105.2"/>
    <n v="10.1"/>
    <n v="28.8"/>
    <n v="8574832"/>
  </r>
  <r>
    <x v="213"/>
    <x v="213"/>
    <x v="10"/>
    <x v="1950"/>
    <x v="32"/>
    <x v="7"/>
    <x v="609"/>
    <x v="727"/>
    <x v="10"/>
    <s v="Germany"/>
    <m/>
    <x v="0"/>
    <s v="D"/>
    <x v="0"/>
    <d v="1967-01-01T00:00:00"/>
    <s v="Leibinger"/>
    <s v="Peter"/>
    <m/>
    <d v="2023-04-04T05:01:00"/>
    <m/>
    <m/>
    <n v="1967"/>
    <n v="112.85"/>
    <n v="1.4"/>
    <n v="3845630030824"/>
    <n v="70.2"/>
    <n v="104"/>
    <n v="11.5"/>
    <n v="48.8"/>
    <n v="83132799"/>
  </r>
  <r>
    <x v="213"/>
    <x v="213"/>
    <x v="10"/>
    <x v="1951"/>
    <x v="15"/>
    <x v="7"/>
    <x v="389"/>
    <x v="727"/>
    <x v="10"/>
    <s v="Germany"/>
    <m/>
    <x v="0"/>
    <s v="D"/>
    <x v="1"/>
    <d v="1963-01-01T00:00:00"/>
    <s v="Leibinger"/>
    <s v="Regine"/>
    <m/>
    <d v="2023-04-04T05:01:00"/>
    <m/>
    <m/>
    <n v="1963"/>
    <n v="112.85"/>
    <n v="1.4"/>
    <n v="3845630030824"/>
    <n v="70.2"/>
    <n v="104"/>
    <n v="11.5"/>
    <n v="48.8"/>
    <n v="83132799"/>
  </r>
  <r>
    <x v="213"/>
    <x v="213"/>
    <x v="10"/>
    <x v="1952"/>
    <x v="53"/>
    <x v="7"/>
    <x v="389"/>
    <x v="108"/>
    <x v="10"/>
    <s v="Germany"/>
    <m/>
    <x v="0"/>
    <s v="D"/>
    <x v="1"/>
    <d v="1959-12-15T00:00:00"/>
    <s v="Leibinger-Kammueller"/>
    <s v="Nicola"/>
    <m/>
    <d v="2023-04-04T05:01:00"/>
    <m/>
    <m/>
    <n v="1959"/>
    <n v="112.85"/>
    <n v="1.4"/>
    <n v="3845630030824"/>
    <n v="70.2"/>
    <n v="104"/>
    <n v="11.5"/>
    <n v="48.8"/>
    <n v="83132799"/>
  </r>
  <r>
    <x v="213"/>
    <x v="213"/>
    <x v="10"/>
    <x v="1953"/>
    <x v="10"/>
    <x v="5"/>
    <x v="26"/>
    <x v="728"/>
    <x v="10"/>
    <s v="China"/>
    <m/>
    <x v="1"/>
    <s v="D"/>
    <x v="0"/>
    <d v="1972-09-27T00:00:00"/>
    <s v="Li"/>
    <s v="Jianli"/>
    <m/>
    <d v="2023-04-04T05:01:00"/>
    <m/>
    <m/>
    <n v="1972"/>
    <n v="125.08"/>
    <n v="2.9"/>
    <n v="19910000000000"/>
    <n v="50.6"/>
    <n v="100.2"/>
    <n v="9.4"/>
    <n v="59.2"/>
    <n v="1397715000"/>
  </r>
  <r>
    <x v="213"/>
    <x v="213"/>
    <x v="10"/>
    <x v="1954"/>
    <x v="2"/>
    <x v="5"/>
    <x v="90"/>
    <x v="50"/>
    <x v="10"/>
    <s v="China"/>
    <m/>
    <x v="1"/>
    <s v="D"/>
    <x v="0"/>
    <d v="1963-09-06T00:00:00"/>
    <s v="Li"/>
    <s v="Jiaquan"/>
    <m/>
    <d v="2023-04-04T05:01:00"/>
    <m/>
    <m/>
    <n v="1963"/>
    <n v="125.08"/>
    <n v="2.9"/>
    <n v="19910000000000"/>
    <n v="50.6"/>
    <n v="100.2"/>
    <n v="9.4"/>
    <n v="59.2"/>
    <n v="1397715000"/>
  </r>
  <r>
    <x v="213"/>
    <x v="213"/>
    <x v="0"/>
    <x v="1955"/>
    <x v="48"/>
    <x v="5"/>
    <x v="114"/>
    <x v="185"/>
    <x v="0"/>
    <s v="China"/>
    <m/>
    <x v="1"/>
    <s v="D"/>
    <x v="0"/>
    <d v="1951-06-13T00:00:00"/>
    <s v="Li"/>
    <s v="Rucheng"/>
    <m/>
    <d v="2023-04-04T05:01:00"/>
    <m/>
    <m/>
    <n v="1951"/>
    <n v="125.08"/>
    <n v="2.9"/>
    <n v="19910000000000"/>
    <n v="50.6"/>
    <n v="100.2"/>
    <n v="9.4"/>
    <n v="59.2"/>
    <n v="1397715000"/>
  </r>
  <r>
    <x v="213"/>
    <x v="213"/>
    <x v="10"/>
    <x v="1956"/>
    <x v="37"/>
    <x v="5"/>
    <x v="610"/>
    <x v="729"/>
    <x v="10"/>
    <s v="Taiwan"/>
    <m/>
    <x v="1"/>
    <s v="U"/>
    <x v="0"/>
    <d v="1956-08-01T00:00:00"/>
    <s v="Li"/>
    <s v="Shui-po"/>
    <m/>
    <d v="2023-04-04T05:01:00"/>
    <m/>
    <m/>
    <n v="1956"/>
    <n v="125.08"/>
    <n v="2.9"/>
    <n v="19910000000000"/>
    <n v="50.6"/>
    <n v="100.2"/>
    <n v="9.4"/>
    <n v="59.2"/>
    <n v="1397715000"/>
  </r>
  <r>
    <x v="213"/>
    <x v="213"/>
    <x v="2"/>
    <x v="1957"/>
    <x v="40"/>
    <x v="35"/>
    <x v="611"/>
    <x v="730"/>
    <x v="2"/>
    <s v="Taiwan"/>
    <m/>
    <x v="1"/>
    <s v="U"/>
    <x v="0"/>
    <d v="1933-01-01T00:00:00"/>
    <s v="Lin"/>
    <s v="Scott"/>
    <m/>
    <d v="2023-04-04T05:01:00"/>
    <m/>
    <m/>
    <n v="1933"/>
    <m/>
    <m/>
    <m/>
    <m/>
    <m/>
    <m/>
    <m/>
    <m/>
  </r>
  <r>
    <x v="213"/>
    <x v="213"/>
    <x v="10"/>
    <x v="1958"/>
    <x v="37"/>
    <x v="5"/>
    <x v="34"/>
    <x v="50"/>
    <x v="10"/>
    <s v="United States"/>
    <m/>
    <x v="1"/>
    <s v="D"/>
    <x v="0"/>
    <d v="1957-03-01T00:00:00"/>
    <s v="Liu"/>
    <s v="Xiucai"/>
    <m/>
    <d v="2023-04-04T05:01:00"/>
    <m/>
    <m/>
    <n v="1957"/>
    <n v="125.08"/>
    <n v="2.9"/>
    <n v="19910000000000"/>
    <n v="50.6"/>
    <n v="100.2"/>
    <n v="9.4"/>
    <n v="59.2"/>
    <n v="1397715000"/>
  </r>
  <r>
    <x v="213"/>
    <x v="213"/>
    <x v="1"/>
    <x v="1959"/>
    <x v="35"/>
    <x v="5"/>
    <x v="612"/>
    <x v="426"/>
    <x v="1"/>
    <s v="China"/>
    <m/>
    <x v="1"/>
    <s v="D"/>
    <x v="1"/>
    <d v="1942-12-01T00:00:00"/>
    <s v="Lu"/>
    <s v="Zhongfang"/>
    <m/>
    <d v="2023-04-04T05:01:00"/>
    <m/>
    <m/>
    <n v="1942"/>
    <n v="125.08"/>
    <n v="2.9"/>
    <n v="19910000000000"/>
    <n v="50.6"/>
    <n v="100.2"/>
    <n v="9.4"/>
    <n v="59.2"/>
    <n v="1397715000"/>
  </r>
  <r>
    <x v="213"/>
    <x v="213"/>
    <x v="8"/>
    <x v="1960"/>
    <x v="2"/>
    <x v="5"/>
    <x v="34"/>
    <x v="361"/>
    <x v="8"/>
    <s v="China"/>
    <m/>
    <x v="1"/>
    <s v="D"/>
    <x v="0"/>
    <d v="1963-06-01T00:00:00"/>
    <s v="Lu"/>
    <s v="Zongjun"/>
    <m/>
    <d v="2023-04-04T05:01:00"/>
    <m/>
    <m/>
    <n v="1963"/>
    <n v="125.08"/>
    <n v="2.9"/>
    <n v="19910000000000"/>
    <n v="50.6"/>
    <n v="100.2"/>
    <n v="9.4"/>
    <n v="59.2"/>
    <n v="1397715000"/>
  </r>
  <r>
    <x v="213"/>
    <x v="213"/>
    <x v="6"/>
    <x v="1961"/>
    <x v="22"/>
    <x v="37"/>
    <x v="159"/>
    <x v="8"/>
    <x v="6"/>
    <s v="Egypt"/>
    <m/>
    <x v="1"/>
    <s v="E"/>
    <x v="0"/>
    <d v="1945-05-21T00:00:00"/>
    <s v="Mansour"/>
    <s v="Youssef"/>
    <m/>
    <d v="2023-04-04T05:01:00"/>
    <m/>
    <m/>
    <n v="1945"/>
    <n v="288.57"/>
    <n v="9.1999999999999993"/>
    <n v="303175127598"/>
    <n v="35.200000000000003"/>
    <n v="106.3"/>
    <n v="12.5"/>
    <n v="44.4"/>
    <n v="100388073"/>
  </r>
  <r>
    <x v="213"/>
    <x v="213"/>
    <x v="11"/>
    <x v="1962"/>
    <x v="55"/>
    <x v="14"/>
    <x v="613"/>
    <x v="368"/>
    <x v="11"/>
    <s v="Australia"/>
    <m/>
    <x v="1"/>
    <s v="D"/>
    <x v="0"/>
    <d v="1944-02-14T00:00:00"/>
    <s v="Mathieson"/>
    <s v="Bruce"/>
    <m/>
    <d v="2023-04-04T05:01:00"/>
    <m/>
    <m/>
    <n v="1944"/>
    <n v="119.8"/>
    <n v="1.6"/>
    <n v="1392680589329"/>
    <n v="113.1"/>
    <n v="100.3"/>
    <n v="23"/>
    <n v="47.4"/>
    <n v="25766605"/>
  </r>
  <r>
    <x v="213"/>
    <x v="213"/>
    <x v="6"/>
    <x v="1963"/>
    <x v="50"/>
    <x v="28"/>
    <x v="614"/>
    <x v="731"/>
    <x v="6"/>
    <s v="Italy"/>
    <m/>
    <x v="1"/>
    <s v="D"/>
    <x v="0"/>
    <d v="1935-03-06T00:00:00"/>
    <s v="Minozzi"/>
    <s v="Romano"/>
    <m/>
    <d v="2023-04-04T05:01:00"/>
    <m/>
    <m/>
    <n v="1935"/>
    <n v="110.62"/>
    <n v="0.6"/>
    <n v="2001244392042"/>
    <n v="61.9"/>
    <n v="101.9"/>
    <n v="24.3"/>
    <n v="59.1"/>
    <n v="60297396"/>
  </r>
  <r>
    <x v="213"/>
    <x v="213"/>
    <x v="3"/>
    <x v="1964"/>
    <x v="65"/>
    <x v="1"/>
    <x v="5"/>
    <x v="122"/>
    <x v="3"/>
    <s v="United States"/>
    <m/>
    <x v="1"/>
    <s v="E"/>
    <x v="0"/>
    <d v="1974-05-20T00:00:00"/>
    <s v="Mondre"/>
    <s v="Greg"/>
    <m/>
    <d v="2023-04-04T05:01:00"/>
    <s v="New York"/>
    <s v="Northeast"/>
    <n v="1974"/>
    <n v="117.24"/>
    <n v="7.5"/>
    <n v="21427700000000"/>
    <n v="88.2"/>
    <n v="101.8"/>
    <n v="9.6"/>
    <n v="36.6"/>
    <n v="328239523"/>
  </r>
  <r>
    <x v="213"/>
    <x v="213"/>
    <x v="0"/>
    <x v="1965"/>
    <x v="36"/>
    <x v="28"/>
    <x v="615"/>
    <x v="159"/>
    <x v="0"/>
    <s v="Italy"/>
    <m/>
    <x v="1"/>
    <s v="D"/>
    <x v="0"/>
    <d v="1952-08-16T00:00:00"/>
    <s v="Moretti Polegato"/>
    <s v="Mario"/>
    <m/>
    <d v="2023-04-04T05:01:00"/>
    <m/>
    <m/>
    <n v="1952"/>
    <n v="110.62"/>
    <n v="0.6"/>
    <n v="2001244392042"/>
    <n v="61.9"/>
    <n v="101.9"/>
    <n v="24.3"/>
    <n v="59.1"/>
    <n v="60297396"/>
  </r>
  <r>
    <x v="213"/>
    <x v="213"/>
    <x v="15"/>
    <x v="1966"/>
    <x v="3"/>
    <x v="75"/>
    <x v="616"/>
    <x v="732"/>
    <x v="15"/>
    <s v="Lebanon"/>
    <m/>
    <x v="0"/>
    <s v="E"/>
    <x v="0"/>
    <d v="1945-01-01T00:00:00"/>
    <s v="Mouawad"/>
    <s v="Robert"/>
    <m/>
    <d v="2023-04-04T05:01:00"/>
    <m/>
    <m/>
    <n v="1945"/>
    <n v="117.59"/>
    <n v="2.1"/>
    <n v="38574069149"/>
    <n v="50.5"/>
    <n v="99.4"/>
    <n v="4.2"/>
    <n v="13.8"/>
    <n v="1501635"/>
  </r>
  <r>
    <x v="213"/>
    <x v="213"/>
    <x v="8"/>
    <x v="1967"/>
    <x v="55"/>
    <x v="1"/>
    <x v="617"/>
    <x v="662"/>
    <x v="8"/>
    <s v="United States"/>
    <m/>
    <x v="1"/>
    <s v="U"/>
    <x v="0"/>
    <d v="1944-01-15T00:00:00"/>
    <s v="Moyes"/>
    <s v="Jerry"/>
    <m/>
    <d v="2023-04-04T05:01:00"/>
    <s v="Arizona"/>
    <s v="West"/>
    <n v="1944"/>
    <n v="117.24"/>
    <n v="7.5"/>
    <n v="21427700000000"/>
    <n v="88.2"/>
    <n v="101.8"/>
    <n v="9.6"/>
    <n v="36.6"/>
    <n v="328239523"/>
  </r>
  <r>
    <x v="213"/>
    <x v="213"/>
    <x v="2"/>
    <x v="1968"/>
    <x v="53"/>
    <x v="1"/>
    <x v="11"/>
    <x v="58"/>
    <x v="2"/>
    <s v="United States"/>
    <m/>
    <x v="1"/>
    <s v="U"/>
    <x v="0"/>
    <d v="1959-04-05T00:00:00"/>
    <s v="Ocampo"/>
    <s v="John"/>
    <m/>
    <d v="2023-04-04T05:01:00"/>
    <s v="California"/>
    <s v="West"/>
    <n v="1959"/>
    <n v="117.24"/>
    <n v="7.5"/>
    <n v="21427700000000"/>
    <n v="88.2"/>
    <n v="101.8"/>
    <n v="9.6"/>
    <n v="36.6"/>
    <n v="328239523"/>
  </r>
  <r>
    <x v="213"/>
    <x v="213"/>
    <x v="6"/>
    <x v="1969"/>
    <x v="0"/>
    <x v="13"/>
    <x v="32"/>
    <x v="8"/>
    <x v="6"/>
    <s v="Sweden"/>
    <m/>
    <x v="0"/>
    <s v="U"/>
    <x v="0"/>
    <d v="1949-01-01T00:00:00"/>
    <s v="Olsson"/>
    <s v="Stefan"/>
    <m/>
    <d v="2023-04-04T05:01:00"/>
    <m/>
    <m/>
    <n v="1949"/>
    <n v="119.62"/>
    <n v="1.7"/>
    <n v="2827113184696"/>
    <n v="60"/>
    <n v="101.2"/>
    <n v="25.5"/>
    <n v="30.6"/>
    <n v="66834405"/>
  </r>
  <r>
    <x v="213"/>
    <x v="213"/>
    <x v="13"/>
    <x v="1970"/>
    <x v="16"/>
    <x v="30"/>
    <x v="99"/>
    <x v="733"/>
    <x v="13"/>
    <s v="Brazil"/>
    <m/>
    <x v="0"/>
    <s v="D"/>
    <x v="0"/>
    <d v="1950-01-01T00:00:00"/>
    <s v="Ometto Silveira Mello"/>
    <s v="Rubens"/>
    <m/>
    <d v="2023-04-04T05:01:00"/>
    <m/>
    <m/>
    <n v="1950"/>
    <n v="167.4"/>
    <n v="3.7"/>
    <n v="1839758040766"/>
    <n v="51.3"/>
    <n v="115.4"/>
    <n v="14.2"/>
    <n v="65.099999999999994"/>
    <n v="212559417"/>
  </r>
  <r>
    <x v="213"/>
    <x v="213"/>
    <x v="3"/>
    <x v="1971"/>
    <x v="44"/>
    <x v="22"/>
    <x v="25"/>
    <x v="224"/>
    <x v="3"/>
    <s v="Peru"/>
    <m/>
    <x v="0"/>
    <s v="Split Family Fortune"/>
    <x v="1"/>
    <m/>
    <s v="Pastor"/>
    <s v="Anne Marie See"/>
    <m/>
    <d v="2023-04-04T05:01:00"/>
    <m/>
    <m/>
    <m/>
    <m/>
    <m/>
    <m/>
    <m/>
    <m/>
    <m/>
    <m/>
    <m/>
  </r>
  <r>
    <x v="213"/>
    <x v="213"/>
    <x v="3"/>
    <x v="1972"/>
    <x v="44"/>
    <x v="22"/>
    <x v="25"/>
    <x v="224"/>
    <x v="3"/>
    <s v="Peru"/>
    <m/>
    <x v="0"/>
    <s v="Split Family Fortune"/>
    <x v="0"/>
    <m/>
    <s v="Pastor"/>
    <s v="George"/>
    <m/>
    <d v="2023-04-04T05:01:00"/>
    <m/>
    <m/>
    <m/>
    <m/>
    <m/>
    <m/>
    <m/>
    <m/>
    <m/>
    <m/>
    <m/>
  </r>
  <r>
    <x v="213"/>
    <x v="213"/>
    <x v="3"/>
    <x v="1973"/>
    <x v="35"/>
    <x v="1"/>
    <x v="618"/>
    <x v="38"/>
    <x v="3"/>
    <s v="United States"/>
    <s v="Trian Fund Management"/>
    <x v="1"/>
    <s v="D"/>
    <x v="0"/>
    <d v="1942-06-01T00:00:00"/>
    <s v="Peltz"/>
    <s v="Nelson"/>
    <s v="Founder"/>
    <d v="2023-04-04T05:01:00"/>
    <s v="New York"/>
    <s v="Northeast"/>
    <n v="1942"/>
    <n v="117.24"/>
    <n v="7.5"/>
    <n v="21427700000000"/>
    <n v="88.2"/>
    <n v="101.8"/>
    <n v="9.6"/>
    <n v="36.6"/>
    <n v="328239523"/>
  </r>
  <r>
    <x v="213"/>
    <x v="213"/>
    <x v="16"/>
    <x v="1974"/>
    <x v="12"/>
    <x v="2"/>
    <x v="6"/>
    <x v="734"/>
    <x v="16"/>
    <s v="Mexico"/>
    <m/>
    <x v="0"/>
    <s v="U"/>
    <x v="0"/>
    <d v="1974-01-01T00:00:00"/>
    <s v="Penaloza Alanis"/>
    <s v="David"/>
    <m/>
    <d v="2023-04-04T05:01:00"/>
    <m/>
    <m/>
    <n v="1974"/>
    <n v="141.54"/>
    <n v="3.6"/>
    <n v="1258286717125"/>
    <n v="40.200000000000003"/>
    <n v="105.8"/>
    <n v="13.1"/>
    <n v="55.1"/>
    <n v="126014024"/>
  </r>
  <r>
    <x v="213"/>
    <x v="213"/>
    <x v="0"/>
    <x v="1975"/>
    <x v="65"/>
    <x v="21"/>
    <x v="69"/>
    <x v="79"/>
    <x v="0"/>
    <s v="Sweden"/>
    <m/>
    <x v="0"/>
    <s v="E"/>
    <x v="0"/>
    <d v="1975-03-25T00:00:00"/>
    <s v="Persson"/>
    <s v="Karl-Johan"/>
    <m/>
    <d v="2023-04-04T05:01:00"/>
    <m/>
    <m/>
    <n v="1975"/>
    <n v="110.51"/>
    <n v="1.8"/>
    <n v="530832908738"/>
    <n v="67"/>
    <n v="126.6"/>
    <n v="27.9"/>
    <n v="49.1"/>
    <n v="10285453"/>
  </r>
  <r>
    <x v="213"/>
    <x v="213"/>
    <x v="7"/>
    <x v="1976"/>
    <x v="42"/>
    <x v="1"/>
    <x v="619"/>
    <x v="735"/>
    <x v="7"/>
    <s v="United States"/>
    <m/>
    <x v="1"/>
    <s v="E"/>
    <x v="0"/>
    <d v="1968-01-21T00:00:00"/>
    <s v="Repole"/>
    <s v="Mike"/>
    <m/>
    <d v="2023-04-04T05:01:00"/>
    <s v="Florida"/>
    <s v="South"/>
    <n v="1968"/>
    <n v="117.24"/>
    <n v="7.5"/>
    <n v="21427700000000"/>
    <n v="88.2"/>
    <n v="101.8"/>
    <n v="9.6"/>
    <n v="36.6"/>
    <n v="328239523"/>
  </r>
  <r>
    <x v="213"/>
    <x v="213"/>
    <x v="7"/>
    <x v="1977"/>
    <x v="37"/>
    <x v="1"/>
    <x v="43"/>
    <x v="736"/>
    <x v="7"/>
    <s v="United States"/>
    <m/>
    <x v="0"/>
    <s v="U"/>
    <x v="0"/>
    <d v="1957-03-23T00:00:00"/>
    <s v="Reyes"/>
    <s v="Duke"/>
    <m/>
    <d v="2023-04-04T05:01:00"/>
    <s v="Florida"/>
    <s v="South"/>
    <n v="1957"/>
    <n v="117.24"/>
    <n v="7.5"/>
    <n v="21427700000000"/>
    <n v="88.2"/>
    <n v="101.8"/>
    <n v="9.6"/>
    <n v="36.6"/>
    <n v="328239523"/>
  </r>
  <r>
    <x v="213"/>
    <x v="213"/>
    <x v="11"/>
    <x v="1978"/>
    <x v="19"/>
    <x v="25"/>
    <x v="76"/>
    <x v="726"/>
    <x v="11"/>
    <s v="Singapore"/>
    <m/>
    <x v="0"/>
    <s v="Split Family Fortune"/>
    <x v="0"/>
    <d v="1983-05-05T00:00:00"/>
    <s v="RK"/>
    <s v="Kishin"/>
    <m/>
    <d v="2023-04-04T05:01:00"/>
    <m/>
    <m/>
    <n v="1983"/>
    <n v="114.41"/>
    <n v="0.6"/>
    <n v="372062527489"/>
    <n v="84.8"/>
    <n v="100.6"/>
    <n v="13.1"/>
    <n v="21"/>
    <n v="5703569"/>
  </r>
  <r>
    <x v="213"/>
    <x v="213"/>
    <x v="3"/>
    <x v="1979"/>
    <x v="53"/>
    <x v="76"/>
    <x v="620"/>
    <x v="224"/>
    <x v="3"/>
    <s v="Peru"/>
    <m/>
    <x v="0"/>
    <s v="Split Family Fortune"/>
    <x v="0"/>
    <d v="1959-04-11T00:00:00"/>
    <s v="Rodriguez-Pastor"/>
    <s v="Carlos"/>
    <m/>
    <d v="2023-04-04T05:01:00"/>
    <m/>
    <m/>
    <n v="1959"/>
    <n v="129.78"/>
    <n v="2.1"/>
    <n v="226848050820"/>
    <n v="70.7"/>
    <n v="106.9"/>
    <n v="14.3"/>
    <n v="36.799999999999997"/>
    <n v="32510453"/>
  </r>
  <r>
    <x v="213"/>
    <x v="213"/>
    <x v="3"/>
    <x v="1980"/>
    <x v="33"/>
    <x v="13"/>
    <x v="32"/>
    <x v="189"/>
    <x v="3"/>
    <s v="United Kingdom"/>
    <s v="Rokos Capital Management"/>
    <x v="1"/>
    <s v="E"/>
    <x v="0"/>
    <d v="1970-09-21T00:00:00"/>
    <s v="Rokos"/>
    <s v="Christopher"/>
    <s v="CEO &amp; Founder "/>
    <d v="2023-04-04T05:01:00"/>
    <m/>
    <m/>
    <n v="1970"/>
    <n v="119.62"/>
    <n v="1.7"/>
    <n v="2827113184696"/>
    <n v="60"/>
    <n v="101.2"/>
    <n v="25.5"/>
    <n v="30.6"/>
    <n v="66834405"/>
  </r>
  <r>
    <x v="213"/>
    <x v="213"/>
    <x v="15"/>
    <x v="1981"/>
    <x v="32"/>
    <x v="1"/>
    <x v="287"/>
    <x v="737"/>
    <x v="15"/>
    <s v="United States"/>
    <m/>
    <x v="1"/>
    <s v="N"/>
    <x v="0"/>
    <d v="1967-01-07T00:00:00"/>
    <s v="Ruiz"/>
    <s v="John"/>
    <m/>
    <d v="2023-04-04T05:01:00"/>
    <s v="Florida"/>
    <s v="South"/>
    <n v="1967"/>
    <n v="117.24"/>
    <n v="7.5"/>
    <n v="21427700000000"/>
    <n v="88.2"/>
    <n v="101.8"/>
    <n v="9.6"/>
    <n v="36.6"/>
    <n v="328239523"/>
  </r>
  <r>
    <x v="213"/>
    <x v="213"/>
    <x v="2"/>
    <x v="1982"/>
    <x v="52"/>
    <x v="1"/>
    <x v="490"/>
    <x v="13"/>
    <x v="2"/>
    <s v="United States"/>
    <s v="Meta Platforms"/>
    <x v="1"/>
    <s v="D"/>
    <x v="1"/>
    <d v="1969-08-28T00:00:00"/>
    <s v="Sandberg"/>
    <s v="Sheryl"/>
    <s v="COO"/>
    <d v="2023-04-04T05:01:00"/>
    <s v="California"/>
    <s v="West"/>
    <n v="1969"/>
    <n v="117.24"/>
    <n v="7.5"/>
    <n v="21427700000000"/>
    <n v="88.2"/>
    <n v="101.8"/>
    <n v="9.6"/>
    <n v="36.6"/>
    <n v="328239523"/>
  </r>
  <r>
    <x v="213"/>
    <x v="213"/>
    <x v="1"/>
    <x v="1983"/>
    <x v="34"/>
    <x v="27"/>
    <x v="621"/>
    <x v="738"/>
    <x v="1"/>
    <s v="Israel"/>
    <m/>
    <x v="1"/>
    <s v="E"/>
    <x v="0"/>
    <d v="1960-05-26T00:00:00"/>
    <s v="Shashua"/>
    <s v="Amnon"/>
    <m/>
    <d v="2023-04-04T05:01:00"/>
    <m/>
    <m/>
    <n v="1960"/>
    <n v="108.15"/>
    <n v="0.8"/>
    <n v="395098666122"/>
    <n v="63.4"/>
    <n v="104.9"/>
    <n v="23.1"/>
    <n v="25.3"/>
    <n v="9053300"/>
  </r>
  <r>
    <x v="213"/>
    <x v="213"/>
    <x v="4"/>
    <x v="1984"/>
    <x v="60"/>
    <x v="1"/>
    <x v="120"/>
    <x v="739"/>
    <x v="4"/>
    <s v="United States"/>
    <s v="Pinterest"/>
    <x v="1"/>
    <s v="U"/>
    <x v="0"/>
    <d v="1982-07-14T00:00:00"/>
    <s v="Silbermann"/>
    <s v="Ben"/>
    <s v="Cofounder"/>
    <d v="2023-04-04T05:01:00"/>
    <s v="California"/>
    <s v="West"/>
    <n v="1982"/>
    <n v="117.24"/>
    <n v="7.5"/>
    <n v="21427700000000"/>
    <n v="88.2"/>
    <n v="101.8"/>
    <n v="9.6"/>
    <n v="36.6"/>
    <n v="328239523"/>
  </r>
  <r>
    <x v="213"/>
    <x v="213"/>
    <x v="0"/>
    <x v="1985"/>
    <x v="29"/>
    <x v="25"/>
    <x v="76"/>
    <x v="21"/>
    <x v="0"/>
    <s v="Singapore"/>
    <m/>
    <x v="1"/>
    <s v="U"/>
    <x v="0"/>
    <d v="1958-12-01T00:00:00"/>
    <s v="Sim"/>
    <s v="Ron"/>
    <m/>
    <d v="2023-04-04T05:01:00"/>
    <m/>
    <m/>
    <n v="1958"/>
    <n v="114.41"/>
    <n v="0.6"/>
    <n v="372062527489"/>
    <n v="84.8"/>
    <n v="100.6"/>
    <n v="13.1"/>
    <n v="21"/>
    <n v="5703569"/>
  </r>
  <r>
    <x v="213"/>
    <x v="213"/>
    <x v="3"/>
    <x v="1986"/>
    <x v="16"/>
    <x v="17"/>
    <x v="48"/>
    <x v="38"/>
    <x v="3"/>
    <s v="Russia"/>
    <m/>
    <x v="1"/>
    <s v="R"/>
    <x v="0"/>
    <d v="1949-07-19T00:00:00"/>
    <s v="Simanovsky"/>
    <s v="Leonid"/>
    <m/>
    <d v="2023-04-04T05:01:00"/>
    <m/>
    <m/>
    <n v="1949"/>
    <n v="180.75"/>
    <n v="4.5"/>
    <n v="1699876578871"/>
    <n v="81.900000000000006"/>
    <n v="102.6"/>
    <n v="11.4"/>
    <n v="46.2"/>
    <n v="144373535"/>
  </r>
  <r>
    <x v="213"/>
    <x v="213"/>
    <x v="14"/>
    <x v="1987"/>
    <x v="26"/>
    <x v="3"/>
    <x v="7"/>
    <x v="83"/>
    <x v="14"/>
    <s v="India"/>
    <m/>
    <x v="1"/>
    <s v="D"/>
    <x v="0"/>
    <d v="1940-11-20T00:00:00"/>
    <s v="Singh"/>
    <s v="Basudeo"/>
    <m/>
    <d v="2023-04-04T05:01:00"/>
    <m/>
    <m/>
    <n v="1940"/>
    <n v="180.44"/>
    <n v="7.7"/>
    <n v="2611000000000"/>
    <n v="28.1"/>
    <n v="113"/>
    <n v="11.2"/>
    <n v="49.7"/>
    <n v="1366417754"/>
  </r>
  <r>
    <x v="213"/>
    <x v="213"/>
    <x v="2"/>
    <x v="1988"/>
    <x v="29"/>
    <x v="1"/>
    <x v="340"/>
    <x v="117"/>
    <x v="2"/>
    <s v="United States"/>
    <m/>
    <x v="1"/>
    <s v="D"/>
    <x v="0"/>
    <d v="1958-10-03T00:00:00"/>
    <s v="Slootman"/>
    <s v="Frank"/>
    <m/>
    <d v="2023-04-04T05:01:00"/>
    <s v="California"/>
    <s v="West"/>
    <n v="1958"/>
    <n v="117.24"/>
    <n v="7.5"/>
    <n v="21427700000000"/>
    <n v="88.2"/>
    <n v="101.8"/>
    <n v="9.6"/>
    <n v="36.6"/>
    <n v="328239523"/>
  </r>
  <r>
    <x v="213"/>
    <x v="213"/>
    <x v="11"/>
    <x v="1989"/>
    <x v="55"/>
    <x v="14"/>
    <x v="622"/>
    <x v="740"/>
    <x v="11"/>
    <s v="Australia"/>
    <m/>
    <x v="1"/>
    <s v="U"/>
    <x v="0"/>
    <d v="1943-12-23T00:00:00"/>
    <s v="Snow"/>
    <s v="Terry"/>
    <m/>
    <d v="2023-04-04T05:01:00"/>
    <m/>
    <m/>
    <n v="1943"/>
    <n v="119.8"/>
    <n v="1.6"/>
    <n v="1392680589329"/>
    <n v="113.1"/>
    <n v="100.3"/>
    <n v="23"/>
    <n v="47.4"/>
    <n v="25766605"/>
  </r>
  <r>
    <x v="213"/>
    <x v="213"/>
    <x v="11"/>
    <x v="1990"/>
    <x v="25"/>
    <x v="1"/>
    <x v="623"/>
    <x v="36"/>
    <x v="11"/>
    <s v="United States"/>
    <m/>
    <x v="1"/>
    <s v="U"/>
    <x v="0"/>
    <d v="1950-11-14T00:00:00"/>
    <s v="Stawski"/>
    <s v="Axel"/>
    <m/>
    <d v="2023-04-04T05:01:00"/>
    <s v="New York"/>
    <s v="Northeast"/>
    <n v="1950"/>
    <n v="117.24"/>
    <n v="7.5"/>
    <n v="21427700000000"/>
    <n v="88.2"/>
    <n v="101.8"/>
    <n v="9.6"/>
    <n v="36.6"/>
    <n v="328239523"/>
  </r>
  <r>
    <x v="213"/>
    <x v="213"/>
    <x v="3"/>
    <x v="1991"/>
    <x v="8"/>
    <x v="1"/>
    <x v="120"/>
    <x v="28"/>
    <x v="3"/>
    <s v="United States"/>
    <m/>
    <x v="1"/>
    <s v="E"/>
    <x v="0"/>
    <d v="1957-06-27T00:00:00"/>
    <s v="Steyer"/>
    <s v="Thomas"/>
    <m/>
    <d v="2023-04-04T05:01:00"/>
    <s v="California"/>
    <s v="West"/>
    <n v="1957"/>
    <n v="117.24"/>
    <n v="7.5"/>
    <n v="21427700000000"/>
    <n v="88.2"/>
    <n v="101.8"/>
    <n v="9.6"/>
    <n v="36.6"/>
    <n v="328239523"/>
  </r>
  <r>
    <x v="213"/>
    <x v="213"/>
    <x v="0"/>
    <x v="1992"/>
    <x v="32"/>
    <x v="17"/>
    <x v="48"/>
    <x v="741"/>
    <x v="0"/>
    <s v="Russia"/>
    <m/>
    <x v="1"/>
    <s v="R"/>
    <x v="0"/>
    <d v="1967-03-24T00:00:00"/>
    <s v="Studennikov"/>
    <s v="Sergei"/>
    <m/>
    <d v="2023-04-04T05:01:00"/>
    <m/>
    <m/>
    <n v="1967"/>
    <n v="180.75"/>
    <n v="4.5"/>
    <n v="1699876578871"/>
    <n v="81.900000000000006"/>
    <n v="102.6"/>
    <n v="11.4"/>
    <n v="46.2"/>
    <n v="144373535"/>
  </r>
  <r>
    <x v="213"/>
    <x v="213"/>
    <x v="11"/>
    <x v="1993"/>
    <x v="0"/>
    <x v="5"/>
    <x v="434"/>
    <x v="742"/>
    <x v="11"/>
    <s v="China"/>
    <m/>
    <x v="1"/>
    <s v="D"/>
    <x v="1"/>
    <d v="1948-11-24T00:00:00"/>
    <s v="Su"/>
    <s v="Suyu"/>
    <m/>
    <d v="2023-04-04T05:01:00"/>
    <m/>
    <m/>
    <n v="1948"/>
    <n v="125.08"/>
    <n v="2.9"/>
    <n v="19910000000000"/>
    <n v="50.6"/>
    <n v="100.2"/>
    <n v="9.4"/>
    <n v="59.2"/>
    <n v="1397715000"/>
  </r>
  <r>
    <x v="213"/>
    <x v="213"/>
    <x v="2"/>
    <x v="1994"/>
    <x v="19"/>
    <x v="1"/>
    <x v="120"/>
    <x v="743"/>
    <x v="2"/>
    <s v="United States"/>
    <s v="Instagram"/>
    <x v="1"/>
    <s v="E"/>
    <x v="0"/>
    <d v="1983-12-30T00:00:00"/>
    <s v="Systrom"/>
    <s v="Kevin"/>
    <s v="Cofounder"/>
    <d v="2023-04-04T05:01:00"/>
    <s v="California"/>
    <s v="West"/>
    <n v="1983"/>
    <n v="117.24"/>
    <n v="7.5"/>
    <n v="21427700000000"/>
    <n v="88.2"/>
    <n v="101.8"/>
    <n v="9.6"/>
    <n v="36.6"/>
    <n v="328239523"/>
  </r>
  <r>
    <x v="213"/>
    <x v="213"/>
    <x v="7"/>
    <x v="1995"/>
    <x v="44"/>
    <x v="5"/>
    <x v="82"/>
    <x v="744"/>
    <x v="7"/>
    <s v="China"/>
    <m/>
    <x v="1"/>
    <s v="D"/>
    <x v="1"/>
    <m/>
    <s v="Tan"/>
    <s v="Lili"/>
    <m/>
    <d v="2023-04-04T05:01:00"/>
    <m/>
    <m/>
    <m/>
    <n v="125.08"/>
    <n v="2.9"/>
    <n v="19910000000000"/>
    <n v="50.6"/>
    <n v="100.2"/>
    <n v="9.4"/>
    <n v="59.2"/>
    <n v="1397715000"/>
  </r>
  <r>
    <x v="213"/>
    <x v="213"/>
    <x v="7"/>
    <x v="1996"/>
    <x v="60"/>
    <x v="5"/>
    <x v="19"/>
    <x v="178"/>
    <x v="7"/>
    <s v="China"/>
    <m/>
    <x v="1"/>
    <s v="E"/>
    <x v="0"/>
    <d v="1982-12-12T00:00:00"/>
    <s v="Tang"/>
    <s v="Binsen"/>
    <m/>
    <d v="2023-04-04T05:01:00"/>
    <m/>
    <m/>
    <n v="1982"/>
    <n v="125.08"/>
    <n v="2.9"/>
    <n v="19910000000000"/>
    <n v="50.6"/>
    <n v="100.2"/>
    <n v="9.4"/>
    <n v="59.2"/>
    <n v="1397715000"/>
  </r>
  <r>
    <x v="213"/>
    <x v="213"/>
    <x v="2"/>
    <x v="1997"/>
    <x v="44"/>
    <x v="5"/>
    <x v="34"/>
    <x v="58"/>
    <x v="2"/>
    <s v="China"/>
    <m/>
    <x v="1"/>
    <s v="N"/>
    <x v="0"/>
    <m/>
    <s v="Tang"/>
    <s v="Rui"/>
    <m/>
    <d v="2023-04-04T05:01:00"/>
    <m/>
    <m/>
    <m/>
    <n v="125.08"/>
    <n v="2.9"/>
    <n v="19910000000000"/>
    <n v="50.6"/>
    <n v="100.2"/>
    <n v="9.4"/>
    <n v="59.2"/>
    <n v="1397715000"/>
  </r>
  <r>
    <x v="213"/>
    <x v="213"/>
    <x v="10"/>
    <x v="1998"/>
    <x v="55"/>
    <x v="23"/>
    <x v="73"/>
    <x v="89"/>
    <x v="10"/>
    <s v="Thailand"/>
    <m/>
    <x v="1"/>
    <s v="U"/>
    <x v="0"/>
    <d v="1944-03-26T00:00:00"/>
    <s v="Tangkaravakoon"/>
    <s v="Prachak"/>
    <m/>
    <d v="2023-04-04T05:01:00"/>
    <m/>
    <m/>
    <n v="1944"/>
    <n v="113.27"/>
    <n v="0.7"/>
    <n v="543649976166"/>
    <n v="49.3"/>
    <n v="99.8"/>
    <n v="14.9"/>
    <n v="29.5"/>
    <n v="69625582"/>
  </r>
  <r>
    <x v="213"/>
    <x v="213"/>
    <x v="14"/>
    <x v="1999"/>
    <x v="10"/>
    <x v="1"/>
    <x v="9"/>
    <x v="745"/>
    <x v="14"/>
    <s v="United States"/>
    <s v="Doximity"/>
    <x v="1"/>
    <s v="D"/>
    <x v="0"/>
    <d v="1972-08-09T00:00:00"/>
    <s v="Tangney"/>
    <s v="Jeff"/>
    <s v="CEO"/>
    <d v="2023-04-04T05:01:00"/>
    <s v="California"/>
    <s v="West"/>
    <n v="1972"/>
    <n v="117.24"/>
    <n v="7.5"/>
    <n v="21427700000000"/>
    <n v="88.2"/>
    <n v="101.8"/>
    <n v="9.6"/>
    <n v="36.6"/>
    <n v="328239523"/>
  </r>
  <r>
    <x v="213"/>
    <x v="213"/>
    <x v="0"/>
    <x v="2000"/>
    <x v="53"/>
    <x v="5"/>
    <x v="155"/>
    <x v="746"/>
    <x v="0"/>
    <s v="China"/>
    <m/>
    <x v="1"/>
    <s v="D"/>
    <x v="0"/>
    <d v="1960-01-01T00:00:00"/>
    <s v="Tao"/>
    <s v="Yuequn"/>
    <m/>
    <d v="2023-04-04T05:01:00"/>
    <m/>
    <m/>
    <n v="1960"/>
    <n v="125.08"/>
    <n v="2.9"/>
    <n v="19910000000000"/>
    <n v="50.6"/>
    <n v="100.2"/>
    <n v="9.4"/>
    <n v="59.2"/>
    <n v="1397715000"/>
  </r>
  <r>
    <x v="213"/>
    <x v="213"/>
    <x v="5"/>
    <x v="2001"/>
    <x v="5"/>
    <x v="14"/>
    <x v="83"/>
    <x v="7"/>
    <x v="5"/>
    <s v="Australia"/>
    <m/>
    <x v="1"/>
    <s v="D"/>
    <x v="0"/>
    <d v="1956-01-01T00:00:00"/>
    <s v="Teoh"/>
    <s v="David"/>
    <m/>
    <d v="2023-04-04T05:01:00"/>
    <m/>
    <m/>
    <n v="1956"/>
    <n v="119.8"/>
    <n v="1.6"/>
    <n v="1392680589329"/>
    <n v="113.1"/>
    <n v="100.3"/>
    <n v="23"/>
    <n v="47.4"/>
    <n v="25766605"/>
  </r>
  <r>
    <x v="213"/>
    <x v="213"/>
    <x v="10"/>
    <x v="2002"/>
    <x v="55"/>
    <x v="77"/>
    <x v="25"/>
    <x v="747"/>
    <x v="10"/>
    <s v="Spain"/>
    <m/>
    <x v="0"/>
    <s v="U"/>
    <x v="1"/>
    <d v="1943-04-23T00:00:00"/>
    <s v="Thyssen"/>
    <s v="Carmen"/>
    <m/>
    <d v="2023-04-04T05:01:00"/>
    <m/>
    <m/>
    <n v="1943"/>
    <m/>
    <m/>
    <n v="3154057987"/>
    <m/>
    <n v="106.4"/>
    <m/>
    <m/>
    <n v="77142"/>
  </r>
  <r>
    <x v="213"/>
    <x v="213"/>
    <x v="1"/>
    <x v="2003"/>
    <x v="53"/>
    <x v="53"/>
    <x v="486"/>
    <x v="552"/>
    <x v="1"/>
    <s v="Vietnam"/>
    <m/>
    <x v="1"/>
    <s v="D"/>
    <x v="0"/>
    <d v="1960-04-01T00:00:00"/>
    <s v="Tran"/>
    <s v="Ba Duong"/>
    <m/>
    <d v="2023-04-04T05:01:00"/>
    <m/>
    <m/>
    <n v="1960"/>
    <n v="163.52000000000001"/>
    <n v="2.8"/>
    <n v="261921244843"/>
    <n v="28.5"/>
    <n v="110.6"/>
    <n v="19.100000000000001"/>
    <n v="37.6"/>
    <n v="96462106"/>
  </r>
  <r>
    <x v="213"/>
    <x v="213"/>
    <x v="5"/>
    <x v="2004"/>
    <x v="43"/>
    <x v="1"/>
    <x v="80"/>
    <x v="7"/>
    <x v="5"/>
    <s v="United States"/>
    <m/>
    <x v="1"/>
    <s v="E"/>
    <x v="0"/>
    <d v="1948-01-08T00:00:00"/>
    <s v="Troutt"/>
    <s v="Kenny"/>
    <m/>
    <d v="2023-04-04T05:01:00"/>
    <s v="Texas"/>
    <s v="South"/>
    <n v="1948"/>
    <n v="117.24"/>
    <n v="7.5"/>
    <n v="21427700000000"/>
    <n v="88.2"/>
    <n v="101.8"/>
    <n v="9.6"/>
    <n v="36.6"/>
    <n v="328239523"/>
  </r>
  <r>
    <x v="213"/>
    <x v="213"/>
    <x v="9"/>
    <x v="2005"/>
    <x v="33"/>
    <x v="21"/>
    <x v="69"/>
    <x v="711"/>
    <x v="9"/>
    <s v="Sweden"/>
    <m/>
    <x v="1"/>
    <s v="U"/>
    <x v="0"/>
    <d v="1971-02-22T00:00:00"/>
    <s v="von Bahr"/>
    <s v="Jens"/>
    <m/>
    <d v="2023-04-04T05:01:00"/>
    <m/>
    <m/>
    <n v="1971"/>
    <n v="110.51"/>
    <n v="1.8"/>
    <n v="530832908738"/>
    <n v="67"/>
    <n v="126.6"/>
    <n v="27.9"/>
    <n v="49.1"/>
    <n v="10285453"/>
  </r>
  <r>
    <x v="213"/>
    <x v="213"/>
    <x v="14"/>
    <x v="2006"/>
    <x v="23"/>
    <x v="5"/>
    <x v="90"/>
    <x v="83"/>
    <x v="14"/>
    <s v="China"/>
    <m/>
    <x v="1"/>
    <s v="U"/>
    <x v="0"/>
    <d v="1968-12-12T00:00:00"/>
    <s v="Wang"/>
    <s v="Junmin"/>
    <m/>
    <d v="2023-04-04T05:01:00"/>
    <m/>
    <m/>
    <n v="1968"/>
    <n v="125.08"/>
    <n v="2.9"/>
    <n v="19910000000000"/>
    <n v="50.6"/>
    <n v="100.2"/>
    <n v="9.4"/>
    <n v="59.2"/>
    <n v="1397715000"/>
  </r>
  <r>
    <x v="213"/>
    <x v="213"/>
    <x v="14"/>
    <x v="2007"/>
    <x v="38"/>
    <x v="5"/>
    <x v="26"/>
    <x v="78"/>
    <x v="14"/>
    <s v="China"/>
    <m/>
    <x v="1"/>
    <s v="U"/>
    <x v="0"/>
    <d v="1961-11-28T00:00:00"/>
    <s v="Weng"/>
    <s v="Xianding"/>
    <m/>
    <d v="2023-04-04T05:01:00"/>
    <m/>
    <m/>
    <n v="1961"/>
    <n v="125.08"/>
    <n v="2.9"/>
    <n v="19910000000000"/>
    <n v="50.6"/>
    <n v="100.2"/>
    <n v="9.4"/>
    <n v="59.2"/>
    <n v="1397715000"/>
  </r>
  <r>
    <x v="213"/>
    <x v="213"/>
    <x v="13"/>
    <x v="2008"/>
    <x v="48"/>
    <x v="1"/>
    <x v="591"/>
    <x v="199"/>
    <x v="13"/>
    <s v="United States"/>
    <m/>
    <x v="1"/>
    <s v="U"/>
    <x v="0"/>
    <d v="1952-02-09T00:00:00"/>
    <s v="Wilks"/>
    <s v="Farris"/>
    <m/>
    <d v="2023-04-04T05:01:00"/>
    <s v="Texas"/>
    <s v="South"/>
    <n v="1952"/>
    <n v="117.24"/>
    <n v="7.5"/>
    <n v="21427700000000"/>
    <n v="88.2"/>
    <n v="101.8"/>
    <n v="9.6"/>
    <n v="36.6"/>
    <n v="328239523"/>
  </r>
  <r>
    <x v="213"/>
    <x v="213"/>
    <x v="11"/>
    <x v="2009"/>
    <x v="11"/>
    <x v="10"/>
    <x v="36"/>
    <x v="36"/>
    <x v="11"/>
    <s v="Hong Kong"/>
    <m/>
    <x v="1"/>
    <s v="D"/>
    <x v="0"/>
    <d v="1935-12-03T00:00:00"/>
    <s v="Wu"/>
    <s v="Gordon"/>
    <m/>
    <d v="2023-04-04T05:01:00"/>
    <m/>
    <m/>
    <n v="1935"/>
    <m/>
    <m/>
    <m/>
    <m/>
    <m/>
    <m/>
    <m/>
    <m/>
  </r>
  <r>
    <x v="213"/>
    <x v="213"/>
    <x v="2"/>
    <x v="2010"/>
    <x v="47"/>
    <x v="5"/>
    <x v="26"/>
    <x v="117"/>
    <x v="2"/>
    <s v="China"/>
    <m/>
    <x v="1"/>
    <s v="E"/>
    <x v="0"/>
    <d v="1976-01-01T00:00:00"/>
    <s v="Xiong"/>
    <s v="Wu"/>
    <m/>
    <d v="2023-04-04T05:01:00"/>
    <m/>
    <m/>
    <n v="1976"/>
    <n v="125.08"/>
    <n v="2.9"/>
    <n v="19910000000000"/>
    <n v="50.6"/>
    <n v="100.2"/>
    <n v="9.4"/>
    <n v="59.2"/>
    <n v="1397715000"/>
  </r>
  <r>
    <x v="213"/>
    <x v="213"/>
    <x v="4"/>
    <x v="2011"/>
    <x v="44"/>
    <x v="5"/>
    <x v="34"/>
    <x v="41"/>
    <x v="4"/>
    <s v="China"/>
    <m/>
    <x v="1"/>
    <s v="E"/>
    <x v="0"/>
    <m/>
    <s v="Xu"/>
    <s v="Zhenhua"/>
    <m/>
    <d v="2023-04-04T05:01:00"/>
    <m/>
    <m/>
    <m/>
    <n v="125.08"/>
    <n v="2.9"/>
    <n v="19910000000000"/>
    <n v="50.6"/>
    <n v="100.2"/>
    <n v="9.4"/>
    <n v="59.2"/>
    <n v="1397715000"/>
  </r>
  <r>
    <x v="213"/>
    <x v="213"/>
    <x v="2"/>
    <x v="2012"/>
    <x v="10"/>
    <x v="5"/>
    <x v="327"/>
    <x v="172"/>
    <x v="2"/>
    <s v="China"/>
    <m/>
    <x v="1"/>
    <s v="D"/>
    <x v="0"/>
    <d v="1972-11-30T00:00:00"/>
    <s v="Xu"/>
    <s v="Zhihan"/>
    <m/>
    <d v="2023-04-04T05:01:00"/>
    <m/>
    <m/>
    <n v="1972"/>
    <n v="125.08"/>
    <n v="2.9"/>
    <n v="19910000000000"/>
    <n v="50.6"/>
    <n v="100.2"/>
    <n v="9.4"/>
    <n v="59.2"/>
    <n v="1397715000"/>
  </r>
  <r>
    <x v="213"/>
    <x v="213"/>
    <x v="7"/>
    <x v="2013"/>
    <x v="34"/>
    <x v="5"/>
    <x v="595"/>
    <x v="748"/>
    <x v="7"/>
    <s v="China"/>
    <m/>
    <x v="1"/>
    <s v="D"/>
    <x v="0"/>
    <d v="1960-05-20T00:00:00"/>
    <s v="Yang"/>
    <s v="Tingdong"/>
    <m/>
    <d v="2023-04-04T05:01:00"/>
    <m/>
    <m/>
    <n v="1960"/>
    <n v="125.08"/>
    <n v="2.9"/>
    <n v="19910000000000"/>
    <n v="50.6"/>
    <n v="100.2"/>
    <n v="9.4"/>
    <n v="59.2"/>
    <n v="1397715000"/>
  </r>
  <r>
    <x v="213"/>
    <x v="213"/>
    <x v="15"/>
    <x v="2014"/>
    <x v="38"/>
    <x v="5"/>
    <x v="19"/>
    <x v="426"/>
    <x v="15"/>
    <s v="China"/>
    <m/>
    <x v="1"/>
    <s v="R"/>
    <x v="0"/>
    <d v="1962-01-01T00:00:00"/>
    <s v="Yu"/>
    <s v="Michael Minhong"/>
    <m/>
    <d v="2023-04-04T05:01:00"/>
    <m/>
    <m/>
    <n v="1962"/>
    <n v="125.08"/>
    <n v="2.9"/>
    <n v="19910000000000"/>
    <n v="50.6"/>
    <n v="100.2"/>
    <n v="9.4"/>
    <n v="59.2"/>
    <n v="1397715000"/>
  </r>
  <r>
    <x v="213"/>
    <x v="213"/>
    <x v="4"/>
    <x v="2015"/>
    <x v="44"/>
    <x v="5"/>
    <x v="34"/>
    <x v="41"/>
    <x v="4"/>
    <s v="China"/>
    <m/>
    <x v="1"/>
    <s v="E"/>
    <x v="0"/>
    <m/>
    <s v="Yuan"/>
    <s v="Justin"/>
    <m/>
    <d v="2023-04-04T05:01:00"/>
    <m/>
    <m/>
    <m/>
    <n v="125.08"/>
    <n v="2.9"/>
    <n v="19910000000000"/>
    <n v="50.6"/>
    <n v="100.2"/>
    <n v="9.4"/>
    <n v="59.2"/>
    <n v="1397715000"/>
  </r>
  <r>
    <x v="213"/>
    <x v="213"/>
    <x v="15"/>
    <x v="2016"/>
    <x v="27"/>
    <x v="5"/>
    <x v="19"/>
    <x v="426"/>
    <x v="15"/>
    <s v="China"/>
    <m/>
    <x v="1"/>
    <s v="R"/>
    <x v="0"/>
    <d v="1980-01-01T00:00:00"/>
    <s v="Zhang"/>
    <s v="Bangxin"/>
    <m/>
    <d v="2023-04-04T05:01:00"/>
    <m/>
    <m/>
    <n v="1980"/>
    <n v="125.08"/>
    <n v="2.9"/>
    <n v="19910000000000"/>
    <n v="50.6"/>
    <n v="100.2"/>
    <n v="9.4"/>
    <n v="59.2"/>
    <n v="1397715000"/>
  </r>
  <r>
    <x v="213"/>
    <x v="213"/>
    <x v="13"/>
    <x v="2017"/>
    <x v="44"/>
    <x v="5"/>
    <x v="12"/>
    <x v="749"/>
    <x v="13"/>
    <s v="China"/>
    <m/>
    <x v="1"/>
    <s v="Split Family Fortune"/>
    <x v="1"/>
    <m/>
    <s v="Zhang"/>
    <s v="Hong"/>
    <m/>
    <d v="2023-04-04T05:01:00"/>
    <m/>
    <m/>
    <m/>
    <n v="125.08"/>
    <n v="2.9"/>
    <n v="19910000000000"/>
    <n v="50.6"/>
    <n v="100.2"/>
    <n v="9.4"/>
    <n v="59.2"/>
    <n v="1397715000"/>
  </r>
  <r>
    <x v="213"/>
    <x v="213"/>
    <x v="0"/>
    <x v="2018"/>
    <x v="37"/>
    <x v="5"/>
    <x v="26"/>
    <x v="455"/>
    <x v="0"/>
    <s v="China"/>
    <m/>
    <x v="1"/>
    <s v="D"/>
    <x v="0"/>
    <d v="1957-03-01T00:00:00"/>
    <s v="Zhou"/>
    <s v="Zongwen"/>
    <m/>
    <d v="2023-04-04T05:01:00"/>
    <m/>
    <m/>
    <n v="1957"/>
    <n v="125.08"/>
    <n v="2.9"/>
    <n v="19910000000000"/>
    <n v="50.6"/>
    <n v="100.2"/>
    <n v="9.4"/>
    <n v="59.2"/>
    <n v="1397715000"/>
  </r>
  <r>
    <x v="214"/>
    <x v="214"/>
    <x v="6"/>
    <x v="2019"/>
    <x v="7"/>
    <x v="55"/>
    <x v="513"/>
    <x v="8"/>
    <x v="6"/>
    <s v="Finland"/>
    <m/>
    <x v="0"/>
    <s v="D"/>
    <x v="0"/>
    <d v="1940-02-24T00:00:00"/>
    <s v="Aarnio-Wihuri"/>
    <s v="Antti"/>
    <m/>
    <d v="2023-04-04T05:01:00"/>
    <m/>
    <m/>
    <n v="1940"/>
    <n v="112.33"/>
    <n v="1"/>
    <n v="268761201365"/>
    <n v="88.2"/>
    <n v="100.2"/>
    <n v="20.8"/>
    <n v="36.6"/>
    <n v="5520314"/>
  </r>
  <r>
    <x v="214"/>
    <x v="214"/>
    <x v="3"/>
    <x v="2020"/>
    <x v="35"/>
    <x v="4"/>
    <x v="276"/>
    <x v="38"/>
    <x v="3"/>
    <s v="Spain"/>
    <m/>
    <x v="1"/>
    <s v="U"/>
    <x v="0"/>
    <d v="1942-12-07T00:00:00"/>
    <s v="Alcocer"/>
    <s v="Alberto"/>
    <m/>
    <d v="2023-04-04T05:01:00"/>
    <m/>
    <m/>
    <n v="1942"/>
    <n v="110.96"/>
    <n v="0.7"/>
    <n v="1394116310769"/>
    <n v="88.9"/>
    <n v="102.7"/>
    <n v="14.2"/>
    <n v="47"/>
    <n v="47076781"/>
  </r>
  <r>
    <x v="214"/>
    <x v="214"/>
    <x v="0"/>
    <x v="2021"/>
    <x v="33"/>
    <x v="14"/>
    <x v="93"/>
    <x v="21"/>
    <x v="0"/>
    <s v="Australia"/>
    <m/>
    <x v="1"/>
    <s v="D"/>
    <x v="0"/>
    <d v="1970-09-25T00:00:00"/>
    <s v="Austin"/>
    <s v="Nigel"/>
    <m/>
    <d v="2023-04-04T05:01:00"/>
    <m/>
    <m/>
    <n v="1970"/>
    <n v="119.8"/>
    <n v="1.6"/>
    <n v="1392680589329"/>
    <n v="113.1"/>
    <n v="100.3"/>
    <n v="23"/>
    <n v="47.4"/>
    <n v="25766605"/>
  </r>
  <r>
    <x v="214"/>
    <x v="214"/>
    <x v="2"/>
    <x v="2022"/>
    <x v="60"/>
    <x v="25"/>
    <x v="76"/>
    <x v="750"/>
    <x v="2"/>
    <s v="India"/>
    <m/>
    <x v="1"/>
    <s v="U"/>
    <x v="0"/>
    <d v="1982-12-03T00:00:00"/>
    <s v="Bansal"/>
    <s v="Binny"/>
    <m/>
    <d v="2023-04-04T05:01:00"/>
    <m/>
    <m/>
    <n v="1982"/>
    <n v="114.41"/>
    <n v="0.6"/>
    <n v="372062527489"/>
    <n v="84.8"/>
    <n v="100.6"/>
    <n v="13.1"/>
    <n v="21"/>
    <n v="5703569"/>
  </r>
  <r>
    <x v="214"/>
    <x v="214"/>
    <x v="14"/>
    <x v="2023"/>
    <x v="43"/>
    <x v="3"/>
    <x v="7"/>
    <x v="83"/>
    <x v="14"/>
    <s v="India"/>
    <m/>
    <x v="1"/>
    <s v="D"/>
    <x v="0"/>
    <d v="1947-08-03T00:00:00"/>
    <s v="Bawri"/>
    <s v="Girdhari Lal"/>
    <m/>
    <d v="2023-04-04T05:01:00"/>
    <m/>
    <m/>
    <n v="1947"/>
    <n v="180.44"/>
    <n v="7.7"/>
    <n v="2611000000000"/>
    <n v="28.1"/>
    <n v="113"/>
    <n v="11.2"/>
    <n v="49.7"/>
    <n v="1366417754"/>
  </r>
  <r>
    <x v="214"/>
    <x v="214"/>
    <x v="6"/>
    <x v="2024"/>
    <x v="55"/>
    <x v="13"/>
    <x v="624"/>
    <x v="751"/>
    <x v="6"/>
    <s v="United Kingdom"/>
    <m/>
    <x v="1"/>
    <s v="D"/>
    <x v="0"/>
    <d v="1943-06-16T00:00:00"/>
    <s v="Bloor"/>
    <s v="John"/>
    <m/>
    <d v="2023-04-04T05:01:00"/>
    <m/>
    <m/>
    <n v="1943"/>
    <n v="119.62"/>
    <n v="1.7"/>
    <n v="2827113184696"/>
    <n v="60"/>
    <n v="101.2"/>
    <n v="25.5"/>
    <n v="30.6"/>
    <n v="66834405"/>
  </r>
  <r>
    <x v="214"/>
    <x v="214"/>
    <x v="13"/>
    <x v="2025"/>
    <x v="48"/>
    <x v="17"/>
    <x v="625"/>
    <x v="62"/>
    <x v="13"/>
    <s v="Russia"/>
    <m/>
    <x v="1"/>
    <s v="R"/>
    <x v="0"/>
    <d v="1951-05-28T00:00:00"/>
    <s v="Bogdanov"/>
    <s v="Vladimir"/>
    <m/>
    <d v="2023-04-04T05:01:00"/>
    <m/>
    <m/>
    <n v="1951"/>
    <n v="180.75"/>
    <n v="4.5"/>
    <n v="1699876578871"/>
    <n v="81.900000000000006"/>
    <n v="102.6"/>
    <n v="11.4"/>
    <n v="46.2"/>
    <n v="144373535"/>
  </r>
  <r>
    <x v="214"/>
    <x v="214"/>
    <x v="7"/>
    <x v="2026"/>
    <x v="52"/>
    <x v="3"/>
    <x v="41"/>
    <x v="243"/>
    <x v="7"/>
    <s v="India"/>
    <m/>
    <x v="0"/>
    <s v="D"/>
    <x v="0"/>
    <d v="1969-07-01T00:00:00"/>
    <s v="Burman"/>
    <s v="Amit"/>
    <m/>
    <d v="2023-04-04T05:01:00"/>
    <m/>
    <m/>
    <n v="1969"/>
    <n v="180.44"/>
    <n v="7.7"/>
    <n v="2611000000000"/>
    <n v="28.1"/>
    <n v="113"/>
    <n v="11.2"/>
    <n v="49.7"/>
    <n v="1366417754"/>
  </r>
  <r>
    <x v="214"/>
    <x v="214"/>
    <x v="12"/>
    <x v="2027"/>
    <x v="33"/>
    <x v="5"/>
    <x v="114"/>
    <x v="752"/>
    <x v="12"/>
    <s v="China"/>
    <m/>
    <x v="1"/>
    <s v="N"/>
    <x v="0"/>
    <d v="1971-01-01T00:00:00"/>
    <s v="Cai "/>
    <s v="Jianyong"/>
    <m/>
    <d v="2023-04-04T05:01:00"/>
    <m/>
    <m/>
    <n v="1971"/>
    <n v="125.08"/>
    <n v="2.9"/>
    <n v="19910000000000"/>
    <n v="50.6"/>
    <n v="100.2"/>
    <n v="9.4"/>
    <n v="59.2"/>
    <n v="1397715000"/>
  </r>
  <r>
    <x v="214"/>
    <x v="214"/>
    <x v="2"/>
    <x v="2028"/>
    <x v="29"/>
    <x v="1"/>
    <x v="395"/>
    <x v="753"/>
    <x v="2"/>
    <s v="United States"/>
    <m/>
    <x v="1"/>
    <s v="D"/>
    <x v="0"/>
    <d v="1958-08-21T00:00:00"/>
    <s v="Case"/>
    <s v="Steve"/>
    <m/>
    <d v="2023-04-04T05:01:00"/>
    <s v="Virginia"/>
    <s v="South"/>
    <n v="1958"/>
    <n v="117.24"/>
    <n v="7.5"/>
    <n v="21427700000000"/>
    <n v="88.2"/>
    <n v="101.8"/>
    <n v="9.6"/>
    <n v="36.6"/>
    <n v="328239523"/>
  </r>
  <r>
    <x v="214"/>
    <x v="214"/>
    <x v="2"/>
    <x v="2029"/>
    <x v="42"/>
    <x v="5"/>
    <x v="225"/>
    <x v="754"/>
    <x v="2"/>
    <s v="China"/>
    <m/>
    <x v="1"/>
    <s v="E"/>
    <x v="0"/>
    <d v="1968-01-01T00:00:00"/>
    <s v="Chen"/>
    <s v="Wenyuan"/>
    <m/>
    <d v="2023-04-04T05:01:00"/>
    <m/>
    <m/>
    <n v="1968"/>
    <n v="125.08"/>
    <n v="2.9"/>
    <n v="19910000000000"/>
    <n v="50.6"/>
    <n v="100.2"/>
    <n v="9.4"/>
    <n v="59.2"/>
    <n v="1397715000"/>
  </r>
  <r>
    <x v="214"/>
    <x v="214"/>
    <x v="11"/>
    <x v="2030"/>
    <x v="0"/>
    <x v="25"/>
    <x v="76"/>
    <x v="36"/>
    <x v="11"/>
    <s v="Singapore"/>
    <m/>
    <x v="1"/>
    <s v="U"/>
    <x v="0"/>
    <d v="1948-07-11T00:00:00"/>
    <s v="Chua"/>
    <s v="Thian Poh"/>
    <m/>
    <d v="2023-04-04T05:01:00"/>
    <m/>
    <m/>
    <n v="1948"/>
    <n v="114.41"/>
    <n v="0.6"/>
    <n v="372062527489"/>
    <n v="84.8"/>
    <n v="100.6"/>
    <n v="13.1"/>
    <n v="21"/>
    <n v="5703569"/>
  </r>
  <r>
    <x v="214"/>
    <x v="214"/>
    <x v="3"/>
    <x v="2031"/>
    <x v="7"/>
    <x v="30"/>
    <x v="99"/>
    <x v="75"/>
    <x v="3"/>
    <s v="Brazil"/>
    <m/>
    <x v="1"/>
    <s v="U"/>
    <x v="0"/>
    <d v="1940-04-01T00:00:00"/>
    <s v="Dayan"/>
    <s v="Sasson"/>
    <m/>
    <d v="2023-04-04T05:01:00"/>
    <m/>
    <m/>
    <n v="1940"/>
    <n v="167.4"/>
    <n v="3.7"/>
    <n v="1839758040766"/>
    <n v="51.3"/>
    <n v="115.4"/>
    <n v="14.2"/>
    <n v="65.099999999999994"/>
    <n v="212559417"/>
  </r>
  <r>
    <x v="214"/>
    <x v="214"/>
    <x v="12"/>
    <x v="2032"/>
    <x v="8"/>
    <x v="14"/>
    <x v="40"/>
    <x v="40"/>
    <x v="12"/>
    <s v="Australia"/>
    <m/>
    <x v="1"/>
    <s v="N"/>
    <x v="0"/>
    <d v="1957-06-26T00:00:00"/>
    <s v="Ellison"/>
    <s v="Chris"/>
    <m/>
    <d v="2023-04-04T05:01:00"/>
    <m/>
    <m/>
    <n v="1957"/>
    <n v="119.8"/>
    <n v="1.6"/>
    <n v="1392680589329"/>
    <n v="113.1"/>
    <n v="100.3"/>
    <n v="23"/>
    <n v="47.4"/>
    <n v="25766605"/>
  </r>
  <r>
    <x v="214"/>
    <x v="214"/>
    <x v="10"/>
    <x v="2033"/>
    <x v="77"/>
    <x v="1"/>
    <x v="5"/>
    <x v="50"/>
    <x v="10"/>
    <s v="United States"/>
    <m/>
    <x v="1"/>
    <s v="D"/>
    <x v="0"/>
    <d v="1925-08-23T00:00:00"/>
    <s v="Farber"/>
    <s v="John"/>
    <s v="Dr."/>
    <d v="2023-04-04T05:01:00"/>
    <s v="New York"/>
    <s v="Northeast"/>
    <n v="1925"/>
    <n v="117.24"/>
    <n v="7.5"/>
    <n v="21427700000000"/>
    <n v="88.2"/>
    <n v="101.8"/>
    <n v="9.6"/>
    <n v="36.6"/>
    <n v="328239523"/>
  </r>
  <r>
    <x v="214"/>
    <x v="214"/>
    <x v="3"/>
    <x v="2034"/>
    <x v="8"/>
    <x v="1"/>
    <x v="43"/>
    <x v="38"/>
    <x v="3"/>
    <s v="United States"/>
    <s v="J.C. Flowers &amp; Co. LLC"/>
    <x v="1"/>
    <s v="U"/>
    <x v="0"/>
    <d v="1957-10-27T00:00:00"/>
    <s v="Flowers"/>
    <s v="J. Christopher"/>
    <s v="Founder and Managing Director"/>
    <d v="2023-04-04T05:01:00"/>
    <s v="Florida"/>
    <s v="South"/>
    <n v="1957"/>
    <n v="117.24"/>
    <n v="7.5"/>
    <n v="21427700000000"/>
    <n v="88.2"/>
    <n v="101.8"/>
    <n v="9.6"/>
    <n v="36.6"/>
    <n v="328239523"/>
  </r>
  <r>
    <x v="214"/>
    <x v="214"/>
    <x v="0"/>
    <x v="2035"/>
    <x v="43"/>
    <x v="8"/>
    <x v="33"/>
    <x v="755"/>
    <x v="0"/>
    <s v="Austria"/>
    <m/>
    <x v="1"/>
    <s v="D"/>
    <x v="0"/>
    <d v="1947-07-10T00:00:00"/>
    <s v="Geiger"/>
    <s v="Reinold"/>
    <m/>
    <d v="2023-04-04T05:01:00"/>
    <m/>
    <m/>
    <n v="1947"/>
    <n v="99.55"/>
    <n v="0.4"/>
    <n v="703082435360"/>
    <n v="59.6"/>
    <n v="105.2"/>
    <n v="10.1"/>
    <n v="28.8"/>
    <n v="8574832"/>
  </r>
  <r>
    <x v="214"/>
    <x v="214"/>
    <x v="2"/>
    <x v="2036"/>
    <x v="54"/>
    <x v="1"/>
    <x v="120"/>
    <x v="756"/>
    <x v="2"/>
    <s v="Sweden"/>
    <m/>
    <x v="1"/>
    <s v="D"/>
    <x v="0"/>
    <d v="1978-12-08T00:00:00"/>
    <s v="Ghodsi"/>
    <s v="Ali"/>
    <m/>
    <d v="2023-04-04T05:01:00"/>
    <s v="California"/>
    <s v="West"/>
    <n v="1978"/>
    <n v="117.24"/>
    <n v="7.5"/>
    <n v="21427700000000"/>
    <n v="88.2"/>
    <n v="101.8"/>
    <n v="9.6"/>
    <n v="36.6"/>
    <n v="328239523"/>
  </r>
  <r>
    <x v="214"/>
    <x v="214"/>
    <x v="6"/>
    <x v="2037"/>
    <x v="42"/>
    <x v="34"/>
    <x v="137"/>
    <x v="8"/>
    <x v="6"/>
    <s v="Philippines"/>
    <m/>
    <x v="0"/>
    <s v="D"/>
    <x v="0"/>
    <d v="1967-12-01T00:00:00"/>
    <s v="Gokongwei"/>
    <s v="Lance"/>
    <m/>
    <d v="2023-04-04T05:01:00"/>
    <m/>
    <m/>
    <n v="1967"/>
    <n v="129.61000000000001"/>
    <n v="2.5"/>
    <n v="376795508680"/>
    <n v="35.5"/>
    <n v="107.5"/>
    <n v="14"/>
    <n v="43.1"/>
    <n v="108116615"/>
  </r>
  <r>
    <x v="214"/>
    <x v="214"/>
    <x v="7"/>
    <x v="2038"/>
    <x v="52"/>
    <x v="5"/>
    <x v="82"/>
    <x v="757"/>
    <x v="7"/>
    <s v="China"/>
    <m/>
    <x v="1"/>
    <s v="U"/>
    <x v="0"/>
    <m/>
    <s v="Guan"/>
    <s v="Yihong"/>
    <m/>
    <d v="2023-04-04T05:01:00"/>
    <m/>
    <m/>
    <m/>
    <n v="125.08"/>
    <n v="2.9"/>
    <n v="19910000000000"/>
    <n v="50.6"/>
    <n v="100.2"/>
    <n v="9.4"/>
    <n v="59.2"/>
    <n v="1397715000"/>
  </r>
  <r>
    <x v="214"/>
    <x v="214"/>
    <x v="10"/>
    <x v="2039"/>
    <x v="29"/>
    <x v="3"/>
    <x v="626"/>
    <x v="758"/>
    <x v="10"/>
    <s v="India"/>
    <m/>
    <x v="1"/>
    <s v="D"/>
    <x v="0"/>
    <d v="1959-01-02T00:00:00"/>
    <s v="Gupta"/>
    <s v="Rajinder"/>
    <m/>
    <d v="2023-04-04T05:01:00"/>
    <m/>
    <m/>
    <n v="1959"/>
    <n v="180.44"/>
    <n v="7.7"/>
    <n v="2611000000000"/>
    <n v="28.1"/>
    <n v="113"/>
    <n v="11.2"/>
    <n v="49.7"/>
    <n v="1366417754"/>
  </r>
  <r>
    <x v="214"/>
    <x v="214"/>
    <x v="15"/>
    <x v="2040"/>
    <x v="35"/>
    <x v="8"/>
    <x v="226"/>
    <x v="759"/>
    <x v="15"/>
    <s v="Norway"/>
    <m/>
    <x v="1"/>
    <s v="D"/>
    <x v="0"/>
    <d v="1943-02-18T00:00:00"/>
    <s v="Hagen"/>
    <s v="Torstein"/>
    <m/>
    <d v="2023-04-04T05:01:00"/>
    <m/>
    <m/>
    <n v="1943"/>
    <n v="99.55"/>
    <n v="0.4"/>
    <n v="703082435360"/>
    <n v="59.6"/>
    <n v="105.2"/>
    <n v="10.1"/>
    <n v="28.8"/>
    <n v="8574832"/>
  </r>
  <r>
    <x v="214"/>
    <x v="214"/>
    <x v="16"/>
    <x v="2041"/>
    <x v="54"/>
    <x v="0"/>
    <x v="0"/>
    <x v="166"/>
    <x v="16"/>
    <s v="Lebanon"/>
    <m/>
    <x v="0"/>
    <s v="E"/>
    <x v="0"/>
    <d v="1978-05-16T00:00:00"/>
    <s v="Hariri"/>
    <s v="Ayman"/>
    <m/>
    <d v="2023-04-04T05:01:00"/>
    <m/>
    <m/>
    <n v="1978"/>
    <n v="110.05"/>
    <n v="1.1000000000000001"/>
    <n v="2715518274227"/>
    <n v="65.599999999999994"/>
    <n v="102.5"/>
    <n v="24.2"/>
    <n v="60.7"/>
    <n v="67059887"/>
  </r>
  <r>
    <x v="214"/>
    <x v="214"/>
    <x v="3"/>
    <x v="2042"/>
    <x v="55"/>
    <x v="2"/>
    <x v="6"/>
    <x v="618"/>
    <x v="3"/>
    <s v="Mexico"/>
    <m/>
    <x v="1"/>
    <s v="U"/>
    <x v="0"/>
    <d v="1944-03-11T00:00:00"/>
    <s v="Harp Helu"/>
    <s v="Alfredo"/>
    <m/>
    <d v="2023-04-04T05:01:00"/>
    <m/>
    <m/>
    <n v="1944"/>
    <n v="141.54"/>
    <n v="3.6"/>
    <n v="1258286717125"/>
    <n v="40.200000000000003"/>
    <n v="105.8"/>
    <n v="13.1"/>
    <n v="55.1"/>
    <n v="126014024"/>
  </r>
  <r>
    <x v="214"/>
    <x v="214"/>
    <x v="1"/>
    <x v="2043"/>
    <x v="45"/>
    <x v="5"/>
    <x v="82"/>
    <x v="356"/>
    <x v="1"/>
    <s v="China"/>
    <m/>
    <x v="1"/>
    <s v="D"/>
    <x v="0"/>
    <d v="1977-11-03T00:00:00"/>
    <s v="He"/>
    <s v="Xiaopeng"/>
    <m/>
    <d v="2023-04-04T05:01:00"/>
    <m/>
    <m/>
    <n v="1977"/>
    <n v="125.08"/>
    <n v="2.9"/>
    <n v="19910000000000"/>
    <n v="50.6"/>
    <n v="100.2"/>
    <n v="9.4"/>
    <n v="59.2"/>
    <n v="1397715000"/>
  </r>
  <r>
    <x v="214"/>
    <x v="214"/>
    <x v="0"/>
    <x v="2044"/>
    <x v="8"/>
    <x v="13"/>
    <x v="32"/>
    <x v="243"/>
    <x v="0"/>
    <s v="Germany"/>
    <m/>
    <x v="0"/>
    <s v="E"/>
    <x v="0"/>
    <d v="1958-02-11T00:00:00"/>
    <s v="Henkel"/>
    <s v="Christoph"/>
    <m/>
    <d v="2023-04-04T05:01:00"/>
    <m/>
    <m/>
    <n v="1958"/>
    <n v="119.62"/>
    <n v="1.7"/>
    <n v="2827113184696"/>
    <n v="60"/>
    <n v="101.2"/>
    <n v="25.5"/>
    <n v="30.6"/>
    <n v="66834405"/>
  </r>
  <r>
    <x v="214"/>
    <x v="214"/>
    <x v="0"/>
    <x v="2045"/>
    <x v="6"/>
    <x v="1"/>
    <x v="627"/>
    <x v="31"/>
    <x v="0"/>
    <s v="United States"/>
    <m/>
    <x v="0"/>
    <s v="E"/>
    <x v="0"/>
    <d v="1941-05-31T00:00:00"/>
    <s v="Hirschfeld"/>
    <s v="Daniel"/>
    <m/>
    <d v="2023-04-04T05:01:00"/>
    <s v="Nebraska"/>
    <s v="Midwest"/>
    <n v="1941"/>
    <n v="117.24"/>
    <n v="7.5"/>
    <n v="21427700000000"/>
    <n v="88.2"/>
    <n v="101.8"/>
    <n v="9.6"/>
    <n v="36.6"/>
    <n v="328239523"/>
  </r>
  <r>
    <x v="214"/>
    <x v="214"/>
    <x v="2"/>
    <x v="2046"/>
    <x v="60"/>
    <x v="1"/>
    <x v="1"/>
    <x v="760"/>
    <x v="2"/>
    <s v="United States"/>
    <s v="Dropbox"/>
    <x v="1"/>
    <s v="D"/>
    <x v="0"/>
    <d v="1983-03-04T00:00:00"/>
    <s v="Houston"/>
    <s v="Drew"/>
    <s v="CEO"/>
    <d v="2023-04-04T05:01:00"/>
    <s v="Texas"/>
    <s v="South"/>
    <n v="1983"/>
    <n v="117.24"/>
    <n v="7.5"/>
    <n v="21427700000000"/>
    <n v="88.2"/>
    <n v="101.8"/>
    <n v="9.6"/>
    <n v="36.6"/>
    <n v="328239523"/>
  </r>
  <r>
    <x v="214"/>
    <x v="214"/>
    <x v="10"/>
    <x v="2047"/>
    <x v="17"/>
    <x v="5"/>
    <x v="628"/>
    <x v="50"/>
    <x v="10"/>
    <s v="China"/>
    <m/>
    <x v="1"/>
    <s v="U"/>
    <x v="0"/>
    <d v="1965-01-27T00:00:00"/>
    <s v="Huang"/>
    <s v="Jinxiang"/>
    <m/>
    <d v="2023-04-04T05:01:00"/>
    <m/>
    <m/>
    <n v="1965"/>
    <n v="125.08"/>
    <n v="2.9"/>
    <n v="19910000000000"/>
    <n v="50.6"/>
    <n v="100.2"/>
    <n v="9.4"/>
    <n v="59.2"/>
    <n v="1397715000"/>
  </r>
  <r>
    <x v="214"/>
    <x v="214"/>
    <x v="10"/>
    <x v="2048"/>
    <x v="0"/>
    <x v="3"/>
    <x v="7"/>
    <x v="761"/>
    <x v="10"/>
    <s v="India"/>
    <m/>
    <x v="1"/>
    <s v="U"/>
    <x v="0"/>
    <d v="1948-06-22T00:00:00"/>
    <s v="Jain"/>
    <s v="Rameshchandra"/>
    <m/>
    <d v="2023-04-04T05:01:00"/>
    <m/>
    <m/>
    <n v="1948"/>
    <n v="180.44"/>
    <n v="7.7"/>
    <n v="2611000000000"/>
    <n v="28.1"/>
    <n v="113"/>
    <n v="11.2"/>
    <n v="49.7"/>
    <n v="1366417754"/>
  </r>
  <r>
    <x v="214"/>
    <x v="214"/>
    <x v="14"/>
    <x v="2049"/>
    <x v="13"/>
    <x v="5"/>
    <x v="90"/>
    <x v="83"/>
    <x v="14"/>
    <s v="China"/>
    <m/>
    <x v="1"/>
    <s v="D"/>
    <x v="0"/>
    <d v="1954-07-01T00:00:00"/>
    <s v="Ke"/>
    <s v="Zunhong"/>
    <m/>
    <d v="2023-04-04T05:01:00"/>
    <m/>
    <m/>
    <n v="1954"/>
    <n v="125.08"/>
    <n v="2.9"/>
    <n v="19910000000000"/>
    <n v="50.6"/>
    <n v="100.2"/>
    <n v="9.4"/>
    <n v="59.2"/>
    <n v="1397715000"/>
  </r>
  <r>
    <x v="214"/>
    <x v="214"/>
    <x v="4"/>
    <x v="2050"/>
    <x v="32"/>
    <x v="32"/>
    <x v="109"/>
    <x v="41"/>
    <x v="4"/>
    <s v="South Korea"/>
    <s v="NCSOFT Corporation"/>
    <x v="1"/>
    <s v="D"/>
    <x v="0"/>
    <d v="1967-03-14T00:00:00"/>
    <s v="Kim"/>
    <s v="Taek-jin"/>
    <m/>
    <d v="2023-04-04T05:01:00"/>
    <m/>
    <m/>
    <n v="1967"/>
    <n v="115.16"/>
    <n v="0.4"/>
    <n v="2029000000000"/>
    <n v="94.3"/>
    <n v="98.1"/>
    <n v="15.6"/>
    <n v="33.200000000000003"/>
    <n v="51709098"/>
  </r>
  <r>
    <x v="214"/>
    <x v="214"/>
    <x v="11"/>
    <x v="2051"/>
    <x v="2"/>
    <x v="25"/>
    <x v="76"/>
    <x v="726"/>
    <x v="11"/>
    <s v="Singapore"/>
    <m/>
    <x v="1"/>
    <s v="U"/>
    <x v="0"/>
    <d v="1963-07-01T00:00:00"/>
    <s v="Koh"/>
    <s v="Wee Meng"/>
    <m/>
    <d v="2023-04-04T05:01:00"/>
    <m/>
    <m/>
    <n v="1963"/>
    <n v="114.41"/>
    <n v="0.6"/>
    <n v="372062527489"/>
    <n v="84.8"/>
    <n v="100.6"/>
    <n v="13.1"/>
    <n v="21"/>
    <n v="5703569"/>
  </r>
  <r>
    <x v="214"/>
    <x v="214"/>
    <x v="10"/>
    <x v="2052"/>
    <x v="1"/>
    <x v="17"/>
    <x v="48"/>
    <x v="467"/>
    <x v="10"/>
    <s v="Russia"/>
    <m/>
    <x v="1"/>
    <s v="U"/>
    <x v="0"/>
    <d v="1972-02-25T00:00:00"/>
    <s v="Kolesnikov"/>
    <s v="Sergei"/>
    <m/>
    <d v="2023-04-04T05:01:00"/>
    <m/>
    <m/>
    <n v="1972"/>
    <n v="180.75"/>
    <n v="4.5"/>
    <n v="1699876578871"/>
    <n v="81.900000000000006"/>
    <n v="102.6"/>
    <n v="11.4"/>
    <n v="46.2"/>
    <n v="144373535"/>
  </r>
  <r>
    <x v="214"/>
    <x v="214"/>
    <x v="3"/>
    <x v="2053"/>
    <x v="31"/>
    <x v="3"/>
    <x v="7"/>
    <x v="285"/>
    <x v="3"/>
    <s v="India"/>
    <m/>
    <x v="0"/>
    <s v="D"/>
    <x v="0"/>
    <d v="1946-08-26T00:00:00"/>
    <s v="Kothari"/>
    <s v="Hemendra"/>
    <m/>
    <d v="2023-04-04T05:01:00"/>
    <m/>
    <m/>
    <n v="1946"/>
    <n v="180.44"/>
    <n v="7.7"/>
    <n v="2611000000000"/>
    <n v="28.1"/>
    <n v="113"/>
    <n v="11.2"/>
    <n v="49.7"/>
    <n v="1366417754"/>
  </r>
  <r>
    <x v="214"/>
    <x v="214"/>
    <x v="3"/>
    <x v="2054"/>
    <x v="57"/>
    <x v="8"/>
    <x v="25"/>
    <x v="8"/>
    <x v="3"/>
    <s v="Poland"/>
    <m/>
    <x v="0"/>
    <s v="E"/>
    <x v="0"/>
    <d v="1980-11-16T00:00:00"/>
    <s v="Kulczyk"/>
    <s v="Sebastian"/>
    <m/>
    <d v="2023-04-04T05:01:00"/>
    <m/>
    <m/>
    <n v="1980"/>
    <n v="99.55"/>
    <n v="0.4"/>
    <n v="703082435360"/>
    <n v="59.6"/>
    <n v="105.2"/>
    <n v="10.1"/>
    <n v="28.8"/>
    <n v="8574832"/>
  </r>
  <r>
    <x v="214"/>
    <x v="214"/>
    <x v="11"/>
    <x v="2055"/>
    <x v="22"/>
    <x v="25"/>
    <x v="76"/>
    <x v="36"/>
    <x v="11"/>
    <s v="Singapore"/>
    <m/>
    <x v="0"/>
    <s v="Split Family Fortune"/>
    <x v="0"/>
    <d v="1946-01-01T00:00:00"/>
    <s v="Kwee"/>
    <s v="Liong Keng"/>
    <m/>
    <d v="2023-04-04T05:01:00"/>
    <m/>
    <m/>
    <n v="1946"/>
    <n v="114.41"/>
    <n v="0.6"/>
    <n v="372062527489"/>
    <n v="84.8"/>
    <n v="100.6"/>
    <n v="13.1"/>
    <n v="21"/>
    <n v="5703569"/>
  </r>
  <r>
    <x v="214"/>
    <x v="214"/>
    <x v="11"/>
    <x v="2056"/>
    <x v="8"/>
    <x v="25"/>
    <x v="76"/>
    <x v="36"/>
    <x v="11"/>
    <s v="Singapore"/>
    <m/>
    <x v="0"/>
    <s v="Split Family Fortune"/>
    <x v="0"/>
    <d v="1958-01-01T00:00:00"/>
    <s v="Kwee"/>
    <s v="Liong Phing"/>
    <m/>
    <d v="2023-04-04T05:01:00"/>
    <m/>
    <m/>
    <n v="1958"/>
    <n v="114.41"/>
    <n v="0.6"/>
    <n v="372062527489"/>
    <n v="84.8"/>
    <n v="100.6"/>
    <n v="13.1"/>
    <n v="21"/>
    <n v="5703569"/>
  </r>
  <r>
    <x v="214"/>
    <x v="214"/>
    <x v="11"/>
    <x v="2057"/>
    <x v="36"/>
    <x v="25"/>
    <x v="76"/>
    <x v="36"/>
    <x v="11"/>
    <s v="Singapore"/>
    <m/>
    <x v="0"/>
    <s v="Split Family Fortune"/>
    <x v="0"/>
    <d v="1953-01-01T00:00:00"/>
    <s v="Kwee"/>
    <s v="Liong Seen"/>
    <m/>
    <d v="2023-04-04T05:01:00"/>
    <m/>
    <m/>
    <n v="1953"/>
    <n v="114.41"/>
    <n v="0.6"/>
    <n v="372062527489"/>
    <n v="84.8"/>
    <n v="100.6"/>
    <n v="13.1"/>
    <n v="21"/>
    <n v="5703569"/>
  </r>
  <r>
    <x v="214"/>
    <x v="214"/>
    <x v="11"/>
    <x v="2058"/>
    <x v="31"/>
    <x v="25"/>
    <x v="76"/>
    <x v="36"/>
    <x v="11"/>
    <s v="Singapore"/>
    <m/>
    <x v="0"/>
    <s v="Split Family Fortune"/>
    <x v="0"/>
    <d v="1947-01-01T00:00:00"/>
    <s v="Kwee"/>
    <s v="Liong Tek"/>
    <m/>
    <d v="2023-04-04T05:01:00"/>
    <m/>
    <m/>
    <n v="1947"/>
    <n v="114.41"/>
    <n v="0.6"/>
    <n v="372062527489"/>
    <n v="84.8"/>
    <n v="100.6"/>
    <n v="13.1"/>
    <n v="21"/>
    <n v="5703569"/>
  </r>
  <r>
    <x v="214"/>
    <x v="214"/>
    <x v="6"/>
    <x v="2059"/>
    <x v="48"/>
    <x v="25"/>
    <x v="76"/>
    <x v="8"/>
    <x v="6"/>
    <s v="Singapore"/>
    <m/>
    <x v="0"/>
    <s v="N"/>
    <x v="0"/>
    <d v="1952-01-01T00:00:00"/>
    <s v="Kwek"/>
    <s v="Leng Keow"/>
    <m/>
    <d v="2023-04-04T05:01:00"/>
    <m/>
    <m/>
    <n v="1952"/>
    <n v="114.41"/>
    <n v="0.6"/>
    <n v="372062527489"/>
    <n v="84.8"/>
    <n v="100.6"/>
    <n v="13.1"/>
    <n v="21"/>
    <n v="5703569"/>
  </r>
  <r>
    <x v="214"/>
    <x v="214"/>
    <x v="6"/>
    <x v="2060"/>
    <x v="5"/>
    <x v="25"/>
    <x v="76"/>
    <x v="8"/>
    <x v="6"/>
    <s v="Singapore"/>
    <m/>
    <x v="0"/>
    <s v="U"/>
    <x v="0"/>
    <d v="1956-01-01T00:00:00"/>
    <s v="Kwek"/>
    <s v="Leng Peck"/>
    <m/>
    <d v="2023-04-04T05:01:00"/>
    <m/>
    <m/>
    <n v="1956"/>
    <n v="114.41"/>
    <n v="0.6"/>
    <n v="372062527489"/>
    <n v="84.8"/>
    <n v="100.6"/>
    <n v="13.1"/>
    <n v="21"/>
    <n v="5703569"/>
  </r>
  <r>
    <x v="214"/>
    <x v="214"/>
    <x v="11"/>
    <x v="2061"/>
    <x v="9"/>
    <x v="10"/>
    <x v="36"/>
    <x v="36"/>
    <x v="11"/>
    <s v="Hong Kong"/>
    <m/>
    <x v="0"/>
    <s v="U"/>
    <x v="0"/>
    <d v="1953-04-10T00:00:00"/>
    <s v="Kwok"/>
    <s v="Raymond"/>
    <m/>
    <d v="2023-04-04T05:01:00"/>
    <m/>
    <m/>
    <n v="1953"/>
    <m/>
    <m/>
    <m/>
    <m/>
    <m/>
    <m/>
    <m/>
    <m/>
  </r>
  <r>
    <x v="214"/>
    <x v="214"/>
    <x v="6"/>
    <x v="2062"/>
    <x v="15"/>
    <x v="32"/>
    <x v="109"/>
    <x v="8"/>
    <x v="6"/>
    <s v="South Korea"/>
    <s v="Taekwang Industrial"/>
    <x v="0"/>
    <s v="U"/>
    <x v="0"/>
    <d v="1962-12-08T00:00:00"/>
    <s v="Lee"/>
    <s v="Ho-jin"/>
    <m/>
    <d v="2023-04-04T05:01:00"/>
    <m/>
    <m/>
    <n v="1962"/>
    <n v="115.16"/>
    <n v="0.4"/>
    <n v="2029000000000"/>
    <n v="94.3"/>
    <n v="98.1"/>
    <n v="15.6"/>
    <n v="33.200000000000003"/>
    <n v="51709098"/>
  </r>
  <r>
    <x v="214"/>
    <x v="214"/>
    <x v="3"/>
    <x v="2063"/>
    <x v="25"/>
    <x v="6"/>
    <x v="629"/>
    <x v="655"/>
    <x v="3"/>
    <s v="Canada"/>
    <m/>
    <x v="1"/>
    <s v="D"/>
    <x v="0"/>
    <d v="1951-01-03T00:00:00"/>
    <s v="Lee-Chin"/>
    <s v="Michael"/>
    <m/>
    <d v="2023-04-04T05:01:00"/>
    <m/>
    <m/>
    <n v="1951"/>
    <n v="116.76"/>
    <n v="1.9"/>
    <n v="1736425629520"/>
    <n v="68.900000000000006"/>
    <n v="100.9"/>
    <n v="12.8"/>
    <n v="24.5"/>
    <n v="36991981"/>
  </r>
  <r>
    <x v="214"/>
    <x v="214"/>
    <x v="15"/>
    <x v="2064"/>
    <x v="9"/>
    <x v="19"/>
    <x v="58"/>
    <x v="759"/>
    <x v="15"/>
    <s v="Italy"/>
    <m/>
    <x v="0"/>
    <s v="D"/>
    <x v="0"/>
    <d v="1953-04-30T00:00:00"/>
    <s v="Lefebvre d'Ovidio"/>
    <s v="Manfredi"/>
    <m/>
    <d v="2023-04-04T05:01:00"/>
    <m/>
    <m/>
    <n v="1953"/>
    <m/>
    <m/>
    <n v="7184844193"/>
    <m/>
    <m/>
    <m/>
    <m/>
    <n v="38964"/>
  </r>
  <r>
    <x v="214"/>
    <x v="214"/>
    <x v="0"/>
    <x v="2065"/>
    <x v="77"/>
    <x v="13"/>
    <x v="32"/>
    <x v="762"/>
    <x v="0"/>
    <s v="United Kingdom"/>
    <m/>
    <x v="1"/>
    <s v="U"/>
    <x v="0"/>
    <d v="1926-02-10T00:00:00"/>
    <s v="Lewis"/>
    <s v="Bernard"/>
    <m/>
    <d v="2023-04-04T05:01:00"/>
    <m/>
    <m/>
    <n v="1926"/>
    <n v="119.62"/>
    <n v="1.7"/>
    <n v="2827113184696"/>
    <n v="60"/>
    <n v="101.2"/>
    <n v="25.5"/>
    <n v="30.6"/>
    <n v="66834405"/>
  </r>
  <r>
    <x v="214"/>
    <x v="214"/>
    <x v="12"/>
    <x v="2066"/>
    <x v="44"/>
    <x v="5"/>
    <x v="630"/>
    <x v="40"/>
    <x v="12"/>
    <s v="China"/>
    <m/>
    <x v="0"/>
    <s v="D"/>
    <x v="1"/>
    <m/>
    <s v="Li"/>
    <s v="Jinyang"/>
    <m/>
    <d v="2023-04-04T05:01:00"/>
    <m/>
    <m/>
    <m/>
    <n v="125.08"/>
    <n v="2.9"/>
    <n v="19910000000000"/>
    <n v="50.6"/>
    <n v="100.2"/>
    <n v="9.4"/>
    <n v="59.2"/>
    <n v="1397715000"/>
  </r>
  <r>
    <x v="214"/>
    <x v="214"/>
    <x v="1"/>
    <x v="2067"/>
    <x v="65"/>
    <x v="5"/>
    <x v="19"/>
    <x v="356"/>
    <x v="1"/>
    <s v="China"/>
    <m/>
    <x v="1"/>
    <s v="D"/>
    <x v="0"/>
    <d v="1975-01-01T00:00:00"/>
    <s v="Li"/>
    <s v="William"/>
    <m/>
    <d v="2023-04-04T05:01:00"/>
    <m/>
    <m/>
    <n v="1975"/>
    <n v="125.08"/>
    <n v="2.9"/>
    <n v="19910000000000"/>
    <n v="50.6"/>
    <n v="100.2"/>
    <n v="9.4"/>
    <n v="59.2"/>
    <n v="1397715000"/>
  </r>
  <r>
    <x v="214"/>
    <x v="214"/>
    <x v="10"/>
    <x v="2068"/>
    <x v="33"/>
    <x v="21"/>
    <x v="631"/>
    <x v="763"/>
    <x v="10"/>
    <s v="Sweden"/>
    <m/>
    <x v="0"/>
    <s v="E"/>
    <x v="1"/>
    <d v="1971-03-29T00:00:00"/>
    <s v="Lindén Urnes"/>
    <s v="Jenny"/>
    <m/>
    <d v="2023-04-04T05:01:00"/>
    <m/>
    <m/>
    <n v="1971"/>
    <n v="110.51"/>
    <n v="1.8"/>
    <n v="530832908738"/>
    <n v="67"/>
    <n v="126.6"/>
    <n v="27.9"/>
    <n v="49.1"/>
    <n v="10285453"/>
  </r>
  <r>
    <x v="214"/>
    <x v="214"/>
    <x v="14"/>
    <x v="2069"/>
    <x v="52"/>
    <x v="5"/>
    <x v="34"/>
    <x v="191"/>
    <x v="14"/>
    <s v="China"/>
    <m/>
    <x v="1"/>
    <s v="D"/>
    <x v="0"/>
    <m/>
    <s v="Liu"/>
    <s v="Fangyi"/>
    <m/>
    <d v="2023-04-04T05:01:00"/>
    <m/>
    <m/>
    <m/>
    <n v="125.08"/>
    <n v="2.9"/>
    <n v="19910000000000"/>
    <n v="50.6"/>
    <n v="100.2"/>
    <n v="9.4"/>
    <n v="59.2"/>
    <n v="1397715000"/>
  </r>
  <r>
    <x v="214"/>
    <x v="214"/>
    <x v="2"/>
    <x v="2070"/>
    <x v="9"/>
    <x v="35"/>
    <x v="152"/>
    <x v="108"/>
    <x v="2"/>
    <s v="Taiwan"/>
    <m/>
    <x v="1"/>
    <s v="D"/>
    <x v="0"/>
    <d v="1954-03-20T00:00:00"/>
    <s v="Liu"/>
    <s v="K.C."/>
    <m/>
    <d v="2023-04-04T05:01:00"/>
    <m/>
    <m/>
    <n v="1954"/>
    <m/>
    <m/>
    <m/>
    <m/>
    <m/>
    <m/>
    <m/>
    <m/>
  </r>
  <r>
    <x v="214"/>
    <x v="214"/>
    <x v="10"/>
    <x v="2071"/>
    <x v="15"/>
    <x v="10"/>
    <x v="36"/>
    <x v="380"/>
    <x v="10"/>
    <s v="Brazil"/>
    <m/>
    <x v="1"/>
    <s v="D"/>
    <x v="0"/>
    <d v="1963-01-01T00:00:00"/>
    <s v="Liu"/>
    <s v="Ming Chung"/>
    <m/>
    <d v="2023-04-04T05:01:00"/>
    <m/>
    <m/>
    <n v="1963"/>
    <m/>
    <m/>
    <m/>
    <m/>
    <m/>
    <m/>
    <m/>
    <m/>
  </r>
  <r>
    <x v="214"/>
    <x v="214"/>
    <x v="12"/>
    <x v="2072"/>
    <x v="36"/>
    <x v="17"/>
    <x v="48"/>
    <x v="38"/>
    <x v="12"/>
    <s v="Russia"/>
    <m/>
    <x v="1"/>
    <s v="E"/>
    <x v="0"/>
    <d v="1952-06-30T00:00:00"/>
    <s v="Lomakin"/>
    <s v="Anatoly"/>
    <m/>
    <d v="2023-04-04T05:01:00"/>
    <m/>
    <m/>
    <n v="1952"/>
    <n v="180.75"/>
    <n v="4.5"/>
    <n v="1699876578871"/>
    <n v="81.900000000000006"/>
    <n v="102.6"/>
    <n v="11.4"/>
    <n v="46.2"/>
    <n v="144373535"/>
  </r>
  <r>
    <x v="214"/>
    <x v="214"/>
    <x v="7"/>
    <x v="2073"/>
    <x v="55"/>
    <x v="6"/>
    <x v="118"/>
    <x v="146"/>
    <x v="7"/>
    <s v="Canada"/>
    <m/>
    <x v="0"/>
    <s v="D"/>
    <x v="0"/>
    <d v="1943-07-05T00:00:00"/>
    <s v="Louie"/>
    <s v="Brandt"/>
    <m/>
    <d v="2023-04-04T05:01:00"/>
    <m/>
    <m/>
    <n v="1943"/>
    <n v="116.76"/>
    <n v="1.9"/>
    <n v="1736425629520"/>
    <n v="68.900000000000006"/>
    <n v="100.9"/>
    <n v="12.8"/>
    <n v="24.5"/>
    <n v="36991981"/>
  </r>
  <r>
    <x v="214"/>
    <x v="214"/>
    <x v="6"/>
    <x v="2074"/>
    <x v="40"/>
    <x v="30"/>
    <x v="632"/>
    <x v="105"/>
    <x v="6"/>
    <s v="Brazil"/>
    <m/>
    <x v="1"/>
    <s v="Split Family Fortune"/>
    <x v="1"/>
    <d v="1932-07-20T00:00:00"/>
    <s v="Maggi"/>
    <s v="Lucia"/>
    <s v="Philanthropist"/>
    <d v="2023-04-04T05:01:00"/>
    <m/>
    <m/>
    <n v="1932"/>
    <n v="167.4"/>
    <n v="3.7"/>
    <n v="1839758040766"/>
    <n v="51.3"/>
    <n v="115.4"/>
    <n v="14.2"/>
    <n v="65.099999999999994"/>
    <n v="212559417"/>
  </r>
  <r>
    <x v="214"/>
    <x v="214"/>
    <x v="4"/>
    <x v="2075"/>
    <x v="9"/>
    <x v="1"/>
    <x v="97"/>
    <x v="764"/>
    <x v="4"/>
    <s v="United States"/>
    <m/>
    <x v="0"/>
    <s v="E"/>
    <x v="0"/>
    <d v="1954-02-26T00:00:00"/>
    <s v="Magness"/>
    <s v="Gary"/>
    <m/>
    <d v="2023-04-04T05:01:00"/>
    <s v="Colorado"/>
    <s v="West"/>
    <n v="1954"/>
    <n v="117.24"/>
    <n v="7.5"/>
    <n v="21427700000000"/>
    <n v="88.2"/>
    <n v="101.8"/>
    <n v="9.6"/>
    <n v="36.6"/>
    <n v="328239523"/>
  </r>
  <r>
    <x v="214"/>
    <x v="214"/>
    <x v="2"/>
    <x v="2076"/>
    <x v="26"/>
    <x v="5"/>
    <x v="114"/>
    <x v="765"/>
    <x v="2"/>
    <s v="China"/>
    <m/>
    <x v="1"/>
    <s v="D"/>
    <x v="0"/>
    <d v="1941-01-01T00:00:00"/>
    <s v="Mao"/>
    <s v="Lixiang"/>
    <m/>
    <d v="2023-04-04T05:01:00"/>
    <m/>
    <m/>
    <n v="1941"/>
    <n v="125.08"/>
    <n v="2.9"/>
    <n v="19910000000000"/>
    <n v="50.6"/>
    <n v="100.2"/>
    <n v="9.4"/>
    <n v="59.2"/>
    <n v="1397715000"/>
  </r>
  <r>
    <x v="214"/>
    <x v="214"/>
    <x v="10"/>
    <x v="2077"/>
    <x v="26"/>
    <x v="13"/>
    <x v="633"/>
    <x v="108"/>
    <x v="10"/>
    <s v="United Kingdom"/>
    <m/>
    <x v="1"/>
    <s v="D"/>
    <x v="0"/>
    <d v="1940-05-03T00:00:00"/>
    <s v="McMurtry"/>
    <s v="David"/>
    <m/>
    <d v="2023-04-04T05:01:00"/>
    <m/>
    <m/>
    <n v="1940"/>
    <n v="119.62"/>
    <n v="1.7"/>
    <n v="2827113184696"/>
    <n v="60"/>
    <n v="101.2"/>
    <n v="25.5"/>
    <n v="30.6"/>
    <n v="66834405"/>
  </r>
  <r>
    <x v="214"/>
    <x v="214"/>
    <x v="10"/>
    <x v="2078"/>
    <x v="37"/>
    <x v="3"/>
    <x v="634"/>
    <x v="50"/>
    <x v="10"/>
    <s v="India"/>
    <m/>
    <x v="0"/>
    <s v="D"/>
    <x v="0"/>
    <d v="1956-12-12T00:00:00"/>
    <s v="Mehta"/>
    <s v="Deepak"/>
    <m/>
    <d v="2023-04-04T05:01:00"/>
    <m/>
    <m/>
    <n v="1956"/>
    <n v="180.44"/>
    <n v="7.7"/>
    <n v="2611000000000"/>
    <n v="28.1"/>
    <n v="113"/>
    <n v="11.2"/>
    <n v="49.7"/>
    <n v="1366417754"/>
  </r>
  <r>
    <x v="214"/>
    <x v="214"/>
    <x v="11"/>
    <x v="2079"/>
    <x v="13"/>
    <x v="5"/>
    <x v="26"/>
    <x v="36"/>
    <x v="11"/>
    <s v="China"/>
    <m/>
    <x v="1"/>
    <s v="D"/>
    <x v="0"/>
    <d v="1955-01-01T00:00:00"/>
    <s v="Miao"/>
    <s v="Shouliang"/>
    <m/>
    <d v="2023-04-04T05:01:00"/>
    <m/>
    <m/>
    <n v="1955"/>
    <n v="125.08"/>
    <n v="2.9"/>
    <n v="19910000000000"/>
    <n v="50.6"/>
    <n v="100.2"/>
    <n v="9.4"/>
    <n v="59.2"/>
    <n v="1397715000"/>
  </r>
  <r>
    <x v="214"/>
    <x v="214"/>
    <x v="14"/>
    <x v="2080"/>
    <x v="42"/>
    <x v="5"/>
    <x v="540"/>
    <x v="766"/>
    <x v="14"/>
    <s v="China"/>
    <m/>
    <x v="1"/>
    <s v="U"/>
    <x v="0"/>
    <d v="1967-12-01T00:00:00"/>
    <s v="Miao"/>
    <s v="Yongjun"/>
    <m/>
    <d v="2023-04-04T05:01:00"/>
    <m/>
    <m/>
    <n v="1967"/>
    <n v="125.08"/>
    <n v="2.9"/>
    <n v="19910000000000"/>
    <n v="50.6"/>
    <n v="100.2"/>
    <n v="9.4"/>
    <n v="59.2"/>
    <n v="1397715000"/>
  </r>
  <r>
    <x v="214"/>
    <x v="214"/>
    <x v="11"/>
    <x v="2081"/>
    <x v="26"/>
    <x v="12"/>
    <x v="31"/>
    <x v="36"/>
    <x v="11"/>
    <s v="Japan"/>
    <m/>
    <x v="0"/>
    <s v="U"/>
    <x v="1"/>
    <d v="1940-09-24T00:00:00"/>
    <s v="Mori"/>
    <s v="Yoshiko"/>
    <m/>
    <d v="2023-04-04T05:01:00"/>
    <m/>
    <m/>
    <n v="1940"/>
    <n v="105.48"/>
    <n v="0.5"/>
    <n v="5081769542380"/>
    <n v="63.2"/>
    <n v="98.8"/>
    <n v="11.9"/>
    <n v="46.7"/>
    <n v="126226568"/>
  </r>
  <r>
    <x v="214"/>
    <x v="214"/>
    <x v="2"/>
    <x v="2082"/>
    <x v="41"/>
    <x v="27"/>
    <x v="199"/>
    <x v="117"/>
    <x v="2"/>
    <s v="Israel"/>
    <m/>
    <x v="1"/>
    <s v="E"/>
    <x v="0"/>
    <d v="1966-01-01T00:00:00"/>
    <s v="Nacht"/>
    <s v="Marius"/>
    <m/>
    <d v="2023-04-04T05:01:00"/>
    <m/>
    <m/>
    <n v="1966"/>
    <n v="108.15"/>
    <n v="0.8"/>
    <n v="395098666122"/>
    <n v="63.4"/>
    <n v="104.9"/>
    <n v="23.1"/>
    <n v="25.3"/>
    <n v="9053300"/>
  </r>
  <r>
    <x v="214"/>
    <x v="214"/>
    <x v="14"/>
    <x v="2083"/>
    <x v="44"/>
    <x v="12"/>
    <x v="635"/>
    <x v="767"/>
    <x v="14"/>
    <s v="Japan"/>
    <m/>
    <x v="0"/>
    <s v="D"/>
    <x v="1"/>
    <m/>
    <s v="Nakatani"/>
    <s v="Tadako"/>
    <m/>
    <d v="2023-04-04T05:01:00"/>
    <m/>
    <m/>
    <m/>
    <n v="105.48"/>
    <n v="0.5"/>
    <n v="5081769542380"/>
    <n v="63.2"/>
    <n v="98.8"/>
    <n v="11.9"/>
    <n v="46.7"/>
    <n v="126226568"/>
  </r>
  <r>
    <x v="214"/>
    <x v="214"/>
    <x v="12"/>
    <x v="2084"/>
    <x v="2"/>
    <x v="44"/>
    <x v="504"/>
    <x v="72"/>
    <x v="12"/>
    <s v="Ukraine"/>
    <m/>
    <x v="1"/>
    <s v="U"/>
    <x v="0"/>
    <d v="1963-06-03T00:00:00"/>
    <s v="Novinsky"/>
    <s v="Vadim"/>
    <m/>
    <d v="2023-04-04T05:01:00"/>
    <m/>
    <m/>
    <n v="1963"/>
    <n v="281.66000000000003"/>
    <n v="7.9"/>
    <n v="153781069118"/>
    <n v="82.7"/>
    <n v="99"/>
    <n v="20.100000000000001"/>
    <n v="45.2"/>
    <n v="44385155"/>
  </r>
  <r>
    <x v="214"/>
    <x v="214"/>
    <x v="3"/>
    <x v="2085"/>
    <x v="12"/>
    <x v="23"/>
    <x v="73"/>
    <x v="768"/>
    <x v="3"/>
    <s v="Thailand"/>
    <m/>
    <x v="0"/>
    <s v="D"/>
    <x v="0"/>
    <d v="1973-10-18T00:00:00"/>
    <s v="Osathanugrah"/>
    <s v="Niti"/>
    <m/>
    <d v="2023-04-04T05:01:00"/>
    <m/>
    <m/>
    <n v="1973"/>
    <n v="113.27"/>
    <n v="0.7"/>
    <n v="543649976166"/>
    <n v="49.3"/>
    <n v="99.8"/>
    <n v="14.9"/>
    <n v="29.5"/>
    <n v="69625582"/>
  </r>
  <r>
    <x v="214"/>
    <x v="214"/>
    <x v="3"/>
    <x v="2086"/>
    <x v="41"/>
    <x v="14"/>
    <x v="83"/>
    <x v="38"/>
    <x v="3"/>
    <s v="Australia"/>
    <m/>
    <x v="0"/>
    <s v="D"/>
    <x v="1"/>
    <d v="1966-04-01T00:00:00"/>
    <s v="Packer"/>
    <s v="Gretel"/>
    <m/>
    <d v="2023-04-04T05:01:00"/>
    <m/>
    <m/>
    <n v="1966"/>
    <n v="119.8"/>
    <n v="1.6"/>
    <n v="1392680589329"/>
    <n v="113.1"/>
    <n v="100.3"/>
    <n v="23"/>
    <n v="47.4"/>
    <n v="25766605"/>
  </r>
  <r>
    <x v="214"/>
    <x v="214"/>
    <x v="10"/>
    <x v="2087"/>
    <x v="17"/>
    <x v="5"/>
    <x v="454"/>
    <x v="108"/>
    <x v="10"/>
    <s v="China"/>
    <m/>
    <x v="1"/>
    <s v="N"/>
    <x v="0"/>
    <d v="1965-01-01T00:00:00"/>
    <s v="Pan"/>
    <s v="Longquan"/>
    <m/>
    <d v="2023-04-04T05:01:00"/>
    <m/>
    <m/>
    <n v="1965"/>
    <n v="125.08"/>
    <n v="2.9"/>
    <n v="19910000000000"/>
    <n v="50.6"/>
    <n v="100.2"/>
    <n v="9.4"/>
    <n v="59.2"/>
    <n v="1397715000"/>
  </r>
  <r>
    <x v="214"/>
    <x v="214"/>
    <x v="11"/>
    <x v="2088"/>
    <x v="15"/>
    <x v="5"/>
    <x v="19"/>
    <x v="36"/>
    <x v="11"/>
    <s v="China"/>
    <m/>
    <x v="1"/>
    <s v="Split Family Fortune"/>
    <x v="0"/>
    <d v="1963-01-01T00:00:00"/>
    <s v="Pan"/>
    <s v="Shiyi"/>
    <m/>
    <d v="2023-04-04T05:01:00"/>
    <m/>
    <m/>
    <n v="1963"/>
    <n v="125.08"/>
    <n v="2.9"/>
    <n v="19910000000000"/>
    <n v="50.6"/>
    <n v="100.2"/>
    <n v="9.4"/>
    <n v="59.2"/>
    <n v="1397715000"/>
  </r>
  <r>
    <x v="214"/>
    <x v="214"/>
    <x v="14"/>
    <x v="2089"/>
    <x v="32"/>
    <x v="1"/>
    <x v="636"/>
    <x v="78"/>
    <x v="14"/>
    <s v="United States"/>
    <s v="Globus Medical"/>
    <x v="1"/>
    <s v="D"/>
    <x v="0"/>
    <d v="1966-12-25T00:00:00"/>
    <s v="Paul"/>
    <s v="David"/>
    <s v="Founder and Executive Chairman"/>
    <d v="2023-04-04T05:01:00"/>
    <s v="Pennsylvania"/>
    <s v="Northeast"/>
    <n v="1966"/>
    <n v="117.24"/>
    <n v="7.5"/>
    <n v="21427700000000"/>
    <n v="88.2"/>
    <n v="101.8"/>
    <n v="9.6"/>
    <n v="36.6"/>
    <n v="328239523"/>
  </r>
  <r>
    <x v="214"/>
    <x v="214"/>
    <x v="0"/>
    <x v="2090"/>
    <x v="14"/>
    <x v="21"/>
    <x v="69"/>
    <x v="79"/>
    <x v="0"/>
    <s v="Sweden"/>
    <m/>
    <x v="0"/>
    <s v="D"/>
    <x v="0"/>
    <d v="1985-01-01T00:00:00"/>
    <s v="Persson"/>
    <s v="Tom"/>
    <m/>
    <d v="2023-04-04T05:01:00"/>
    <m/>
    <m/>
    <n v="1985"/>
    <n v="110.51"/>
    <n v="1.8"/>
    <n v="530832908738"/>
    <n v="67"/>
    <n v="126.6"/>
    <n v="27.9"/>
    <n v="49.1"/>
    <n v="10285453"/>
  </r>
  <r>
    <x v="214"/>
    <x v="214"/>
    <x v="1"/>
    <x v="2091"/>
    <x v="10"/>
    <x v="5"/>
    <x v="327"/>
    <x v="407"/>
    <x v="1"/>
    <s v="China"/>
    <m/>
    <x v="1"/>
    <s v="R"/>
    <x v="1"/>
    <d v="1973-01-01T00:00:00"/>
    <s v="Qian"/>
    <s v="Jinghong"/>
    <m/>
    <d v="2023-04-04T05:01:00"/>
    <m/>
    <m/>
    <n v="1973"/>
    <n v="125.08"/>
    <n v="2.9"/>
    <n v="19910000000000"/>
    <n v="50.6"/>
    <n v="100.2"/>
    <n v="9.4"/>
    <n v="59.2"/>
    <n v="1397715000"/>
  </r>
  <r>
    <x v="214"/>
    <x v="214"/>
    <x v="10"/>
    <x v="2092"/>
    <x v="41"/>
    <x v="5"/>
    <x v="346"/>
    <x v="769"/>
    <x v="10"/>
    <s v="China"/>
    <m/>
    <x v="1"/>
    <s v="D"/>
    <x v="0"/>
    <d v="1965-07-01T00:00:00"/>
    <s v="Qin"/>
    <s v="Long"/>
    <m/>
    <d v="2023-04-04T05:01:00"/>
    <m/>
    <m/>
    <n v="1965"/>
    <n v="125.08"/>
    <n v="2.9"/>
    <n v="19910000000000"/>
    <n v="50.6"/>
    <n v="100.2"/>
    <n v="9.4"/>
    <n v="59.2"/>
    <n v="1397715000"/>
  </r>
  <r>
    <x v="214"/>
    <x v="214"/>
    <x v="14"/>
    <x v="2093"/>
    <x v="8"/>
    <x v="3"/>
    <x v="245"/>
    <x v="83"/>
    <x v="14"/>
    <s v="India"/>
    <m/>
    <x v="1"/>
    <s v="D"/>
    <x v="0"/>
    <d v="1957-04-18T00:00:00"/>
    <s v="Reddy"/>
    <s v="M.Satyanarayana"/>
    <m/>
    <d v="2023-04-04T05:01:00"/>
    <m/>
    <m/>
    <n v="1957"/>
    <n v="180.44"/>
    <n v="7.7"/>
    <n v="2611000000000"/>
    <n v="28.1"/>
    <n v="113"/>
    <n v="11.2"/>
    <n v="49.7"/>
    <n v="1366417754"/>
  </r>
  <r>
    <x v="214"/>
    <x v="214"/>
    <x v="6"/>
    <x v="2094"/>
    <x v="46"/>
    <x v="15"/>
    <x v="42"/>
    <x v="8"/>
    <x v="6"/>
    <s v="Indonesia"/>
    <m/>
    <x v="1"/>
    <s v="D"/>
    <x v="0"/>
    <d v="1929-05-12T00:00:00"/>
    <s v="Riady"/>
    <s v="Mochtar"/>
    <m/>
    <d v="2023-04-04T05:01:00"/>
    <m/>
    <m/>
    <n v="1929"/>
    <n v="151.18"/>
    <n v="3"/>
    <n v="1119190780753"/>
    <n v="36.299999999999997"/>
    <n v="106.4"/>
    <n v="10.199999999999999"/>
    <n v="30.1"/>
    <n v="270203917"/>
  </r>
  <r>
    <x v="214"/>
    <x v="214"/>
    <x v="0"/>
    <x v="2095"/>
    <x v="66"/>
    <x v="1"/>
    <x v="115"/>
    <x v="770"/>
    <x v="0"/>
    <s v="Barbados"/>
    <m/>
    <x v="1"/>
    <s v="D"/>
    <x v="1"/>
    <d v="1988-02-20T00:00:00"/>
    <s v="Rihanna"/>
    <m/>
    <s v="Musician"/>
    <d v="2023-04-04T05:01:00"/>
    <s v="California"/>
    <s v="West"/>
    <n v="1988"/>
    <n v="117.24"/>
    <n v="7.5"/>
    <n v="21427700000000"/>
    <n v="88.2"/>
    <n v="101.8"/>
    <n v="9.6"/>
    <n v="36.6"/>
    <n v="328239523"/>
  </r>
  <r>
    <x v="214"/>
    <x v="214"/>
    <x v="16"/>
    <x v="2096"/>
    <x v="37"/>
    <x v="17"/>
    <x v="48"/>
    <x v="771"/>
    <x v="16"/>
    <s v="Russia"/>
    <m/>
    <x v="1"/>
    <s v="U"/>
    <x v="0"/>
    <d v="1957-01-03T00:00:00"/>
    <s v="Rotenberg"/>
    <s v="Boris"/>
    <m/>
    <d v="2023-04-04T05:01:00"/>
    <m/>
    <m/>
    <n v="1957"/>
    <n v="180.75"/>
    <n v="4.5"/>
    <n v="1699876578871"/>
    <n v="81.900000000000006"/>
    <n v="102.6"/>
    <n v="11.4"/>
    <n v="46.2"/>
    <n v="144373535"/>
  </r>
  <r>
    <x v="214"/>
    <x v="214"/>
    <x v="11"/>
    <x v="2097"/>
    <x v="55"/>
    <x v="3"/>
    <x v="7"/>
    <x v="36"/>
    <x v="11"/>
    <s v="India"/>
    <m/>
    <x v="1"/>
    <s v="E"/>
    <x v="0"/>
    <d v="1943-05-22T00:00:00"/>
    <s v="Runwal"/>
    <s v="Subhash"/>
    <m/>
    <d v="2023-04-04T05:01:00"/>
    <m/>
    <m/>
    <n v="1943"/>
    <n v="180.44"/>
    <n v="7.7"/>
    <n v="2611000000000"/>
    <n v="28.1"/>
    <n v="113"/>
    <n v="11.2"/>
    <n v="49.7"/>
    <n v="1366417754"/>
  </r>
  <r>
    <x v="214"/>
    <x v="214"/>
    <x v="10"/>
    <x v="2098"/>
    <x v="10"/>
    <x v="17"/>
    <x v="48"/>
    <x v="467"/>
    <x v="10"/>
    <s v="Russia"/>
    <m/>
    <x v="1"/>
    <s v="U"/>
    <x v="0"/>
    <d v="1972-05-16T00:00:00"/>
    <s v="Rybakov"/>
    <s v="Igor"/>
    <m/>
    <d v="2023-04-04T05:01:00"/>
    <m/>
    <m/>
    <n v="1972"/>
    <n v="180.75"/>
    <n v="4.5"/>
    <n v="1699876578871"/>
    <n v="81.900000000000006"/>
    <n v="102.6"/>
    <n v="11.4"/>
    <n v="46.2"/>
    <n v="144373535"/>
  </r>
  <r>
    <x v="214"/>
    <x v="214"/>
    <x v="14"/>
    <x v="2099"/>
    <x v="38"/>
    <x v="30"/>
    <x v="637"/>
    <x v="374"/>
    <x v="14"/>
    <s v="Brazil"/>
    <m/>
    <x v="0"/>
    <s v="E"/>
    <x v="0"/>
    <d v="1962-01-21T00:00:00"/>
    <s v="Sanchez"/>
    <s v="Carlos"/>
    <m/>
    <d v="2023-04-04T05:01:00"/>
    <m/>
    <m/>
    <n v="1962"/>
    <n v="167.4"/>
    <n v="3.7"/>
    <n v="1839758040766"/>
    <n v="51.3"/>
    <n v="115.4"/>
    <n v="14.2"/>
    <n v="65.099999999999994"/>
    <n v="212559417"/>
  </r>
  <r>
    <x v="214"/>
    <x v="214"/>
    <x v="11"/>
    <x v="2100"/>
    <x v="18"/>
    <x v="1"/>
    <x v="46"/>
    <x v="36"/>
    <x v="11"/>
    <s v="United States"/>
    <m/>
    <x v="1"/>
    <s v="E"/>
    <x v="0"/>
    <d v="1937-12-31T00:00:00"/>
    <s v="Selig"/>
    <s v="Martin"/>
    <m/>
    <d v="2023-04-04T05:01:00"/>
    <s v="Washington"/>
    <s v="West"/>
    <n v="1937"/>
    <n v="117.24"/>
    <n v="7.5"/>
    <n v="21427700000000"/>
    <n v="88.2"/>
    <n v="101.8"/>
    <n v="9.6"/>
    <n v="36.6"/>
    <n v="328239523"/>
  </r>
  <r>
    <x v="214"/>
    <x v="214"/>
    <x v="13"/>
    <x v="2101"/>
    <x v="38"/>
    <x v="17"/>
    <x v="638"/>
    <x v="772"/>
    <x v="13"/>
    <s v="Russia"/>
    <m/>
    <x v="1"/>
    <s v="U"/>
    <x v="0"/>
    <d v="1962-03-07T00:00:00"/>
    <s v="Shaimiev"/>
    <s v="Airat"/>
    <m/>
    <d v="2023-04-04T05:01:00"/>
    <m/>
    <m/>
    <n v="1962"/>
    <n v="180.75"/>
    <n v="4.5"/>
    <n v="1699876578871"/>
    <n v="81.900000000000006"/>
    <n v="102.6"/>
    <n v="11.4"/>
    <n v="46.2"/>
    <n v="144373535"/>
  </r>
  <r>
    <x v="214"/>
    <x v="214"/>
    <x v="13"/>
    <x v="2102"/>
    <x v="17"/>
    <x v="17"/>
    <x v="638"/>
    <x v="772"/>
    <x v="13"/>
    <s v="Russia"/>
    <m/>
    <x v="1"/>
    <s v="U"/>
    <x v="0"/>
    <d v="1964-11-14T00:00:00"/>
    <s v="Shaimiev"/>
    <s v="Radik"/>
    <m/>
    <d v="2023-04-04T05:01:00"/>
    <m/>
    <m/>
    <n v="1964"/>
    <n v="180.75"/>
    <n v="4.5"/>
    <n v="1699876578871"/>
    <n v="81.900000000000006"/>
    <n v="102.6"/>
    <n v="11.4"/>
    <n v="46.2"/>
    <n v="144373535"/>
  </r>
  <r>
    <x v="214"/>
    <x v="214"/>
    <x v="0"/>
    <x v="2103"/>
    <x v="77"/>
    <x v="12"/>
    <x v="639"/>
    <x v="21"/>
    <x v="0"/>
    <s v="Japan"/>
    <m/>
    <x v="1"/>
    <s v="U"/>
    <x v="0"/>
    <d v="1926-03-08T00:00:00"/>
    <s v="Shimamura"/>
    <s v="Nobutoshi"/>
    <m/>
    <d v="2023-04-04T05:01:00"/>
    <m/>
    <m/>
    <n v="1926"/>
    <n v="105.48"/>
    <n v="0.5"/>
    <n v="5081769542380"/>
    <n v="63.2"/>
    <n v="98.8"/>
    <n v="11.9"/>
    <n v="46.7"/>
    <n v="126226568"/>
  </r>
  <r>
    <x v="214"/>
    <x v="214"/>
    <x v="2"/>
    <x v="2104"/>
    <x v="65"/>
    <x v="1"/>
    <x v="588"/>
    <x v="645"/>
    <x v="2"/>
    <s v="United States"/>
    <m/>
    <x v="1"/>
    <s v="E"/>
    <x v="0"/>
    <d v="1974-10-02T00:00:00"/>
    <s v="Smith"/>
    <s v="Jared"/>
    <m/>
    <d v="2023-04-04T05:01:00"/>
    <s v="Utah"/>
    <s v="West"/>
    <n v="1974"/>
    <n v="117.24"/>
    <n v="7.5"/>
    <n v="21427700000000"/>
    <n v="88.2"/>
    <n v="101.8"/>
    <n v="9.6"/>
    <n v="36.6"/>
    <n v="328239523"/>
  </r>
  <r>
    <x v="214"/>
    <x v="214"/>
    <x v="0"/>
    <x v="2105"/>
    <x v="62"/>
    <x v="21"/>
    <x v="69"/>
    <x v="79"/>
    <x v="0"/>
    <s v="Sweden"/>
    <m/>
    <x v="0"/>
    <s v="D"/>
    <x v="1"/>
    <d v="1977-01-01T00:00:00"/>
    <s v="Soderstrom"/>
    <s v="Charlotte"/>
    <m/>
    <d v="2023-04-04T05:01:00"/>
    <m/>
    <m/>
    <n v="1977"/>
    <n v="110.51"/>
    <n v="1.8"/>
    <n v="530832908738"/>
    <n v="67"/>
    <n v="126.6"/>
    <n v="27.9"/>
    <n v="49.1"/>
    <n v="10285453"/>
  </r>
  <r>
    <x v="214"/>
    <x v="214"/>
    <x v="14"/>
    <x v="2106"/>
    <x v="33"/>
    <x v="3"/>
    <x v="123"/>
    <x v="83"/>
    <x v="14"/>
    <s v="India"/>
    <m/>
    <x v="0"/>
    <s v="D"/>
    <x v="0"/>
    <d v="1971-03-24T00:00:00"/>
    <s v="Surana"/>
    <s v="Anand"/>
    <m/>
    <d v="2023-04-04T05:01:00"/>
    <m/>
    <m/>
    <n v="1971"/>
    <n v="180.44"/>
    <n v="7.7"/>
    <n v="2611000000000"/>
    <n v="28.1"/>
    <n v="113"/>
    <n v="11.2"/>
    <n v="49.7"/>
    <n v="1366417754"/>
  </r>
  <r>
    <x v="214"/>
    <x v="214"/>
    <x v="14"/>
    <x v="2107"/>
    <x v="41"/>
    <x v="3"/>
    <x v="123"/>
    <x v="83"/>
    <x v="14"/>
    <s v="India"/>
    <m/>
    <x v="0"/>
    <s v="D"/>
    <x v="0"/>
    <d v="1966-01-18T00:00:00"/>
    <s v="Surana"/>
    <s v="Dilip"/>
    <m/>
    <d v="2023-04-04T05:01:00"/>
    <m/>
    <m/>
    <n v="1966"/>
    <n v="180.44"/>
    <n v="7.7"/>
    <n v="2611000000000"/>
    <n v="28.1"/>
    <n v="113"/>
    <n v="11.2"/>
    <n v="49.7"/>
    <n v="1366417754"/>
  </r>
  <r>
    <x v="214"/>
    <x v="214"/>
    <x v="3"/>
    <x v="2108"/>
    <x v="28"/>
    <x v="1"/>
    <x v="5"/>
    <x v="8"/>
    <x v="3"/>
    <s v="United States"/>
    <m/>
    <x v="0"/>
    <s v="D"/>
    <x v="1"/>
    <d v="1927-06-25T00:00:00"/>
    <s v="Tisch"/>
    <s v="Wilma"/>
    <m/>
    <d v="2023-04-04T05:01:00"/>
    <s v="New York"/>
    <s v="Northeast"/>
    <n v="1927"/>
    <n v="117.24"/>
    <n v="7.5"/>
    <n v="21427700000000"/>
    <n v="88.2"/>
    <n v="101.8"/>
    <n v="9.6"/>
    <n v="36.6"/>
    <n v="328239523"/>
  </r>
  <r>
    <x v="214"/>
    <x v="214"/>
    <x v="2"/>
    <x v="2109"/>
    <x v="15"/>
    <x v="5"/>
    <x v="12"/>
    <x v="773"/>
    <x v="2"/>
    <s v="China"/>
    <m/>
    <x v="1"/>
    <s v="U"/>
    <x v="0"/>
    <d v="1963-01-12T00:00:00"/>
    <s v="Wang"/>
    <s v="Jianyi"/>
    <m/>
    <d v="2023-04-04T05:01:00"/>
    <m/>
    <m/>
    <n v="1963"/>
    <n v="125.08"/>
    <n v="2.9"/>
    <n v="19910000000000"/>
    <n v="50.6"/>
    <n v="100.2"/>
    <n v="9.4"/>
    <n v="59.2"/>
    <n v="1397715000"/>
  </r>
  <r>
    <x v="214"/>
    <x v="214"/>
    <x v="8"/>
    <x v="2110"/>
    <x v="17"/>
    <x v="5"/>
    <x v="34"/>
    <x v="361"/>
    <x v="8"/>
    <s v="China"/>
    <m/>
    <x v="1"/>
    <s v="U"/>
    <x v="0"/>
    <d v="1965-01-01T00:00:00"/>
    <s v="Wang"/>
    <s v="Jilei"/>
    <m/>
    <d v="2023-04-04T05:01:00"/>
    <m/>
    <m/>
    <n v="1965"/>
    <n v="125.08"/>
    <n v="2.9"/>
    <n v="19910000000000"/>
    <n v="50.6"/>
    <n v="100.2"/>
    <n v="9.4"/>
    <n v="59.2"/>
    <n v="1397715000"/>
  </r>
  <r>
    <x v="214"/>
    <x v="214"/>
    <x v="10"/>
    <x v="2111"/>
    <x v="13"/>
    <x v="5"/>
    <x v="12"/>
    <x v="108"/>
    <x v="10"/>
    <s v="China"/>
    <m/>
    <x v="1"/>
    <s v="D"/>
    <x v="0"/>
    <d v="1955-02-10T00:00:00"/>
    <s v="Wang"/>
    <s v="Shuifu"/>
    <m/>
    <d v="2023-04-04T05:01:00"/>
    <m/>
    <m/>
    <n v="1955"/>
    <n v="125.08"/>
    <n v="2.9"/>
    <n v="19910000000000"/>
    <n v="50.6"/>
    <n v="100.2"/>
    <n v="9.4"/>
    <n v="59.2"/>
    <n v="1397715000"/>
  </r>
  <r>
    <x v="214"/>
    <x v="214"/>
    <x v="10"/>
    <x v="785"/>
    <x v="31"/>
    <x v="5"/>
    <x v="481"/>
    <x v="774"/>
    <x v="10"/>
    <s v="China"/>
    <m/>
    <x v="0"/>
    <s v="D"/>
    <x v="1"/>
    <d v="1946-07-02T00:00:00"/>
    <s v="Wang"/>
    <s v="Yanqing"/>
    <m/>
    <d v="2023-04-04T05:01:00"/>
    <m/>
    <m/>
    <n v="1946"/>
    <n v="125.08"/>
    <n v="2.9"/>
    <n v="19910000000000"/>
    <n v="50.6"/>
    <n v="100.2"/>
    <n v="9.4"/>
    <n v="59.2"/>
    <n v="1397715000"/>
  </r>
  <r>
    <x v="214"/>
    <x v="214"/>
    <x v="12"/>
    <x v="2112"/>
    <x v="76"/>
    <x v="5"/>
    <x v="640"/>
    <x v="50"/>
    <x v="12"/>
    <s v="China"/>
    <m/>
    <x v="0"/>
    <s v="D"/>
    <x v="0"/>
    <d v="1996-07-01T00:00:00"/>
    <s v="Wang"/>
    <s v="Zelong"/>
    <m/>
    <d v="2023-04-04T05:01:00"/>
    <m/>
    <m/>
    <n v="1996"/>
    <n v="125.08"/>
    <n v="2.9"/>
    <n v="19910000000000"/>
    <n v="50.6"/>
    <n v="100.2"/>
    <n v="9.4"/>
    <n v="59.2"/>
    <n v="1397715000"/>
  </r>
  <r>
    <x v="214"/>
    <x v="214"/>
    <x v="10"/>
    <x v="2113"/>
    <x v="30"/>
    <x v="8"/>
    <x v="71"/>
    <x v="710"/>
    <x v="10"/>
    <s v="Switzerland"/>
    <m/>
    <x v="1"/>
    <s v="E"/>
    <x v="0"/>
    <d v="1939-02-09T00:00:00"/>
    <s v="Weber"/>
    <s v="Werner O."/>
    <m/>
    <d v="2023-04-04T05:01:00"/>
    <m/>
    <m/>
    <n v="1939"/>
    <n v="99.55"/>
    <n v="0.4"/>
    <n v="703082435360"/>
    <n v="59.6"/>
    <n v="105.2"/>
    <n v="10.1"/>
    <n v="28.8"/>
    <n v="8574832"/>
  </r>
  <r>
    <x v="214"/>
    <x v="214"/>
    <x v="10"/>
    <x v="2114"/>
    <x v="59"/>
    <x v="30"/>
    <x v="641"/>
    <x v="775"/>
    <x v="10"/>
    <s v="Brazil"/>
    <m/>
    <x v="0"/>
    <s v="U"/>
    <x v="1"/>
    <d v="1986-01-01T00:00:00"/>
    <s v="Werninghaus"/>
    <s v="Anne"/>
    <m/>
    <d v="2023-04-04T05:01:00"/>
    <m/>
    <m/>
    <n v="1986"/>
    <n v="167.4"/>
    <n v="3.7"/>
    <n v="1839758040766"/>
    <n v="51.3"/>
    <n v="115.4"/>
    <n v="14.2"/>
    <n v="65.099999999999994"/>
    <n v="212559417"/>
  </r>
  <r>
    <x v="214"/>
    <x v="214"/>
    <x v="3"/>
    <x v="2115"/>
    <x v="35"/>
    <x v="1"/>
    <x v="642"/>
    <x v="196"/>
    <x v="3"/>
    <s v="United States"/>
    <m/>
    <x v="1"/>
    <s v="U"/>
    <x v="0"/>
    <d v="1942-12-07T00:00:00"/>
    <s v="West"/>
    <s v="Alfred"/>
    <m/>
    <d v="2023-04-04T05:01:00"/>
    <s v="Pennsylvania"/>
    <s v="Northeast"/>
    <n v="1942"/>
    <n v="117.24"/>
    <n v="7.5"/>
    <n v="21427700000000"/>
    <n v="88.2"/>
    <n v="101.8"/>
    <n v="9.6"/>
    <n v="36.6"/>
    <n v="328239523"/>
  </r>
  <r>
    <x v="214"/>
    <x v="214"/>
    <x v="10"/>
    <x v="2116"/>
    <x v="13"/>
    <x v="5"/>
    <x v="454"/>
    <x v="532"/>
    <x v="10"/>
    <s v="China"/>
    <m/>
    <x v="1"/>
    <s v="E"/>
    <x v="0"/>
    <d v="1954-05-01T00:00:00"/>
    <s v="Wu"/>
    <s v="Bo"/>
    <m/>
    <d v="2023-04-04T05:01:00"/>
    <m/>
    <m/>
    <n v="1954"/>
    <n v="125.08"/>
    <n v="2.9"/>
    <n v="19910000000000"/>
    <n v="50.6"/>
    <n v="100.2"/>
    <n v="9.4"/>
    <n v="59.2"/>
    <n v="1397715000"/>
  </r>
  <r>
    <x v="214"/>
    <x v="214"/>
    <x v="10"/>
    <x v="2117"/>
    <x v="52"/>
    <x v="5"/>
    <x v="643"/>
    <x v="50"/>
    <x v="10"/>
    <s v="China"/>
    <m/>
    <x v="1"/>
    <s v="U"/>
    <x v="0"/>
    <d v="1969-05-18T00:00:00"/>
    <s v="Wu"/>
    <s v="Chaoqun"/>
    <m/>
    <d v="2023-04-04T05:01:00"/>
    <m/>
    <m/>
    <n v="1969"/>
    <n v="125.08"/>
    <n v="2.9"/>
    <n v="19910000000000"/>
    <n v="50.6"/>
    <n v="100.2"/>
    <n v="9.4"/>
    <n v="59.2"/>
    <n v="1397715000"/>
  </r>
  <r>
    <x v="214"/>
    <x v="214"/>
    <x v="2"/>
    <x v="2118"/>
    <x v="27"/>
    <x v="5"/>
    <x v="26"/>
    <x v="309"/>
    <x v="2"/>
    <s v="China"/>
    <s v="DJI Technology Co."/>
    <x v="1"/>
    <s v="E"/>
    <x v="0"/>
    <d v="1980-01-01T00:00:00"/>
    <s v="Xie"/>
    <s v="Swift"/>
    <s v="Chief Marketing Officer"/>
    <d v="2023-04-04T05:01:00"/>
    <m/>
    <m/>
    <n v="1980"/>
    <n v="125.08"/>
    <n v="2.9"/>
    <n v="19910000000000"/>
    <n v="50.6"/>
    <n v="100.2"/>
    <n v="9.4"/>
    <n v="59.2"/>
    <n v="1397715000"/>
  </r>
  <r>
    <x v="214"/>
    <x v="214"/>
    <x v="10"/>
    <x v="2119"/>
    <x v="2"/>
    <x v="5"/>
    <x v="128"/>
    <x v="364"/>
    <x v="10"/>
    <s v="China"/>
    <m/>
    <x v="1"/>
    <s v="D"/>
    <x v="0"/>
    <d v="1963-09-01T00:00:00"/>
    <s v="Xu"/>
    <s v="Guozhong"/>
    <m/>
    <d v="2023-04-04T05:01:00"/>
    <m/>
    <m/>
    <n v="1963"/>
    <n v="125.08"/>
    <n v="2.9"/>
    <n v="19910000000000"/>
    <n v="50.6"/>
    <n v="100.2"/>
    <n v="9.4"/>
    <n v="59.2"/>
    <n v="1397715000"/>
  </r>
  <r>
    <x v="214"/>
    <x v="214"/>
    <x v="7"/>
    <x v="2120"/>
    <x v="17"/>
    <x v="5"/>
    <x v="644"/>
    <x v="178"/>
    <x v="7"/>
    <s v="China"/>
    <m/>
    <x v="1"/>
    <s v="D"/>
    <x v="0"/>
    <d v="1965-01-01T00:00:00"/>
    <s v="Yao"/>
    <s v="Kuizhang"/>
    <m/>
    <d v="2023-04-04T05:01:00"/>
    <m/>
    <m/>
    <n v="1965"/>
    <n v="125.08"/>
    <n v="2.9"/>
    <n v="19910000000000"/>
    <n v="50.6"/>
    <n v="100.2"/>
    <n v="9.4"/>
    <n v="59.2"/>
    <n v="1397715000"/>
  </r>
  <r>
    <x v="214"/>
    <x v="214"/>
    <x v="11"/>
    <x v="2121"/>
    <x v="53"/>
    <x v="5"/>
    <x v="34"/>
    <x v="36"/>
    <x v="11"/>
    <s v="Hong Kong"/>
    <m/>
    <x v="1"/>
    <s v="D"/>
    <x v="0"/>
    <d v="1960-01-01T00:00:00"/>
    <s v="Yu"/>
    <s v="Peidi"/>
    <m/>
    <d v="2023-04-04T05:01:00"/>
    <m/>
    <m/>
    <n v="1960"/>
    <n v="125.08"/>
    <n v="2.9"/>
    <n v="19910000000000"/>
    <n v="50.6"/>
    <n v="100.2"/>
    <n v="9.4"/>
    <n v="59.2"/>
    <n v="1397715000"/>
  </r>
  <r>
    <x v="214"/>
    <x v="214"/>
    <x v="14"/>
    <x v="2122"/>
    <x v="33"/>
    <x v="5"/>
    <x v="26"/>
    <x v="83"/>
    <x v="14"/>
    <s v="Canada"/>
    <m/>
    <x v="0"/>
    <s v="D"/>
    <x v="1"/>
    <d v="1971-01-01T00:00:00"/>
    <s v="Yuan"/>
    <s v="Liping"/>
    <m/>
    <d v="2023-04-04T05:01:00"/>
    <m/>
    <m/>
    <n v="1971"/>
    <n v="125.08"/>
    <n v="2.9"/>
    <n v="19910000000000"/>
    <n v="50.6"/>
    <n v="100.2"/>
    <n v="9.4"/>
    <n v="59.2"/>
    <n v="1397715000"/>
  </r>
  <r>
    <x v="214"/>
    <x v="214"/>
    <x v="10"/>
    <x v="2123"/>
    <x v="15"/>
    <x v="5"/>
    <x v="645"/>
    <x v="532"/>
    <x v="10"/>
    <s v="China"/>
    <m/>
    <x v="1"/>
    <s v="D"/>
    <x v="0"/>
    <d v="1962-06-15T00:00:00"/>
    <s v="Zhang"/>
    <s v="Chuanwei"/>
    <m/>
    <d v="2023-04-04T05:01:00"/>
    <m/>
    <m/>
    <n v="1962"/>
    <n v="125.08"/>
    <n v="2.9"/>
    <n v="19910000000000"/>
    <n v="50.6"/>
    <n v="100.2"/>
    <n v="9.4"/>
    <n v="59.2"/>
    <n v="1397715000"/>
  </r>
  <r>
    <x v="214"/>
    <x v="214"/>
    <x v="11"/>
    <x v="2124"/>
    <x v="34"/>
    <x v="5"/>
    <x v="82"/>
    <x v="36"/>
    <x v="11"/>
    <s v="China"/>
    <m/>
    <x v="1"/>
    <s v="D"/>
    <x v="0"/>
    <d v="1960-04-29T00:00:00"/>
    <s v="Zhang"/>
    <s v="Keqiang"/>
    <m/>
    <d v="2023-04-04T05:01:00"/>
    <m/>
    <m/>
    <n v="1960"/>
    <n v="125.08"/>
    <n v="2.9"/>
    <n v="19910000000000"/>
    <n v="50.6"/>
    <n v="100.2"/>
    <n v="9.4"/>
    <n v="59.2"/>
    <n v="1397715000"/>
  </r>
  <r>
    <x v="214"/>
    <x v="214"/>
    <x v="11"/>
    <x v="2125"/>
    <x v="41"/>
    <x v="5"/>
    <x v="19"/>
    <x v="36"/>
    <x v="11"/>
    <s v="China"/>
    <s v="SOHO China"/>
    <x v="1"/>
    <s v="Split Family Fortune"/>
    <x v="1"/>
    <d v="1965-08-24T00:00:00"/>
    <s v="Zhang"/>
    <s v="Xin"/>
    <s v="Cofounder, CEO"/>
    <d v="2023-04-04T05:01:00"/>
    <m/>
    <m/>
    <n v="1965"/>
    <n v="125.08"/>
    <n v="2.9"/>
    <n v="19910000000000"/>
    <n v="50.6"/>
    <n v="100.2"/>
    <n v="9.4"/>
    <n v="59.2"/>
    <n v="1397715000"/>
  </r>
  <r>
    <x v="214"/>
    <x v="214"/>
    <x v="10"/>
    <x v="2126"/>
    <x v="15"/>
    <x v="5"/>
    <x v="86"/>
    <x v="532"/>
    <x v="10"/>
    <s v="China"/>
    <m/>
    <x v="1"/>
    <s v="D"/>
    <x v="0"/>
    <d v="1963-01-01T00:00:00"/>
    <s v="Zhang"/>
    <s v="Xinghai"/>
    <m/>
    <d v="2023-04-04T05:01:00"/>
    <m/>
    <m/>
    <n v="1963"/>
    <n v="125.08"/>
    <n v="2.9"/>
    <n v="19910000000000"/>
    <n v="50.6"/>
    <n v="100.2"/>
    <n v="9.4"/>
    <n v="59.2"/>
    <n v="1397715000"/>
  </r>
  <r>
    <x v="214"/>
    <x v="214"/>
    <x v="10"/>
    <x v="2127"/>
    <x v="34"/>
    <x v="5"/>
    <x v="114"/>
    <x v="332"/>
    <x v="10"/>
    <s v="China"/>
    <m/>
    <x v="1"/>
    <s v="D"/>
    <x v="0"/>
    <d v="1961-01-01T00:00:00"/>
    <s v="Zheng"/>
    <s v="Jianjiang"/>
    <m/>
    <d v="2023-04-04T05:01:00"/>
    <m/>
    <m/>
    <n v="1961"/>
    <n v="125.08"/>
    <n v="2.9"/>
    <n v="19910000000000"/>
    <n v="50.6"/>
    <n v="100.2"/>
    <n v="9.4"/>
    <n v="59.2"/>
    <n v="1397715000"/>
  </r>
  <r>
    <x v="214"/>
    <x v="214"/>
    <x v="11"/>
    <x v="2128"/>
    <x v="8"/>
    <x v="25"/>
    <x v="76"/>
    <x v="36"/>
    <x v="11"/>
    <s v="Singapore"/>
    <m/>
    <x v="1"/>
    <s v="D"/>
    <x v="0"/>
    <d v="1958-03-03T00:00:00"/>
    <s v="Zhong"/>
    <s v="Sheng Jian"/>
    <m/>
    <d v="2023-04-04T05:01:00"/>
    <m/>
    <m/>
    <n v="1958"/>
    <n v="114.41"/>
    <n v="0.6"/>
    <n v="372062527489"/>
    <n v="84.8"/>
    <n v="100.6"/>
    <n v="13.1"/>
    <n v="21"/>
    <n v="5703569"/>
  </r>
  <r>
    <x v="214"/>
    <x v="214"/>
    <x v="0"/>
    <x v="2129"/>
    <x v="41"/>
    <x v="5"/>
    <x v="34"/>
    <x v="31"/>
    <x v="0"/>
    <s v="China"/>
    <m/>
    <x v="1"/>
    <s v="D"/>
    <x v="0"/>
    <d v="1965-04-30T00:00:00"/>
    <s v="Zhou"/>
    <s v="Chengjian"/>
    <m/>
    <d v="2023-04-04T05:01:00"/>
    <m/>
    <m/>
    <n v="1965"/>
    <n v="125.08"/>
    <n v="2.9"/>
    <n v="19910000000000"/>
    <n v="50.6"/>
    <n v="100.2"/>
    <n v="9.4"/>
    <n v="59.2"/>
    <n v="1397715000"/>
  </r>
  <r>
    <x v="214"/>
    <x v="214"/>
    <x v="6"/>
    <x v="2130"/>
    <x v="53"/>
    <x v="17"/>
    <x v="229"/>
    <x v="701"/>
    <x v="6"/>
    <s v="Russia"/>
    <m/>
    <x v="1"/>
    <s v="R"/>
    <x v="0"/>
    <d v="1959-07-08T00:00:00"/>
    <s v="Zingarevich"/>
    <s v="Boris"/>
    <m/>
    <d v="2023-04-04T05:01:00"/>
    <m/>
    <m/>
    <n v="1959"/>
    <n v="180.75"/>
    <n v="4.5"/>
    <n v="1699876578871"/>
    <n v="81.900000000000006"/>
    <n v="102.6"/>
    <n v="11.4"/>
    <n v="46.2"/>
    <n v="144373535"/>
  </r>
  <r>
    <x v="215"/>
    <x v="215"/>
    <x v="1"/>
    <x v="2131"/>
    <x v="52"/>
    <x v="1"/>
    <x v="80"/>
    <x v="555"/>
    <x v="1"/>
    <s v="United States"/>
    <m/>
    <x v="1"/>
    <s v="U"/>
    <x v="0"/>
    <d v="1969-10-16T00:00:00"/>
    <s v="Adair"/>
    <s v="A. Jayson"/>
    <m/>
    <d v="2023-04-04T05:01:00"/>
    <s v="Texas"/>
    <s v="South"/>
    <n v="1969"/>
    <n v="117.24"/>
    <n v="7.5"/>
    <n v="21427700000000"/>
    <n v="88.2"/>
    <n v="101.8"/>
    <n v="9.6"/>
    <n v="36.6"/>
    <n v="328239523"/>
  </r>
  <r>
    <x v="215"/>
    <x v="215"/>
    <x v="8"/>
    <x v="2132"/>
    <x v="18"/>
    <x v="15"/>
    <x v="537"/>
    <x v="50"/>
    <x v="8"/>
    <s v="Indonesia"/>
    <m/>
    <x v="1"/>
    <s v="R"/>
    <x v="0"/>
    <d v="1938-03-24T00:00:00"/>
    <s v="Adikoesoemo"/>
    <s v="Soegiarto"/>
    <m/>
    <d v="2023-04-04T05:01:00"/>
    <m/>
    <m/>
    <n v="1938"/>
    <n v="151.18"/>
    <n v="3"/>
    <n v="1119190780753"/>
    <n v="36.299999999999997"/>
    <n v="106.4"/>
    <n v="10.199999999999999"/>
    <n v="30.1"/>
    <n v="270203917"/>
  </r>
  <r>
    <x v="215"/>
    <x v="215"/>
    <x v="14"/>
    <x v="2133"/>
    <x v="29"/>
    <x v="3"/>
    <x v="7"/>
    <x v="83"/>
    <x v="14"/>
    <s v="India"/>
    <m/>
    <x v="1"/>
    <s v="D"/>
    <x v="0"/>
    <d v="1959-02-25T00:00:00"/>
    <s v="Agarwal"/>
    <s v="Rajendra"/>
    <m/>
    <d v="2023-04-04T05:01:00"/>
    <m/>
    <m/>
    <n v="1959"/>
    <n v="180.44"/>
    <n v="7.7"/>
    <n v="2611000000000"/>
    <n v="28.1"/>
    <n v="113"/>
    <n v="11.2"/>
    <n v="49.7"/>
    <n v="1366417754"/>
  </r>
  <r>
    <x v="215"/>
    <x v="215"/>
    <x v="14"/>
    <x v="2134"/>
    <x v="31"/>
    <x v="3"/>
    <x v="646"/>
    <x v="83"/>
    <x v="14"/>
    <s v="India"/>
    <m/>
    <x v="0"/>
    <s v="D"/>
    <x v="0"/>
    <d v="1946-12-04T00:00:00"/>
    <s v="Amin"/>
    <s v="Chirayu"/>
    <m/>
    <d v="2023-04-04T05:01:00"/>
    <m/>
    <m/>
    <n v="1946"/>
    <n v="180.44"/>
    <n v="7.7"/>
    <n v="2611000000000"/>
    <n v="28.1"/>
    <n v="113"/>
    <n v="11.2"/>
    <n v="49.7"/>
    <n v="1366417754"/>
  </r>
  <r>
    <x v="215"/>
    <x v="215"/>
    <x v="11"/>
    <x v="2135"/>
    <x v="25"/>
    <x v="23"/>
    <x v="73"/>
    <x v="36"/>
    <x v="11"/>
    <s v="Thailand"/>
    <m/>
    <x v="1"/>
    <s v="E"/>
    <x v="0"/>
    <d v="1950-08-11T00:00:00"/>
    <s v="Asavabhokhin"/>
    <s v="Anant"/>
    <m/>
    <d v="2023-04-04T05:01:00"/>
    <m/>
    <m/>
    <n v="1950"/>
    <n v="113.27"/>
    <n v="0.7"/>
    <n v="543649976166"/>
    <n v="49.3"/>
    <n v="99.8"/>
    <n v="14.9"/>
    <n v="29.5"/>
    <n v="69625582"/>
  </r>
  <r>
    <x v="215"/>
    <x v="215"/>
    <x v="3"/>
    <x v="2136"/>
    <x v="42"/>
    <x v="17"/>
    <x v="48"/>
    <x v="776"/>
    <x v="3"/>
    <s v="Russia"/>
    <m/>
    <x v="1"/>
    <s v="R"/>
    <x v="0"/>
    <d v="1967-07-17T00:00:00"/>
    <s v="Avdeev"/>
    <s v="Roman"/>
    <m/>
    <d v="2023-04-04T05:01:00"/>
    <m/>
    <m/>
    <n v="1967"/>
    <n v="180.75"/>
    <n v="4.5"/>
    <n v="1699876578871"/>
    <n v="81.900000000000006"/>
    <n v="102.6"/>
    <n v="11.4"/>
    <n v="46.2"/>
    <n v="144373535"/>
  </r>
  <r>
    <x v="215"/>
    <x v="215"/>
    <x v="1"/>
    <x v="2137"/>
    <x v="29"/>
    <x v="27"/>
    <x v="647"/>
    <x v="738"/>
    <x v="1"/>
    <s v="Israel"/>
    <m/>
    <x v="1"/>
    <s v="D"/>
    <x v="0"/>
    <d v="1959-01-03T00:00:00"/>
    <s v="Aviram"/>
    <s v="Ziv"/>
    <m/>
    <d v="2023-04-04T05:01:00"/>
    <m/>
    <m/>
    <n v="1959"/>
    <n v="108.15"/>
    <n v="0.8"/>
    <n v="395098666122"/>
    <n v="63.4"/>
    <n v="104.9"/>
    <n v="23.1"/>
    <n v="25.3"/>
    <n v="9053300"/>
  </r>
  <r>
    <x v="215"/>
    <x v="215"/>
    <x v="0"/>
    <x v="2138"/>
    <x v="51"/>
    <x v="3"/>
    <x v="123"/>
    <x v="750"/>
    <x v="0"/>
    <s v="India"/>
    <m/>
    <x v="1"/>
    <s v="E"/>
    <x v="0"/>
    <d v="1981-08-05T00:00:00"/>
    <s v="Bansal"/>
    <s v="Sachin"/>
    <m/>
    <d v="2023-04-04T05:01:00"/>
    <m/>
    <m/>
    <n v="1981"/>
    <n v="180.44"/>
    <n v="7.7"/>
    <n v="2611000000000"/>
    <n v="28.1"/>
    <n v="113"/>
    <n v="11.2"/>
    <n v="49.7"/>
    <n v="1366417754"/>
  </r>
  <r>
    <x v="215"/>
    <x v="215"/>
    <x v="13"/>
    <x v="2139"/>
    <x v="7"/>
    <x v="15"/>
    <x v="42"/>
    <x v="43"/>
    <x v="13"/>
    <s v="Indonesia"/>
    <m/>
    <x v="1"/>
    <s v="D"/>
    <x v="0"/>
    <d v="1939-11-25T00:00:00"/>
    <s v="Barki"/>
    <s v="Kiki"/>
    <m/>
    <d v="2023-04-04T05:01:00"/>
    <m/>
    <m/>
    <n v="1939"/>
    <n v="151.18"/>
    <n v="3"/>
    <n v="1119190780753"/>
    <n v="36.299999999999997"/>
    <n v="106.4"/>
    <n v="10.199999999999999"/>
    <n v="30.1"/>
    <n v="270203917"/>
  </r>
  <r>
    <x v="215"/>
    <x v="215"/>
    <x v="16"/>
    <x v="2140"/>
    <x v="15"/>
    <x v="13"/>
    <x v="32"/>
    <x v="203"/>
    <x v="16"/>
    <s v="Russia"/>
    <m/>
    <x v="1"/>
    <s v="D"/>
    <x v="1"/>
    <d v="1963-03-08T00:00:00"/>
    <s v="Baturina"/>
    <s v="Elena"/>
    <m/>
    <d v="2023-04-04T05:01:00"/>
    <m/>
    <m/>
    <n v="1963"/>
    <n v="119.62"/>
    <n v="1.7"/>
    <n v="2827113184696"/>
    <n v="60"/>
    <n v="101.2"/>
    <n v="25.5"/>
    <n v="30.6"/>
    <n v="66834405"/>
  </r>
  <r>
    <x v="215"/>
    <x v="215"/>
    <x v="14"/>
    <x v="2141"/>
    <x v="36"/>
    <x v="3"/>
    <x v="7"/>
    <x v="83"/>
    <x v="14"/>
    <s v="India"/>
    <m/>
    <x v="1"/>
    <s v="D"/>
    <x v="0"/>
    <d v="1953-04-02T00:00:00"/>
    <s v="Bawri"/>
    <s v="Banwari Lal"/>
    <m/>
    <d v="2023-04-04T05:01:00"/>
    <m/>
    <m/>
    <n v="1953"/>
    <n v="180.44"/>
    <n v="7.7"/>
    <n v="2611000000000"/>
    <n v="28.1"/>
    <n v="113"/>
    <n v="11.2"/>
    <n v="49.7"/>
    <n v="1366417754"/>
  </r>
  <r>
    <x v="215"/>
    <x v="215"/>
    <x v="3"/>
    <x v="2142"/>
    <x v="40"/>
    <x v="72"/>
    <x v="596"/>
    <x v="608"/>
    <x v="3"/>
    <s v="Morocco"/>
    <m/>
    <x v="0"/>
    <s v="E"/>
    <x v="0"/>
    <d v="1932-11-01T00:00:00"/>
    <s v="Benjelloun"/>
    <s v="Othman"/>
    <m/>
    <d v="2023-04-04T05:01:00"/>
    <m/>
    <m/>
    <n v="1932"/>
    <n v="111.07"/>
    <n v="0.2"/>
    <n v="118725279596"/>
    <n v="35.9"/>
    <n v="113.9"/>
    <n v="21.9"/>
    <n v="45.8"/>
    <n v="36910560"/>
  </r>
  <r>
    <x v="215"/>
    <x v="215"/>
    <x v="6"/>
    <x v="2143"/>
    <x v="37"/>
    <x v="3"/>
    <x v="41"/>
    <x v="8"/>
    <x v="6"/>
    <s v="India"/>
    <m/>
    <x v="0"/>
    <s v="D"/>
    <x v="0"/>
    <d v="1956-12-12T00:00:00"/>
    <s v="Bhartia"/>
    <s v="Hari"/>
    <m/>
    <d v="2023-04-04T05:01:00"/>
    <m/>
    <m/>
    <n v="1956"/>
    <n v="180.44"/>
    <n v="7.7"/>
    <n v="2611000000000"/>
    <n v="28.1"/>
    <n v="113"/>
    <n v="11.2"/>
    <n v="49.7"/>
    <n v="1366417754"/>
  </r>
  <r>
    <x v="215"/>
    <x v="215"/>
    <x v="14"/>
    <x v="2144"/>
    <x v="36"/>
    <x v="3"/>
    <x v="41"/>
    <x v="777"/>
    <x v="14"/>
    <s v="India"/>
    <m/>
    <x v="0"/>
    <s v="D"/>
    <x v="0"/>
    <d v="1952-11-09T00:00:00"/>
    <s v="Bhartia"/>
    <s v="Shyam"/>
    <m/>
    <d v="2023-04-04T05:01:00"/>
    <m/>
    <m/>
    <n v="1952"/>
    <n v="180.44"/>
    <n v="7.7"/>
    <n v="2611000000000"/>
    <n v="28.1"/>
    <n v="113"/>
    <n v="11.2"/>
    <n v="49.7"/>
    <n v="1366417754"/>
  </r>
  <r>
    <x v="215"/>
    <x v="215"/>
    <x v="2"/>
    <x v="2145"/>
    <x v="10"/>
    <x v="1"/>
    <x v="648"/>
    <x v="778"/>
    <x v="2"/>
    <s v="Canada"/>
    <s v="Slack"/>
    <x v="1"/>
    <s v="D"/>
    <x v="0"/>
    <d v="1973-03-21T00:00:00"/>
    <s v="Butterfield"/>
    <s v="Stewart"/>
    <s v="Cofounder and CEO"/>
    <d v="2023-04-04T05:01:00"/>
    <s v="Colorado"/>
    <s v="West"/>
    <n v="1973"/>
    <n v="117.24"/>
    <n v="7.5"/>
    <n v="21427700000000"/>
    <n v="88.2"/>
    <n v="101.8"/>
    <n v="9.6"/>
    <n v="36.6"/>
    <n v="328239523"/>
  </r>
  <r>
    <x v="215"/>
    <x v="215"/>
    <x v="2"/>
    <x v="2146"/>
    <x v="48"/>
    <x v="5"/>
    <x v="148"/>
    <x v="710"/>
    <x v="2"/>
    <s v="China"/>
    <m/>
    <x v="1"/>
    <s v="D"/>
    <x v="0"/>
    <d v="1952-02-15T00:00:00"/>
    <s v="Cai"/>
    <s v="Mingtong"/>
    <m/>
    <d v="2023-04-04T05:01:00"/>
    <m/>
    <m/>
    <n v="1952"/>
    <n v="125.08"/>
    <n v="2.9"/>
    <n v="19910000000000"/>
    <n v="50.6"/>
    <n v="100.2"/>
    <n v="9.4"/>
    <n v="59.2"/>
    <n v="1397715000"/>
  </r>
  <r>
    <x v="215"/>
    <x v="215"/>
    <x v="2"/>
    <x v="2147"/>
    <x v="60"/>
    <x v="1"/>
    <x v="649"/>
    <x v="117"/>
    <x v="2"/>
    <s v="United States"/>
    <m/>
    <x v="1"/>
    <s v="E"/>
    <x v="0"/>
    <d v="1982-04-24T00:00:00"/>
    <s v="Casalena"/>
    <s v="Anthony"/>
    <m/>
    <d v="2023-04-04T05:01:00"/>
    <s v="Maryland"/>
    <s v="South"/>
    <n v="1982"/>
    <n v="117.24"/>
    <n v="7.5"/>
    <n v="21427700000000"/>
    <n v="88.2"/>
    <n v="101.8"/>
    <n v="9.6"/>
    <n v="36.6"/>
    <n v="328239523"/>
  </r>
  <r>
    <x v="215"/>
    <x v="215"/>
    <x v="10"/>
    <x v="2148"/>
    <x v="17"/>
    <x v="5"/>
    <x v="34"/>
    <x v="779"/>
    <x v="10"/>
    <s v="China"/>
    <m/>
    <x v="1"/>
    <s v="N"/>
    <x v="0"/>
    <d v="1965-02-11T00:00:00"/>
    <s v="Chang"/>
    <s v="Jianming"/>
    <m/>
    <d v="2023-04-04T05:01:00"/>
    <m/>
    <m/>
    <n v="1965"/>
    <n v="125.08"/>
    <n v="2.9"/>
    <n v="19910000000000"/>
    <n v="50.6"/>
    <n v="100.2"/>
    <n v="9.4"/>
    <n v="59.2"/>
    <n v="1397715000"/>
  </r>
  <r>
    <x v="215"/>
    <x v="215"/>
    <x v="11"/>
    <x v="2149"/>
    <x v="31"/>
    <x v="35"/>
    <x v="152"/>
    <x v="780"/>
    <x v="11"/>
    <s v="Taiwan"/>
    <m/>
    <x v="1"/>
    <s v="D"/>
    <x v="0"/>
    <d v="1947-01-01T00:00:00"/>
    <s v="Chang"/>
    <s v="Richard"/>
    <m/>
    <d v="2023-04-04T05:01:00"/>
    <m/>
    <m/>
    <n v="1947"/>
    <m/>
    <m/>
    <m/>
    <m/>
    <m/>
    <m/>
    <m/>
    <m/>
  </r>
  <r>
    <x v="215"/>
    <x v="215"/>
    <x v="12"/>
    <x v="2150"/>
    <x v="34"/>
    <x v="5"/>
    <x v="650"/>
    <x v="781"/>
    <x v="12"/>
    <s v="China"/>
    <m/>
    <x v="1"/>
    <s v="D"/>
    <x v="0"/>
    <d v="1961-01-01T00:00:00"/>
    <s v="Chen"/>
    <s v="Xuehua"/>
    <m/>
    <d v="2023-04-04T05:01:00"/>
    <m/>
    <m/>
    <n v="1961"/>
    <n v="125.08"/>
    <n v="2.9"/>
    <n v="19910000000000"/>
    <n v="50.6"/>
    <n v="100.2"/>
    <n v="9.4"/>
    <n v="59.2"/>
    <n v="1397715000"/>
  </r>
  <r>
    <x v="215"/>
    <x v="215"/>
    <x v="10"/>
    <x v="2151"/>
    <x v="10"/>
    <x v="5"/>
    <x v="34"/>
    <x v="782"/>
    <x v="10"/>
    <s v="China"/>
    <m/>
    <x v="1"/>
    <s v="N"/>
    <x v="0"/>
    <d v="1973-01-01T00:00:00"/>
    <s v="Chen"/>
    <s v="Yin"/>
    <m/>
    <d v="2023-04-04T05:01:00"/>
    <m/>
    <m/>
    <n v="1973"/>
    <n v="125.08"/>
    <n v="2.9"/>
    <n v="19910000000000"/>
    <n v="50.6"/>
    <n v="100.2"/>
    <n v="9.4"/>
    <n v="59.2"/>
    <n v="1397715000"/>
  </r>
  <r>
    <x v="215"/>
    <x v="215"/>
    <x v="1"/>
    <x v="2152"/>
    <x v="29"/>
    <x v="35"/>
    <x v="153"/>
    <x v="101"/>
    <x v="1"/>
    <s v="Taiwan"/>
    <m/>
    <x v="1"/>
    <s v="D"/>
    <x v="0"/>
    <d v="1958-06-01T00:00:00"/>
    <s v="Chin"/>
    <s v="Jong Hwa"/>
    <m/>
    <d v="2023-04-04T05:01:00"/>
    <m/>
    <m/>
    <n v="1958"/>
    <m/>
    <m/>
    <m/>
    <m/>
    <m/>
    <m/>
    <m/>
    <m/>
  </r>
  <r>
    <x v="215"/>
    <x v="215"/>
    <x v="5"/>
    <x v="2153"/>
    <x v="33"/>
    <x v="1"/>
    <x v="147"/>
    <x v="783"/>
    <x v="5"/>
    <s v="United States"/>
    <m/>
    <x v="1"/>
    <s v="N"/>
    <x v="0"/>
    <d v="1970-12-09T00:00:00"/>
    <s v="Claure"/>
    <s v="R. Marcelo"/>
    <m/>
    <d v="2023-04-04T05:01:00"/>
    <s v="Florida"/>
    <s v="South"/>
    <n v="1970"/>
    <n v="117.24"/>
    <n v="7.5"/>
    <n v="21427700000000"/>
    <n v="88.2"/>
    <n v="101.8"/>
    <n v="9.6"/>
    <n v="36.6"/>
    <n v="328239523"/>
  </r>
  <r>
    <x v="215"/>
    <x v="215"/>
    <x v="3"/>
    <x v="2154"/>
    <x v="22"/>
    <x v="4"/>
    <x v="276"/>
    <x v="38"/>
    <x v="3"/>
    <s v="Spain"/>
    <m/>
    <x v="1"/>
    <s v="E"/>
    <x v="0"/>
    <d v="1946-01-20T00:00:00"/>
    <s v="Cortina"/>
    <s v="Alberto"/>
    <m/>
    <d v="2023-04-04T05:01:00"/>
    <m/>
    <m/>
    <n v="1946"/>
    <n v="110.96"/>
    <n v="0.7"/>
    <n v="1394116310769"/>
    <n v="88.9"/>
    <n v="102.7"/>
    <n v="14.2"/>
    <n v="47"/>
    <n v="47076781"/>
  </r>
  <r>
    <x v="215"/>
    <x v="215"/>
    <x v="11"/>
    <x v="2155"/>
    <x v="31"/>
    <x v="48"/>
    <x v="246"/>
    <x v="36"/>
    <x v="11"/>
    <s v="Argentina"/>
    <m/>
    <x v="1"/>
    <s v="D"/>
    <x v="0"/>
    <d v="1946-09-17T00:00:00"/>
    <s v="Costantini"/>
    <s v="Eduardo"/>
    <m/>
    <d v="2023-04-04T05:01:00"/>
    <m/>
    <m/>
    <n v="1946"/>
    <n v="232.75"/>
    <n v="53.5"/>
    <n v="449663446954"/>
    <n v="90"/>
    <n v="109.7"/>
    <n v="10.1"/>
    <n v="106.3"/>
    <n v="44938712"/>
  </r>
  <r>
    <x v="215"/>
    <x v="215"/>
    <x v="7"/>
    <x v="2156"/>
    <x v="23"/>
    <x v="5"/>
    <x v="78"/>
    <x v="267"/>
    <x v="7"/>
    <s v="China"/>
    <m/>
    <x v="1"/>
    <s v="D"/>
    <x v="0"/>
    <d v="1968-08-12T00:00:00"/>
    <s v="Dai"/>
    <s v="Wenjun"/>
    <m/>
    <d v="2023-04-04T05:01:00"/>
    <m/>
    <m/>
    <n v="1968"/>
    <n v="125.08"/>
    <n v="2.9"/>
    <n v="19910000000000"/>
    <n v="50.6"/>
    <n v="100.2"/>
    <n v="9.4"/>
    <n v="59.2"/>
    <n v="1397715000"/>
  </r>
  <r>
    <x v="215"/>
    <x v="215"/>
    <x v="2"/>
    <x v="2157"/>
    <x v="15"/>
    <x v="3"/>
    <x v="51"/>
    <x v="596"/>
    <x v="2"/>
    <s v="India"/>
    <m/>
    <x v="1"/>
    <s v="E"/>
    <x v="0"/>
    <d v="1962-05-01T00:00:00"/>
    <s v="Deshpande"/>
    <s v="Anand"/>
    <m/>
    <d v="2023-04-04T05:01:00"/>
    <m/>
    <m/>
    <n v="1962"/>
    <n v="180.44"/>
    <n v="7.7"/>
    <n v="2611000000000"/>
    <n v="28.1"/>
    <n v="113"/>
    <n v="11.2"/>
    <n v="49.7"/>
    <n v="1366417754"/>
  </r>
  <r>
    <x v="215"/>
    <x v="215"/>
    <x v="4"/>
    <x v="2158"/>
    <x v="20"/>
    <x v="47"/>
    <x v="228"/>
    <x v="16"/>
    <x v="4"/>
    <s v="Turkey"/>
    <m/>
    <x v="1"/>
    <s v="U"/>
    <x v="0"/>
    <d v="1936-04-15T00:00:00"/>
    <s v="Dogan"/>
    <s v="Aydin"/>
    <m/>
    <d v="2023-04-04T05:01:00"/>
    <m/>
    <m/>
    <n v="1936"/>
    <n v="234.44"/>
    <n v="15.2"/>
    <n v="754411708203"/>
    <n v="23.9"/>
    <n v="93.2"/>
    <n v="17.899999999999999"/>
    <n v="42.3"/>
    <n v="83429615"/>
  </r>
  <r>
    <x v="215"/>
    <x v="215"/>
    <x v="3"/>
    <x v="2159"/>
    <x v="33"/>
    <x v="28"/>
    <x v="651"/>
    <x v="285"/>
    <x v="3"/>
    <s v="Italy"/>
    <m/>
    <x v="0"/>
    <s v="N"/>
    <x v="1"/>
    <d v="1970-05-07T00:00:00"/>
    <s v="Doris"/>
    <s v="Annalisa"/>
    <m/>
    <d v="2023-04-04T05:01:00"/>
    <m/>
    <m/>
    <n v="1970"/>
    <n v="110.62"/>
    <n v="0.6"/>
    <n v="2001244392042"/>
    <n v="61.9"/>
    <n v="101.9"/>
    <n v="24.3"/>
    <n v="59.1"/>
    <n v="60297396"/>
  </r>
  <r>
    <x v="215"/>
    <x v="215"/>
    <x v="3"/>
    <x v="2160"/>
    <x v="42"/>
    <x v="28"/>
    <x v="95"/>
    <x v="285"/>
    <x v="3"/>
    <s v="Italy"/>
    <m/>
    <x v="0"/>
    <s v="N"/>
    <x v="0"/>
    <d v="1967-06-09T00:00:00"/>
    <s v="Doris"/>
    <s v="Massimo"/>
    <m/>
    <d v="2023-04-04T05:01:00"/>
    <m/>
    <m/>
    <n v="1967"/>
    <n v="110.62"/>
    <n v="0.6"/>
    <n v="2001244392042"/>
    <n v="61.9"/>
    <n v="101.9"/>
    <n v="24.3"/>
    <n v="59.1"/>
    <n v="60297396"/>
  </r>
  <r>
    <x v="215"/>
    <x v="215"/>
    <x v="14"/>
    <x v="2161"/>
    <x v="2"/>
    <x v="5"/>
    <x v="26"/>
    <x v="51"/>
    <x v="14"/>
    <s v="China"/>
    <m/>
    <x v="1"/>
    <s v="D"/>
    <x v="0"/>
    <d v="1963-12-01T00:00:00"/>
    <s v="Du"/>
    <s v="Weimin"/>
    <m/>
    <d v="2023-04-04T05:01:00"/>
    <m/>
    <m/>
    <n v="1963"/>
    <n v="125.08"/>
    <n v="2.9"/>
    <n v="19910000000000"/>
    <n v="50.6"/>
    <n v="100.2"/>
    <n v="9.4"/>
    <n v="59.2"/>
    <n v="1397715000"/>
  </r>
  <r>
    <x v="215"/>
    <x v="215"/>
    <x v="13"/>
    <x v="2162"/>
    <x v="5"/>
    <x v="1"/>
    <x v="106"/>
    <x v="100"/>
    <x v="13"/>
    <s v="United States"/>
    <m/>
    <x v="1"/>
    <s v="N"/>
    <x v="0"/>
    <d v="1955-12-18T00:00:00"/>
    <s v="Dunn"/>
    <s v="Timothy"/>
    <m/>
    <d v="2023-04-04T05:01:00"/>
    <s v="Texas"/>
    <s v="South"/>
    <n v="1955"/>
    <n v="117.24"/>
    <n v="7.5"/>
    <n v="21427700000000"/>
    <n v="88.2"/>
    <n v="101.8"/>
    <n v="9.6"/>
    <n v="36.6"/>
    <n v="328239523"/>
  </r>
  <r>
    <x v="215"/>
    <x v="215"/>
    <x v="4"/>
    <x v="2163"/>
    <x v="0"/>
    <x v="12"/>
    <x v="652"/>
    <x v="281"/>
    <x v="4"/>
    <s v="Japan"/>
    <m/>
    <x v="1"/>
    <s v="Split Family Fortune"/>
    <x v="1"/>
    <d v="1949-01-03T00:00:00"/>
    <s v="Erikawa"/>
    <s v="Keiko"/>
    <m/>
    <d v="2023-04-04T05:01:00"/>
    <m/>
    <m/>
    <n v="1949"/>
    <n v="105.48"/>
    <n v="0.5"/>
    <n v="5081769542380"/>
    <n v="63.2"/>
    <n v="98.8"/>
    <n v="11.9"/>
    <n v="46.7"/>
    <n v="126226568"/>
  </r>
  <r>
    <x v="215"/>
    <x v="215"/>
    <x v="4"/>
    <x v="2164"/>
    <x v="25"/>
    <x v="12"/>
    <x v="652"/>
    <x v="281"/>
    <x v="4"/>
    <s v="Japan"/>
    <m/>
    <x v="1"/>
    <s v="Split Family Fortune"/>
    <x v="0"/>
    <d v="1950-10-26T00:00:00"/>
    <s v="Erikawa"/>
    <s v="Yoichi"/>
    <m/>
    <d v="2023-04-04T05:01:00"/>
    <m/>
    <m/>
    <n v="1950"/>
    <n v="105.48"/>
    <n v="0.5"/>
    <n v="5081769542380"/>
    <n v="63.2"/>
    <n v="98.8"/>
    <n v="11.9"/>
    <n v="46.7"/>
    <n v="126226568"/>
  </r>
  <r>
    <x v="215"/>
    <x v="215"/>
    <x v="3"/>
    <x v="2165"/>
    <x v="45"/>
    <x v="6"/>
    <x v="202"/>
    <x v="784"/>
    <x v="3"/>
    <s v="Canada"/>
    <m/>
    <x v="1"/>
    <s v="D"/>
    <x v="0"/>
    <d v="1978-01-12T00:00:00"/>
    <s v="Fayer"/>
    <s v="Philip"/>
    <m/>
    <d v="2023-04-04T05:01:00"/>
    <m/>
    <m/>
    <n v="1978"/>
    <n v="116.76"/>
    <n v="1.9"/>
    <n v="1736425629520"/>
    <n v="68.900000000000006"/>
    <n v="100.9"/>
    <n v="12.8"/>
    <n v="24.5"/>
    <n v="36991981"/>
  </r>
  <r>
    <x v="215"/>
    <x v="215"/>
    <x v="11"/>
    <x v="2166"/>
    <x v="11"/>
    <x v="1"/>
    <x v="102"/>
    <x v="36"/>
    <x v="11"/>
    <s v="United States"/>
    <m/>
    <x v="1"/>
    <s v="E"/>
    <x v="0"/>
    <d v="1935-12-08T00:00:00"/>
    <s v="Finger"/>
    <s v="Marvy"/>
    <m/>
    <d v="2023-04-04T05:01:00"/>
    <s v="Texas"/>
    <m/>
    <n v="1935"/>
    <n v="117.24"/>
    <n v="7.5"/>
    <n v="21427700000000"/>
    <n v="88.2"/>
    <n v="101.8"/>
    <n v="9.6"/>
    <n v="36.6"/>
    <n v="328239523"/>
  </r>
  <r>
    <x v="215"/>
    <x v="215"/>
    <x v="16"/>
    <x v="2167"/>
    <x v="45"/>
    <x v="28"/>
    <x v="95"/>
    <x v="785"/>
    <x v="16"/>
    <s v="Italy"/>
    <m/>
    <x v="0"/>
    <s v="E"/>
    <x v="1"/>
    <d v="1977-04-24T00:00:00"/>
    <s v="Giorgetta"/>
    <s v="Simona"/>
    <m/>
    <d v="2023-04-04T05:01:00"/>
    <m/>
    <m/>
    <n v="1977"/>
    <n v="110.62"/>
    <n v="0.6"/>
    <n v="2001244392042"/>
    <n v="61.9"/>
    <n v="101.9"/>
    <n v="24.3"/>
    <n v="59.1"/>
    <n v="60297396"/>
  </r>
  <r>
    <x v="215"/>
    <x v="215"/>
    <x v="3"/>
    <x v="2168"/>
    <x v="8"/>
    <x v="1"/>
    <x v="163"/>
    <x v="37"/>
    <x v="3"/>
    <s v="United States"/>
    <m/>
    <x v="1"/>
    <s v="N"/>
    <x v="0"/>
    <d v="1957-08-19T00:00:00"/>
    <s v="Greenberg"/>
    <s v="Joel"/>
    <m/>
    <d v="2023-04-04T05:01:00"/>
    <s v="Pennsylvania"/>
    <s v="Northeast"/>
    <n v="1957"/>
    <n v="117.24"/>
    <n v="7.5"/>
    <n v="21427700000000"/>
    <n v="88.2"/>
    <n v="101.8"/>
    <n v="9.6"/>
    <n v="36.6"/>
    <n v="328239523"/>
  </r>
  <r>
    <x v="215"/>
    <x v="215"/>
    <x v="3"/>
    <x v="2169"/>
    <x v="2"/>
    <x v="5"/>
    <x v="26"/>
    <x v="38"/>
    <x v="3"/>
    <s v="China"/>
    <m/>
    <x v="1"/>
    <s v="D"/>
    <x v="0"/>
    <d v="1964-01-01T00:00:00"/>
    <s v="He"/>
    <s v="Zhiping"/>
    <m/>
    <d v="2023-04-04T05:01:00"/>
    <m/>
    <m/>
    <n v="1964"/>
    <n v="125.08"/>
    <n v="2.9"/>
    <n v="19910000000000"/>
    <n v="50.6"/>
    <n v="100.2"/>
    <n v="9.4"/>
    <n v="59.2"/>
    <n v="1397715000"/>
  </r>
  <r>
    <x v="215"/>
    <x v="215"/>
    <x v="10"/>
    <x v="2170"/>
    <x v="39"/>
    <x v="55"/>
    <x v="513"/>
    <x v="319"/>
    <x v="10"/>
    <s v="Finland"/>
    <m/>
    <x v="0"/>
    <s v="U"/>
    <x v="0"/>
    <d v="1987-01-01T00:00:00"/>
    <s v="Herlin"/>
    <s v="Heikki"/>
    <m/>
    <d v="2023-04-04T05:01:00"/>
    <m/>
    <m/>
    <n v="1987"/>
    <n v="112.33"/>
    <n v="1"/>
    <n v="268761201365"/>
    <n v="88.2"/>
    <n v="100.2"/>
    <n v="20.8"/>
    <n v="36.6"/>
    <n v="5520314"/>
  </r>
  <r>
    <x v="215"/>
    <x v="215"/>
    <x v="11"/>
    <x v="2171"/>
    <x v="36"/>
    <x v="5"/>
    <x v="34"/>
    <x v="36"/>
    <x v="11"/>
    <s v="Macau"/>
    <m/>
    <x v="1"/>
    <s v="D"/>
    <x v="0"/>
    <d v="1952-09-01T00:00:00"/>
    <s v="Hoi"/>
    <s v="Kin Hong"/>
    <m/>
    <d v="2023-04-04T05:01:00"/>
    <m/>
    <m/>
    <n v="1952"/>
    <n v="125.08"/>
    <n v="2.9"/>
    <n v="19910000000000"/>
    <n v="50.6"/>
    <n v="100.2"/>
    <n v="9.4"/>
    <n v="59.2"/>
    <n v="1397715000"/>
  </r>
  <r>
    <x v="215"/>
    <x v="215"/>
    <x v="3"/>
    <x v="2172"/>
    <x v="44"/>
    <x v="22"/>
    <x v="25"/>
    <x v="224"/>
    <x v="3"/>
    <s v="Malaysia"/>
    <m/>
    <x v="0"/>
    <s v="N"/>
    <x v="1"/>
    <m/>
    <s v="Hua"/>
    <s v="Lillyn Teh Li"/>
    <m/>
    <d v="2023-04-04T05:01:00"/>
    <m/>
    <m/>
    <m/>
    <m/>
    <m/>
    <m/>
    <m/>
    <m/>
    <m/>
    <m/>
    <m/>
  </r>
  <r>
    <x v="215"/>
    <x v="215"/>
    <x v="3"/>
    <x v="2173"/>
    <x v="41"/>
    <x v="1"/>
    <x v="5"/>
    <x v="786"/>
    <x v="3"/>
    <s v="United States"/>
    <m/>
    <x v="1"/>
    <s v="N"/>
    <x v="0"/>
    <d v="1965-11-16T00:00:00"/>
    <s v="Hymowitz"/>
    <s v="Gregg"/>
    <m/>
    <d v="2023-04-04T05:01:00"/>
    <s v="New York"/>
    <s v="Northeast"/>
    <n v="1965"/>
    <n v="117.24"/>
    <n v="7.5"/>
    <n v="21427700000000"/>
    <n v="88.2"/>
    <n v="101.8"/>
    <n v="9.6"/>
    <n v="36.6"/>
    <n v="328239523"/>
  </r>
  <r>
    <x v="215"/>
    <x v="215"/>
    <x v="15"/>
    <x v="2174"/>
    <x v="25"/>
    <x v="1"/>
    <x v="653"/>
    <x v="779"/>
    <x v="15"/>
    <s v="United States"/>
    <m/>
    <x v="0"/>
    <s v="E"/>
    <x v="0"/>
    <d v="1951-03-06T00:00:00"/>
    <s v="Jacobson"/>
    <s v="Mitchell"/>
    <m/>
    <d v="2023-04-04T05:01:00"/>
    <s v="New York"/>
    <s v="Northeast"/>
    <n v="1951"/>
    <n v="117.24"/>
    <n v="7.5"/>
    <n v="21427700000000"/>
    <n v="88.2"/>
    <n v="101.8"/>
    <n v="9.6"/>
    <n v="36.6"/>
    <n v="328239523"/>
  </r>
  <r>
    <x v="215"/>
    <x v="215"/>
    <x v="10"/>
    <x v="2175"/>
    <x v="38"/>
    <x v="3"/>
    <x v="654"/>
    <x v="101"/>
    <x v="10"/>
    <s v="India"/>
    <m/>
    <x v="1"/>
    <s v="D"/>
    <x v="0"/>
    <d v="1962-03-21T00:00:00"/>
    <s v="Jain"/>
    <s v="Anurang"/>
    <m/>
    <d v="2023-04-04T05:01:00"/>
    <m/>
    <m/>
    <n v="1962"/>
    <n v="180.44"/>
    <n v="7.7"/>
    <n v="2611000000000"/>
    <n v="28.1"/>
    <n v="113"/>
    <n v="11.2"/>
    <n v="49.7"/>
    <n v="1366417754"/>
  </r>
  <r>
    <x v="215"/>
    <x v="215"/>
    <x v="10"/>
    <x v="2176"/>
    <x v="29"/>
    <x v="5"/>
    <x v="655"/>
    <x v="108"/>
    <x v="10"/>
    <s v="China"/>
    <m/>
    <x v="1"/>
    <s v="E"/>
    <x v="0"/>
    <d v="1958-07-01T00:00:00"/>
    <s v="Jiang"/>
    <s v="Guiting"/>
    <m/>
    <d v="2023-04-04T05:01:00"/>
    <m/>
    <m/>
    <n v="1958"/>
    <n v="125.08"/>
    <n v="2.9"/>
    <n v="19910000000000"/>
    <n v="50.6"/>
    <n v="100.2"/>
    <n v="9.4"/>
    <n v="59.2"/>
    <n v="1397715000"/>
  </r>
  <r>
    <x v="215"/>
    <x v="215"/>
    <x v="10"/>
    <x v="2177"/>
    <x v="32"/>
    <x v="5"/>
    <x v="656"/>
    <x v="108"/>
    <x v="10"/>
    <s v="China"/>
    <m/>
    <x v="1"/>
    <s v="D"/>
    <x v="0"/>
    <d v="1967-01-08T00:00:00"/>
    <s v="Jin"/>
    <s v="Xin"/>
    <m/>
    <d v="2023-04-04T05:01:00"/>
    <m/>
    <m/>
    <n v="1967"/>
    <n v="125.08"/>
    <n v="2.9"/>
    <n v="19910000000000"/>
    <n v="50.6"/>
    <n v="100.2"/>
    <n v="9.4"/>
    <n v="59.2"/>
    <n v="1397715000"/>
  </r>
  <r>
    <x v="215"/>
    <x v="215"/>
    <x v="3"/>
    <x v="2178"/>
    <x v="34"/>
    <x v="21"/>
    <x v="69"/>
    <x v="786"/>
    <x v="3"/>
    <s v="Sweden"/>
    <m/>
    <x v="1"/>
    <s v="D"/>
    <x v="0"/>
    <d v="1960-07-15T00:00:00"/>
    <s v="Jonsson"/>
    <s v="Conni"/>
    <m/>
    <d v="2023-04-04T05:01:00"/>
    <m/>
    <m/>
    <n v="1960"/>
    <n v="110.51"/>
    <n v="1.8"/>
    <n v="530832908738"/>
    <n v="67"/>
    <n v="126.6"/>
    <n v="27.9"/>
    <n v="49.1"/>
    <n v="10285453"/>
  </r>
  <r>
    <x v="215"/>
    <x v="215"/>
    <x v="3"/>
    <x v="2179"/>
    <x v="78"/>
    <x v="1"/>
    <x v="115"/>
    <x v="150"/>
    <x v="3"/>
    <s v="United States"/>
    <m/>
    <x v="1"/>
    <s v="D"/>
    <x v="0"/>
    <d v="1921-09-11T00:00:00"/>
    <s v="Joseph"/>
    <s v="George"/>
    <m/>
    <d v="2023-04-04T05:01:00"/>
    <s v="California"/>
    <s v="West"/>
    <n v="1921"/>
    <n v="117.24"/>
    <n v="7.5"/>
    <n v="21427700000000"/>
    <n v="88.2"/>
    <n v="101.8"/>
    <n v="9.6"/>
    <n v="36.6"/>
    <n v="328239523"/>
  </r>
  <r>
    <x v="215"/>
    <x v="215"/>
    <x v="2"/>
    <x v="2180"/>
    <x v="41"/>
    <x v="25"/>
    <x v="76"/>
    <x v="676"/>
    <x v="2"/>
    <s v="France"/>
    <m/>
    <x v="1"/>
    <s v="U"/>
    <x v="0"/>
    <d v="1965-12-01T00:00:00"/>
    <s v="Junique"/>
    <s v="Laurent"/>
    <m/>
    <d v="2023-04-04T05:01:00"/>
    <m/>
    <m/>
    <n v="1965"/>
    <n v="114.41"/>
    <n v="0.6"/>
    <n v="372062527489"/>
    <n v="84.8"/>
    <n v="100.6"/>
    <n v="13.1"/>
    <n v="21"/>
    <n v="5703569"/>
  </r>
  <r>
    <x v="215"/>
    <x v="215"/>
    <x v="6"/>
    <x v="2181"/>
    <x v="15"/>
    <x v="42"/>
    <x v="657"/>
    <x v="787"/>
    <x v="6"/>
    <s v="Poland"/>
    <m/>
    <x v="1"/>
    <s v="U"/>
    <x v="0"/>
    <d v="1962-07-07T00:00:00"/>
    <s v="Juroszek"/>
    <s v="Zbigniew"/>
    <m/>
    <d v="2023-04-04T05:01:00"/>
    <m/>
    <m/>
    <n v="1962"/>
    <n v="114.11"/>
    <n v="2.2000000000000002"/>
    <n v="592164400688"/>
    <n v="67.8"/>
    <n v="100"/>
    <n v="17.399999999999999"/>
    <n v="40.799999999999997"/>
    <n v="37970874"/>
  </r>
  <r>
    <x v="215"/>
    <x v="215"/>
    <x v="2"/>
    <x v="2182"/>
    <x v="42"/>
    <x v="1"/>
    <x v="9"/>
    <x v="788"/>
    <x v="2"/>
    <s v="United States"/>
    <s v="Palantir Technologies"/>
    <x v="1"/>
    <s v="U"/>
    <x v="0"/>
    <d v="1967-10-01T00:00:00"/>
    <s v="Karp"/>
    <s v="Alexander"/>
    <s v="Cofounder and CEO"/>
    <d v="2023-04-04T05:01:00"/>
    <s v="California"/>
    <s v="West"/>
    <n v="1967"/>
    <n v="117.24"/>
    <n v="7.5"/>
    <n v="21427700000000"/>
    <n v="88.2"/>
    <n v="101.8"/>
    <n v="9.6"/>
    <n v="36.6"/>
    <n v="328239523"/>
  </r>
  <r>
    <x v="215"/>
    <x v="215"/>
    <x v="14"/>
    <x v="2183"/>
    <x v="17"/>
    <x v="1"/>
    <x v="184"/>
    <x v="78"/>
    <x v="14"/>
    <s v="United States"/>
    <s v="Masimo"/>
    <x v="1"/>
    <s v="N"/>
    <x v="0"/>
    <d v="1964-09-16T00:00:00"/>
    <s v="Kiani"/>
    <s v="Joe"/>
    <s v="Chairman and CEO"/>
    <d v="2023-04-04T05:01:00"/>
    <s v="California"/>
    <s v="West"/>
    <n v="1964"/>
    <n v="117.24"/>
    <n v="7.5"/>
    <n v="21427700000000"/>
    <n v="88.2"/>
    <n v="101.8"/>
    <n v="9.6"/>
    <n v="36.6"/>
    <n v="328239523"/>
  </r>
  <r>
    <x v="215"/>
    <x v="215"/>
    <x v="3"/>
    <x v="2184"/>
    <x v="8"/>
    <x v="1"/>
    <x v="505"/>
    <x v="38"/>
    <x v="3"/>
    <s v="United States"/>
    <s v="Baupost Group"/>
    <x v="1"/>
    <s v="D"/>
    <x v="0"/>
    <d v="1957-05-01T00:00:00"/>
    <s v="Klarman"/>
    <s v="Seth"/>
    <s v="Investor"/>
    <d v="2023-04-04T05:01:00"/>
    <s v="Massachusetts"/>
    <s v="Northeast"/>
    <n v="1957"/>
    <n v="117.24"/>
    <n v="7.5"/>
    <n v="21427700000000"/>
    <n v="88.2"/>
    <n v="101.8"/>
    <n v="9.6"/>
    <n v="36.6"/>
    <n v="328239523"/>
  </r>
  <r>
    <x v="215"/>
    <x v="215"/>
    <x v="2"/>
    <x v="2185"/>
    <x v="26"/>
    <x v="12"/>
    <x v="31"/>
    <x v="281"/>
    <x v="2"/>
    <s v="Japan"/>
    <m/>
    <x v="1"/>
    <s v="D"/>
    <x v="0"/>
    <d v="1940-11-12T00:00:00"/>
    <s v="Kozuki"/>
    <s v="Kagemasa"/>
    <m/>
    <d v="2023-04-04T05:01:00"/>
    <m/>
    <m/>
    <n v="1940"/>
    <n v="105.48"/>
    <n v="0.5"/>
    <n v="5081769542380"/>
    <n v="63.2"/>
    <n v="98.8"/>
    <n v="11.9"/>
    <n v="46.7"/>
    <n v="126226568"/>
  </r>
  <r>
    <x v="215"/>
    <x v="215"/>
    <x v="2"/>
    <x v="2186"/>
    <x v="9"/>
    <x v="1"/>
    <x v="385"/>
    <x v="21"/>
    <x v="2"/>
    <s v="United States"/>
    <s v="Sawdust Investment Management Corp."/>
    <x v="1"/>
    <s v="E"/>
    <x v="0"/>
    <d v="1953-08-08T00:00:00"/>
    <s v="Krasny"/>
    <s v="Michael"/>
    <s v="Investor"/>
    <d v="2023-04-04T05:01:00"/>
    <s v="Illinois"/>
    <s v="Midwest"/>
    <n v="1953"/>
    <n v="117.24"/>
    <n v="7.5"/>
    <n v="21427700000000"/>
    <n v="88.2"/>
    <n v="101.8"/>
    <n v="9.6"/>
    <n v="36.6"/>
    <n v="328239523"/>
  </r>
  <r>
    <x v="215"/>
    <x v="215"/>
    <x v="2"/>
    <x v="2187"/>
    <x v="36"/>
    <x v="20"/>
    <x v="68"/>
    <x v="117"/>
    <x v="2"/>
    <s v="Czech Republic"/>
    <m/>
    <x v="1"/>
    <s v="D"/>
    <x v="0"/>
    <d v="1953-01-11T00:00:00"/>
    <s v="Kucera"/>
    <s v="Eduard"/>
    <m/>
    <d v="2023-04-04T05:01:00"/>
    <m/>
    <m/>
    <n v="1953"/>
    <n v="116.48"/>
    <n v="2.8"/>
    <n v="246489245495"/>
    <n v="64.099999999999994"/>
    <n v="100.7"/>
    <n v="14.9"/>
    <n v="46.1"/>
    <n v="10669709"/>
  </r>
  <r>
    <x v="215"/>
    <x v="215"/>
    <x v="3"/>
    <x v="2188"/>
    <x v="57"/>
    <x v="13"/>
    <x v="32"/>
    <x v="789"/>
    <x v="3"/>
    <s v="Estonia"/>
    <s v="Wise"/>
    <x v="1"/>
    <s v="U"/>
    <x v="0"/>
    <d v="1980-09-01T00:00:00"/>
    <s v="Käärmann"/>
    <s v="Kristo"/>
    <s v="Cofounder"/>
    <d v="2023-04-04T05:01:00"/>
    <m/>
    <m/>
    <n v="1980"/>
    <n v="119.62"/>
    <n v="1.7"/>
    <n v="2827113184696"/>
    <n v="60"/>
    <n v="101.2"/>
    <n v="25.5"/>
    <n v="30.6"/>
    <n v="66834405"/>
  </r>
  <r>
    <x v="215"/>
    <x v="215"/>
    <x v="0"/>
    <x v="2189"/>
    <x v="15"/>
    <x v="1"/>
    <x v="70"/>
    <x v="261"/>
    <x v="0"/>
    <s v="United States"/>
    <m/>
    <x v="0"/>
    <s v="D"/>
    <x v="0"/>
    <d v="1962-05-05T00:00:00"/>
    <s v="Lauder"/>
    <s v="Gary"/>
    <m/>
    <d v="2023-04-04T05:01:00"/>
    <s v="California"/>
    <s v="West"/>
    <n v="1962"/>
    <n v="117.24"/>
    <n v="7.5"/>
    <n v="21427700000000"/>
    <n v="88.2"/>
    <n v="101.8"/>
    <n v="9.6"/>
    <n v="36.6"/>
    <n v="328239523"/>
  </r>
  <r>
    <x v="215"/>
    <x v="215"/>
    <x v="2"/>
    <x v="2190"/>
    <x v="42"/>
    <x v="32"/>
    <x v="109"/>
    <x v="633"/>
    <x v="2"/>
    <s v="South Korea"/>
    <s v="NAVER Corp."/>
    <x v="1"/>
    <s v="D"/>
    <x v="0"/>
    <d v="1967-06-22T00:00:00"/>
    <s v="Lee"/>
    <s v="Hae-jin"/>
    <m/>
    <d v="2023-04-04T05:01:00"/>
    <m/>
    <m/>
    <n v="1967"/>
    <n v="115.16"/>
    <n v="0.4"/>
    <n v="2029000000000"/>
    <n v="94.3"/>
    <n v="98.1"/>
    <n v="15.6"/>
    <n v="33.200000000000003"/>
    <n v="51709098"/>
  </r>
  <r>
    <x v="215"/>
    <x v="215"/>
    <x v="6"/>
    <x v="2191"/>
    <x v="16"/>
    <x v="1"/>
    <x v="606"/>
    <x v="790"/>
    <x v="6"/>
    <s v="United States"/>
    <m/>
    <x v="1"/>
    <s v="D"/>
    <x v="0"/>
    <d v="1950-03-31T00:00:00"/>
    <s v="Levinson"/>
    <s v="Art"/>
    <m/>
    <d v="2023-04-04T05:01:00"/>
    <s v="California"/>
    <s v="West"/>
    <n v="1950"/>
    <n v="117.24"/>
    <n v="7.5"/>
    <n v="21427700000000"/>
    <n v="88.2"/>
    <n v="101.8"/>
    <n v="9.6"/>
    <n v="36.6"/>
    <n v="328239523"/>
  </r>
  <r>
    <x v="215"/>
    <x v="215"/>
    <x v="7"/>
    <x v="2192"/>
    <x v="16"/>
    <x v="5"/>
    <x v="658"/>
    <x v="791"/>
    <x v="7"/>
    <s v="China"/>
    <m/>
    <x v="1"/>
    <s v="D"/>
    <x v="0"/>
    <d v="1949-09-01T00:00:00"/>
    <s v="Li"/>
    <s v="Denghai"/>
    <m/>
    <d v="2023-04-04T05:01:00"/>
    <m/>
    <m/>
    <n v="1949"/>
    <n v="125.08"/>
    <n v="2.9"/>
    <n v="19910000000000"/>
    <n v="50.6"/>
    <n v="100.2"/>
    <n v="9.4"/>
    <n v="59.2"/>
    <n v="1397715000"/>
  </r>
  <r>
    <x v="215"/>
    <x v="215"/>
    <x v="6"/>
    <x v="2193"/>
    <x v="38"/>
    <x v="5"/>
    <x v="659"/>
    <x v="792"/>
    <x v="6"/>
    <s v="China"/>
    <m/>
    <x v="1"/>
    <s v="E"/>
    <x v="1"/>
    <d v="1962-01-01T00:00:00"/>
    <s v="Li"/>
    <s v="Fengluan"/>
    <m/>
    <d v="2023-04-04T05:01:00"/>
    <m/>
    <m/>
    <n v="1962"/>
    <n v="125.08"/>
    <n v="2.9"/>
    <n v="19910000000000"/>
    <n v="50.6"/>
    <n v="100.2"/>
    <n v="9.4"/>
    <n v="59.2"/>
    <n v="1397715000"/>
  </r>
  <r>
    <x v="215"/>
    <x v="215"/>
    <x v="10"/>
    <x v="2194"/>
    <x v="17"/>
    <x v="5"/>
    <x v="12"/>
    <x v="793"/>
    <x v="10"/>
    <s v="China"/>
    <m/>
    <x v="1"/>
    <s v="D"/>
    <x v="0"/>
    <d v="1964-06-30T00:00:00"/>
    <s v="Li"/>
    <s v="Yongqing"/>
    <m/>
    <d v="2023-04-04T05:01:00"/>
    <m/>
    <m/>
    <n v="1964"/>
    <n v="125.08"/>
    <n v="2.9"/>
    <n v="19910000000000"/>
    <n v="50.6"/>
    <n v="100.2"/>
    <n v="9.4"/>
    <n v="59.2"/>
    <n v="1397715000"/>
  </r>
  <r>
    <x v="215"/>
    <x v="215"/>
    <x v="10"/>
    <x v="2195"/>
    <x v="62"/>
    <x v="5"/>
    <x v="269"/>
    <x v="532"/>
    <x v="10"/>
    <s v="China"/>
    <m/>
    <x v="1"/>
    <s v="D"/>
    <x v="0"/>
    <d v="1976-06-01T00:00:00"/>
    <s v="Li"/>
    <s v="Zhigang"/>
    <m/>
    <d v="2023-04-04T05:01:00"/>
    <m/>
    <m/>
    <n v="1976"/>
    <n v="125.08"/>
    <n v="2.9"/>
    <n v="19910000000000"/>
    <n v="50.6"/>
    <n v="100.2"/>
    <n v="9.4"/>
    <n v="59.2"/>
    <n v="1397715000"/>
  </r>
  <r>
    <x v="215"/>
    <x v="215"/>
    <x v="14"/>
    <x v="2196"/>
    <x v="48"/>
    <x v="5"/>
    <x v="90"/>
    <x v="83"/>
    <x v="14"/>
    <s v="China"/>
    <m/>
    <x v="1"/>
    <s v="R"/>
    <x v="0"/>
    <d v="1951-05-12T00:00:00"/>
    <s v="Liu"/>
    <s v="Gexin"/>
    <m/>
    <d v="2023-04-04T05:01:00"/>
    <m/>
    <m/>
    <n v="1951"/>
    <n v="125.08"/>
    <n v="2.9"/>
    <n v="19910000000000"/>
    <n v="50.6"/>
    <n v="100.2"/>
    <n v="9.4"/>
    <n v="59.2"/>
    <n v="1397715000"/>
  </r>
  <r>
    <x v="215"/>
    <x v="215"/>
    <x v="7"/>
    <x v="2197"/>
    <x v="13"/>
    <x v="30"/>
    <x v="632"/>
    <x v="105"/>
    <x v="7"/>
    <s v="Brazil"/>
    <m/>
    <x v="0"/>
    <s v="Split Family Fortune"/>
    <x v="0"/>
    <d v="1955-01-01T00:00:00"/>
    <s v="Locks"/>
    <s v="Itamar"/>
    <m/>
    <d v="2023-04-04T05:01:00"/>
    <m/>
    <m/>
    <n v="1955"/>
    <n v="167.4"/>
    <n v="3.7"/>
    <n v="1839758040766"/>
    <n v="51.3"/>
    <n v="115.4"/>
    <n v="14.2"/>
    <n v="65.099999999999994"/>
    <n v="212559417"/>
  </r>
  <r>
    <x v="215"/>
    <x v="215"/>
    <x v="4"/>
    <x v="2198"/>
    <x v="45"/>
    <x v="5"/>
    <x v="320"/>
    <x v="41"/>
    <x v="4"/>
    <s v="China"/>
    <m/>
    <x v="1"/>
    <s v="U"/>
    <x v="0"/>
    <d v="1977-05-31T00:00:00"/>
    <s v="Lu"/>
    <s v="Hongyan"/>
    <m/>
    <d v="2023-04-04T05:01:00"/>
    <m/>
    <m/>
    <n v="1977"/>
    <n v="125.08"/>
    <n v="2.9"/>
    <n v="19910000000000"/>
    <n v="50.6"/>
    <n v="100.2"/>
    <n v="9.4"/>
    <n v="59.2"/>
    <n v="1397715000"/>
  </r>
  <r>
    <x v="215"/>
    <x v="215"/>
    <x v="14"/>
    <x v="2199"/>
    <x v="17"/>
    <x v="5"/>
    <x v="12"/>
    <x v="191"/>
    <x v="14"/>
    <s v="Hong Kong"/>
    <m/>
    <x v="1"/>
    <s v="D"/>
    <x v="0"/>
    <d v="1965-01-01T00:00:00"/>
    <s v="Lv"/>
    <s v="Jianming"/>
    <m/>
    <d v="2023-04-04T05:01:00"/>
    <m/>
    <m/>
    <n v="1965"/>
    <n v="125.08"/>
    <n v="2.9"/>
    <n v="19910000000000"/>
    <n v="50.6"/>
    <n v="100.2"/>
    <n v="9.4"/>
    <n v="59.2"/>
    <n v="1397715000"/>
  </r>
  <r>
    <x v="215"/>
    <x v="215"/>
    <x v="7"/>
    <x v="2200"/>
    <x v="37"/>
    <x v="30"/>
    <x v="660"/>
    <x v="105"/>
    <x v="7"/>
    <s v="Brazil"/>
    <m/>
    <x v="0"/>
    <s v="Split Family Fortune"/>
    <x v="0"/>
    <d v="1956-05-29T00:00:00"/>
    <s v="Maggi"/>
    <s v="Blairo"/>
    <m/>
    <d v="2023-04-04T05:01:00"/>
    <m/>
    <m/>
    <n v="1956"/>
    <n v="167.4"/>
    <n v="3.7"/>
    <n v="1839758040766"/>
    <n v="51.3"/>
    <n v="115.4"/>
    <n v="14.2"/>
    <n v="65.099999999999994"/>
    <n v="212559417"/>
  </r>
  <r>
    <x v="215"/>
    <x v="215"/>
    <x v="6"/>
    <x v="2201"/>
    <x v="38"/>
    <x v="37"/>
    <x v="159"/>
    <x v="8"/>
    <x v="6"/>
    <s v="Egypt"/>
    <m/>
    <x v="1"/>
    <s v="U"/>
    <x v="0"/>
    <d v="1961-08-08T00:00:00"/>
    <s v="Mansour"/>
    <s v="Yasseen"/>
    <m/>
    <d v="2023-04-04T05:01:00"/>
    <m/>
    <m/>
    <n v="1961"/>
    <n v="288.57"/>
    <n v="9.1999999999999993"/>
    <n v="303175127598"/>
    <n v="35.200000000000003"/>
    <n v="106.3"/>
    <n v="12.5"/>
    <n v="44.4"/>
    <n v="100388073"/>
  </r>
  <r>
    <x v="215"/>
    <x v="215"/>
    <x v="0"/>
    <x v="2202"/>
    <x v="44"/>
    <x v="5"/>
    <x v="34"/>
    <x v="34"/>
    <x v="0"/>
    <s v="China"/>
    <m/>
    <x v="1"/>
    <s v="D"/>
    <x v="0"/>
    <m/>
    <s v="Mao"/>
    <s v="Charlwin"/>
    <m/>
    <d v="2023-04-04T05:01:00"/>
    <m/>
    <m/>
    <m/>
    <n v="125.08"/>
    <n v="2.9"/>
    <n v="19910000000000"/>
    <n v="50.6"/>
    <n v="100.2"/>
    <n v="9.4"/>
    <n v="59.2"/>
    <n v="1397715000"/>
  </r>
  <r>
    <x v="215"/>
    <x v="215"/>
    <x v="11"/>
    <x v="2203"/>
    <x v="6"/>
    <x v="1"/>
    <x v="300"/>
    <x v="36"/>
    <x v="11"/>
    <s v="United States"/>
    <m/>
    <x v="1"/>
    <s v="D"/>
    <x v="0"/>
    <d v="1941-08-15T00:00:00"/>
    <s v="Marcus"/>
    <s v="George"/>
    <m/>
    <d v="2023-04-04T05:01:00"/>
    <s v="California"/>
    <s v="West"/>
    <n v="1941"/>
    <n v="117.24"/>
    <n v="7.5"/>
    <n v="21427700000000"/>
    <n v="88.2"/>
    <n v="101.8"/>
    <n v="9.6"/>
    <n v="36.6"/>
    <n v="328239523"/>
  </r>
  <r>
    <x v="215"/>
    <x v="215"/>
    <x v="14"/>
    <x v="2204"/>
    <x v="41"/>
    <x v="0"/>
    <x v="402"/>
    <x v="439"/>
    <x v="14"/>
    <s v="France"/>
    <m/>
    <x v="1"/>
    <s v="D"/>
    <x v="0"/>
    <d v="1966-01-01T00:00:00"/>
    <s v="Martin"/>
    <s v="Yves-Loic"/>
    <m/>
    <d v="2023-04-04T05:01:00"/>
    <m/>
    <m/>
    <n v="1966"/>
    <n v="110.05"/>
    <n v="1.1000000000000001"/>
    <n v="2715518274227"/>
    <n v="65.599999999999994"/>
    <n v="102.5"/>
    <n v="24.2"/>
    <n v="60.7"/>
    <n v="67059887"/>
  </r>
  <r>
    <x v="215"/>
    <x v="215"/>
    <x v="3"/>
    <x v="2205"/>
    <x v="53"/>
    <x v="7"/>
    <x v="189"/>
    <x v="794"/>
    <x v="3"/>
    <s v="Germany"/>
    <m/>
    <x v="1"/>
    <s v="U"/>
    <x v="0"/>
    <d v="1959-05-08T00:00:00"/>
    <s v="Maschmeyer"/>
    <s v="Carsten"/>
    <m/>
    <d v="2023-04-04T05:01:00"/>
    <m/>
    <m/>
    <n v="1959"/>
    <n v="112.85"/>
    <n v="1.4"/>
    <n v="3845630030824"/>
    <n v="70.2"/>
    <n v="104"/>
    <n v="11.5"/>
    <n v="48.8"/>
    <n v="83132799"/>
  </r>
  <r>
    <x v="215"/>
    <x v="215"/>
    <x v="3"/>
    <x v="2206"/>
    <x v="44"/>
    <x v="22"/>
    <x v="25"/>
    <x v="75"/>
    <x v="3"/>
    <s v="Malaysia"/>
    <m/>
    <x v="0"/>
    <s v="N"/>
    <x v="1"/>
    <m/>
    <s v="Ming"/>
    <s v="Lillian Teh Li"/>
    <m/>
    <d v="2023-04-04T05:01:00"/>
    <m/>
    <m/>
    <m/>
    <m/>
    <m/>
    <m/>
    <m/>
    <m/>
    <m/>
    <m/>
    <m/>
  </r>
  <r>
    <x v="215"/>
    <x v="215"/>
    <x v="8"/>
    <x v="2207"/>
    <x v="17"/>
    <x v="8"/>
    <x v="436"/>
    <x v="358"/>
    <x v="8"/>
    <s v="Denmark"/>
    <m/>
    <x v="1"/>
    <s v="E"/>
    <x v="0"/>
    <d v="1964-08-01T00:00:00"/>
    <s v="Moller Nielsen"/>
    <s v="Martin"/>
    <m/>
    <d v="2023-04-04T05:01:00"/>
    <m/>
    <m/>
    <n v="1964"/>
    <n v="99.55"/>
    <n v="0.4"/>
    <n v="703082435360"/>
    <n v="59.6"/>
    <n v="105.2"/>
    <n v="10.1"/>
    <n v="28.8"/>
    <n v="8574832"/>
  </r>
  <r>
    <x v="215"/>
    <x v="215"/>
    <x v="3"/>
    <x v="2208"/>
    <x v="15"/>
    <x v="1"/>
    <x v="359"/>
    <x v="38"/>
    <x v="3"/>
    <s v="United States"/>
    <m/>
    <x v="1"/>
    <s v="N"/>
    <x v="0"/>
    <d v="1963-03-19T00:00:00"/>
    <s v="Najafi"/>
    <s v="Jahm"/>
    <m/>
    <d v="2023-04-04T05:01:00"/>
    <s v="Arizona"/>
    <s v="West"/>
    <n v="1963"/>
    <n v="117.24"/>
    <n v="7.5"/>
    <n v="21427700000000"/>
    <n v="88.2"/>
    <n v="101.8"/>
    <n v="9.6"/>
    <n v="36.6"/>
    <n v="328239523"/>
  </r>
  <r>
    <x v="215"/>
    <x v="215"/>
    <x v="3"/>
    <x v="2209"/>
    <x v="5"/>
    <x v="1"/>
    <x v="5"/>
    <x v="795"/>
    <x v="3"/>
    <s v="United States"/>
    <m/>
    <x v="1"/>
    <s v="E"/>
    <x v="0"/>
    <d v="1955-06-22T00:00:00"/>
    <s v="Nardone"/>
    <s v="Randal"/>
    <m/>
    <d v="2023-04-04T05:01:00"/>
    <s v="New York"/>
    <s v="Northeast"/>
    <n v="1955"/>
    <n v="117.24"/>
    <n v="7.5"/>
    <n v="21427700000000"/>
    <n v="88.2"/>
    <n v="101.8"/>
    <n v="9.6"/>
    <n v="36.6"/>
    <n v="328239523"/>
  </r>
  <r>
    <x v="215"/>
    <x v="215"/>
    <x v="7"/>
    <x v="2210"/>
    <x v="2"/>
    <x v="53"/>
    <x v="486"/>
    <x v="723"/>
    <x v="7"/>
    <s v="Vietnam"/>
    <m/>
    <x v="1"/>
    <s v="D"/>
    <x v="0"/>
    <d v="1963-08-23T00:00:00"/>
    <s v="Nguyen"/>
    <s v="Dang Quang"/>
    <m/>
    <d v="2023-04-04T05:01:00"/>
    <m/>
    <m/>
    <n v="1963"/>
    <n v="163.52000000000001"/>
    <n v="2.8"/>
    <n v="261921244843"/>
    <n v="28.5"/>
    <n v="110.6"/>
    <n v="19.100000000000001"/>
    <n v="37.6"/>
    <n v="96462106"/>
  </r>
  <r>
    <x v="215"/>
    <x v="215"/>
    <x v="9"/>
    <x v="2211"/>
    <x v="35"/>
    <x v="12"/>
    <x v="31"/>
    <x v="27"/>
    <x v="9"/>
    <s v="Japan"/>
    <m/>
    <x v="1"/>
    <s v="D"/>
    <x v="0"/>
    <d v="1942-10-03T00:00:00"/>
    <s v="Okada"/>
    <s v="Kazuo"/>
    <m/>
    <d v="2023-04-04T05:01:00"/>
    <m/>
    <m/>
    <n v="1942"/>
    <n v="105.48"/>
    <n v="0.5"/>
    <n v="5081769542380"/>
    <n v="63.2"/>
    <n v="98.8"/>
    <n v="11.9"/>
    <n v="46.7"/>
    <n v="126226568"/>
  </r>
  <r>
    <x v="215"/>
    <x v="215"/>
    <x v="14"/>
    <x v="2212"/>
    <x v="42"/>
    <x v="1"/>
    <x v="25"/>
    <x v="233"/>
    <x v="14"/>
    <s v="United States"/>
    <m/>
    <x v="1"/>
    <s v="U"/>
    <x v="0"/>
    <d v="1968-04-03T00:00:00"/>
    <s v="Oyler"/>
    <s v="John"/>
    <m/>
    <d v="2023-04-04T05:01:00"/>
    <s v="Nevada"/>
    <s v="West"/>
    <n v="1968"/>
    <n v="117.24"/>
    <n v="7.5"/>
    <n v="21427700000000"/>
    <n v="88.2"/>
    <n v="101.8"/>
    <n v="9.6"/>
    <n v="36.6"/>
    <n v="328239523"/>
  </r>
  <r>
    <x v="215"/>
    <x v="215"/>
    <x v="3"/>
    <x v="2213"/>
    <x v="44"/>
    <x v="22"/>
    <x v="25"/>
    <x v="75"/>
    <x v="3"/>
    <s v="Malaysia"/>
    <m/>
    <x v="0"/>
    <s v="N"/>
    <x v="0"/>
    <m/>
    <s v="Pang"/>
    <s v="William Teh Lee"/>
    <m/>
    <d v="2023-04-04T05:01:00"/>
    <m/>
    <m/>
    <m/>
    <m/>
    <m/>
    <m/>
    <m/>
    <m/>
    <m/>
    <m/>
    <m/>
  </r>
  <r>
    <x v="215"/>
    <x v="215"/>
    <x v="10"/>
    <x v="2214"/>
    <x v="11"/>
    <x v="1"/>
    <x v="395"/>
    <x v="796"/>
    <x v="10"/>
    <s v="United States"/>
    <m/>
    <x v="1"/>
    <s v="U"/>
    <x v="0"/>
    <d v="1935-08-18T00:00:00"/>
    <s v="Pedersen"/>
    <s v="George"/>
    <m/>
    <d v="2023-04-04T05:01:00"/>
    <s v="Virginia"/>
    <s v="South"/>
    <n v="1935"/>
    <n v="117.24"/>
    <n v="7.5"/>
    <n v="21427700000000"/>
    <n v="88.2"/>
    <n v="101.8"/>
    <n v="9.6"/>
    <n v="36.6"/>
    <n v="328239523"/>
  </r>
  <r>
    <x v="215"/>
    <x v="215"/>
    <x v="0"/>
    <x v="2215"/>
    <x v="14"/>
    <x v="5"/>
    <x v="34"/>
    <x v="34"/>
    <x v="0"/>
    <s v="China"/>
    <m/>
    <x v="1"/>
    <s v="D"/>
    <x v="1"/>
    <d v="1985-01-01T00:00:00"/>
    <s v="Qu"/>
    <s v="Miranda"/>
    <m/>
    <d v="2023-04-04T05:01:00"/>
    <m/>
    <m/>
    <n v="1985"/>
    <n v="125.08"/>
    <n v="2.9"/>
    <n v="19910000000000"/>
    <n v="50.6"/>
    <n v="100.2"/>
    <n v="9.4"/>
    <n v="59.2"/>
    <n v="1397715000"/>
  </r>
  <r>
    <x v="215"/>
    <x v="215"/>
    <x v="11"/>
    <x v="2216"/>
    <x v="5"/>
    <x v="3"/>
    <x v="245"/>
    <x v="36"/>
    <x v="11"/>
    <s v="India"/>
    <m/>
    <x v="1"/>
    <s v="U"/>
    <x v="0"/>
    <d v="1955-09-16T00:00:00"/>
    <s v="Rameshwar Rao"/>
    <s v="Jupally"/>
    <m/>
    <d v="2023-04-04T05:01:00"/>
    <m/>
    <m/>
    <n v="1955"/>
    <n v="180.44"/>
    <n v="7.7"/>
    <n v="2611000000000"/>
    <n v="28.1"/>
    <n v="113"/>
    <n v="11.2"/>
    <n v="49.7"/>
    <n v="1366417754"/>
  </r>
  <r>
    <x v="215"/>
    <x v="215"/>
    <x v="8"/>
    <x v="2217"/>
    <x v="25"/>
    <x v="3"/>
    <x v="123"/>
    <x v="582"/>
    <x v="8"/>
    <s v="India"/>
    <m/>
    <x v="1"/>
    <s v="D"/>
    <x v="0"/>
    <d v="1950-07-01T00:00:00"/>
    <s v="Rao"/>
    <s v="G. M."/>
    <m/>
    <d v="2023-04-04T05:01:00"/>
    <m/>
    <m/>
    <n v="1950"/>
    <n v="180.44"/>
    <n v="7.7"/>
    <n v="2611000000000"/>
    <n v="28.1"/>
    <n v="113"/>
    <n v="11.2"/>
    <n v="49.7"/>
    <n v="1366417754"/>
  </r>
  <r>
    <x v="215"/>
    <x v="215"/>
    <x v="14"/>
    <x v="2218"/>
    <x v="8"/>
    <x v="3"/>
    <x v="245"/>
    <x v="83"/>
    <x v="14"/>
    <s v="India"/>
    <m/>
    <x v="1"/>
    <s v="D"/>
    <x v="0"/>
    <d v="1958-03-30T00:00:00"/>
    <s v="Reddy"/>
    <s v="P.V. Ramprasad"/>
    <m/>
    <d v="2023-04-04T05:01:00"/>
    <m/>
    <m/>
    <n v="1958"/>
    <n v="180.44"/>
    <n v="7.7"/>
    <n v="2611000000000"/>
    <n v="28.1"/>
    <n v="113"/>
    <n v="11.2"/>
    <n v="49.7"/>
    <n v="1366417754"/>
  </r>
  <r>
    <x v="215"/>
    <x v="215"/>
    <x v="14"/>
    <x v="2219"/>
    <x v="42"/>
    <x v="3"/>
    <x v="245"/>
    <x v="83"/>
    <x v="14"/>
    <s v="India"/>
    <m/>
    <x v="0"/>
    <s v="E"/>
    <x v="0"/>
    <d v="1967-06-09T00:00:00"/>
    <s v="Reddy"/>
    <s v="Satish"/>
    <m/>
    <d v="2023-04-04T05:01:00"/>
    <m/>
    <m/>
    <n v="1967"/>
    <n v="180.44"/>
    <n v="7.7"/>
    <n v="2611000000000"/>
    <n v="28.1"/>
    <n v="113"/>
    <n v="11.2"/>
    <n v="49.7"/>
    <n v="1366417754"/>
  </r>
  <r>
    <x v="215"/>
    <x v="215"/>
    <x v="0"/>
    <x v="2220"/>
    <x v="43"/>
    <x v="4"/>
    <x v="332"/>
    <x v="81"/>
    <x v="0"/>
    <s v="Spain"/>
    <m/>
    <x v="0"/>
    <s v="D"/>
    <x v="0"/>
    <d v="1947-06-25T00:00:00"/>
    <s v="Roig"/>
    <s v="Fernando"/>
    <m/>
    <d v="2023-04-04T05:01:00"/>
    <m/>
    <m/>
    <n v="1947"/>
    <n v="110.96"/>
    <n v="0.7"/>
    <n v="1394116310769"/>
    <n v="88.9"/>
    <n v="102.7"/>
    <n v="14.2"/>
    <n v="47"/>
    <n v="47076781"/>
  </r>
  <r>
    <x v="215"/>
    <x v="215"/>
    <x v="6"/>
    <x v="2221"/>
    <x v="12"/>
    <x v="17"/>
    <x v="48"/>
    <x v="203"/>
    <x v="6"/>
    <s v="Russia"/>
    <m/>
    <x v="1"/>
    <s v="R"/>
    <x v="0"/>
    <d v="1973-05-09T00:00:00"/>
    <s v="Rotenberg"/>
    <s v="Igor"/>
    <m/>
    <d v="2023-04-04T05:01:00"/>
    <m/>
    <m/>
    <n v="1973"/>
    <n v="180.75"/>
    <n v="4.5"/>
    <n v="1699876578871"/>
    <n v="81.900000000000006"/>
    <n v="102.6"/>
    <n v="11.4"/>
    <n v="46.2"/>
    <n v="144373535"/>
  </r>
  <r>
    <x v="215"/>
    <x v="215"/>
    <x v="10"/>
    <x v="2222"/>
    <x v="15"/>
    <x v="1"/>
    <x v="25"/>
    <x v="50"/>
    <x v="10"/>
    <s v="Russia"/>
    <m/>
    <x v="1"/>
    <s v="N"/>
    <x v="0"/>
    <d v="1962-06-17T00:00:00"/>
    <s v="Rustamov"/>
    <s v="Seifeddin"/>
    <m/>
    <d v="2023-04-04T05:01:00"/>
    <s v="Virginia"/>
    <s v="South"/>
    <n v="1962"/>
    <n v="117.24"/>
    <n v="7.5"/>
    <n v="21427700000000"/>
    <n v="88.2"/>
    <n v="101.8"/>
    <n v="9.6"/>
    <n v="36.6"/>
    <n v="328239523"/>
  </r>
  <r>
    <x v="215"/>
    <x v="215"/>
    <x v="6"/>
    <x v="2223"/>
    <x v="22"/>
    <x v="47"/>
    <x v="228"/>
    <x v="8"/>
    <x v="6"/>
    <s v="Turkey"/>
    <m/>
    <x v="0"/>
    <s v="E"/>
    <x v="1"/>
    <d v="1945-08-06T00:00:00"/>
    <s v="Sahenk"/>
    <s v="Deniz"/>
    <m/>
    <d v="2023-04-04T05:01:00"/>
    <m/>
    <m/>
    <n v="1945"/>
    <n v="234.44"/>
    <n v="15.2"/>
    <n v="754411708203"/>
    <n v="23.9"/>
    <n v="93.2"/>
    <n v="17.899999999999999"/>
    <n v="42.3"/>
    <n v="83429615"/>
  </r>
  <r>
    <x v="215"/>
    <x v="215"/>
    <x v="7"/>
    <x v="2224"/>
    <x v="22"/>
    <x v="12"/>
    <x v="31"/>
    <x v="178"/>
    <x v="7"/>
    <s v="Japan"/>
    <m/>
    <x v="0"/>
    <s v="U"/>
    <x v="0"/>
    <d v="1945-11-25T00:00:00"/>
    <s v="Saji"/>
    <s v="Nobutada"/>
    <m/>
    <d v="2023-04-04T05:01:00"/>
    <m/>
    <m/>
    <n v="1945"/>
    <n v="105.48"/>
    <n v="0.5"/>
    <n v="5081769542380"/>
    <n v="63.2"/>
    <n v="98.8"/>
    <n v="11.9"/>
    <n v="46.7"/>
    <n v="126226568"/>
  </r>
  <r>
    <x v="215"/>
    <x v="215"/>
    <x v="9"/>
    <x v="2225"/>
    <x v="6"/>
    <x v="12"/>
    <x v="31"/>
    <x v="797"/>
    <x v="9"/>
    <s v="Japan"/>
    <m/>
    <x v="1"/>
    <s v="E"/>
    <x v="0"/>
    <d v="1942-01-16T00:00:00"/>
    <s v="Satomi"/>
    <s v="Hajime"/>
    <m/>
    <d v="2023-04-04T05:01:00"/>
    <m/>
    <m/>
    <n v="1942"/>
    <n v="105.48"/>
    <n v="0.5"/>
    <n v="5081769542380"/>
    <n v="63.2"/>
    <n v="98.8"/>
    <n v="11.9"/>
    <n v="46.7"/>
    <n v="126226568"/>
  </r>
  <r>
    <x v="215"/>
    <x v="215"/>
    <x v="2"/>
    <x v="2226"/>
    <x v="37"/>
    <x v="1"/>
    <x v="70"/>
    <x v="117"/>
    <x v="2"/>
    <s v="United States"/>
    <m/>
    <x v="1"/>
    <s v="E"/>
    <x v="0"/>
    <d v="1957-01-23T00:00:00"/>
    <s v="Scapa"/>
    <s v="James"/>
    <m/>
    <d v="2023-04-04T05:01:00"/>
    <s v="California"/>
    <s v="West"/>
    <n v="1957"/>
    <n v="117.24"/>
    <n v="7.5"/>
    <n v="21427700000000"/>
    <n v="88.2"/>
    <n v="101.8"/>
    <n v="9.6"/>
    <n v="36.6"/>
    <n v="328239523"/>
  </r>
  <r>
    <x v="215"/>
    <x v="215"/>
    <x v="10"/>
    <x v="2227"/>
    <x v="65"/>
    <x v="22"/>
    <x v="25"/>
    <x v="50"/>
    <x v="10"/>
    <s v="Germany"/>
    <m/>
    <x v="0"/>
    <s v="U"/>
    <x v="0"/>
    <d v="1975-01-18T00:00:00"/>
    <s v="Schnabel"/>
    <s v="Stephan"/>
    <m/>
    <d v="2023-04-04T05:01:00"/>
    <m/>
    <m/>
    <n v="1975"/>
    <m/>
    <m/>
    <m/>
    <m/>
    <m/>
    <m/>
    <m/>
    <m/>
  </r>
  <r>
    <x v="215"/>
    <x v="215"/>
    <x v="14"/>
    <x v="2228"/>
    <x v="36"/>
    <x v="3"/>
    <x v="123"/>
    <x v="291"/>
    <x v="14"/>
    <s v="India"/>
    <m/>
    <x v="1"/>
    <s v="U"/>
    <x v="0"/>
    <d v="1953-01-01T00:00:00"/>
    <s v="Shetty"/>
    <s v="Devi"/>
    <m/>
    <d v="2023-04-04T05:01:00"/>
    <m/>
    <m/>
    <n v="1953"/>
    <n v="180.44"/>
    <n v="7.7"/>
    <n v="2611000000000"/>
    <n v="28.1"/>
    <n v="113"/>
    <n v="11.2"/>
    <n v="49.7"/>
    <n v="1366417754"/>
  </r>
  <r>
    <x v="215"/>
    <x v="215"/>
    <x v="6"/>
    <x v="2229"/>
    <x v="36"/>
    <x v="17"/>
    <x v="638"/>
    <x v="772"/>
    <x v="6"/>
    <s v="Russia"/>
    <m/>
    <x v="1"/>
    <s v="E"/>
    <x v="0"/>
    <d v="1952-11-12T00:00:00"/>
    <s v="Shigaboutdinov"/>
    <s v="Albert"/>
    <m/>
    <d v="2023-04-04T05:01:00"/>
    <m/>
    <m/>
    <n v="1952"/>
    <n v="180.75"/>
    <n v="4.5"/>
    <n v="1699876578871"/>
    <n v="81.900000000000006"/>
    <n v="102.6"/>
    <n v="11.4"/>
    <n v="46.2"/>
    <n v="144373535"/>
  </r>
  <r>
    <x v="215"/>
    <x v="215"/>
    <x v="3"/>
    <x v="2230"/>
    <x v="44"/>
    <x v="22"/>
    <x v="25"/>
    <x v="75"/>
    <x v="3"/>
    <s v="Malaysia"/>
    <m/>
    <x v="0"/>
    <s v="N"/>
    <x v="1"/>
    <m/>
    <s v="Shing"/>
    <s v="Diana Teh Li"/>
    <m/>
    <d v="2023-04-04T05:01:00"/>
    <m/>
    <m/>
    <m/>
    <m/>
    <m/>
    <m/>
    <m/>
    <m/>
    <m/>
    <m/>
    <m/>
  </r>
  <r>
    <x v="215"/>
    <x v="215"/>
    <x v="7"/>
    <x v="2231"/>
    <x v="10"/>
    <x v="14"/>
    <x v="613"/>
    <x v="798"/>
    <x v="7"/>
    <s v="Russia"/>
    <m/>
    <x v="1"/>
    <s v="N"/>
    <x v="0"/>
    <d v="1972-05-14T00:00:00"/>
    <s v="Shtengelov"/>
    <s v="Denis"/>
    <m/>
    <d v="2023-04-04T05:01:00"/>
    <m/>
    <m/>
    <n v="1972"/>
    <n v="119.8"/>
    <n v="1.6"/>
    <n v="1392680589329"/>
    <n v="113.1"/>
    <n v="100.3"/>
    <n v="23"/>
    <n v="47.4"/>
    <n v="25766605"/>
  </r>
  <r>
    <x v="215"/>
    <x v="215"/>
    <x v="10"/>
    <x v="2232"/>
    <x v="32"/>
    <x v="5"/>
    <x v="507"/>
    <x v="532"/>
    <x v="10"/>
    <s v="China"/>
    <m/>
    <x v="1"/>
    <s v="D"/>
    <x v="0"/>
    <d v="1966-09-12T00:00:00"/>
    <s v="Song"/>
    <s v="Fei"/>
    <m/>
    <d v="2023-04-04T05:01:00"/>
    <m/>
    <m/>
    <n v="1966"/>
    <n v="125.08"/>
    <n v="2.9"/>
    <n v="19910000000000"/>
    <n v="50.6"/>
    <n v="100.2"/>
    <n v="9.4"/>
    <n v="59.2"/>
    <n v="1397715000"/>
  </r>
  <r>
    <x v="215"/>
    <x v="215"/>
    <x v="17"/>
    <x v="2233"/>
    <x v="23"/>
    <x v="1"/>
    <x v="396"/>
    <x v="333"/>
    <x v="17"/>
    <s v="United States"/>
    <m/>
    <x v="0"/>
    <s v="N"/>
    <x v="0"/>
    <d v="1968-12-03T00:00:00"/>
    <s v="Steinbrenner"/>
    <s v="Hal"/>
    <m/>
    <d v="2023-04-04T05:01:00"/>
    <s v="Florida"/>
    <s v="South"/>
    <n v="1968"/>
    <n v="117.24"/>
    <n v="7.5"/>
    <n v="21427700000000"/>
    <n v="88.2"/>
    <n v="101.8"/>
    <n v="9.6"/>
    <n v="36.6"/>
    <n v="328239523"/>
  </r>
  <r>
    <x v="215"/>
    <x v="215"/>
    <x v="17"/>
    <x v="2234"/>
    <x v="2"/>
    <x v="1"/>
    <x v="396"/>
    <x v="333"/>
    <x v="17"/>
    <s v="United States"/>
    <m/>
    <x v="0"/>
    <s v="N"/>
    <x v="1"/>
    <d v="1964-03-26T00:00:00"/>
    <s v="Steinbrenner"/>
    <s v="Jessica"/>
    <m/>
    <d v="2023-04-04T05:01:00"/>
    <s v="Florida"/>
    <s v="South"/>
    <n v="1964"/>
    <n v="117.24"/>
    <n v="7.5"/>
    <n v="21427700000000"/>
    <n v="88.2"/>
    <n v="101.8"/>
    <n v="9.6"/>
    <n v="36.6"/>
    <n v="328239523"/>
  </r>
  <r>
    <x v="215"/>
    <x v="215"/>
    <x v="17"/>
    <x v="2235"/>
    <x v="53"/>
    <x v="1"/>
    <x v="396"/>
    <x v="333"/>
    <x v="17"/>
    <s v="United States"/>
    <m/>
    <x v="0"/>
    <s v="N"/>
    <x v="1"/>
    <d v="1959-07-28T00:00:00"/>
    <s v="Steinbrenner Swindal"/>
    <s v="Jennifer"/>
    <m/>
    <d v="2023-04-04T05:01:00"/>
    <s v="Florida"/>
    <s v="South"/>
    <n v="1959"/>
    <n v="117.24"/>
    <n v="7.5"/>
    <n v="21427700000000"/>
    <n v="88.2"/>
    <n v="101.8"/>
    <n v="9.6"/>
    <n v="36.6"/>
    <n v="328239523"/>
  </r>
  <r>
    <x v="215"/>
    <x v="215"/>
    <x v="12"/>
    <x v="2236"/>
    <x v="29"/>
    <x v="17"/>
    <x v="661"/>
    <x v="799"/>
    <x v="12"/>
    <s v="Russia"/>
    <m/>
    <x v="1"/>
    <s v="R"/>
    <x v="0"/>
    <d v="1958-09-10T00:00:00"/>
    <s v="Strukov"/>
    <s v="Konstantin"/>
    <m/>
    <d v="2023-04-04T05:01:00"/>
    <m/>
    <m/>
    <n v="1958"/>
    <n v="180.75"/>
    <n v="4.5"/>
    <n v="1699876578871"/>
    <n v="81.900000000000006"/>
    <n v="102.6"/>
    <n v="11.4"/>
    <n v="46.2"/>
    <n v="144373535"/>
  </r>
  <r>
    <x v="215"/>
    <x v="215"/>
    <x v="13"/>
    <x v="2237"/>
    <x v="9"/>
    <x v="17"/>
    <x v="638"/>
    <x v="772"/>
    <x v="13"/>
    <s v="Russia"/>
    <m/>
    <x v="1"/>
    <s v="E"/>
    <x v="0"/>
    <d v="1954-01-04T00:00:00"/>
    <s v="Sulteev"/>
    <s v="Rustem"/>
    <m/>
    <d v="2023-04-04T05:01:00"/>
    <m/>
    <m/>
    <n v="1954"/>
    <n v="180.75"/>
    <n v="4.5"/>
    <n v="1699876578871"/>
    <n v="81.900000000000006"/>
    <n v="102.6"/>
    <n v="11.4"/>
    <n v="46.2"/>
    <n v="144373535"/>
  </r>
  <r>
    <x v="215"/>
    <x v="215"/>
    <x v="7"/>
    <x v="2238"/>
    <x v="37"/>
    <x v="7"/>
    <x v="662"/>
    <x v="429"/>
    <x v="7"/>
    <s v="Germany"/>
    <m/>
    <x v="1"/>
    <s v="D"/>
    <x v="0"/>
    <d v="1956-05-27T00:00:00"/>
    <s v="Toennies"/>
    <s v="Clemens"/>
    <m/>
    <d v="2023-04-04T05:01:00"/>
    <m/>
    <m/>
    <n v="1956"/>
    <n v="112.85"/>
    <n v="1.4"/>
    <n v="3845630030824"/>
    <n v="70.2"/>
    <n v="104"/>
    <n v="11.5"/>
    <n v="48.8"/>
    <n v="83132799"/>
  </r>
  <r>
    <x v="215"/>
    <x v="215"/>
    <x v="7"/>
    <x v="2239"/>
    <x v="54"/>
    <x v="7"/>
    <x v="662"/>
    <x v="429"/>
    <x v="7"/>
    <s v="Germany"/>
    <m/>
    <x v="0"/>
    <s v="D"/>
    <x v="0"/>
    <d v="1978-05-29T00:00:00"/>
    <s v="Toennies"/>
    <s v="Robert"/>
    <m/>
    <d v="2023-04-04T05:01:00"/>
    <m/>
    <m/>
    <n v="1978"/>
    <n v="112.85"/>
    <n v="1.4"/>
    <n v="3845630030824"/>
    <n v="70.2"/>
    <n v="104"/>
    <n v="11.5"/>
    <n v="48.8"/>
    <n v="83132799"/>
  </r>
  <r>
    <x v="215"/>
    <x v="215"/>
    <x v="11"/>
    <x v="2240"/>
    <x v="22"/>
    <x v="14"/>
    <x v="515"/>
    <x v="36"/>
    <x v="11"/>
    <s v="Australia"/>
    <m/>
    <x v="1"/>
    <s v="D"/>
    <x v="0"/>
    <d v="1946-01-12T00:00:00"/>
    <s v="Van Lieshout"/>
    <s v="John"/>
    <m/>
    <d v="2023-04-04T05:01:00"/>
    <m/>
    <m/>
    <n v="1946"/>
    <n v="119.8"/>
    <n v="1.6"/>
    <n v="1392680589329"/>
    <n v="113.1"/>
    <n v="100.3"/>
    <n v="23"/>
    <n v="47.4"/>
    <n v="25766605"/>
  </r>
  <r>
    <x v="215"/>
    <x v="215"/>
    <x v="14"/>
    <x v="2241"/>
    <x v="58"/>
    <x v="23"/>
    <x v="73"/>
    <x v="63"/>
    <x v="14"/>
    <s v="Thailand"/>
    <m/>
    <x v="1"/>
    <s v="U"/>
    <x v="0"/>
    <d v="1934-03-23T00:00:00"/>
    <s v="Viddayakorn"/>
    <s v="Pongsak"/>
    <m/>
    <d v="2023-04-04T05:01:00"/>
    <m/>
    <m/>
    <n v="1934"/>
    <n v="113.27"/>
    <n v="0.7"/>
    <n v="543649976166"/>
    <n v="49.3"/>
    <n v="99.8"/>
    <n v="14.9"/>
    <n v="29.5"/>
    <n v="69625582"/>
  </r>
  <r>
    <x v="215"/>
    <x v="215"/>
    <x v="0"/>
    <x v="2242"/>
    <x v="53"/>
    <x v="5"/>
    <x v="454"/>
    <x v="21"/>
    <x v="0"/>
    <s v="China"/>
    <m/>
    <x v="1"/>
    <s v="D"/>
    <x v="0"/>
    <d v="1960-01-01T00:00:00"/>
    <s v="Wang"/>
    <s v="Jianguo"/>
    <m/>
    <d v="2023-04-04T05:01:00"/>
    <m/>
    <m/>
    <n v="1960"/>
    <n v="125.08"/>
    <n v="2.9"/>
    <n v="19910000000000"/>
    <n v="50.6"/>
    <n v="100.2"/>
    <n v="9.4"/>
    <n v="59.2"/>
    <n v="1397715000"/>
  </r>
  <r>
    <x v="215"/>
    <x v="215"/>
    <x v="15"/>
    <x v="2243"/>
    <x v="23"/>
    <x v="5"/>
    <x v="34"/>
    <x v="353"/>
    <x v="15"/>
    <s v="China"/>
    <m/>
    <x v="1"/>
    <s v="D"/>
    <x v="0"/>
    <d v="1968-12-01T00:00:00"/>
    <s v="Wang"/>
    <s v="Junjin"/>
    <m/>
    <d v="2023-04-04T05:01:00"/>
    <m/>
    <m/>
    <n v="1968"/>
    <n v="125.08"/>
    <n v="2.9"/>
    <n v="19910000000000"/>
    <n v="50.6"/>
    <n v="100.2"/>
    <n v="9.4"/>
    <n v="59.2"/>
    <n v="1397715000"/>
  </r>
  <r>
    <x v="215"/>
    <x v="215"/>
    <x v="10"/>
    <x v="2244"/>
    <x v="42"/>
    <x v="5"/>
    <x v="26"/>
    <x v="171"/>
    <x v="10"/>
    <s v="China"/>
    <m/>
    <x v="1"/>
    <s v="D"/>
    <x v="0"/>
    <d v="1967-05-02T00:00:00"/>
    <s v="Wang"/>
    <s v="Mingwang"/>
    <m/>
    <d v="2023-04-04T05:01:00"/>
    <m/>
    <m/>
    <n v="1967"/>
    <n v="125.08"/>
    <n v="2.9"/>
    <n v="19910000000000"/>
    <n v="50.6"/>
    <n v="100.2"/>
    <n v="9.4"/>
    <n v="59.2"/>
    <n v="1397715000"/>
  </r>
  <r>
    <x v="215"/>
    <x v="215"/>
    <x v="2"/>
    <x v="2245"/>
    <x v="47"/>
    <x v="5"/>
    <x v="34"/>
    <x v="117"/>
    <x v="2"/>
    <s v="China"/>
    <m/>
    <x v="1"/>
    <s v="D"/>
    <x v="0"/>
    <d v="1976-01-01T00:00:00"/>
    <s v="Wei"/>
    <s v="Lidong"/>
    <m/>
    <d v="2023-04-04T05:01:00"/>
    <m/>
    <m/>
    <n v="1976"/>
    <n v="125.08"/>
    <n v="2.9"/>
    <n v="19910000000000"/>
    <n v="50.6"/>
    <n v="100.2"/>
    <n v="9.4"/>
    <n v="59.2"/>
    <n v="1397715000"/>
  </r>
  <r>
    <x v="215"/>
    <x v="215"/>
    <x v="0"/>
    <x v="2246"/>
    <x v="7"/>
    <x v="45"/>
    <x v="209"/>
    <x v="800"/>
    <x v="0"/>
    <s v="St. Kitts and Nevis"/>
    <m/>
    <x v="1"/>
    <s v="D"/>
    <x v="0"/>
    <d v="1940-01-01T00:00:00"/>
    <s v="Wentz"/>
    <s v="Myron"/>
    <m/>
    <d v="2023-04-04T05:01:00"/>
    <m/>
    <m/>
    <n v="1940"/>
    <m/>
    <m/>
    <m/>
    <m/>
    <m/>
    <m/>
    <m/>
    <m/>
  </r>
  <r>
    <x v="215"/>
    <x v="215"/>
    <x v="10"/>
    <x v="2247"/>
    <x v="10"/>
    <x v="5"/>
    <x v="90"/>
    <x v="493"/>
    <x v="10"/>
    <s v="China"/>
    <m/>
    <x v="1"/>
    <s v="Split Family Fortune"/>
    <x v="1"/>
    <d v="1972-11-01T00:00:00"/>
    <s v="Wu"/>
    <s v="Xiaoge"/>
    <m/>
    <d v="2023-04-04T05:01:00"/>
    <m/>
    <m/>
    <n v="1972"/>
    <n v="125.08"/>
    <n v="2.9"/>
    <n v="19910000000000"/>
    <n v="50.6"/>
    <n v="100.2"/>
    <n v="9.4"/>
    <n v="59.2"/>
    <n v="1397715000"/>
  </r>
  <r>
    <x v="215"/>
    <x v="215"/>
    <x v="6"/>
    <x v="2248"/>
    <x v="0"/>
    <x v="5"/>
    <x v="663"/>
    <x v="633"/>
    <x v="6"/>
    <s v="China"/>
    <m/>
    <x v="1"/>
    <s v="D"/>
    <x v="0"/>
    <d v="1948-04-28T00:00:00"/>
    <s v="Wu"/>
    <s v="Xushun"/>
    <m/>
    <d v="2023-04-04T05:01:00"/>
    <m/>
    <m/>
    <n v="1948"/>
    <n v="125.08"/>
    <n v="2.9"/>
    <n v="19910000000000"/>
    <n v="50.6"/>
    <n v="100.2"/>
    <n v="9.4"/>
    <n v="59.2"/>
    <n v="1397715000"/>
  </r>
  <r>
    <x v="215"/>
    <x v="215"/>
    <x v="14"/>
    <x v="2249"/>
    <x v="41"/>
    <x v="5"/>
    <x v="26"/>
    <x v="78"/>
    <x v="14"/>
    <s v="China"/>
    <m/>
    <x v="1"/>
    <s v="N"/>
    <x v="0"/>
    <d v="1966-01-01T00:00:00"/>
    <s v="Xiong"/>
    <s v="Xiaochuan"/>
    <m/>
    <d v="2023-04-04T05:01:00"/>
    <m/>
    <m/>
    <n v="1966"/>
    <n v="125.08"/>
    <n v="2.9"/>
    <n v="19910000000000"/>
    <n v="50.6"/>
    <n v="100.2"/>
    <n v="9.4"/>
    <n v="59.2"/>
    <n v="1397715000"/>
  </r>
  <r>
    <x v="215"/>
    <x v="215"/>
    <x v="2"/>
    <x v="2250"/>
    <x v="15"/>
    <x v="5"/>
    <x v="26"/>
    <x v="117"/>
    <x v="2"/>
    <s v="China"/>
    <m/>
    <x v="1"/>
    <s v="D"/>
    <x v="0"/>
    <d v="1963-01-01T00:00:00"/>
    <s v="Xu"/>
    <s v="Shaochun"/>
    <m/>
    <d v="2023-04-04T05:01:00"/>
    <m/>
    <m/>
    <n v="1963"/>
    <n v="125.08"/>
    <n v="2.9"/>
    <n v="19910000000000"/>
    <n v="50.6"/>
    <n v="100.2"/>
    <n v="9.4"/>
    <n v="59.2"/>
    <n v="1397715000"/>
  </r>
  <r>
    <x v="215"/>
    <x v="215"/>
    <x v="2"/>
    <x v="2251"/>
    <x v="52"/>
    <x v="5"/>
    <x v="19"/>
    <x v="117"/>
    <x v="2"/>
    <s v="China"/>
    <m/>
    <x v="1"/>
    <s v="U"/>
    <x v="1"/>
    <d v="1969-07-19T00:00:00"/>
    <s v="Yan"/>
    <s v="Jane"/>
    <m/>
    <d v="2023-04-04T05:01:00"/>
    <m/>
    <m/>
    <n v="1969"/>
    <n v="125.08"/>
    <n v="2.9"/>
    <n v="19910000000000"/>
    <n v="50.6"/>
    <n v="100.2"/>
    <n v="9.4"/>
    <n v="59.2"/>
    <n v="1397715000"/>
  </r>
  <r>
    <x v="215"/>
    <x v="215"/>
    <x v="10"/>
    <x v="2252"/>
    <x v="23"/>
    <x v="5"/>
    <x v="78"/>
    <x v="144"/>
    <x v="10"/>
    <s v="China"/>
    <m/>
    <x v="1"/>
    <s v="E"/>
    <x v="0"/>
    <d v="1969-04-01T00:00:00"/>
    <s v="Zeng"/>
    <s v="Chaoyi"/>
    <m/>
    <d v="2023-04-04T05:01:00"/>
    <m/>
    <m/>
    <n v="1969"/>
    <n v="125.08"/>
    <n v="2.9"/>
    <n v="19910000000000"/>
    <n v="50.6"/>
    <n v="100.2"/>
    <n v="9.4"/>
    <n v="59.2"/>
    <n v="1397715000"/>
  </r>
  <r>
    <x v="215"/>
    <x v="215"/>
    <x v="15"/>
    <x v="2253"/>
    <x v="33"/>
    <x v="5"/>
    <x v="19"/>
    <x v="801"/>
    <x v="15"/>
    <s v="China"/>
    <m/>
    <x v="1"/>
    <s v="E"/>
    <x v="0"/>
    <d v="1971-01-01T00:00:00"/>
    <s v="Zhao"/>
    <s v="Peng"/>
    <m/>
    <d v="2023-04-04T05:01:00"/>
    <m/>
    <m/>
    <n v="1971"/>
    <n v="125.08"/>
    <n v="2.9"/>
    <n v="19910000000000"/>
    <n v="50.6"/>
    <n v="100.2"/>
    <n v="9.4"/>
    <n v="59.2"/>
    <n v="1397715000"/>
  </r>
  <r>
    <x v="215"/>
    <x v="215"/>
    <x v="15"/>
    <x v="2254"/>
    <x v="32"/>
    <x v="10"/>
    <x v="36"/>
    <x v="368"/>
    <x v="15"/>
    <s v="Canada"/>
    <m/>
    <x v="1"/>
    <s v="R"/>
    <x v="1"/>
    <d v="1967-01-01T00:00:00"/>
    <s v="Zhao"/>
    <s v="Tongtong"/>
    <m/>
    <d v="2023-04-04T05:01:00"/>
    <m/>
    <m/>
    <n v="1967"/>
    <m/>
    <m/>
    <m/>
    <m/>
    <m/>
    <m/>
    <m/>
    <m/>
  </r>
  <r>
    <x v="215"/>
    <x v="215"/>
    <x v="12"/>
    <x v="2255"/>
    <x v="12"/>
    <x v="44"/>
    <x v="504"/>
    <x v="40"/>
    <x v="12"/>
    <s v="Ukraine"/>
    <m/>
    <x v="1"/>
    <s v="E"/>
    <x v="0"/>
    <d v="1974-01-07T00:00:00"/>
    <s v="Zhevago"/>
    <s v="Kostyantin"/>
    <m/>
    <d v="2023-04-04T05:01:00"/>
    <m/>
    <m/>
    <n v="1974"/>
    <n v="281.66000000000003"/>
    <n v="7.9"/>
    <n v="153781069118"/>
    <n v="82.7"/>
    <n v="99"/>
    <n v="20.100000000000001"/>
    <n v="45.2"/>
    <n v="44385155"/>
  </r>
  <r>
    <x v="215"/>
    <x v="215"/>
    <x v="10"/>
    <x v="2256"/>
    <x v="44"/>
    <x v="5"/>
    <x v="664"/>
    <x v="802"/>
    <x v="10"/>
    <s v="China"/>
    <m/>
    <x v="1"/>
    <s v="E"/>
    <x v="0"/>
    <m/>
    <s v="Zong"/>
    <s v="Yanmin"/>
    <m/>
    <d v="2023-04-04T05:01:00"/>
    <m/>
    <m/>
    <m/>
    <n v="125.08"/>
    <n v="2.9"/>
    <n v="19910000000000"/>
    <n v="50.6"/>
    <n v="100.2"/>
    <n v="9.4"/>
    <n v="59.2"/>
    <n v="1397715000"/>
  </r>
  <r>
    <x v="216"/>
    <x v="216"/>
    <x v="3"/>
    <x v="2257"/>
    <x v="33"/>
    <x v="3"/>
    <x v="665"/>
    <x v="75"/>
    <x v="3"/>
    <s v="India"/>
    <m/>
    <x v="1"/>
    <s v="E"/>
    <x v="0"/>
    <d v="1970-09-08T00:00:00"/>
    <s v="Agarwal"/>
    <s v="Sanjay"/>
    <m/>
    <d v="2023-04-04T05:01:00"/>
    <m/>
    <m/>
    <n v="1970"/>
    <n v="180.44"/>
    <n v="7.7"/>
    <n v="2611000000000"/>
    <n v="28.1"/>
    <n v="113"/>
    <n v="11.2"/>
    <n v="49.7"/>
    <n v="1366417754"/>
  </r>
  <r>
    <x v="216"/>
    <x v="216"/>
    <x v="3"/>
    <x v="2258"/>
    <x v="53"/>
    <x v="68"/>
    <x v="541"/>
    <x v="38"/>
    <x v="3"/>
    <s v="Qatar"/>
    <m/>
    <x v="0"/>
    <s v="E"/>
    <x v="0"/>
    <d v="1959-10-01T00:00:00"/>
    <s v="Al Thani"/>
    <s v="Hamad bin Jassim bin Jaber"/>
    <m/>
    <d v="2023-04-04T05:01:00"/>
    <m/>
    <m/>
    <n v="1959"/>
    <n v="115.38"/>
    <n v="-0.7"/>
    <n v="183466208791"/>
    <n v="17.899999999999999"/>
    <n v="103.8"/>
    <n v="14.7"/>
    <n v="11.3"/>
    <n v="2832067"/>
  </r>
  <r>
    <x v="216"/>
    <x v="216"/>
    <x v="6"/>
    <x v="2259"/>
    <x v="36"/>
    <x v="30"/>
    <x v="666"/>
    <x v="83"/>
    <x v="6"/>
    <s v="Brazil"/>
    <m/>
    <x v="1"/>
    <s v="U"/>
    <x v="0"/>
    <d v="1953-01-01T00:00:00"/>
    <s v="Alves de Queiroz Filho"/>
    <s v="Joao"/>
    <m/>
    <d v="2023-04-04T05:01:00"/>
    <m/>
    <m/>
    <n v="1953"/>
    <n v="167.4"/>
    <n v="3.7"/>
    <n v="1839758040766"/>
    <n v="51.3"/>
    <n v="115.4"/>
    <n v="14.2"/>
    <n v="65.099999999999994"/>
    <n v="212559417"/>
  </r>
  <r>
    <x v="216"/>
    <x v="216"/>
    <x v="12"/>
    <x v="2260"/>
    <x v="15"/>
    <x v="8"/>
    <x v="119"/>
    <x v="72"/>
    <x v="12"/>
    <s v="Spain"/>
    <m/>
    <x v="0"/>
    <s v="E"/>
    <x v="0"/>
    <d v="1962-11-02T00:00:00"/>
    <s v="Aristrain"/>
    <s v="Jose Maria"/>
    <m/>
    <d v="2023-04-04T05:01:00"/>
    <m/>
    <m/>
    <n v="1962"/>
    <n v="99.55"/>
    <n v="0.4"/>
    <n v="703082435360"/>
    <n v="59.6"/>
    <n v="105.2"/>
    <n v="10.1"/>
    <n v="28.8"/>
    <n v="8574832"/>
  </r>
  <r>
    <x v="216"/>
    <x v="216"/>
    <x v="3"/>
    <x v="2261"/>
    <x v="10"/>
    <x v="1"/>
    <x v="667"/>
    <x v="224"/>
    <x v="3"/>
    <s v="United States"/>
    <m/>
    <x v="1"/>
    <s v="N"/>
    <x v="0"/>
    <d v="1972-10-10T00:00:00"/>
    <s v="Arougheti"/>
    <s v="Michael"/>
    <m/>
    <d v="2023-04-04T05:01:00"/>
    <s v="New York"/>
    <s v="Northeast"/>
    <n v="1972"/>
    <n v="117.24"/>
    <n v="7.5"/>
    <n v="21427700000000"/>
    <n v="88.2"/>
    <n v="101.8"/>
    <n v="9.6"/>
    <n v="36.6"/>
    <n v="328239523"/>
  </r>
  <r>
    <x v="216"/>
    <x v="216"/>
    <x v="2"/>
    <x v="2262"/>
    <x v="51"/>
    <x v="1"/>
    <x v="139"/>
    <x v="117"/>
    <x v="2"/>
    <s v="United States"/>
    <s v="Calendly"/>
    <x v="1"/>
    <s v="D"/>
    <x v="0"/>
    <d v="1981-04-22T00:00:00"/>
    <s v="Awotona"/>
    <s v="Tope"/>
    <m/>
    <d v="2023-04-04T05:01:00"/>
    <s v="Georgia"/>
    <s v="South"/>
    <n v="1981"/>
    <n v="117.24"/>
    <n v="7.5"/>
    <n v="21427700000000"/>
    <n v="88.2"/>
    <n v="101.8"/>
    <n v="9.6"/>
    <n v="36.6"/>
    <n v="328239523"/>
  </r>
  <r>
    <x v="216"/>
    <x v="216"/>
    <x v="14"/>
    <x v="2263"/>
    <x v="37"/>
    <x v="47"/>
    <x v="228"/>
    <x v="63"/>
    <x v="14"/>
    <s v="Turkey"/>
    <m/>
    <x v="1"/>
    <s v="D"/>
    <x v="0"/>
    <d v="1956-07-27T00:00:00"/>
    <s v="Aydinlar"/>
    <s v="Mehmet"/>
    <m/>
    <d v="2023-04-04T05:01:00"/>
    <m/>
    <m/>
    <n v="1956"/>
    <n v="234.44"/>
    <n v="15.2"/>
    <n v="754411708203"/>
    <n v="23.9"/>
    <n v="93.2"/>
    <n v="17.899999999999999"/>
    <n v="42.3"/>
    <n v="83429615"/>
  </r>
  <r>
    <x v="216"/>
    <x v="216"/>
    <x v="11"/>
    <x v="2264"/>
    <x v="42"/>
    <x v="27"/>
    <x v="92"/>
    <x v="36"/>
    <x v="11"/>
    <s v="Israel"/>
    <m/>
    <x v="0"/>
    <s v="D"/>
    <x v="1"/>
    <d v="1967-06-03T00:00:00"/>
    <s v="Azrieli"/>
    <s v="Danna"/>
    <m/>
    <d v="2023-04-04T05:01:00"/>
    <m/>
    <m/>
    <n v="1967"/>
    <n v="108.15"/>
    <n v="0.8"/>
    <n v="395098666122"/>
    <n v="63.4"/>
    <n v="104.9"/>
    <n v="23.1"/>
    <n v="25.3"/>
    <n v="9053300"/>
  </r>
  <r>
    <x v="216"/>
    <x v="216"/>
    <x v="11"/>
    <x v="2265"/>
    <x v="41"/>
    <x v="6"/>
    <x v="16"/>
    <x v="36"/>
    <x v="11"/>
    <s v="Canada"/>
    <m/>
    <x v="0"/>
    <s v="D"/>
    <x v="1"/>
    <d v="1965-09-26T00:00:00"/>
    <s v="Azrieli"/>
    <s v="Naomi"/>
    <m/>
    <d v="2023-04-04T05:01:00"/>
    <m/>
    <m/>
    <n v="1965"/>
    <n v="116.76"/>
    <n v="1.9"/>
    <n v="1736425629520"/>
    <n v="68.900000000000006"/>
    <n v="100.9"/>
    <n v="12.8"/>
    <n v="24.5"/>
    <n v="36991981"/>
  </r>
  <r>
    <x v="216"/>
    <x v="216"/>
    <x v="11"/>
    <x v="2266"/>
    <x v="34"/>
    <x v="6"/>
    <x v="202"/>
    <x v="36"/>
    <x v="11"/>
    <s v="Canada"/>
    <m/>
    <x v="0"/>
    <s v="D"/>
    <x v="1"/>
    <d v="1960-08-04T00:00:00"/>
    <s v="Azrieli"/>
    <s v="Sharon"/>
    <m/>
    <d v="2023-04-04T05:01:00"/>
    <m/>
    <m/>
    <n v="1960"/>
    <n v="116.76"/>
    <n v="1.9"/>
    <n v="1736425629520"/>
    <n v="68.900000000000006"/>
    <n v="100.9"/>
    <n v="12.8"/>
    <n v="24.5"/>
    <n v="36991981"/>
  </r>
  <r>
    <x v="216"/>
    <x v="216"/>
    <x v="13"/>
    <x v="2267"/>
    <x v="2"/>
    <x v="5"/>
    <x v="114"/>
    <x v="803"/>
    <x v="13"/>
    <s v="China"/>
    <m/>
    <x v="1"/>
    <s v="D"/>
    <x v="0"/>
    <d v="1964-01-01T00:00:00"/>
    <s v="Bai"/>
    <s v="Houshan"/>
    <m/>
    <d v="2023-04-04T05:01:00"/>
    <m/>
    <m/>
    <n v="1964"/>
    <n v="125.08"/>
    <n v="2.9"/>
    <n v="19910000000000"/>
    <n v="50.6"/>
    <n v="100.2"/>
    <n v="9.4"/>
    <n v="59.2"/>
    <n v="1397715000"/>
  </r>
  <r>
    <x v="216"/>
    <x v="216"/>
    <x v="3"/>
    <x v="2268"/>
    <x v="20"/>
    <x v="1"/>
    <x v="648"/>
    <x v="196"/>
    <x v="3"/>
    <s v="United States"/>
    <m/>
    <x v="1"/>
    <s v="E"/>
    <x v="0"/>
    <d v="1937-01-01T00:00:00"/>
    <s v="Bailey"/>
    <s v="Thomas"/>
    <m/>
    <d v="2023-04-04T05:01:00"/>
    <s v="Colorado"/>
    <s v="West"/>
    <n v="1937"/>
    <n v="117.24"/>
    <n v="7.5"/>
    <n v="21427700000000"/>
    <n v="88.2"/>
    <n v="101.8"/>
    <n v="9.6"/>
    <n v="36.6"/>
    <n v="328239523"/>
  </r>
  <r>
    <x v="216"/>
    <x v="216"/>
    <x v="14"/>
    <x v="2269"/>
    <x v="62"/>
    <x v="7"/>
    <x v="457"/>
    <x v="526"/>
    <x v="14"/>
    <s v="Germany"/>
    <m/>
    <x v="0"/>
    <s v="D"/>
    <x v="0"/>
    <d v="1977-01-01T00:00:00"/>
    <s v="Braun-Luedicke"/>
    <s v="Bernhard"/>
    <m/>
    <d v="2023-04-04T05:01:00"/>
    <m/>
    <m/>
    <n v="1977"/>
    <n v="112.85"/>
    <n v="1.4"/>
    <n v="3845630030824"/>
    <n v="70.2"/>
    <n v="104"/>
    <n v="11.5"/>
    <n v="48.8"/>
    <n v="83132799"/>
  </r>
  <r>
    <x v="216"/>
    <x v="216"/>
    <x v="14"/>
    <x v="2270"/>
    <x v="39"/>
    <x v="7"/>
    <x v="457"/>
    <x v="526"/>
    <x v="14"/>
    <s v="Germany"/>
    <m/>
    <x v="0"/>
    <s v="D"/>
    <x v="1"/>
    <d v="1987-01-01T00:00:00"/>
    <s v="Braun-Luedicke"/>
    <s v="Eva Maria"/>
    <m/>
    <d v="2023-04-04T05:01:00"/>
    <m/>
    <m/>
    <n v="1987"/>
    <n v="112.85"/>
    <n v="1.4"/>
    <n v="3845630030824"/>
    <n v="70.2"/>
    <n v="104"/>
    <n v="11.5"/>
    <n v="48.8"/>
    <n v="83132799"/>
  </r>
  <r>
    <x v="216"/>
    <x v="216"/>
    <x v="14"/>
    <x v="2271"/>
    <x v="19"/>
    <x v="7"/>
    <x v="457"/>
    <x v="526"/>
    <x v="14"/>
    <s v="Germany"/>
    <m/>
    <x v="0"/>
    <s v="E"/>
    <x v="1"/>
    <d v="1984-01-01T00:00:00"/>
    <s v="Braun-Luedicke"/>
    <s v="Friederike"/>
    <m/>
    <d v="2023-04-04T05:01:00"/>
    <m/>
    <m/>
    <n v="1984"/>
    <n v="112.85"/>
    <n v="1.4"/>
    <n v="3845630030824"/>
    <n v="70.2"/>
    <n v="104"/>
    <n v="11.5"/>
    <n v="48.8"/>
    <n v="83132799"/>
  </r>
  <r>
    <x v="216"/>
    <x v="216"/>
    <x v="11"/>
    <x v="2272"/>
    <x v="3"/>
    <x v="31"/>
    <x v="105"/>
    <x v="804"/>
    <x v="11"/>
    <s v="Malaysia"/>
    <m/>
    <x v="1"/>
    <s v="D"/>
    <x v="0"/>
    <d v="1945-03-30T00:00:00"/>
    <s v="Cheah"/>
    <s v="Jeffrey"/>
    <m/>
    <d v="2023-04-04T05:01:00"/>
    <m/>
    <m/>
    <n v="1945"/>
    <n v="121.46"/>
    <n v="0.7"/>
    <n v="364701517788"/>
    <n v="45.1"/>
    <n v="105.3"/>
    <n v="12"/>
    <n v="38.700000000000003"/>
    <n v="32447385"/>
  </r>
  <r>
    <x v="216"/>
    <x v="216"/>
    <x v="7"/>
    <x v="2273"/>
    <x v="53"/>
    <x v="5"/>
    <x v="155"/>
    <x v="267"/>
    <x v="7"/>
    <s v="China"/>
    <m/>
    <x v="1"/>
    <s v="D"/>
    <x v="0"/>
    <d v="1959-05-19T00:00:00"/>
    <s v="Chen"/>
    <s v="Xianbao"/>
    <m/>
    <d v="2023-04-04T05:01:00"/>
    <m/>
    <m/>
    <n v="1959"/>
    <n v="125.08"/>
    <n v="2.9"/>
    <n v="19910000000000"/>
    <n v="50.6"/>
    <n v="100.2"/>
    <n v="9.4"/>
    <n v="59.2"/>
    <n v="1397715000"/>
  </r>
  <r>
    <x v="216"/>
    <x v="216"/>
    <x v="14"/>
    <x v="2274"/>
    <x v="23"/>
    <x v="5"/>
    <x v="155"/>
    <x v="83"/>
    <x v="14"/>
    <s v="China"/>
    <m/>
    <x v="1"/>
    <s v="D"/>
    <x v="0"/>
    <d v="1968-12-01T00:00:00"/>
    <s v="Cheng"/>
    <s v="Xianfeng"/>
    <m/>
    <d v="2023-04-04T05:01:00"/>
    <m/>
    <m/>
    <n v="1968"/>
    <n v="125.08"/>
    <n v="2.9"/>
    <n v="19910000000000"/>
    <n v="50.6"/>
    <n v="100.2"/>
    <n v="9.4"/>
    <n v="59.2"/>
    <n v="1397715000"/>
  </r>
  <r>
    <x v="216"/>
    <x v="216"/>
    <x v="0"/>
    <x v="2275"/>
    <x v="23"/>
    <x v="32"/>
    <x v="109"/>
    <x v="21"/>
    <x v="0"/>
    <s v="South Korea"/>
    <s v="Shinsegae"/>
    <x v="0"/>
    <s v="D"/>
    <x v="0"/>
    <d v="1968-09-19T00:00:00"/>
    <s v="Chung"/>
    <s v="Yong-jin"/>
    <m/>
    <d v="2023-04-04T05:01:00"/>
    <m/>
    <m/>
    <n v="1968"/>
    <n v="115.16"/>
    <n v="0.4"/>
    <n v="2029000000000"/>
    <n v="94.3"/>
    <n v="98.1"/>
    <n v="15.6"/>
    <n v="33.200000000000003"/>
    <n v="51709098"/>
  </r>
  <r>
    <x v="216"/>
    <x v="216"/>
    <x v="15"/>
    <x v="2276"/>
    <x v="26"/>
    <x v="1"/>
    <x v="80"/>
    <x v="117"/>
    <x v="15"/>
    <s v="United States"/>
    <m/>
    <x v="1"/>
    <s v="D"/>
    <x v="0"/>
    <d v="1940-05-14T00:00:00"/>
    <s v="Deason"/>
    <s v="Darwin"/>
    <m/>
    <d v="2023-04-04T05:01:00"/>
    <s v="Texas"/>
    <s v="South"/>
    <n v="1940"/>
    <n v="117.24"/>
    <n v="7.5"/>
    <n v="21427700000000"/>
    <n v="88.2"/>
    <n v="101.8"/>
    <n v="9.6"/>
    <n v="36.6"/>
    <n v="328239523"/>
  </r>
  <r>
    <x v="216"/>
    <x v="216"/>
    <x v="0"/>
    <x v="2277"/>
    <x v="9"/>
    <x v="28"/>
    <x v="668"/>
    <x v="159"/>
    <x v="0"/>
    <s v="Italy"/>
    <m/>
    <x v="0"/>
    <s v="D"/>
    <x v="0"/>
    <d v="1953-12-30T00:00:00"/>
    <s v="Della Valle"/>
    <s v="Diego"/>
    <m/>
    <d v="2023-04-04T05:01:00"/>
    <m/>
    <m/>
    <n v="1953"/>
    <n v="110.62"/>
    <n v="0.6"/>
    <n v="2001244392042"/>
    <n v="61.9"/>
    <n v="101.9"/>
    <n v="24.3"/>
    <n v="59.1"/>
    <n v="60297396"/>
  </r>
  <r>
    <x v="216"/>
    <x v="216"/>
    <x v="10"/>
    <x v="2278"/>
    <x v="48"/>
    <x v="3"/>
    <x v="669"/>
    <x v="805"/>
    <x v="10"/>
    <s v="India"/>
    <m/>
    <x v="1"/>
    <s v="N"/>
    <x v="0"/>
    <d v="1951-09-18T00:00:00"/>
    <s v="Desai"/>
    <s v="Ashwin"/>
    <m/>
    <d v="2023-04-04T05:01:00"/>
    <m/>
    <m/>
    <n v="1951"/>
    <n v="180.44"/>
    <n v="7.7"/>
    <n v="2611000000000"/>
    <n v="28.1"/>
    <n v="113"/>
    <n v="11.2"/>
    <n v="49.7"/>
    <n v="1366417754"/>
  </r>
  <r>
    <x v="216"/>
    <x v="216"/>
    <x v="4"/>
    <x v="2279"/>
    <x v="48"/>
    <x v="13"/>
    <x v="32"/>
    <x v="317"/>
    <x v="4"/>
    <s v="United Kingdom"/>
    <m/>
    <x v="1"/>
    <s v="D"/>
    <x v="0"/>
    <d v="1951-12-08T00:00:00"/>
    <s v="Desmond"/>
    <s v="Richard"/>
    <m/>
    <d v="2023-04-04T05:01:00"/>
    <m/>
    <m/>
    <n v="1951"/>
    <n v="119.62"/>
    <n v="1.7"/>
    <n v="2827113184696"/>
    <n v="60"/>
    <n v="101.2"/>
    <n v="25.5"/>
    <n v="30.6"/>
    <n v="66834405"/>
  </r>
  <r>
    <x v="216"/>
    <x v="216"/>
    <x v="0"/>
    <x v="2280"/>
    <x v="33"/>
    <x v="5"/>
    <x v="148"/>
    <x v="806"/>
    <x v="0"/>
    <s v="China"/>
    <m/>
    <x v="0"/>
    <s v="D"/>
    <x v="0"/>
    <d v="1970-11-01T00:00:00"/>
    <s v="Ding"/>
    <s v="Shui Po"/>
    <m/>
    <d v="2023-04-04T05:01:00"/>
    <m/>
    <m/>
    <n v="1970"/>
    <n v="125.08"/>
    <n v="2.9"/>
    <n v="19910000000000"/>
    <n v="50.6"/>
    <n v="100.2"/>
    <n v="9.4"/>
    <n v="59.2"/>
    <n v="1397715000"/>
  </r>
  <r>
    <x v="216"/>
    <x v="216"/>
    <x v="0"/>
    <x v="2281"/>
    <x v="18"/>
    <x v="47"/>
    <x v="228"/>
    <x v="31"/>
    <x v="0"/>
    <s v="Turkey"/>
    <m/>
    <x v="1"/>
    <s v="U"/>
    <x v="0"/>
    <d v="1938-03-16T00:00:00"/>
    <s v="Dizdar"/>
    <s v="Sefik Yilmaz"/>
    <m/>
    <d v="2023-04-04T05:01:00"/>
    <m/>
    <m/>
    <n v="1938"/>
    <n v="234.44"/>
    <n v="15.2"/>
    <n v="754411708203"/>
    <n v="23.9"/>
    <n v="93.2"/>
    <n v="17.899999999999999"/>
    <n v="42.3"/>
    <n v="83429615"/>
  </r>
  <r>
    <x v="216"/>
    <x v="216"/>
    <x v="4"/>
    <x v="2282"/>
    <x v="15"/>
    <x v="7"/>
    <x v="670"/>
    <x v="16"/>
    <x v="4"/>
    <s v="Germany"/>
    <m/>
    <x v="0"/>
    <s v="D"/>
    <x v="0"/>
    <d v="1963-01-15T00:00:00"/>
    <s v="Doepfner"/>
    <s v="Mathias"/>
    <m/>
    <d v="2023-04-04T05:01:00"/>
    <m/>
    <m/>
    <n v="1963"/>
    <n v="112.85"/>
    <n v="1.4"/>
    <n v="3845630030824"/>
    <n v="70.2"/>
    <n v="104"/>
    <n v="11.5"/>
    <n v="48.8"/>
    <n v="83132799"/>
  </r>
  <r>
    <x v="216"/>
    <x v="216"/>
    <x v="10"/>
    <x v="2283"/>
    <x v="30"/>
    <x v="1"/>
    <x v="97"/>
    <x v="125"/>
    <x v="10"/>
    <s v="United States"/>
    <m/>
    <x v="1"/>
    <s v="N"/>
    <x v="0"/>
    <d v="1939-01-01T00:00:00"/>
    <s v="Ebrahimi"/>
    <s v="Farhad"/>
    <m/>
    <d v="2023-04-04T05:01:00"/>
    <s v="Colorado"/>
    <s v="West"/>
    <n v="1939"/>
    <n v="117.24"/>
    <n v="7.5"/>
    <n v="21427700000000"/>
    <n v="88.2"/>
    <n v="101.8"/>
    <n v="9.6"/>
    <n v="36.6"/>
    <n v="328239523"/>
  </r>
  <r>
    <x v="216"/>
    <x v="216"/>
    <x v="6"/>
    <x v="2284"/>
    <x v="8"/>
    <x v="30"/>
    <x v="99"/>
    <x v="8"/>
    <x v="6"/>
    <s v="Brazil"/>
    <m/>
    <x v="0"/>
    <s v="D"/>
    <x v="0"/>
    <d v="1957-11-30T00:00:00"/>
    <s v="Ermirio de Moraes"/>
    <s v="Jose Roberto"/>
    <m/>
    <d v="2023-04-04T05:01:00"/>
    <m/>
    <m/>
    <n v="1957"/>
    <n v="167.4"/>
    <n v="3.7"/>
    <n v="1839758040766"/>
    <n v="51.3"/>
    <n v="115.4"/>
    <n v="14.2"/>
    <n v="65.099999999999994"/>
    <n v="212559417"/>
  </r>
  <r>
    <x v="216"/>
    <x v="216"/>
    <x v="6"/>
    <x v="2285"/>
    <x v="36"/>
    <x v="30"/>
    <x v="99"/>
    <x v="8"/>
    <x v="6"/>
    <s v="Brazil"/>
    <m/>
    <x v="0"/>
    <s v="D"/>
    <x v="0"/>
    <d v="1952-06-17T00:00:00"/>
    <s v="Ermirio de Moraes Neto"/>
    <s v="Jose"/>
    <m/>
    <d v="2023-04-04T05:01:00"/>
    <m/>
    <m/>
    <n v="1952"/>
    <n v="167.4"/>
    <n v="3.7"/>
    <n v="1839758040766"/>
    <n v="51.3"/>
    <n v="115.4"/>
    <n v="14.2"/>
    <n v="65.099999999999994"/>
    <n v="212559417"/>
  </r>
  <r>
    <x v="216"/>
    <x v="216"/>
    <x v="10"/>
    <x v="2286"/>
    <x v="32"/>
    <x v="5"/>
    <x v="671"/>
    <x v="49"/>
    <x v="10"/>
    <s v="China"/>
    <m/>
    <x v="1"/>
    <s v="D"/>
    <x v="0"/>
    <d v="1967-01-01T00:00:00"/>
    <s v="Fang"/>
    <s v="Hongbo"/>
    <m/>
    <d v="2023-04-04T05:01:00"/>
    <m/>
    <m/>
    <n v="1967"/>
    <n v="125.08"/>
    <n v="2.9"/>
    <n v="19910000000000"/>
    <n v="50.6"/>
    <n v="100.2"/>
    <n v="9.4"/>
    <n v="59.2"/>
    <n v="1397715000"/>
  </r>
  <r>
    <x v="216"/>
    <x v="216"/>
    <x v="10"/>
    <x v="2287"/>
    <x v="37"/>
    <x v="30"/>
    <x v="666"/>
    <x v="807"/>
    <x v="10"/>
    <s v="Brazil"/>
    <m/>
    <x v="0"/>
    <s v="D"/>
    <x v="0"/>
    <d v="1956-11-13T00:00:00"/>
    <s v="Feffer"/>
    <s v="David"/>
    <m/>
    <d v="2023-04-04T05:01:00"/>
    <m/>
    <m/>
    <n v="1956"/>
    <n v="167.4"/>
    <n v="3.7"/>
    <n v="1839758040766"/>
    <n v="51.3"/>
    <n v="115.4"/>
    <n v="14.2"/>
    <n v="65.099999999999994"/>
    <n v="212559417"/>
  </r>
  <r>
    <x v="216"/>
    <x v="216"/>
    <x v="10"/>
    <x v="2288"/>
    <x v="1"/>
    <x v="73"/>
    <x v="25"/>
    <x v="108"/>
    <x v="10"/>
    <s v="Hungary"/>
    <m/>
    <x v="1"/>
    <s v="N"/>
    <x v="0"/>
    <d v="1971-05-26T00:00:00"/>
    <s v="Felcsuti"/>
    <s v="Zsolt"/>
    <m/>
    <d v="2023-04-04T05:01:00"/>
    <m/>
    <m/>
    <n v="1971"/>
    <n v="121.64"/>
    <n v="3.3"/>
    <n v="160967157504"/>
    <n v="48.5"/>
    <n v="100.8"/>
    <n v="23"/>
    <n v="37.9"/>
    <n v="9769949"/>
  </r>
  <r>
    <x v="216"/>
    <x v="216"/>
    <x v="0"/>
    <x v="2289"/>
    <x v="24"/>
    <x v="13"/>
    <x v="372"/>
    <x v="808"/>
    <x v="0"/>
    <s v="United Kingdom"/>
    <m/>
    <x v="1"/>
    <s v="N"/>
    <x v="0"/>
    <d v="1992-06-04T00:00:00"/>
    <s v="Francis"/>
    <s v="Ben"/>
    <m/>
    <d v="2023-04-04T05:01:00"/>
    <m/>
    <m/>
    <n v="1992"/>
    <n v="119.62"/>
    <n v="1.7"/>
    <n v="2827113184696"/>
    <n v="60"/>
    <n v="101.2"/>
    <n v="25.5"/>
    <n v="30.6"/>
    <n v="66834405"/>
  </r>
  <r>
    <x v="216"/>
    <x v="216"/>
    <x v="0"/>
    <x v="2290"/>
    <x v="8"/>
    <x v="1"/>
    <x v="672"/>
    <x v="809"/>
    <x v="0"/>
    <s v="United States"/>
    <m/>
    <x v="1"/>
    <s v="D"/>
    <x v="0"/>
    <d v="1957-08-06T00:00:00"/>
    <s v="Friedman"/>
    <s v="Gary"/>
    <m/>
    <d v="2023-04-04T05:01:00"/>
    <s v="California"/>
    <s v="West"/>
    <n v="1957"/>
    <n v="117.24"/>
    <n v="7.5"/>
    <n v="21427700000000"/>
    <n v="88.2"/>
    <n v="101.8"/>
    <n v="9.6"/>
    <n v="36.6"/>
    <n v="328239523"/>
  </r>
  <r>
    <x v="216"/>
    <x v="216"/>
    <x v="12"/>
    <x v="2291"/>
    <x v="12"/>
    <x v="27"/>
    <x v="673"/>
    <x v="40"/>
    <x v="12"/>
    <s v="Israel"/>
    <m/>
    <x v="0"/>
    <s v="E"/>
    <x v="0"/>
    <d v="1973-12-23T00:00:00"/>
    <s v="Gertler"/>
    <s v="Dan"/>
    <m/>
    <d v="2023-04-04T05:01:00"/>
    <m/>
    <m/>
    <n v="1973"/>
    <n v="108.15"/>
    <n v="0.8"/>
    <n v="395098666122"/>
    <n v="63.4"/>
    <n v="104.9"/>
    <n v="23.1"/>
    <n v="25.3"/>
    <n v="9053300"/>
  </r>
  <r>
    <x v="216"/>
    <x v="216"/>
    <x v="10"/>
    <x v="2292"/>
    <x v="32"/>
    <x v="3"/>
    <x v="7"/>
    <x v="761"/>
    <x v="10"/>
    <s v="India"/>
    <m/>
    <x v="1"/>
    <s v="D"/>
    <x v="0"/>
    <d v="1966-08-15T00:00:00"/>
    <s v="Goenka"/>
    <s v="Balkrishan"/>
    <m/>
    <d v="2023-04-04T05:01:00"/>
    <m/>
    <m/>
    <n v="1966"/>
    <n v="180.44"/>
    <n v="7.7"/>
    <n v="2611000000000"/>
    <n v="28.1"/>
    <n v="113"/>
    <n v="11.2"/>
    <n v="49.7"/>
    <n v="1366417754"/>
  </r>
  <r>
    <x v="216"/>
    <x v="216"/>
    <x v="3"/>
    <x v="2293"/>
    <x v="53"/>
    <x v="1"/>
    <x v="5"/>
    <x v="122"/>
    <x v="3"/>
    <s v="United States"/>
    <m/>
    <x v="1"/>
    <s v="E"/>
    <x v="0"/>
    <d v="1959-10-03T00:00:00"/>
    <s v="Golub"/>
    <s v="Lawrence"/>
    <s v="Investor"/>
    <d v="2023-04-04T05:01:00"/>
    <s v="New York"/>
    <s v="Northeast"/>
    <n v="1959"/>
    <n v="117.24"/>
    <n v="7.5"/>
    <n v="21427700000000"/>
    <n v="88.2"/>
    <n v="101.8"/>
    <n v="9.6"/>
    <n v="36.6"/>
    <n v="328239523"/>
  </r>
  <r>
    <x v="216"/>
    <x v="216"/>
    <x v="10"/>
    <x v="2294"/>
    <x v="25"/>
    <x v="3"/>
    <x v="41"/>
    <x v="810"/>
    <x v="10"/>
    <s v="India"/>
    <m/>
    <x v="1"/>
    <s v="N"/>
    <x v="1"/>
    <d v="1950-07-05T00:00:00"/>
    <s v="Gupta"/>
    <s v="Saroj Rani"/>
    <m/>
    <d v="2023-04-04T05:01:00"/>
    <m/>
    <m/>
    <n v="1950"/>
    <n v="180.44"/>
    <n v="7.7"/>
    <n v="2611000000000"/>
    <n v="28.1"/>
    <n v="113"/>
    <n v="11.2"/>
    <n v="49.7"/>
    <n v="1366417754"/>
  </r>
  <r>
    <x v="216"/>
    <x v="216"/>
    <x v="2"/>
    <x v="2295"/>
    <x v="5"/>
    <x v="14"/>
    <x v="93"/>
    <x v="596"/>
    <x v="2"/>
    <s v="Australia"/>
    <m/>
    <x v="1"/>
    <s v="N"/>
    <x v="0"/>
    <d v="1955-06-27T00:00:00"/>
    <s v="Hall"/>
    <s v="Anthony"/>
    <m/>
    <d v="2023-04-04T05:01:00"/>
    <m/>
    <m/>
    <n v="1955"/>
    <n v="119.8"/>
    <n v="1.6"/>
    <n v="1392680589329"/>
    <n v="113.1"/>
    <n v="100.3"/>
    <n v="23"/>
    <n v="47.4"/>
    <n v="25766605"/>
  </r>
  <r>
    <x v="216"/>
    <x v="216"/>
    <x v="16"/>
    <x v="2296"/>
    <x v="57"/>
    <x v="13"/>
    <x v="32"/>
    <x v="166"/>
    <x v="16"/>
    <s v="Lebanon"/>
    <m/>
    <x v="0"/>
    <s v="E"/>
    <x v="0"/>
    <d v="1980-12-29T00:00:00"/>
    <s v="Hariri"/>
    <s v="Fahed"/>
    <m/>
    <d v="2023-04-04T05:01:00"/>
    <m/>
    <m/>
    <n v="1980"/>
    <n v="119.62"/>
    <n v="1.7"/>
    <n v="2827113184696"/>
    <n v="60"/>
    <n v="101.2"/>
    <n v="25.5"/>
    <n v="30.6"/>
    <n v="66834405"/>
  </r>
  <r>
    <x v="216"/>
    <x v="216"/>
    <x v="0"/>
    <x v="2297"/>
    <x v="43"/>
    <x v="1"/>
    <x v="117"/>
    <x v="811"/>
    <x v="0"/>
    <s v="United States"/>
    <s v="Urban Outfitters Inc."/>
    <x v="1"/>
    <s v="E"/>
    <x v="0"/>
    <d v="1947-09-01T00:00:00"/>
    <s v="Hayne"/>
    <s v="Richard"/>
    <s v="Chairman, President &amp; Chief Executive Officer"/>
    <d v="2023-04-04T05:01:00"/>
    <s v="Pennsylvania"/>
    <s v="Northeast"/>
    <n v="1947"/>
    <n v="117.24"/>
    <n v="7.5"/>
    <n v="21427700000000"/>
    <n v="88.2"/>
    <n v="101.8"/>
    <n v="9.6"/>
    <n v="36.6"/>
    <n v="328239523"/>
  </r>
  <r>
    <x v="216"/>
    <x v="216"/>
    <x v="3"/>
    <x v="2298"/>
    <x v="16"/>
    <x v="14"/>
    <x v="93"/>
    <x v="285"/>
    <x v="3"/>
    <s v="Australia"/>
    <m/>
    <x v="1"/>
    <s v="E"/>
    <x v="0"/>
    <d v="1949-11-01T00:00:00"/>
    <s v="Heine"/>
    <s v="Michael"/>
    <m/>
    <d v="2023-04-04T05:01:00"/>
    <m/>
    <m/>
    <n v="1949"/>
    <n v="119.8"/>
    <n v="1.6"/>
    <n v="1392680589329"/>
    <n v="113.1"/>
    <n v="100.3"/>
    <n v="23"/>
    <n v="47.4"/>
    <n v="25766605"/>
  </r>
  <r>
    <x v="216"/>
    <x v="216"/>
    <x v="2"/>
    <x v="2299"/>
    <x v="27"/>
    <x v="1"/>
    <x v="46"/>
    <x v="117"/>
    <x v="2"/>
    <s v="United States"/>
    <s v="Tanium"/>
    <x v="1"/>
    <s v="D"/>
    <x v="0"/>
    <d v="1980-01-10T00:00:00"/>
    <s v="Hindawi"/>
    <s v="Orion"/>
    <s v="CEO"/>
    <d v="2023-04-04T05:01:00"/>
    <s v="Washington"/>
    <s v="West"/>
    <n v="1980"/>
    <n v="117.24"/>
    <n v="7.5"/>
    <n v="21427700000000"/>
    <n v="88.2"/>
    <n v="101.8"/>
    <n v="9.6"/>
    <n v="36.6"/>
    <n v="328239523"/>
  </r>
  <r>
    <x v="216"/>
    <x v="216"/>
    <x v="9"/>
    <x v="2300"/>
    <x v="62"/>
    <x v="10"/>
    <x v="36"/>
    <x v="27"/>
    <x v="9"/>
    <s v="Hong Kong"/>
    <m/>
    <x v="0"/>
    <s v="R"/>
    <x v="0"/>
    <d v="1977-01-16T00:00:00"/>
    <s v="Ho"/>
    <s v="Lawrence"/>
    <m/>
    <d v="2023-04-04T05:01:00"/>
    <m/>
    <m/>
    <n v="1977"/>
    <m/>
    <m/>
    <m/>
    <m/>
    <m/>
    <m/>
    <m/>
    <m/>
  </r>
  <r>
    <x v="216"/>
    <x v="216"/>
    <x v="0"/>
    <x v="2301"/>
    <x v="17"/>
    <x v="5"/>
    <x v="114"/>
    <x v="164"/>
    <x v="0"/>
    <s v="China"/>
    <m/>
    <x v="1"/>
    <s v="D"/>
    <x v="0"/>
    <d v="1965-01-01T00:00:00"/>
    <s v="Huang"/>
    <s v="Guanlin"/>
    <m/>
    <d v="2023-04-04T05:01:00"/>
    <m/>
    <m/>
    <n v="1965"/>
    <n v="125.08"/>
    <n v="2.9"/>
    <n v="19910000000000"/>
    <n v="50.6"/>
    <n v="100.2"/>
    <n v="9.4"/>
    <n v="59.2"/>
    <n v="1397715000"/>
  </r>
  <r>
    <x v="216"/>
    <x v="216"/>
    <x v="2"/>
    <x v="2302"/>
    <x v="13"/>
    <x v="14"/>
    <x v="93"/>
    <x v="596"/>
    <x v="2"/>
    <s v="Australia"/>
    <m/>
    <x v="1"/>
    <s v="N"/>
    <x v="0"/>
    <d v="1954-12-25T00:00:00"/>
    <s v="Hupert"/>
    <s v="Sam"/>
    <m/>
    <d v="2023-04-04T05:01:00"/>
    <m/>
    <m/>
    <n v="1954"/>
    <n v="119.8"/>
    <n v="1.6"/>
    <n v="1392680589329"/>
    <n v="113.1"/>
    <n v="100.3"/>
    <n v="23"/>
    <n v="47.4"/>
    <n v="25766605"/>
  </r>
  <r>
    <x v="216"/>
    <x v="216"/>
    <x v="5"/>
    <x v="2303"/>
    <x v="31"/>
    <x v="13"/>
    <x v="32"/>
    <x v="812"/>
    <x v="5"/>
    <s v="United Kingdom"/>
    <s v="Mo Ibrahim Foundation"/>
    <x v="1"/>
    <s v="E"/>
    <x v="0"/>
    <d v="1946-05-03T00:00:00"/>
    <s v="Ibrahim"/>
    <s v="Mohammed"/>
    <s v="Founder"/>
    <d v="2023-04-04T05:01:00"/>
    <m/>
    <m/>
    <n v="1946"/>
    <n v="119.62"/>
    <n v="1.7"/>
    <n v="2827113184696"/>
    <n v="60"/>
    <n v="101.2"/>
    <n v="25.5"/>
    <n v="30.6"/>
    <n v="66834405"/>
  </r>
  <r>
    <x v="216"/>
    <x v="216"/>
    <x v="7"/>
    <x v="2304"/>
    <x v="37"/>
    <x v="35"/>
    <x v="536"/>
    <x v="813"/>
    <x v="7"/>
    <s v="Taiwan"/>
    <m/>
    <x v="0"/>
    <s v="E"/>
    <x v="1"/>
    <d v="1956-09-02T00:00:00"/>
    <s v="Kao"/>
    <s v="Shirley"/>
    <m/>
    <d v="2023-04-04T05:01:00"/>
    <m/>
    <m/>
    <n v="1956"/>
    <m/>
    <m/>
    <m/>
    <m/>
    <m/>
    <m/>
    <m/>
    <m/>
  </r>
  <r>
    <x v="216"/>
    <x v="216"/>
    <x v="3"/>
    <x v="2305"/>
    <x v="42"/>
    <x v="1"/>
    <x v="115"/>
    <x v="224"/>
    <x v="3"/>
    <s v="United States"/>
    <m/>
    <x v="1"/>
    <s v="N"/>
    <x v="0"/>
    <d v="1967-08-29T00:00:00"/>
    <s v="Kaplan"/>
    <s v="David"/>
    <m/>
    <d v="2023-04-04T05:01:00"/>
    <s v="California"/>
    <s v="West"/>
    <n v="1967"/>
    <n v="117.24"/>
    <n v="7.5"/>
    <n v="21427700000000"/>
    <n v="88.2"/>
    <n v="101.8"/>
    <n v="9.6"/>
    <n v="36.6"/>
    <n v="328239523"/>
  </r>
  <r>
    <x v="216"/>
    <x v="216"/>
    <x v="0"/>
    <x v="2306"/>
    <x v="57"/>
    <x v="1"/>
    <x v="674"/>
    <x v="814"/>
    <x v="0"/>
    <s v="United States"/>
    <m/>
    <x v="1"/>
    <s v="D"/>
    <x v="1"/>
    <d v="1980-10-21T00:00:00"/>
    <s v="Kardashian"/>
    <s v="Kim"/>
    <s v="Personality"/>
    <d v="2023-04-04T05:01:00"/>
    <s v="California"/>
    <s v="West"/>
    <n v="1980"/>
    <n v="117.24"/>
    <n v="7.5"/>
    <n v="21427700000000"/>
    <n v="88.2"/>
    <n v="101.8"/>
    <n v="9.6"/>
    <n v="36.6"/>
    <n v="328239523"/>
  </r>
  <r>
    <x v="216"/>
    <x v="216"/>
    <x v="10"/>
    <x v="2307"/>
    <x v="41"/>
    <x v="5"/>
    <x v="34"/>
    <x v="101"/>
    <x v="10"/>
    <s v="China"/>
    <m/>
    <x v="1"/>
    <s v="U"/>
    <x v="0"/>
    <d v="1965-10-13T00:00:00"/>
    <s v="Ke"/>
    <s v="Guihua"/>
    <m/>
    <d v="2023-04-04T05:01:00"/>
    <m/>
    <m/>
    <n v="1965"/>
    <n v="125.08"/>
    <n v="2.9"/>
    <n v="19910000000000"/>
    <n v="50.6"/>
    <n v="100.2"/>
    <n v="9.4"/>
    <n v="59.2"/>
    <n v="1397715000"/>
  </r>
  <r>
    <x v="216"/>
    <x v="216"/>
    <x v="14"/>
    <x v="2308"/>
    <x v="32"/>
    <x v="5"/>
    <x v="82"/>
    <x v="500"/>
    <x v="14"/>
    <s v="China"/>
    <m/>
    <x v="1"/>
    <s v="U"/>
    <x v="0"/>
    <d v="1967-01-01T00:00:00"/>
    <s v="Ke"/>
    <s v="Yunfeng"/>
    <m/>
    <d v="2023-04-04T05:01:00"/>
    <m/>
    <m/>
    <n v="1967"/>
    <n v="125.08"/>
    <n v="2.9"/>
    <n v="19910000000000"/>
    <n v="50.6"/>
    <n v="100.2"/>
    <n v="9.4"/>
    <n v="59.2"/>
    <n v="1397715000"/>
  </r>
  <r>
    <x v="216"/>
    <x v="216"/>
    <x v="11"/>
    <x v="2309"/>
    <x v="42"/>
    <x v="17"/>
    <x v="48"/>
    <x v="36"/>
    <x v="11"/>
    <s v="Russia"/>
    <m/>
    <x v="1"/>
    <s v="R"/>
    <x v="0"/>
    <d v="1967-05-18T00:00:00"/>
    <s v="Klyachin"/>
    <s v="Alexander"/>
    <m/>
    <d v="2023-04-04T05:01:00"/>
    <m/>
    <m/>
    <n v="1967"/>
    <n v="180.75"/>
    <n v="4.5"/>
    <n v="1699876578871"/>
    <n v="81.900000000000006"/>
    <n v="102.6"/>
    <n v="11.4"/>
    <n v="46.2"/>
    <n v="144373535"/>
  </r>
  <r>
    <x v="216"/>
    <x v="216"/>
    <x v="10"/>
    <x v="2310"/>
    <x v="44"/>
    <x v="7"/>
    <x v="389"/>
    <x v="467"/>
    <x v="10"/>
    <s v="Germany"/>
    <m/>
    <x v="0"/>
    <s v="D"/>
    <x v="1"/>
    <m/>
    <s v="Knauf"/>
    <s v="Christine"/>
    <m/>
    <d v="2023-04-04T05:01:00"/>
    <m/>
    <m/>
    <m/>
    <n v="112.85"/>
    <n v="1.4"/>
    <n v="3845630030824"/>
    <n v="70.2"/>
    <n v="104"/>
    <n v="11.5"/>
    <n v="48.8"/>
    <n v="83132799"/>
  </r>
  <r>
    <x v="216"/>
    <x v="216"/>
    <x v="10"/>
    <x v="2311"/>
    <x v="44"/>
    <x v="7"/>
    <x v="675"/>
    <x v="467"/>
    <x v="10"/>
    <s v="Germany"/>
    <m/>
    <x v="0"/>
    <s v="D"/>
    <x v="0"/>
    <m/>
    <s v="Knauf"/>
    <s v="Karl"/>
    <m/>
    <d v="2023-04-04T05:01:00"/>
    <m/>
    <m/>
    <m/>
    <n v="112.85"/>
    <n v="1.4"/>
    <n v="3845630030824"/>
    <n v="70.2"/>
    <n v="104"/>
    <n v="11.5"/>
    <n v="48.8"/>
    <n v="83132799"/>
  </r>
  <r>
    <x v="216"/>
    <x v="216"/>
    <x v="1"/>
    <x v="2312"/>
    <x v="20"/>
    <x v="3"/>
    <x v="463"/>
    <x v="101"/>
    <x v="1"/>
    <s v="India"/>
    <m/>
    <x v="0"/>
    <s v="U"/>
    <x v="0"/>
    <d v="1936-12-24T00:00:00"/>
    <s v="Krishna"/>
    <s v="Suresh"/>
    <m/>
    <d v="2023-04-04T05:01:00"/>
    <m/>
    <m/>
    <n v="1936"/>
    <n v="180.44"/>
    <n v="7.7"/>
    <n v="2611000000000"/>
    <n v="28.1"/>
    <n v="113"/>
    <n v="11.2"/>
    <n v="49.7"/>
    <n v="1366417754"/>
  </r>
  <r>
    <x v="216"/>
    <x v="216"/>
    <x v="4"/>
    <x v="2313"/>
    <x v="53"/>
    <x v="6"/>
    <x v="202"/>
    <x v="815"/>
    <x v="4"/>
    <s v="Canada"/>
    <s v="Cirque du Soleil"/>
    <x v="1"/>
    <s v="E"/>
    <x v="0"/>
    <d v="1960-01-01T00:00:00"/>
    <s v="Laliberté"/>
    <s v="Guy"/>
    <s v="Cofounder and CEO"/>
    <d v="2023-04-04T05:01:00"/>
    <m/>
    <m/>
    <n v="1960"/>
    <n v="116.76"/>
    <n v="1.9"/>
    <n v="1736425629520"/>
    <n v="68.900000000000006"/>
    <n v="100.9"/>
    <n v="12.8"/>
    <n v="24.5"/>
    <n v="36991981"/>
  </r>
  <r>
    <x v="216"/>
    <x v="216"/>
    <x v="2"/>
    <x v="2314"/>
    <x v="45"/>
    <x v="32"/>
    <x v="25"/>
    <x v="816"/>
    <x v="2"/>
    <s v="South Korea"/>
    <m/>
    <x v="1"/>
    <s v="N"/>
    <x v="0"/>
    <d v="1978-02-01T00:00:00"/>
    <s v="Lee"/>
    <s v="Su-jin"/>
    <m/>
    <d v="2023-04-04T05:01:00"/>
    <m/>
    <m/>
    <n v="1978"/>
    <n v="115.16"/>
    <n v="0.4"/>
    <n v="2029000000000"/>
    <n v="94.3"/>
    <n v="98.1"/>
    <n v="15.6"/>
    <n v="33.200000000000003"/>
    <n v="51709098"/>
  </r>
  <r>
    <x v="216"/>
    <x v="216"/>
    <x v="10"/>
    <x v="2315"/>
    <x v="52"/>
    <x v="5"/>
    <x v="12"/>
    <x v="817"/>
    <x v="10"/>
    <s v="China"/>
    <m/>
    <x v="1"/>
    <s v="D"/>
    <x v="0"/>
    <d v="1970-02-22T00:00:00"/>
    <s v="Li"/>
    <s v="Guoqing"/>
    <m/>
    <d v="2023-04-04T05:01:00"/>
    <m/>
    <m/>
    <n v="1970"/>
    <n v="125.08"/>
    <n v="2.9"/>
    <n v="19910000000000"/>
    <n v="50.6"/>
    <n v="100.2"/>
    <n v="9.4"/>
    <n v="59.2"/>
    <n v="1397715000"/>
  </r>
  <r>
    <x v="216"/>
    <x v="216"/>
    <x v="14"/>
    <x v="1045"/>
    <x v="2"/>
    <x v="5"/>
    <x v="26"/>
    <x v="83"/>
    <x v="14"/>
    <s v="China"/>
    <m/>
    <x v="1"/>
    <s v="D"/>
    <x v="0"/>
    <d v="1964-02-09T00:00:00"/>
    <s v="Li"/>
    <s v="Li"/>
    <m/>
    <d v="2023-04-04T05:01:00"/>
    <m/>
    <m/>
    <n v="1964"/>
    <n v="125.08"/>
    <n v="2.9"/>
    <n v="19910000000000"/>
    <n v="50.6"/>
    <n v="100.2"/>
    <n v="9.4"/>
    <n v="59.2"/>
    <n v="1397715000"/>
  </r>
  <r>
    <x v="216"/>
    <x v="216"/>
    <x v="14"/>
    <x v="2316"/>
    <x v="27"/>
    <x v="5"/>
    <x v="19"/>
    <x v="818"/>
    <x v="14"/>
    <s v="China"/>
    <m/>
    <x v="1"/>
    <s v="D"/>
    <x v="0"/>
    <d v="1979-11-01T00:00:00"/>
    <s v="Li"/>
    <s v="Ruiqiang"/>
    <m/>
    <d v="2023-04-04T05:01:00"/>
    <m/>
    <m/>
    <n v="1979"/>
    <n v="125.08"/>
    <n v="2.9"/>
    <n v="19910000000000"/>
    <n v="50.6"/>
    <n v="100.2"/>
    <n v="9.4"/>
    <n v="59.2"/>
    <n v="1397715000"/>
  </r>
  <r>
    <x v="216"/>
    <x v="216"/>
    <x v="10"/>
    <x v="2317"/>
    <x v="2"/>
    <x v="5"/>
    <x v="155"/>
    <x v="190"/>
    <x v="10"/>
    <s v="China"/>
    <m/>
    <x v="1"/>
    <s v="D"/>
    <x v="0"/>
    <d v="1964-01-23T00:00:00"/>
    <s v="Li"/>
    <s v="Zhen"/>
    <m/>
    <d v="2023-04-04T05:01:00"/>
    <m/>
    <m/>
    <n v="1964"/>
    <n v="125.08"/>
    <n v="2.9"/>
    <n v="19910000000000"/>
    <n v="50.6"/>
    <n v="100.2"/>
    <n v="9.4"/>
    <n v="59.2"/>
    <n v="1397715000"/>
  </r>
  <r>
    <x v="216"/>
    <x v="216"/>
    <x v="10"/>
    <x v="2318"/>
    <x v="2"/>
    <x v="5"/>
    <x v="26"/>
    <x v="331"/>
    <x v="10"/>
    <s v="China"/>
    <m/>
    <x v="1"/>
    <s v="D"/>
    <x v="0"/>
    <d v="1963-09-01T00:00:00"/>
    <s v="Liang"/>
    <s v="Guangwei"/>
    <m/>
    <d v="2023-04-04T05:01:00"/>
    <m/>
    <m/>
    <n v="1963"/>
    <n v="125.08"/>
    <n v="2.9"/>
    <n v="19910000000000"/>
    <n v="50.6"/>
    <n v="100.2"/>
    <n v="9.4"/>
    <n v="59.2"/>
    <n v="1397715000"/>
  </r>
  <r>
    <x v="216"/>
    <x v="216"/>
    <x v="13"/>
    <x v="2319"/>
    <x v="15"/>
    <x v="10"/>
    <x v="36"/>
    <x v="209"/>
    <x v="13"/>
    <s v="China"/>
    <m/>
    <x v="1"/>
    <s v="D"/>
    <x v="0"/>
    <d v="1963-01-01T00:00:00"/>
    <s v="Liu"/>
    <s v="Ming Hui"/>
    <m/>
    <d v="2023-04-04T05:01:00"/>
    <m/>
    <m/>
    <n v="1963"/>
    <m/>
    <m/>
    <m/>
    <m/>
    <m/>
    <m/>
    <m/>
    <m/>
  </r>
  <r>
    <x v="216"/>
    <x v="216"/>
    <x v="2"/>
    <x v="2320"/>
    <x v="13"/>
    <x v="1"/>
    <x v="274"/>
    <x v="117"/>
    <x v="2"/>
    <s v="United States"/>
    <s v="ServiceNow"/>
    <x v="1"/>
    <s v="D"/>
    <x v="0"/>
    <d v="1954-11-24T00:00:00"/>
    <s v="Luddy"/>
    <s v="Frederic"/>
    <s v="Founder and Chief Product Officer"/>
    <d v="2023-04-04T05:01:00"/>
    <s v="California"/>
    <s v="West"/>
    <n v="1954"/>
    <n v="117.24"/>
    <n v="7.5"/>
    <n v="21427700000000"/>
    <n v="88.2"/>
    <n v="101.8"/>
    <n v="9.6"/>
    <n v="36.6"/>
    <n v="328239523"/>
  </r>
  <r>
    <x v="216"/>
    <x v="216"/>
    <x v="7"/>
    <x v="2321"/>
    <x v="53"/>
    <x v="1"/>
    <x v="676"/>
    <x v="188"/>
    <x v="7"/>
    <s v="United States"/>
    <m/>
    <x v="0"/>
    <s v="D"/>
    <x v="0"/>
    <d v="1959-12-21T00:00:00"/>
    <s v="MacMillan"/>
    <s v="Cargill"/>
    <m/>
    <d v="2023-04-04T05:01:00"/>
    <s v="Colorado"/>
    <s v="West"/>
    <n v="1959"/>
    <n v="117.24"/>
    <n v="7.5"/>
    <n v="21427700000000"/>
    <n v="88.2"/>
    <n v="101.8"/>
    <n v="9.6"/>
    <n v="36.6"/>
    <n v="328239523"/>
  </r>
  <r>
    <x v="216"/>
    <x v="216"/>
    <x v="7"/>
    <x v="2322"/>
    <x v="16"/>
    <x v="1"/>
    <x v="677"/>
    <x v="188"/>
    <x v="7"/>
    <s v="United States"/>
    <m/>
    <x v="0"/>
    <s v="D"/>
    <x v="0"/>
    <d v="1949-09-20T00:00:00"/>
    <s v="MacMillan"/>
    <s v="John"/>
    <m/>
    <d v="2023-04-04T05:01:00"/>
    <s v="Minnesota"/>
    <s v="Midwest"/>
    <n v="1949"/>
    <n v="117.24"/>
    <n v="7.5"/>
    <n v="21427700000000"/>
    <n v="88.2"/>
    <n v="101.8"/>
    <n v="9.6"/>
    <n v="36.6"/>
    <n v="328239523"/>
  </r>
  <r>
    <x v="216"/>
    <x v="216"/>
    <x v="7"/>
    <x v="2323"/>
    <x v="48"/>
    <x v="1"/>
    <x v="678"/>
    <x v="188"/>
    <x v="7"/>
    <s v="United States"/>
    <m/>
    <x v="0"/>
    <s v="D"/>
    <x v="1"/>
    <d v="1951-10-01T00:00:00"/>
    <s v="MacMillan"/>
    <s v="Martha"/>
    <m/>
    <d v="2023-04-04T05:01:00"/>
    <s v="Minnesota"/>
    <s v="Midwest"/>
    <n v="1951"/>
    <n v="117.24"/>
    <n v="7.5"/>
    <n v="21427700000000"/>
    <n v="88.2"/>
    <n v="101.8"/>
    <n v="9.6"/>
    <n v="36.6"/>
    <n v="328239523"/>
  </r>
  <r>
    <x v="216"/>
    <x v="216"/>
    <x v="7"/>
    <x v="2324"/>
    <x v="13"/>
    <x v="1"/>
    <x v="679"/>
    <x v="188"/>
    <x v="7"/>
    <s v="United States"/>
    <m/>
    <x v="0"/>
    <s v="D"/>
    <x v="0"/>
    <d v="1954-05-25T00:00:00"/>
    <s v="MacMillan"/>
    <s v="William"/>
    <m/>
    <d v="2023-04-04T05:01:00"/>
    <s v="Colorado"/>
    <s v="West"/>
    <n v="1954"/>
    <n v="117.24"/>
    <n v="7.5"/>
    <n v="21427700000000"/>
    <n v="88.2"/>
    <n v="101.8"/>
    <n v="9.6"/>
    <n v="36.6"/>
    <n v="328239523"/>
  </r>
  <r>
    <x v="216"/>
    <x v="216"/>
    <x v="6"/>
    <x v="2325"/>
    <x v="49"/>
    <x v="3"/>
    <x v="7"/>
    <x v="8"/>
    <x v="6"/>
    <s v="India"/>
    <m/>
    <x v="0"/>
    <s v="R"/>
    <x v="0"/>
    <d v="1923-10-09T00:00:00"/>
    <s v="Mahindra"/>
    <s v="Keshub"/>
    <m/>
    <d v="2023-04-04T05:01:00"/>
    <m/>
    <m/>
    <n v="1923"/>
    <n v="180.44"/>
    <n v="7.7"/>
    <n v="2611000000000"/>
    <n v="28.1"/>
    <n v="113"/>
    <n v="11.2"/>
    <n v="49.7"/>
    <n v="1366417754"/>
  </r>
  <r>
    <x v="216"/>
    <x v="216"/>
    <x v="10"/>
    <x v="2326"/>
    <x v="15"/>
    <x v="5"/>
    <x v="78"/>
    <x v="108"/>
    <x v="10"/>
    <s v="China"/>
    <m/>
    <x v="1"/>
    <s v="D"/>
    <x v="0"/>
    <d v="1962-08-13T00:00:00"/>
    <s v="Mao"/>
    <s v="Zhongwu"/>
    <m/>
    <d v="2023-04-04T05:01:00"/>
    <m/>
    <m/>
    <n v="1962"/>
    <n v="125.08"/>
    <n v="2.9"/>
    <n v="19910000000000"/>
    <n v="50.6"/>
    <n v="100.2"/>
    <n v="9.4"/>
    <n v="59.2"/>
    <n v="1397715000"/>
  </r>
  <r>
    <x v="216"/>
    <x v="216"/>
    <x v="16"/>
    <x v="2327"/>
    <x v="15"/>
    <x v="1"/>
    <x v="28"/>
    <x v="300"/>
    <x v="16"/>
    <s v="United States"/>
    <m/>
    <x v="0"/>
    <s v="U"/>
    <x v="0"/>
    <d v="1963-02-28T00:00:00"/>
    <s v="Mas"/>
    <s v="Jorge"/>
    <m/>
    <d v="2023-04-04T05:01:00"/>
    <s v="Florida"/>
    <s v="South"/>
    <n v="1963"/>
    <n v="117.24"/>
    <n v="7.5"/>
    <n v="21427700000000"/>
    <n v="88.2"/>
    <n v="101.8"/>
    <n v="9.6"/>
    <n v="36.6"/>
    <n v="328239523"/>
  </r>
  <r>
    <x v="216"/>
    <x v="216"/>
    <x v="6"/>
    <x v="2328"/>
    <x v="41"/>
    <x v="73"/>
    <x v="680"/>
    <x v="8"/>
    <x v="6"/>
    <s v="Hungary"/>
    <m/>
    <x v="1"/>
    <s v="E"/>
    <x v="0"/>
    <d v="1966-02-25T00:00:00"/>
    <s v="Meszaros"/>
    <s v="Lorinc"/>
    <m/>
    <d v="2023-04-04T05:01:00"/>
    <m/>
    <m/>
    <n v="1966"/>
    <n v="121.64"/>
    <n v="3.3"/>
    <n v="160967157504"/>
    <n v="48.5"/>
    <n v="100.8"/>
    <n v="23"/>
    <n v="37.9"/>
    <n v="9769949"/>
  </r>
  <r>
    <x v="216"/>
    <x v="216"/>
    <x v="2"/>
    <x v="2329"/>
    <x v="37"/>
    <x v="1"/>
    <x v="681"/>
    <x v="819"/>
    <x v="2"/>
    <s v="United States"/>
    <m/>
    <x v="1"/>
    <s v="U"/>
    <x v="0"/>
    <d v="1956-07-18T00:00:00"/>
    <s v="Michael"/>
    <s v="Jeffrey"/>
    <m/>
    <d v="2023-04-04T05:01:00"/>
    <s v="Minnesota"/>
    <s v="Midwest"/>
    <n v="1956"/>
    <n v="117.24"/>
    <n v="7.5"/>
    <n v="21427700000000"/>
    <n v="88.2"/>
    <n v="101.8"/>
    <n v="9.6"/>
    <n v="36.6"/>
    <n v="328239523"/>
  </r>
  <r>
    <x v="216"/>
    <x v="216"/>
    <x v="14"/>
    <x v="2330"/>
    <x v="18"/>
    <x v="1"/>
    <x v="682"/>
    <x v="737"/>
    <x v="14"/>
    <s v="United States"/>
    <m/>
    <x v="1"/>
    <s v="D"/>
    <x v="0"/>
    <d v="1937-08-17T00:00:00"/>
    <s v="Miller"/>
    <s v="Alan"/>
    <m/>
    <d v="2023-04-04T05:01:00"/>
    <s v="Pennsylvania"/>
    <s v="Northeast"/>
    <n v="1937"/>
    <n v="117.24"/>
    <n v="7.5"/>
    <n v="21427700000000"/>
    <n v="88.2"/>
    <n v="101.8"/>
    <n v="9.6"/>
    <n v="36.6"/>
    <n v="328239523"/>
  </r>
  <r>
    <x v="216"/>
    <x v="216"/>
    <x v="1"/>
    <x v="2331"/>
    <x v="26"/>
    <x v="22"/>
    <x v="25"/>
    <x v="820"/>
    <x v="1"/>
    <s v="Austria"/>
    <m/>
    <x v="1"/>
    <s v="E"/>
    <x v="0"/>
    <d v="1941-01-11T00:00:00"/>
    <s v="Mommert"/>
    <s v="Ulrich"/>
    <m/>
    <d v="2023-04-04T05:01:00"/>
    <m/>
    <m/>
    <n v="1941"/>
    <m/>
    <m/>
    <m/>
    <m/>
    <m/>
    <m/>
    <m/>
    <m/>
  </r>
  <r>
    <x v="216"/>
    <x v="216"/>
    <x v="6"/>
    <x v="2332"/>
    <x v="13"/>
    <x v="30"/>
    <x v="99"/>
    <x v="8"/>
    <x v="6"/>
    <s v="Brazil"/>
    <m/>
    <x v="0"/>
    <s v="D"/>
    <x v="1"/>
    <d v="1955-02-15T00:00:00"/>
    <s v="Moraes"/>
    <s v="Neide Helena de"/>
    <m/>
    <d v="2023-04-04T05:01:00"/>
    <m/>
    <m/>
    <n v="1955"/>
    <n v="167.4"/>
    <n v="3.7"/>
    <n v="1839758040766"/>
    <n v="51.3"/>
    <n v="115.4"/>
    <n v="14.2"/>
    <n v="65.099999999999994"/>
    <n v="212559417"/>
  </r>
  <r>
    <x v="216"/>
    <x v="216"/>
    <x v="3"/>
    <x v="2333"/>
    <x v="10"/>
    <x v="1"/>
    <x v="5"/>
    <x v="122"/>
    <x v="3"/>
    <s v="United States"/>
    <m/>
    <x v="1"/>
    <s v="U"/>
    <x v="0"/>
    <d v="1972-11-25T00:00:00"/>
    <s v="Nuttall"/>
    <s v="Scott"/>
    <m/>
    <d v="2023-04-04T05:01:00"/>
    <s v="New York"/>
    <s v="Northeast"/>
    <n v="1972"/>
    <n v="117.24"/>
    <n v="7.5"/>
    <n v="21427700000000"/>
    <n v="88.2"/>
    <n v="101.8"/>
    <n v="9.6"/>
    <n v="36.6"/>
    <n v="328239523"/>
  </r>
  <r>
    <x v="216"/>
    <x v="216"/>
    <x v="10"/>
    <x v="2334"/>
    <x v="8"/>
    <x v="22"/>
    <x v="25"/>
    <x v="643"/>
    <x v="10"/>
    <s v="India"/>
    <m/>
    <x v="0"/>
    <s v="N"/>
    <x v="0"/>
    <d v="1957-07-06T00:00:00"/>
    <s v="Nuwal"/>
    <s v="Kailashchandra"/>
    <m/>
    <d v="2023-04-04T05:01:00"/>
    <m/>
    <m/>
    <n v="1957"/>
    <m/>
    <m/>
    <m/>
    <m/>
    <m/>
    <m/>
    <m/>
    <m/>
  </r>
  <r>
    <x v="216"/>
    <x v="216"/>
    <x v="7"/>
    <x v="2335"/>
    <x v="32"/>
    <x v="7"/>
    <x v="389"/>
    <x v="476"/>
    <x v="7"/>
    <s v="Germany"/>
    <m/>
    <x v="0"/>
    <s v="Split Family Fortune"/>
    <x v="0"/>
    <d v="1967-01-01T00:00:00"/>
    <s v="Oberwelland"/>
    <s v="Axel"/>
    <m/>
    <d v="2023-04-04T05:01:00"/>
    <m/>
    <m/>
    <n v="1967"/>
    <n v="112.85"/>
    <n v="1.4"/>
    <n v="3845630030824"/>
    <n v="70.2"/>
    <n v="104"/>
    <n v="11.5"/>
    <n v="48.8"/>
    <n v="83132799"/>
  </r>
  <r>
    <x v="216"/>
    <x v="216"/>
    <x v="2"/>
    <x v="2336"/>
    <x v="65"/>
    <x v="1"/>
    <x v="147"/>
    <x v="821"/>
    <x v="2"/>
    <s v="United States"/>
    <m/>
    <x v="1"/>
    <s v="D"/>
    <x v="0"/>
    <d v="1974-05-02T00:00:00"/>
    <s v="Oringer"/>
    <s v="Jonathan"/>
    <m/>
    <d v="2023-04-04T05:01:00"/>
    <s v="Florida"/>
    <s v="South"/>
    <n v="1974"/>
    <n v="117.24"/>
    <n v="7.5"/>
    <n v="21427700000000"/>
    <n v="88.2"/>
    <n v="101.8"/>
    <n v="9.6"/>
    <n v="36.6"/>
    <n v="328239523"/>
  </r>
  <r>
    <x v="216"/>
    <x v="216"/>
    <x v="7"/>
    <x v="2337"/>
    <x v="17"/>
    <x v="17"/>
    <x v="683"/>
    <x v="822"/>
    <x v="7"/>
    <s v="Russia"/>
    <m/>
    <x v="1"/>
    <s v="R"/>
    <x v="0"/>
    <d v="1965-01-01T00:00:00"/>
    <s v="Orlov"/>
    <s v="Vitaly"/>
    <m/>
    <d v="2023-04-04T05:01:00"/>
    <m/>
    <m/>
    <n v="1965"/>
    <n v="180.75"/>
    <n v="4.5"/>
    <n v="1699876578871"/>
    <n v="81.900000000000006"/>
    <n v="102.6"/>
    <n v="11.4"/>
    <n v="46.2"/>
    <n v="144373535"/>
  </r>
  <r>
    <x v="216"/>
    <x v="216"/>
    <x v="11"/>
    <x v="2338"/>
    <x v="26"/>
    <x v="30"/>
    <x v="298"/>
    <x v="397"/>
    <x v="11"/>
    <s v="Brazil"/>
    <m/>
    <x v="1"/>
    <s v="U"/>
    <x v="0"/>
    <d v="1940-07-18T00:00:00"/>
    <s v="Peres"/>
    <s v="Jose Isaac"/>
    <m/>
    <d v="2023-04-04T05:01:00"/>
    <m/>
    <m/>
    <n v="1940"/>
    <n v="167.4"/>
    <n v="3.7"/>
    <n v="1839758040766"/>
    <n v="51.3"/>
    <n v="115.4"/>
    <n v="14.2"/>
    <n v="65.099999999999994"/>
    <n v="212559417"/>
  </r>
  <r>
    <x v="216"/>
    <x v="216"/>
    <x v="4"/>
    <x v="2339"/>
    <x v="27"/>
    <x v="21"/>
    <x v="69"/>
    <x v="823"/>
    <x v="4"/>
    <s v="Sweden"/>
    <m/>
    <x v="1"/>
    <s v="D"/>
    <x v="0"/>
    <d v="1979-06-01T00:00:00"/>
    <s v="Persson"/>
    <s v="Markus"/>
    <m/>
    <d v="2023-04-04T05:01:00"/>
    <m/>
    <m/>
    <n v="1979"/>
    <n v="110.51"/>
    <n v="1.8"/>
    <n v="530832908738"/>
    <n v="67"/>
    <n v="126.6"/>
    <n v="27.9"/>
    <n v="49.1"/>
    <n v="10285453"/>
  </r>
  <r>
    <x v="216"/>
    <x v="216"/>
    <x v="2"/>
    <x v="2340"/>
    <x v="41"/>
    <x v="1"/>
    <x v="120"/>
    <x v="41"/>
    <x v="2"/>
    <s v="United States"/>
    <s v="Zynga Inc"/>
    <x v="1"/>
    <s v="D"/>
    <x v="0"/>
    <d v="1966-02-13T00:00:00"/>
    <s v="Pincus"/>
    <s v="Mark"/>
    <s v="Chairman"/>
    <d v="2023-04-04T05:01:00"/>
    <s v="California"/>
    <s v="West"/>
    <n v="1966"/>
    <n v="117.24"/>
    <n v="7.5"/>
    <n v="21427700000000"/>
    <n v="88.2"/>
    <n v="101.8"/>
    <n v="9.6"/>
    <n v="36.6"/>
    <n v="328239523"/>
  </r>
  <r>
    <x v="216"/>
    <x v="216"/>
    <x v="6"/>
    <x v="2341"/>
    <x v="26"/>
    <x v="15"/>
    <x v="42"/>
    <x v="8"/>
    <x v="6"/>
    <s v="Indonesia"/>
    <m/>
    <x v="0"/>
    <s v="E"/>
    <x v="0"/>
    <d v="1941-01-12T00:00:00"/>
    <s v="Poo"/>
    <s v="Murdaya"/>
    <m/>
    <d v="2023-04-04T05:01:00"/>
    <m/>
    <m/>
    <n v="1941"/>
    <n v="151.18"/>
    <n v="3"/>
    <n v="1119190780753"/>
    <n v="36.299999999999997"/>
    <n v="106.4"/>
    <n v="10.199999999999999"/>
    <n v="30.1"/>
    <n v="270203917"/>
  </r>
  <r>
    <x v="216"/>
    <x v="216"/>
    <x v="14"/>
    <x v="2342"/>
    <x v="40"/>
    <x v="1"/>
    <x v="684"/>
    <x v="183"/>
    <x v="14"/>
    <s v="United States"/>
    <m/>
    <x v="1"/>
    <s v="D"/>
    <x v="0"/>
    <d v="1933-03-22T00:00:00"/>
    <s v="Preston"/>
    <s v="Forrest"/>
    <m/>
    <d v="2023-04-04T05:01:00"/>
    <s v="Tennessee"/>
    <s v="South"/>
    <n v="1933"/>
    <n v="117.24"/>
    <n v="7.5"/>
    <n v="21427700000000"/>
    <n v="88.2"/>
    <n v="101.8"/>
    <n v="9.6"/>
    <n v="36.6"/>
    <n v="328239523"/>
  </r>
  <r>
    <x v="216"/>
    <x v="216"/>
    <x v="7"/>
    <x v="2343"/>
    <x v="41"/>
    <x v="5"/>
    <x v="59"/>
    <x v="67"/>
    <x v="7"/>
    <s v="China"/>
    <m/>
    <x v="1"/>
    <s v="D"/>
    <x v="1"/>
    <d v="1966-01-01T00:00:00"/>
    <s v="Qian"/>
    <s v="Ying"/>
    <m/>
    <d v="2023-04-04T05:01:00"/>
    <m/>
    <m/>
    <n v="1966"/>
    <n v="125.08"/>
    <n v="2.9"/>
    <n v="19910000000000"/>
    <n v="50.6"/>
    <n v="100.2"/>
    <n v="9.4"/>
    <n v="59.2"/>
    <n v="1397715000"/>
  </r>
  <r>
    <x v="216"/>
    <x v="216"/>
    <x v="10"/>
    <x v="2344"/>
    <x v="31"/>
    <x v="1"/>
    <x v="685"/>
    <x v="824"/>
    <x v="10"/>
    <s v="United States"/>
    <m/>
    <x v="1"/>
    <s v="N"/>
    <x v="0"/>
    <d v="1946-09-15T00:00:00"/>
    <s v="Rane"/>
    <s v="Jimmy"/>
    <m/>
    <d v="2023-04-04T05:01:00"/>
    <s v="Alabama"/>
    <s v="South"/>
    <n v="1946"/>
    <n v="117.24"/>
    <n v="7.5"/>
    <n v="21427700000000"/>
    <n v="88.2"/>
    <n v="101.8"/>
    <n v="9.6"/>
    <n v="36.6"/>
    <n v="328239523"/>
  </r>
  <r>
    <x v="216"/>
    <x v="216"/>
    <x v="3"/>
    <x v="2345"/>
    <x v="2"/>
    <x v="8"/>
    <x v="436"/>
    <x v="38"/>
    <x v="3"/>
    <s v="Russia"/>
    <m/>
    <x v="1"/>
    <s v="E"/>
    <x v="0"/>
    <d v="1963-06-22T00:00:00"/>
    <s v="Rappoport"/>
    <s v="Andrei"/>
    <m/>
    <d v="2023-04-04T05:01:00"/>
    <m/>
    <m/>
    <n v="1963"/>
    <n v="99.55"/>
    <n v="0.4"/>
    <n v="703082435360"/>
    <n v="59.6"/>
    <n v="105.2"/>
    <n v="10.1"/>
    <n v="28.8"/>
    <n v="8574832"/>
  </r>
  <r>
    <x v="216"/>
    <x v="216"/>
    <x v="7"/>
    <x v="2346"/>
    <x v="44"/>
    <x v="30"/>
    <x v="632"/>
    <x v="105"/>
    <x v="7"/>
    <s v="Brazil"/>
    <m/>
    <x v="0"/>
    <s v="Split Family Fortune"/>
    <x v="0"/>
    <m/>
    <s v="Ribeiro"/>
    <s v="Hugo"/>
    <s v="Entrepreneur"/>
    <d v="2023-04-04T05:01:00"/>
    <m/>
    <m/>
    <m/>
    <n v="167.4"/>
    <n v="3.7"/>
    <n v="1839758040766"/>
    <n v="51.3"/>
    <n v="115.4"/>
    <n v="14.2"/>
    <n v="65.099999999999994"/>
    <n v="212559417"/>
  </r>
  <r>
    <x v="216"/>
    <x v="216"/>
    <x v="3"/>
    <x v="2347"/>
    <x v="2"/>
    <x v="1"/>
    <x v="115"/>
    <x v="224"/>
    <x v="3"/>
    <s v="United States"/>
    <m/>
    <x v="1"/>
    <s v="N"/>
    <x v="0"/>
    <d v="1963-09-24T00:00:00"/>
    <s v="Rosenthal"/>
    <s v="Bennett"/>
    <m/>
    <d v="2023-04-04T05:01:00"/>
    <s v="California"/>
    <s v="West"/>
    <n v="1963"/>
    <n v="117.24"/>
    <n v="7.5"/>
    <n v="21427700000000"/>
    <n v="88.2"/>
    <n v="101.8"/>
    <n v="9.6"/>
    <n v="36.6"/>
    <n v="328239523"/>
  </r>
  <r>
    <x v="216"/>
    <x v="216"/>
    <x v="11"/>
    <x v="2348"/>
    <x v="33"/>
    <x v="3"/>
    <x v="7"/>
    <x v="36"/>
    <x v="11"/>
    <s v="India"/>
    <m/>
    <x v="0"/>
    <s v="N"/>
    <x v="0"/>
    <d v="1971-02-26T00:00:00"/>
    <s v="Ruia"/>
    <s v="Atul"/>
    <m/>
    <d v="2023-04-04T05:01:00"/>
    <m/>
    <m/>
    <n v="1971"/>
    <n v="180.44"/>
    <n v="7.7"/>
    <n v="2611000000000"/>
    <n v="28.1"/>
    <n v="113"/>
    <n v="11.2"/>
    <n v="49.7"/>
    <n v="1366417754"/>
  </r>
  <r>
    <x v="216"/>
    <x v="216"/>
    <x v="3"/>
    <x v="2349"/>
    <x v="34"/>
    <x v="13"/>
    <x v="32"/>
    <x v="28"/>
    <x v="3"/>
    <s v="Sweden"/>
    <s v="Sandell Asset Management"/>
    <x v="1"/>
    <s v="D"/>
    <x v="0"/>
    <d v="1961-02-01T00:00:00"/>
    <s v="Sandell"/>
    <s v="Thomas"/>
    <s v="Founder"/>
    <d v="2023-04-04T05:01:00"/>
    <m/>
    <m/>
    <n v="1961"/>
    <n v="119.62"/>
    <n v="1.7"/>
    <n v="2827113184696"/>
    <n v="60"/>
    <n v="101.2"/>
    <n v="25.5"/>
    <n v="30.6"/>
    <n v="66834405"/>
  </r>
  <r>
    <x v="216"/>
    <x v="216"/>
    <x v="7"/>
    <x v="2350"/>
    <x v="44"/>
    <x v="6"/>
    <x v="202"/>
    <x v="54"/>
    <x v="7"/>
    <s v="Canada"/>
    <m/>
    <x v="0"/>
    <s v="N"/>
    <x v="0"/>
    <m/>
    <s v="Saputo"/>
    <s v="Francesco"/>
    <m/>
    <d v="2023-04-04T05:01:00"/>
    <m/>
    <m/>
    <m/>
    <n v="116.76"/>
    <n v="1.9"/>
    <n v="1736425629520"/>
    <n v="68.900000000000006"/>
    <n v="100.9"/>
    <n v="12.8"/>
    <n v="24.5"/>
    <n v="36991981"/>
  </r>
  <r>
    <x v="216"/>
    <x v="216"/>
    <x v="16"/>
    <x v="2351"/>
    <x v="3"/>
    <x v="16"/>
    <x v="88"/>
    <x v="825"/>
    <x v="16"/>
    <s v="India"/>
    <m/>
    <x v="0"/>
    <s v="U"/>
    <x v="0"/>
    <d v="1944-06-26T00:00:00"/>
    <s v="Sawhney"/>
    <s v="Dhruv"/>
    <m/>
    <d v="2023-04-04T05:01:00"/>
    <m/>
    <m/>
    <n v="1944"/>
    <n v="114.52"/>
    <n v="-1.9"/>
    <n v="421142267938"/>
    <n v="36.799999999999997"/>
    <n v="108.4"/>
    <n v="0.1"/>
    <n v="15.9"/>
    <n v="9770529"/>
  </r>
  <r>
    <x v="216"/>
    <x v="216"/>
    <x v="3"/>
    <x v="2352"/>
    <x v="6"/>
    <x v="6"/>
    <x v="16"/>
    <x v="224"/>
    <x v="3"/>
    <s v="Canada"/>
    <m/>
    <x v="1"/>
    <s v="D"/>
    <x v="0"/>
    <d v="1941-11-24T00:00:00"/>
    <s v="Schwartz"/>
    <s v="Gerald"/>
    <m/>
    <d v="2023-04-04T05:01:00"/>
    <m/>
    <m/>
    <n v="1941"/>
    <n v="116.76"/>
    <n v="1.9"/>
    <n v="1736425629520"/>
    <n v="68.900000000000006"/>
    <n v="100.9"/>
    <n v="12.8"/>
    <n v="24.5"/>
    <n v="36991981"/>
  </r>
  <r>
    <x v="216"/>
    <x v="216"/>
    <x v="0"/>
    <x v="2353"/>
    <x v="35"/>
    <x v="13"/>
    <x v="32"/>
    <x v="427"/>
    <x v="0"/>
    <s v="Brazil"/>
    <m/>
    <x v="1"/>
    <s v="D"/>
    <x v="0"/>
    <d v="1943-01-01T00:00:00"/>
    <s v="Seabra"/>
    <s v="Antonio Luiz"/>
    <m/>
    <d v="2023-04-04T05:01:00"/>
    <m/>
    <m/>
    <n v="1943"/>
    <n v="119.62"/>
    <n v="1.7"/>
    <n v="2827113184696"/>
    <n v="60"/>
    <n v="101.2"/>
    <n v="25.5"/>
    <n v="30.6"/>
    <n v="66834405"/>
  </r>
  <r>
    <x v="216"/>
    <x v="216"/>
    <x v="2"/>
    <x v="2354"/>
    <x v="33"/>
    <x v="5"/>
    <x v="82"/>
    <x v="826"/>
    <x v="2"/>
    <s v="China"/>
    <m/>
    <x v="1"/>
    <s v="R"/>
    <x v="0"/>
    <d v="1971-01-01T00:00:00"/>
    <s v="Shen"/>
    <s v="Eric Ya"/>
    <m/>
    <d v="2023-04-04T05:01:00"/>
    <m/>
    <m/>
    <n v="1971"/>
    <n v="125.08"/>
    <n v="2.9"/>
    <n v="19910000000000"/>
    <n v="50.6"/>
    <n v="100.2"/>
    <n v="9.4"/>
    <n v="59.2"/>
    <n v="1397715000"/>
  </r>
  <r>
    <x v="216"/>
    <x v="216"/>
    <x v="2"/>
    <x v="2355"/>
    <x v="27"/>
    <x v="1"/>
    <x v="120"/>
    <x v="117"/>
    <x v="2"/>
    <s v="Netherlands"/>
    <m/>
    <x v="1"/>
    <s v="N"/>
    <x v="0"/>
    <d v="1979-08-01T00:00:00"/>
    <s v="Sijbrandij"/>
    <s v="Sytse 'Sid'"/>
    <m/>
    <d v="2023-04-04T05:01:00"/>
    <s v="California"/>
    <s v="West"/>
    <n v="1979"/>
    <n v="117.24"/>
    <n v="7.5"/>
    <n v="21427700000000"/>
    <n v="88.2"/>
    <n v="101.8"/>
    <n v="9.6"/>
    <n v="36.6"/>
    <n v="328239523"/>
  </r>
  <r>
    <x v="216"/>
    <x v="216"/>
    <x v="1"/>
    <x v="2356"/>
    <x v="27"/>
    <x v="7"/>
    <x v="189"/>
    <x v="827"/>
    <x v="1"/>
    <s v="Germany"/>
    <m/>
    <x v="0"/>
    <s v="D"/>
    <x v="0"/>
    <d v="1979-10-24T00:00:00"/>
    <s v="Sixt"/>
    <s v="Alexander"/>
    <m/>
    <d v="2023-04-04T05:01:00"/>
    <m/>
    <m/>
    <n v="1979"/>
    <n v="112.85"/>
    <n v="1.4"/>
    <n v="3845630030824"/>
    <n v="70.2"/>
    <n v="104"/>
    <n v="11.5"/>
    <n v="48.8"/>
    <n v="83132799"/>
  </r>
  <r>
    <x v="216"/>
    <x v="216"/>
    <x v="1"/>
    <x v="2357"/>
    <x v="60"/>
    <x v="7"/>
    <x v="189"/>
    <x v="827"/>
    <x v="1"/>
    <s v="Germany"/>
    <m/>
    <x v="0"/>
    <s v="D"/>
    <x v="0"/>
    <d v="1982-12-02T00:00:00"/>
    <s v="Sixt"/>
    <s v="Konstantin"/>
    <m/>
    <d v="2023-04-04T05:01:00"/>
    <m/>
    <m/>
    <n v="1982"/>
    <n v="112.85"/>
    <n v="1.4"/>
    <n v="3845630030824"/>
    <n v="70.2"/>
    <n v="104"/>
    <n v="11.5"/>
    <n v="48.8"/>
    <n v="83132799"/>
  </r>
  <r>
    <x v="216"/>
    <x v="216"/>
    <x v="13"/>
    <x v="2358"/>
    <x v="16"/>
    <x v="15"/>
    <x v="42"/>
    <x v="828"/>
    <x v="13"/>
    <s v="Indonesia"/>
    <m/>
    <x v="0"/>
    <s v="D"/>
    <x v="0"/>
    <d v="1949-07-17T00:00:00"/>
    <s v="Soeryadjaya"/>
    <s v="Edwin"/>
    <m/>
    <d v="2023-04-04T05:01:00"/>
    <m/>
    <m/>
    <n v="1949"/>
    <n v="151.18"/>
    <n v="3"/>
    <n v="1119190780753"/>
    <n v="36.299999999999997"/>
    <n v="106.4"/>
    <n v="10.199999999999999"/>
    <n v="30.1"/>
    <n v="270203917"/>
  </r>
  <r>
    <x v="216"/>
    <x v="216"/>
    <x v="14"/>
    <x v="2359"/>
    <x v="12"/>
    <x v="3"/>
    <x v="7"/>
    <x v="291"/>
    <x v="14"/>
    <s v="India"/>
    <m/>
    <x v="1"/>
    <s v="N"/>
    <x v="0"/>
    <d v="1973-08-19T00:00:00"/>
    <s v="Soi"/>
    <s v="Abhay"/>
    <m/>
    <d v="2023-04-04T05:01:00"/>
    <m/>
    <m/>
    <n v="1973"/>
    <n v="180.44"/>
    <n v="7.7"/>
    <n v="2611000000000"/>
    <n v="28.1"/>
    <n v="113"/>
    <n v="11.2"/>
    <n v="49.7"/>
    <n v="1366417754"/>
  </r>
  <r>
    <x v="216"/>
    <x v="216"/>
    <x v="2"/>
    <x v="2360"/>
    <x v="33"/>
    <x v="13"/>
    <x v="32"/>
    <x v="117"/>
    <x v="2"/>
    <s v="United States"/>
    <s v="Sutter Hill Ventures"/>
    <x v="1"/>
    <s v="U"/>
    <x v="0"/>
    <d v="1971-01-25T00:00:00"/>
    <s v="Speiser"/>
    <s v="Mike"/>
    <s v="Managing Director"/>
    <d v="2023-04-04T05:01:00"/>
    <m/>
    <m/>
    <n v="1971"/>
    <n v="119.62"/>
    <n v="1.7"/>
    <n v="2827113184696"/>
    <n v="60"/>
    <n v="101.2"/>
    <n v="25.5"/>
    <n v="30.6"/>
    <n v="66834405"/>
  </r>
  <r>
    <x v="216"/>
    <x v="216"/>
    <x v="16"/>
    <x v="2361"/>
    <x v="1"/>
    <x v="28"/>
    <x v="95"/>
    <x v="785"/>
    <x v="16"/>
    <s v="Italy"/>
    <m/>
    <x v="0"/>
    <s v="D"/>
    <x v="0"/>
    <d v="1971-09-23T00:00:00"/>
    <s v="Squinzi"/>
    <s v="Marco"/>
    <m/>
    <d v="2023-04-04T05:01:00"/>
    <m/>
    <m/>
    <n v="1971"/>
    <n v="110.62"/>
    <n v="0.6"/>
    <n v="2001244392042"/>
    <n v="61.9"/>
    <n v="101.9"/>
    <n v="24.3"/>
    <n v="59.1"/>
    <n v="60297396"/>
  </r>
  <r>
    <x v="216"/>
    <x v="216"/>
    <x v="16"/>
    <x v="2362"/>
    <x v="1"/>
    <x v="28"/>
    <x v="95"/>
    <x v="785"/>
    <x v="16"/>
    <s v="Italy"/>
    <m/>
    <x v="0"/>
    <s v="D"/>
    <x v="1"/>
    <d v="1972-01-01T00:00:00"/>
    <s v="Squinzi"/>
    <s v="Veronica"/>
    <m/>
    <d v="2023-04-04T05:01:00"/>
    <m/>
    <m/>
    <n v="1972"/>
    <n v="110.62"/>
    <n v="0.6"/>
    <n v="2001244392042"/>
    <n v="61.9"/>
    <n v="101.9"/>
    <n v="24.3"/>
    <n v="59.1"/>
    <n v="60297396"/>
  </r>
  <r>
    <x v="216"/>
    <x v="216"/>
    <x v="3"/>
    <x v="2363"/>
    <x v="26"/>
    <x v="1"/>
    <x v="686"/>
    <x v="28"/>
    <x v="3"/>
    <s v="United States"/>
    <m/>
    <x v="1"/>
    <s v="E"/>
    <x v="0"/>
    <d v="1940-12-07T00:00:00"/>
    <s v="Steinhardt"/>
    <s v="Michael"/>
    <m/>
    <d v="2023-04-04T05:01:00"/>
    <s v="New York"/>
    <s v="Northeast"/>
    <n v="1940"/>
    <n v="117.24"/>
    <n v="7.5"/>
    <n v="21427700000000"/>
    <n v="88.2"/>
    <n v="101.8"/>
    <n v="9.6"/>
    <n v="36.6"/>
    <n v="328239523"/>
  </r>
  <r>
    <x v="216"/>
    <x v="216"/>
    <x v="2"/>
    <x v="2364"/>
    <x v="17"/>
    <x v="1"/>
    <x v="464"/>
    <x v="756"/>
    <x v="2"/>
    <s v="Romania"/>
    <m/>
    <x v="1"/>
    <s v="D"/>
    <x v="0"/>
    <d v="1965-02-12T00:00:00"/>
    <s v="Stoica"/>
    <s v="Ion"/>
    <m/>
    <d v="2023-04-04T05:01:00"/>
    <s v="California"/>
    <s v="West"/>
    <n v="1965"/>
    <n v="117.24"/>
    <n v="7.5"/>
    <n v="21427700000000"/>
    <n v="88.2"/>
    <n v="101.8"/>
    <n v="9.6"/>
    <n v="36.6"/>
    <n v="328239523"/>
  </r>
  <r>
    <x v="216"/>
    <x v="216"/>
    <x v="12"/>
    <x v="2365"/>
    <x v="22"/>
    <x v="15"/>
    <x v="42"/>
    <x v="43"/>
    <x v="12"/>
    <s v="Indonesia"/>
    <m/>
    <x v="1"/>
    <s v="N"/>
    <x v="0"/>
    <d v="1946-02-11T00:00:00"/>
    <s v="Sugianto"/>
    <s v="Eddy"/>
    <m/>
    <d v="2023-04-04T05:01:00"/>
    <m/>
    <m/>
    <n v="1946"/>
    <n v="151.18"/>
    <n v="3"/>
    <n v="1119190780753"/>
    <n v="36.299999999999997"/>
    <n v="106.4"/>
    <n v="10.199999999999999"/>
    <n v="30.1"/>
    <n v="270203917"/>
  </r>
  <r>
    <x v="216"/>
    <x v="216"/>
    <x v="10"/>
    <x v="2366"/>
    <x v="38"/>
    <x v="9"/>
    <x v="687"/>
    <x v="829"/>
    <x v="10"/>
    <s v="Belgium"/>
    <m/>
    <x v="1"/>
    <s v="E"/>
    <x v="0"/>
    <d v="1961-09-01T00:00:00"/>
    <s v="Tack"/>
    <s v="Luc"/>
    <m/>
    <d v="2023-04-04T05:01:00"/>
    <m/>
    <m/>
    <n v="1961"/>
    <n v="117.11"/>
    <n v="1.4"/>
    <n v="529606710418"/>
    <n v="79.7"/>
    <n v="103.9"/>
    <n v="24"/>
    <n v="55.4"/>
    <n v="11484055"/>
  </r>
  <r>
    <x v="216"/>
    <x v="216"/>
    <x v="7"/>
    <x v="2367"/>
    <x v="36"/>
    <x v="34"/>
    <x v="137"/>
    <x v="267"/>
    <x v="7"/>
    <s v="Philippines"/>
    <m/>
    <x v="1"/>
    <s v="D"/>
    <x v="0"/>
    <d v="1953-01-05T00:00:00"/>
    <s v="Tan Caktiong"/>
    <s v="Tony"/>
    <m/>
    <d v="2023-04-04T05:01:00"/>
    <m/>
    <m/>
    <n v="1953"/>
    <n v="129.61000000000001"/>
    <n v="2.5"/>
    <n v="376795508680"/>
    <n v="35.5"/>
    <n v="107.5"/>
    <n v="14"/>
    <n v="43.1"/>
    <n v="108116615"/>
  </r>
  <r>
    <x v="216"/>
    <x v="216"/>
    <x v="10"/>
    <x v="2368"/>
    <x v="2"/>
    <x v="5"/>
    <x v="78"/>
    <x v="108"/>
    <x v="10"/>
    <s v="China"/>
    <m/>
    <x v="1"/>
    <s v="U"/>
    <x v="0"/>
    <d v="1963-08-25T00:00:00"/>
    <s v="Tang"/>
    <s v="Xiuguo"/>
    <m/>
    <d v="2023-04-04T05:01:00"/>
    <m/>
    <m/>
    <n v="1963"/>
    <n v="125.08"/>
    <n v="2.9"/>
    <n v="19910000000000"/>
    <n v="50.6"/>
    <n v="100.2"/>
    <n v="9.4"/>
    <n v="59.2"/>
    <n v="1397715000"/>
  </r>
  <r>
    <x v="216"/>
    <x v="216"/>
    <x v="11"/>
    <x v="2369"/>
    <x v="3"/>
    <x v="14"/>
    <x v="93"/>
    <x v="36"/>
    <x v="11"/>
    <s v="Australia"/>
    <m/>
    <x v="1"/>
    <s v="E"/>
    <x v="0"/>
    <d v="1944-07-22T00:00:00"/>
    <s v="Tarascio"/>
    <s v="Sam"/>
    <m/>
    <d v="2023-04-04T05:01:00"/>
    <m/>
    <m/>
    <n v="1944"/>
    <n v="119.8"/>
    <n v="1.6"/>
    <n v="1392680589329"/>
    <n v="113.1"/>
    <n v="100.3"/>
    <n v="23"/>
    <n v="47.4"/>
    <n v="25766605"/>
  </r>
  <r>
    <x v="216"/>
    <x v="216"/>
    <x v="3"/>
    <x v="2370"/>
    <x v="43"/>
    <x v="28"/>
    <x v="688"/>
    <x v="285"/>
    <x v="3"/>
    <s v="Italy"/>
    <m/>
    <x v="0"/>
    <s v="D"/>
    <x v="1"/>
    <d v="1947-07-28T00:00:00"/>
    <s v="Tombolato"/>
    <s v="Lina"/>
    <m/>
    <d v="2023-04-04T05:01:00"/>
    <m/>
    <m/>
    <n v="1947"/>
    <n v="110.62"/>
    <n v="0.6"/>
    <n v="2001244392042"/>
    <n v="61.9"/>
    <n v="101.9"/>
    <n v="24.3"/>
    <n v="59.1"/>
    <n v="60297396"/>
  </r>
  <r>
    <x v="216"/>
    <x v="216"/>
    <x v="10"/>
    <x v="2371"/>
    <x v="15"/>
    <x v="5"/>
    <x v="574"/>
    <x v="108"/>
    <x v="10"/>
    <s v="China"/>
    <m/>
    <x v="1"/>
    <s v="D"/>
    <x v="0"/>
    <d v="1963-01-01T00:00:00"/>
    <s v="Tung"/>
    <s v="Ching Bor"/>
    <m/>
    <d v="2023-04-04T05:01:00"/>
    <m/>
    <m/>
    <n v="1963"/>
    <n v="125.08"/>
    <n v="2.9"/>
    <n v="19910000000000"/>
    <n v="50.6"/>
    <n v="100.2"/>
    <n v="9.4"/>
    <n v="59.2"/>
    <n v="1397715000"/>
  </r>
  <r>
    <x v="216"/>
    <x v="216"/>
    <x v="4"/>
    <x v="2372"/>
    <x v="6"/>
    <x v="41"/>
    <x v="689"/>
    <x v="521"/>
    <x v="4"/>
    <s v="Netherlands"/>
    <m/>
    <x v="1"/>
    <s v="D"/>
    <x v="0"/>
    <d v="1942-02-23T00:00:00"/>
    <s v="van den Ende"/>
    <s v="Joop"/>
    <m/>
    <d v="2023-04-04T05:01:00"/>
    <m/>
    <m/>
    <n v="1942"/>
    <n v="115.91"/>
    <n v="2.6"/>
    <n v="909070395161"/>
    <n v="85"/>
    <n v="104.2"/>
    <n v="23"/>
    <n v="41.2"/>
    <n v="17332850"/>
  </r>
  <r>
    <x v="216"/>
    <x v="216"/>
    <x v="3"/>
    <x v="2373"/>
    <x v="23"/>
    <x v="78"/>
    <x v="690"/>
    <x v="419"/>
    <x v="3"/>
    <s v="Armenia"/>
    <m/>
    <x v="1"/>
    <s v="R"/>
    <x v="0"/>
    <d v="1968-05-25T00:00:00"/>
    <s v="Vardanyan"/>
    <s v="Ruben"/>
    <m/>
    <d v="2023-04-04T05:01:00"/>
    <m/>
    <m/>
    <n v="1968"/>
    <n v="129.18"/>
    <n v="1.4"/>
    <n v="13672802158"/>
    <n v="54.6"/>
    <n v="92.7"/>
    <n v="20.9"/>
    <n v="22.6"/>
    <n v="2957731"/>
  </r>
  <r>
    <x v="216"/>
    <x v="216"/>
    <x v="0"/>
    <x v="2374"/>
    <x v="53"/>
    <x v="28"/>
    <x v="95"/>
    <x v="406"/>
    <x v="0"/>
    <s v="Italy"/>
    <m/>
    <x v="1"/>
    <s v="D"/>
    <x v="0"/>
    <d v="1959-10-18T00:00:00"/>
    <s v="Veronesi"/>
    <s v="Sandro"/>
    <m/>
    <d v="2023-04-04T05:01:00"/>
    <m/>
    <m/>
    <n v="1959"/>
    <n v="110.62"/>
    <n v="0.6"/>
    <n v="2001244392042"/>
    <n v="61.9"/>
    <n v="101.9"/>
    <n v="24.3"/>
    <n v="59.1"/>
    <n v="60297396"/>
  </r>
  <r>
    <x v="216"/>
    <x v="216"/>
    <x v="11"/>
    <x v="2375"/>
    <x v="8"/>
    <x v="23"/>
    <x v="73"/>
    <x v="36"/>
    <x v="11"/>
    <s v="Thailand"/>
    <m/>
    <x v="1"/>
    <s v="E"/>
    <x v="0"/>
    <d v="1957-07-08T00:00:00"/>
    <s v="Vijitpongpun"/>
    <s v="Thongma"/>
    <m/>
    <d v="2023-04-04T05:01:00"/>
    <m/>
    <m/>
    <n v="1957"/>
    <n v="113.27"/>
    <n v="0.7"/>
    <n v="543649976166"/>
    <n v="49.3"/>
    <n v="99.8"/>
    <n v="14.9"/>
    <n v="29.5"/>
    <n v="69625582"/>
  </r>
  <r>
    <x v="216"/>
    <x v="216"/>
    <x v="3"/>
    <x v="2376"/>
    <x v="41"/>
    <x v="10"/>
    <x v="36"/>
    <x v="786"/>
    <x v="3"/>
    <s v="Sweden"/>
    <m/>
    <x v="1"/>
    <s v="D"/>
    <x v="0"/>
    <d v="1966-03-24T00:00:00"/>
    <s v="von Koch"/>
    <s v="Thomas"/>
    <m/>
    <d v="2023-04-04T05:01:00"/>
    <m/>
    <m/>
    <n v="1966"/>
    <m/>
    <m/>
    <m/>
    <m/>
    <m/>
    <m/>
    <m/>
    <m/>
  </r>
  <r>
    <x v="216"/>
    <x v="216"/>
    <x v="14"/>
    <x v="2377"/>
    <x v="44"/>
    <x v="5"/>
    <x v="691"/>
    <x v="83"/>
    <x v="14"/>
    <s v="China"/>
    <m/>
    <x v="1"/>
    <s v="D"/>
    <x v="0"/>
    <m/>
    <s v="Wang"/>
    <s v="Fuji"/>
    <m/>
    <d v="2023-04-04T05:01:00"/>
    <m/>
    <m/>
    <m/>
    <n v="125.08"/>
    <n v="2.9"/>
    <n v="19910000000000"/>
    <n v="50.6"/>
    <n v="100.2"/>
    <n v="9.4"/>
    <n v="59.2"/>
    <n v="1397715000"/>
  </r>
  <r>
    <x v="216"/>
    <x v="216"/>
    <x v="10"/>
    <x v="2378"/>
    <x v="38"/>
    <x v="35"/>
    <x v="152"/>
    <x v="830"/>
    <x v="10"/>
    <s v="Taiwan"/>
    <m/>
    <x v="1"/>
    <s v="N"/>
    <x v="0"/>
    <d v="1962-01-01T00:00:00"/>
    <s v="Wang"/>
    <s v="Shih-Chung"/>
    <m/>
    <d v="2023-04-04T05:01:00"/>
    <m/>
    <m/>
    <n v="1962"/>
    <m/>
    <m/>
    <m/>
    <m/>
    <m/>
    <m/>
    <m/>
    <m/>
  </r>
  <r>
    <x v="216"/>
    <x v="216"/>
    <x v="10"/>
    <x v="2379"/>
    <x v="23"/>
    <x v="5"/>
    <x v="692"/>
    <x v="413"/>
    <x v="10"/>
    <s v="China"/>
    <m/>
    <x v="1"/>
    <s v="D"/>
    <x v="0"/>
    <d v="1968-10-01T00:00:00"/>
    <s v="Wang"/>
    <s v="Xiaoshen"/>
    <m/>
    <d v="2023-04-04T05:01:00"/>
    <m/>
    <m/>
    <n v="1968"/>
    <n v="125.08"/>
    <n v="2.9"/>
    <n v="19910000000000"/>
    <n v="50.6"/>
    <n v="100.2"/>
    <n v="9.4"/>
    <n v="59.2"/>
    <n v="1397715000"/>
  </r>
  <r>
    <x v="216"/>
    <x v="216"/>
    <x v="6"/>
    <x v="2380"/>
    <x v="11"/>
    <x v="1"/>
    <x v="693"/>
    <x v="159"/>
    <x v="6"/>
    <s v="United States"/>
    <m/>
    <x v="1"/>
    <s v="E"/>
    <x v="0"/>
    <d v="1935-09-01T00:00:00"/>
    <s v="Weaver"/>
    <s v="J. Wayne"/>
    <m/>
    <d v="2023-04-04T05:01:00"/>
    <s v="Florida"/>
    <s v="South"/>
    <n v="1935"/>
    <n v="117.24"/>
    <n v="7.5"/>
    <n v="21427700000000"/>
    <n v="88.2"/>
    <n v="101.8"/>
    <n v="9.6"/>
    <n v="36.6"/>
    <n v="328239523"/>
  </r>
  <r>
    <x v="216"/>
    <x v="216"/>
    <x v="7"/>
    <x v="2381"/>
    <x v="5"/>
    <x v="27"/>
    <x v="694"/>
    <x v="831"/>
    <x v="7"/>
    <s v="Israel"/>
    <m/>
    <x v="0"/>
    <s v="D"/>
    <x v="1"/>
    <d v="1956-01-01T00:00:00"/>
    <s v="Wertheim"/>
    <s v="Drorit"/>
    <m/>
    <d v="2023-04-04T05:01:00"/>
    <m/>
    <m/>
    <n v="1956"/>
    <n v="108.15"/>
    <n v="0.8"/>
    <n v="395098666122"/>
    <n v="63.4"/>
    <n v="104.9"/>
    <n v="23.1"/>
    <n v="25.3"/>
    <n v="9053300"/>
  </r>
  <r>
    <x v="216"/>
    <x v="216"/>
    <x v="3"/>
    <x v="2382"/>
    <x v="51"/>
    <x v="1"/>
    <x v="5"/>
    <x v="530"/>
    <x v="3"/>
    <s v="United States"/>
    <m/>
    <x v="1"/>
    <s v="D"/>
    <x v="0"/>
    <d v="1981-08-21T00:00:00"/>
    <s v="Winklevoss"/>
    <s v="Cameron"/>
    <m/>
    <d v="2023-04-04T05:01:00"/>
    <s v="New York"/>
    <s v="Northeast"/>
    <n v="1981"/>
    <n v="117.24"/>
    <n v="7.5"/>
    <n v="21427700000000"/>
    <n v="88.2"/>
    <n v="101.8"/>
    <n v="9.6"/>
    <n v="36.6"/>
    <n v="328239523"/>
  </r>
  <r>
    <x v="216"/>
    <x v="216"/>
    <x v="3"/>
    <x v="2383"/>
    <x v="51"/>
    <x v="1"/>
    <x v="5"/>
    <x v="530"/>
    <x v="3"/>
    <s v="United States"/>
    <m/>
    <x v="1"/>
    <s v="D"/>
    <x v="0"/>
    <d v="1981-08-21T00:00:00"/>
    <s v="Winklevoss"/>
    <s v="Tyler"/>
    <m/>
    <d v="2023-04-04T05:01:00"/>
    <s v="New York"/>
    <s v="Northeast"/>
    <n v="1981"/>
    <n v="117.24"/>
    <n v="7.5"/>
    <n v="21427700000000"/>
    <n v="88.2"/>
    <n v="101.8"/>
    <n v="9.6"/>
    <n v="36.6"/>
    <n v="328239523"/>
  </r>
  <r>
    <x v="216"/>
    <x v="216"/>
    <x v="10"/>
    <x v="2384"/>
    <x v="5"/>
    <x v="35"/>
    <x v="695"/>
    <x v="108"/>
    <x v="10"/>
    <s v="Taiwan"/>
    <m/>
    <x v="0"/>
    <s v="E"/>
    <x v="0"/>
    <d v="1955-07-01T00:00:00"/>
    <s v="Wu"/>
    <s v="Chung-yi"/>
    <m/>
    <d v="2023-04-04T05:01:00"/>
    <m/>
    <m/>
    <n v="1955"/>
    <m/>
    <m/>
    <m/>
    <m/>
    <m/>
    <m/>
    <m/>
    <m/>
  </r>
  <r>
    <x v="216"/>
    <x v="216"/>
    <x v="3"/>
    <x v="2385"/>
    <x v="22"/>
    <x v="35"/>
    <x v="152"/>
    <x v="224"/>
    <x v="3"/>
    <s v="Taiwan"/>
    <m/>
    <x v="0"/>
    <s v="D"/>
    <x v="0"/>
    <d v="1945-05-03T00:00:00"/>
    <s v="Wu"/>
    <s v="Eugene"/>
    <m/>
    <d v="2023-04-04T05:01:00"/>
    <m/>
    <m/>
    <n v="1945"/>
    <m/>
    <m/>
    <m/>
    <m/>
    <m/>
    <m/>
    <m/>
    <m/>
  </r>
  <r>
    <x v="216"/>
    <x v="216"/>
    <x v="0"/>
    <x v="2386"/>
    <x v="33"/>
    <x v="5"/>
    <x v="320"/>
    <x v="185"/>
    <x v="0"/>
    <s v="China"/>
    <m/>
    <x v="1"/>
    <s v="U"/>
    <x v="0"/>
    <d v="1971-01-01T00:00:00"/>
    <s v="Wu"/>
    <s v="Yonghua"/>
    <m/>
    <d v="2023-04-04T05:01:00"/>
    <m/>
    <m/>
    <n v="1971"/>
    <n v="125.08"/>
    <n v="2.9"/>
    <n v="19910000000000"/>
    <n v="50.6"/>
    <n v="100.2"/>
    <n v="9.4"/>
    <n v="59.2"/>
    <n v="1397715000"/>
  </r>
  <r>
    <x v="216"/>
    <x v="216"/>
    <x v="10"/>
    <x v="2387"/>
    <x v="17"/>
    <x v="5"/>
    <x v="82"/>
    <x v="30"/>
    <x v="10"/>
    <s v="China"/>
    <m/>
    <x v="1"/>
    <s v="U"/>
    <x v="0"/>
    <d v="1964-10-15T00:00:00"/>
    <s v="Xia"/>
    <s v="Xinde"/>
    <m/>
    <d v="2023-04-04T05:01:00"/>
    <m/>
    <m/>
    <n v="1964"/>
    <n v="125.08"/>
    <n v="2.9"/>
    <n v="19910000000000"/>
    <n v="50.6"/>
    <n v="100.2"/>
    <n v="9.4"/>
    <n v="59.2"/>
    <n v="1397715000"/>
  </r>
  <r>
    <x v="216"/>
    <x v="216"/>
    <x v="10"/>
    <x v="2388"/>
    <x v="15"/>
    <x v="5"/>
    <x v="78"/>
    <x v="108"/>
    <x v="10"/>
    <s v="China"/>
    <m/>
    <x v="1"/>
    <s v="D"/>
    <x v="0"/>
    <d v="1962-06-21T00:00:00"/>
    <s v="Xiang"/>
    <s v="Wenbo"/>
    <m/>
    <d v="2023-04-04T05:01:00"/>
    <m/>
    <m/>
    <n v="1962"/>
    <n v="125.08"/>
    <n v="2.9"/>
    <n v="19910000000000"/>
    <n v="50.6"/>
    <n v="100.2"/>
    <n v="9.4"/>
    <n v="59.2"/>
    <n v="1397715000"/>
  </r>
  <r>
    <x v="216"/>
    <x v="216"/>
    <x v="7"/>
    <x v="2389"/>
    <x v="17"/>
    <x v="5"/>
    <x v="696"/>
    <x v="422"/>
    <x v="7"/>
    <s v="China"/>
    <m/>
    <x v="1"/>
    <s v="D"/>
    <x v="0"/>
    <d v="1965-01-24T00:00:00"/>
    <s v="Xu"/>
    <s v="Jin"/>
    <m/>
    <d v="2023-04-04T05:01:00"/>
    <m/>
    <m/>
    <n v="1965"/>
    <n v="125.08"/>
    <n v="2.9"/>
    <n v="19910000000000"/>
    <n v="50.6"/>
    <n v="100.2"/>
    <n v="9.4"/>
    <n v="59.2"/>
    <n v="1397715000"/>
  </r>
  <r>
    <x v="216"/>
    <x v="216"/>
    <x v="10"/>
    <x v="2390"/>
    <x v="15"/>
    <x v="5"/>
    <x v="697"/>
    <x v="108"/>
    <x v="10"/>
    <s v="China"/>
    <m/>
    <x v="1"/>
    <s v="D"/>
    <x v="0"/>
    <d v="1963-03-01T00:00:00"/>
    <s v="Xu"/>
    <s v="Shijun"/>
    <m/>
    <d v="2023-04-04T05:01:00"/>
    <m/>
    <m/>
    <n v="1963"/>
    <n v="125.08"/>
    <n v="2.9"/>
    <n v="19910000000000"/>
    <n v="50.6"/>
    <n v="100.2"/>
    <n v="9.4"/>
    <n v="59.2"/>
    <n v="1397715000"/>
  </r>
  <r>
    <x v="216"/>
    <x v="216"/>
    <x v="15"/>
    <x v="2391"/>
    <x v="3"/>
    <x v="5"/>
    <x v="114"/>
    <x v="426"/>
    <x v="15"/>
    <s v="China"/>
    <m/>
    <x v="1"/>
    <s v="D"/>
    <x v="0"/>
    <d v="1945-01-01T00:00:00"/>
    <s v="Xu"/>
    <s v="Wanmao"/>
    <m/>
    <d v="2023-04-04T05:01:00"/>
    <m/>
    <m/>
    <n v="1945"/>
    <n v="125.08"/>
    <n v="2.9"/>
    <n v="19910000000000"/>
    <n v="50.6"/>
    <n v="100.2"/>
    <n v="9.4"/>
    <n v="59.2"/>
    <n v="1397715000"/>
  </r>
  <r>
    <x v="216"/>
    <x v="216"/>
    <x v="10"/>
    <x v="2392"/>
    <x v="38"/>
    <x v="5"/>
    <x v="12"/>
    <x v="817"/>
    <x v="10"/>
    <s v="China"/>
    <m/>
    <x v="1"/>
    <s v="D"/>
    <x v="1"/>
    <d v="1962-01-24T00:00:00"/>
    <s v="Xu"/>
    <s v="Yuejuan"/>
    <m/>
    <d v="2023-04-04T05:01:00"/>
    <m/>
    <m/>
    <n v="1962"/>
    <n v="125.08"/>
    <n v="2.9"/>
    <n v="19910000000000"/>
    <n v="50.6"/>
    <n v="100.2"/>
    <n v="9.4"/>
    <n v="59.2"/>
    <n v="1397715000"/>
  </r>
  <r>
    <x v="216"/>
    <x v="216"/>
    <x v="14"/>
    <x v="2393"/>
    <x v="15"/>
    <x v="17"/>
    <x v="48"/>
    <x v="832"/>
    <x v="14"/>
    <s v="Russia"/>
    <m/>
    <x v="1"/>
    <s v="R"/>
    <x v="0"/>
    <d v="1963-01-05T00:00:00"/>
    <s v="Yakunin"/>
    <s v="Vadim"/>
    <m/>
    <d v="2023-04-04T05:01:00"/>
    <m/>
    <m/>
    <n v="1963"/>
    <n v="180.75"/>
    <n v="4.5"/>
    <n v="1699876578871"/>
    <n v="81.900000000000006"/>
    <n v="102.6"/>
    <n v="11.4"/>
    <n v="46.2"/>
    <n v="144373535"/>
  </r>
  <r>
    <x v="216"/>
    <x v="216"/>
    <x v="0"/>
    <x v="2394"/>
    <x v="62"/>
    <x v="5"/>
    <x v="82"/>
    <x v="21"/>
    <x v="0"/>
    <s v="China"/>
    <m/>
    <x v="1"/>
    <s v="R"/>
    <x v="1"/>
    <d v="1977-01-01T00:00:00"/>
    <s v="Yang"/>
    <s v="Yunyun"/>
    <m/>
    <d v="2023-04-04T05:01:00"/>
    <m/>
    <m/>
    <n v="1977"/>
    <n v="125.08"/>
    <n v="2.9"/>
    <n v="19910000000000"/>
    <n v="50.6"/>
    <n v="100.2"/>
    <n v="9.4"/>
    <n v="59.2"/>
    <n v="1397715000"/>
  </r>
  <r>
    <x v="216"/>
    <x v="216"/>
    <x v="2"/>
    <x v="2395"/>
    <x v="59"/>
    <x v="1"/>
    <x v="464"/>
    <x v="756"/>
    <x v="2"/>
    <s v="Romania"/>
    <m/>
    <x v="1"/>
    <s v="D"/>
    <x v="0"/>
    <d v="1985-04-21T00:00:00"/>
    <s v="Zaharia"/>
    <s v="Matei"/>
    <m/>
    <d v="2023-04-04T05:01:00"/>
    <s v="California"/>
    <s v="West"/>
    <n v="1985"/>
    <n v="117.24"/>
    <n v="7.5"/>
    <n v="21427700000000"/>
    <n v="88.2"/>
    <n v="101.8"/>
    <n v="9.6"/>
    <n v="36.6"/>
    <n v="328239523"/>
  </r>
  <r>
    <x v="216"/>
    <x v="216"/>
    <x v="6"/>
    <x v="2396"/>
    <x v="15"/>
    <x v="5"/>
    <x v="697"/>
    <x v="8"/>
    <x v="6"/>
    <s v="China"/>
    <m/>
    <x v="1"/>
    <s v="D"/>
    <x v="0"/>
    <d v="1963-04-02T00:00:00"/>
    <s v="Zan"/>
    <s v="Shengda"/>
    <m/>
    <d v="2023-04-04T05:01:00"/>
    <m/>
    <m/>
    <n v="1963"/>
    <n v="125.08"/>
    <n v="2.9"/>
    <n v="19910000000000"/>
    <n v="50.6"/>
    <n v="100.2"/>
    <n v="9.4"/>
    <n v="59.2"/>
    <n v="1397715000"/>
  </r>
  <r>
    <x v="216"/>
    <x v="216"/>
    <x v="2"/>
    <x v="2397"/>
    <x v="47"/>
    <x v="5"/>
    <x v="316"/>
    <x v="7"/>
    <x v="2"/>
    <s v="China"/>
    <m/>
    <x v="1"/>
    <s v="D"/>
    <x v="0"/>
    <d v="1975-06-01T00:00:00"/>
    <s v="Zhang"/>
    <s v="Xuezheng"/>
    <m/>
    <d v="2023-04-04T05:01:00"/>
    <m/>
    <m/>
    <n v="1975"/>
    <n v="125.08"/>
    <n v="2.9"/>
    <n v="19910000000000"/>
    <n v="50.6"/>
    <n v="100.2"/>
    <n v="9.4"/>
    <n v="59.2"/>
    <n v="1397715000"/>
  </r>
  <r>
    <x v="216"/>
    <x v="216"/>
    <x v="10"/>
    <x v="2398"/>
    <x v="37"/>
    <x v="5"/>
    <x v="574"/>
    <x v="833"/>
    <x v="10"/>
    <s v="China"/>
    <m/>
    <x v="1"/>
    <s v="D"/>
    <x v="1"/>
    <d v="1957-02-01T00:00:00"/>
    <s v="Zhang"/>
    <s v="Yin"/>
    <m/>
    <d v="2023-04-04T05:01:00"/>
    <m/>
    <m/>
    <n v="1957"/>
    <n v="125.08"/>
    <n v="2.9"/>
    <n v="19910000000000"/>
    <n v="50.6"/>
    <n v="100.2"/>
    <n v="9.4"/>
    <n v="59.2"/>
    <n v="1397715000"/>
  </r>
  <r>
    <x v="216"/>
    <x v="216"/>
    <x v="14"/>
    <x v="2399"/>
    <x v="32"/>
    <x v="5"/>
    <x v="34"/>
    <x v="83"/>
    <x v="14"/>
    <s v="United States"/>
    <m/>
    <x v="1"/>
    <s v="Split Family Fortune"/>
    <x v="1"/>
    <d v="1967-01-01T00:00:00"/>
    <s v="Zhao"/>
    <s v="Ning"/>
    <m/>
    <d v="2023-04-04T05:01:00"/>
    <m/>
    <m/>
    <n v="1967"/>
    <n v="125.08"/>
    <n v="2.9"/>
    <n v="19910000000000"/>
    <n v="50.6"/>
    <n v="100.2"/>
    <n v="9.4"/>
    <n v="59.2"/>
    <n v="1397715000"/>
  </r>
  <r>
    <x v="216"/>
    <x v="216"/>
    <x v="10"/>
    <x v="2400"/>
    <x v="17"/>
    <x v="5"/>
    <x v="34"/>
    <x v="50"/>
    <x v="10"/>
    <s v="China"/>
    <m/>
    <x v="1"/>
    <s v="U"/>
    <x v="0"/>
    <d v="1965-03-06T00:00:00"/>
    <s v="Zhou"/>
    <s v="Wen"/>
    <m/>
    <d v="2023-04-04T05:01:00"/>
    <m/>
    <m/>
    <n v="1965"/>
    <n v="125.08"/>
    <n v="2.9"/>
    <n v="19910000000000"/>
    <n v="50.6"/>
    <n v="100.2"/>
    <n v="9.4"/>
    <n v="59.2"/>
    <n v="1397715000"/>
  </r>
  <r>
    <x v="216"/>
    <x v="216"/>
    <x v="16"/>
    <x v="2401"/>
    <x v="53"/>
    <x v="5"/>
    <x v="225"/>
    <x v="300"/>
    <x v="16"/>
    <s v="China"/>
    <m/>
    <x v="1"/>
    <s v="D"/>
    <x v="0"/>
    <d v="1959-05-01T00:00:00"/>
    <s v="Zhu"/>
    <s v="Xingliang"/>
    <m/>
    <d v="2023-04-04T05:01:00"/>
    <m/>
    <m/>
    <n v="1959"/>
    <n v="125.08"/>
    <n v="2.9"/>
    <n v="19910000000000"/>
    <n v="50.6"/>
    <n v="100.2"/>
    <n v="9.4"/>
    <n v="59.2"/>
    <n v="1397715000"/>
  </r>
  <r>
    <x v="217"/>
    <x v="217"/>
    <x v="0"/>
    <x v="2402"/>
    <x v="37"/>
    <x v="3"/>
    <x v="41"/>
    <x v="834"/>
    <x v="0"/>
    <s v="India"/>
    <m/>
    <x v="1"/>
    <s v="N"/>
    <x v="0"/>
    <d v="1956-04-05T00:00:00"/>
    <s v="Agarwal"/>
    <s v="Hari Krishan"/>
    <m/>
    <d v="2023-04-04T05:01:00"/>
    <m/>
    <m/>
    <n v="1956"/>
    <n v="180.44"/>
    <n v="7.7"/>
    <n v="2611000000000"/>
    <n v="28.1"/>
    <n v="113"/>
    <n v="11.2"/>
    <n v="49.7"/>
    <n v="1366417754"/>
  </r>
  <r>
    <x v="217"/>
    <x v="217"/>
    <x v="13"/>
    <x v="2403"/>
    <x v="5"/>
    <x v="17"/>
    <x v="48"/>
    <x v="38"/>
    <x v="13"/>
    <s v="Russia"/>
    <m/>
    <x v="1"/>
    <s v="D"/>
    <x v="0"/>
    <d v="1955-09-15T00:00:00"/>
    <s v="Akhmedov"/>
    <s v="Farkhad"/>
    <m/>
    <d v="2023-04-04T05:01:00"/>
    <m/>
    <m/>
    <n v="1955"/>
    <n v="180.75"/>
    <n v="4.5"/>
    <n v="1699876578871"/>
    <n v="81.900000000000006"/>
    <n v="102.6"/>
    <n v="11.4"/>
    <n v="46.2"/>
    <n v="144373535"/>
  </r>
  <r>
    <x v="217"/>
    <x v="217"/>
    <x v="14"/>
    <x v="2404"/>
    <x v="30"/>
    <x v="22"/>
    <x v="25"/>
    <x v="83"/>
    <x v="14"/>
    <s v="India"/>
    <m/>
    <x v="0"/>
    <s v="N"/>
    <x v="0"/>
    <d v="1938-09-11T00:00:00"/>
    <s v="Arora"/>
    <s v="Prem Kumar"/>
    <m/>
    <d v="2023-04-04T05:01:00"/>
    <m/>
    <m/>
    <n v="1938"/>
    <m/>
    <m/>
    <m/>
    <m/>
    <m/>
    <m/>
    <m/>
    <m/>
  </r>
  <r>
    <x v="217"/>
    <x v="217"/>
    <x v="3"/>
    <x v="2405"/>
    <x v="1"/>
    <x v="1"/>
    <x v="5"/>
    <x v="122"/>
    <x v="3"/>
    <s v="United States"/>
    <m/>
    <x v="1"/>
    <s v="N"/>
    <x v="0"/>
    <d v="1972-01-12T00:00:00"/>
    <s v="Bae"/>
    <s v="Joseph"/>
    <m/>
    <d v="2023-04-04T05:01:00"/>
    <s v="New York"/>
    <s v="Northeast"/>
    <n v="1972"/>
    <n v="117.24"/>
    <n v="7.5"/>
    <n v="21427700000000"/>
    <n v="88.2"/>
    <n v="101.8"/>
    <n v="9.6"/>
    <n v="36.6"/>
    <n v="328239523"/>
  </r>
  <r>
    <x v="217"/>
    <x v="217"/>
    <x v="7"/>
    <x v="2406"/>
    <x v="57"/>
    <x v="1"/>
    <x v="698"/>
    <x v="370"/>
    <x v="7"/>
    <s v="United States"/>
    <m/>
    <x v="0"/>
    <s v="Split Family Fortune"/>
    <x v="1"/>
    <d v="1980-12-27T00:00:00"/>
    <s v="Bennett"/>
    <s v="Abigail"/>
    <m/>
    <d v="2023-04-04T05:01:00"/>
    <s v="New York"/>
    <s v="Northeast"/>
    <n v="1980"/>
    <n v="117.24"/>
    <n v="7.5"/>
    <n v="21427700000000"/>
    <n v="88.2"/>
    <n v="101.8"/>
    <n v="9.6"/>
    <n v="36.6"/>
    <n v="328239523"/>
  </r>
  <r>
    <x v="217"/>
    <x v="217"/>
    <x v="0"/>
    <x v="2407"/>
    <x v="33"/>
    <x v="1"/>
    <x v="139"/>
    <x v="835"/>
    <x v="0"/>
    <s v="United States"/>
    <s v="Spanx"/>
    <x v="1"/>
    <s v="E"/>
    <x v="1"/>
    <d v="1971-02-27T00:00:00"/>
    <s v="Blakely"/>
    <s v="Sara"/>
    <s v="Founder"/>
    <d v="2023-04-04T05:01:00"/>
    <s v="Georgia"/>
    <s v="South"/>
    <n v="1971"/>
    <n v="117.24"/>
    <n v="7.5"/>
    <n v="21427700000000"/>
    <n v="88.2"/>
    <n v="101.8"/>
    <n v="9.6"/>
    <n v="36.6"/>
    <n v="328239523"/>
  </r>
  <r>
    <x v="217"/>
    <x v="217"/>
    <x v="3"/>
    <x v="2408"/>
    <x v="13"/>
    <x v="1"/>
    <x v="5"/>
    <x v="75"/>
    <x v="3"/>
    <s v="United States"/>
    <s v="Goldman Sachs Group"/>
    <x v="1"/>
    <s v="E"/>
    <x v="0"/>
    <d v="1954-09-20T00:00:00"/>
    <s v="Blankfein"/>
    <s v="Lloyd"/>
    <s v="CEO"/>
    <d v="2023-04-04T05:01:00"/>
    <s v="New York"/>
    <s v="Northeast"/>
    <n v="1954"/>
    <n v="117.24"/>
    <n v="7.5"/>
    <n v="21427700000000"/>
    <n v="88.2"/>
    <n v="101.8"/>
    <n v="9.6"/>
    <n v="36.6"/>
    <n v="328239523"/>
  </r>
  <r>
    <x v="217"/>
    <x v="217"/>
    <x v="6"/>
    <x v="2409"/>
    <x v="38"/>
    <x v="44"/>
    <x v="699"/>
    <x v="618"/>
    <x v="6"/>
    <s v="Ukraine"/>
    <m/>
    <x v="1"/>
    <s v="E"/>
    <x v="0"/>
    <d v="1962-01-01T00:00:00"/>
    <s v="Boholyubov"/>
    <s v="Henadiy"/>
    <m/>
    <d v="2023-04-04T05:01:00"/>
    <m/>
    <m/>
    <n v="1962"/>
    <n v="281.66000000000003"/>
    <n v="7.9"/>
    <n v="153781069118"/>
    <n v="82.7"/>
    <n v="99"/>
    <n v="20.100000000000001"/>
    <n v="45.2"/>
    <n v="44385155"/>
  </r>
  <r>
    <x v="217"/>
    <x v="217"/>
    <x v="11"/>
    <x v="2410"/>
    <x v="32"/>
    <x v="8"/>
    <x v="700"/>
    <x v="36"/>
    <x v="11"/>
    <s v="Switzerland"/>
    <m/>
    <x v="1"/>
    <s v="D"/>
    <x v="0"/>
    <d v="1967-01-01T00:00:00"/>
    <s v="Bonvin"/>
    <s v="Stephane"/>
    <m/>
    <d v="2023-04-04T05:01:00"/>
    <m/>
    <m/>
    <n v="1967"/>
    <n v="99.55"/>
    <n v="0.4"/>
    <n v="703082435360"/>
    <n v="59.6"/>
    <n v="105.2"/>
    <n v="10.1"/>
    <n v="28.8"/>
    <n v="8574832"/>
  </r>
  <r>
    <x v="217"/>
    <x v="217"/>
    <x v="6"/>
    <x v="2411"/>
    <x v="17"/>
    <x v="8"/>
    <x v="701"/>
    <x v="8"/>
    <x v="6"/>
    <s v="Russia"/>
    <m/>
    <x v="1"/>
    <s v="D"/>
    <x v="0"/>
    <d v="1964-09-28T00:00:00"/>
    <s v="Boyko"/>
    <s v="Oleg"/>
    <m/>
    <d v="2023-04-04T05:01:00"/>
    <m/>
    <m/>
    <n v="1964"/>
    <n v="99.55"/>
    <n v="0.4"/>
    <n v="703082435360"/>
    <n v="59.6"/>
    <n v="105.2"/>
    <n v="10.1"/>
    <n v="28.8"/>
    <n v="8574832"/>
  </r>
  <r>
    <x v="217"/>
    <x v="217"/>
    <x v="2"/>
    <x v="2412"/>
    <x v="79"/>
    <x v="1"/>
    <x v="28"/>
    <x v="836"/>
    <x v="2"/>
    <s v="United States"/>
    <s v="Bolt"/>
    <x v="1"/>
    <s v="D"/>
    <x v="0"/>
    <d v="1994-05-20T00:00:00"/>
    <s v="Breslow"/>
    <s v="Ryan"/>
    <s v="Cofounder"/>
    <d v="2023-04-04T05:01:00"/>
    <s v="Florida"/>
    <s v="South"/>
    <n v="1994"/>
    <n v="117.24"/>
    <n v="7.5"/>
    <n v="21427700000000"/>
    <n v="88.2"/>
    <n v="101.8"/>
    <n v="9.6"/>
    <n v="36.6"/>
    <n v="328239523"/>
  </r>
  <r>
    <x v="217"/>
    <x v="217"/>
    <x v="0"/>
    <x v="2413"/>
    <x v="25"/>
    <x v="7"/>
    <x v="702"/>
    <x v="21"/>
    <x v="0"/>
    <s v="Germany"/>
    <m/>
    <x v="0"/>
    <s v="D"/>
    <x v="0"/>
    <d v="1950-04-25T00:00:00"/>
    <s v="Bruch"/>
    <s v="Thomas"/>
    <m/>
    <d v="2023-04-04T05:01:00"/>
    <m/>
    <m/>
    <n v="1950"/>
    <n v="112.85"/>
    <n v="1.4"/>
    <n v="3845630030824"/>
    <n v="70.2"/>
    <n v="104"/>
    <n v="11.5"/>
    <n v="48.8"/>
    <n v="83132799"/>
  </r>
  <r>
    <x v="217"/>
    <x v="217"/>
    <x v="2"/>
    <x v="2414"/>
    <x v="38"/>
    <x v="15"/>
    <x v="42"/>
    <x v="607"/>
    <x v="2"/>
    <s v="Indonesia"/>
    <m/>
    <x v="1"/>
    <s v="D"/>
    <x v="1"/>
    <d v="1961-09-05T00:00:00"/>
    <s v="Budiman"/>
    <s v="Marina"/>
    <m/>
    <d v="2023-04-04T05:01:00"/>
    <m/>
    <m/>
    <n v="1961"/>
    <n v="151.18"/>
    <n v="3"/>
    <n v="1119190780753"/>
    <n v="36.299999999999997"/>
    <n v="106.4"/>
    <n v="10.199999999999999"/>
    <n v="30.1"/>
    <n v="270203917"/>
  </r>
  <r>
    <x v="217"/>
    <x v="217"/>
    <x v="7"/>
    <x v="2415"/>
    <x v="35"/>
    <x v="3"/>
    <x v="41"/>
    <x v="243"/>
    <x v="7"/>
    <s v="India"/>
    <m/>
    <x v="0"/>
    <s v="D"/>
    <x v="0"/>
    <d v="1942-11-02T00:00:00"/>
    <s v="Burman"/>
    <s v="Pradip"/>
    <m/>
    <d v="2023-04-04T05:01:00"/>
    <m/>
    <m/>
    <n v="1942"/>
    <n v="180.44"/>
    <n v="7.7"/>
    <n v="2611000000000"/>
    <n v="28.1"/>
    <n v="113"/>
    <n v="11.2"/>
    <n v="49.7"/>
    <n v="1366417754"/>
  </r>
  <r>
    <x v="217"/>
    <x v="217"/>
    <x v="14"/>
    <x v="2416"/>
    <x v="44"/>
    <x v="5"/>
    <x v="111"/>
    <x v="83"/>
    <x v="14"/>
    <s v="China"/>
    <m/>
    <x v="1"/>
    <s v="D"/>
    <x v="0"/>
    <m/>
    <s v="Cai"/>
    <s v="Hongbin"/>
    <m/>
    <d v="2023-04-04T05:01:00"/>
    <m/>
    <m/>
    <m/>
    <n v="125.08"/>
    <n v="2.9"/>
    <n v="19910000000000"/>
    <n v="50.6"/>
    <n v="100.2"/>
    <n v="9.4"/>
    <n v="59.2"/>
    <n v="1397715000"/>
  </r>
  <r>
    <x v="217"/>
    <x v="217"/>
    <x v="10"/>
    <x v="2417"/>
    <x v="15"/>
    <x v="5"/>
    <x v="703"/>
    <x v="837"/>
    <x v="10"/>
    <s v="China"/>
    <m/>
    <x v="1"/>
    <s v="E"/>
    <x v="0"/>
    <d v="1962-04-10T00:00:00"/>
    <s v="Cao"/>
    <s v="Kejian"/>
    <m/>
    <d v="2023-04-04T05:01:00"/>
    <m/>
    <m/>
    <n v="1962"/>
    <n v="125.08"/>
    <n v="2.9"/>
    <n v="19910000000000"/>
    <n v="50.6"/>
    <n v="100.2"/>
    <n v="9.4"/>
    <n v="59.2"/>
    <n v="1397715000"/>
  </r>
  <r>
    <x v="217"/>
    <x v="217"/>
    <x v="7"/>
    <x v="2418"/>
    <x v="26"/>
    <x v="28"/>
    <x v="95"/>
    <x v="81"/>
    <x v="7"/>
    <s v="Italy"/>
    <m/>
    <x v="0"/>
    <s v="D"/>
    <x v="1"/>
    <d v="1940-11-21T00:00:00"/>
    <s v="Caprotti"/>
    <s v="Giuliana"/>
    <m/>
    <d v="2023-04-04T05:01:00"/>
    <m/>
    <m/>
    <n v="1940"/>
    <n v="110.62"/>
    <n v="0.6"/>
    <n v="2001244392042"/>
    <n v="61.9"/>
    <n v="101.9"/>
    <n v="24.3"/>
    <n v="59.1"/>
    <n v="60297396"/>
  </r>
  <r>
    <x v="217"/>
    <x v="217"/>
    <x v="7"/>
    <x v="2419"/>
    <x v="45"/>
    <x v="28"/>
    <x v="95"/>
    <x v="81"/>
    <x v="7"/>
    <s v="Italy"/>
    <m/>
    <x v="0"/>
    <s v="D"/>
    <x v="1"/>
    <d v="1978-01-17T00:00:00"/>
    <s v="Caprotti"/>
    <s v="Marina"/>
    <m/>
    <d v="2023-04-04T05:01:00"/>
    <m/>
    <m/>
    <n v="1978"/>
    <n v="110.62"/>
    <n v="0.6"/>
    <n v="2001244392042"/>
    <n v="61.9"/>
    <n v="101.9"/>
    <n v="24.3"/>
    <n v="59.1"/>
    <n v="60297396"/>
  </r>
  <r>
    <x v="217"/>
    <x v="217"/>
    <x v="2"/>
    <x v="2420"/>
    <x v="60"/>
    <x v="5"/>
    <x v="19"/>
    <x v="596"/>
    <x v="2"/>
    <s v="China"/>
    <m/>
    <x v="1"/>
    <s v="D"/>
    <x v="0"/>
    <d v="1982-08-01T00:00:00"/>
    <s v="Chang"/>
    <s v="Jing"/>
    <m/>
    <d v="2023-04-04T05:01:00"/>
    <m/>
    <m/>
    <n v="1982"/>
    <n v="125.08"/>
    <n v="2.9"/>
    <n v="19910000000000"/>
    <n v="50.6"/>
    <n v="100.2"/>
    <n v="9.4"/>
    <n v="59.2"/>
    <n v="1397715000"/>
  </r>
  <r>
    <x v="217"/>
    <x v="217"/>
    <x v="14"/>
    <x v="2421"/>
    <x v="38"/>
    <x v="5"/>
    <x v="704"/>
    <x v="670"/>
    <x v="14"/>
    <s v="China"/>
    <m/>
    <x v="1"/>
    <s v="D"/>
    <x v="0"/>
    <d v="1962-01-01T00:00:00"/>
    <s v="Chen"/>
    <s v="Baohua"/>
    <m/>
    <d v="2023-04-04T05:01:00"/>
    <m/>
    <m/>
    <n v="1962"/>
    <n v="125.08"/>
    <n v="2.9"/>
    <n v="19910000000000"/>
    <n v="50.6"/>
    <n v="100.2"/>
    <n v="9.4"/>
    <n v="59.2"/>
    <n v="1397715000"/>
  </r>
  <r>
    <x v="217"/>
    <x v="217"/>
    <x v="13"/>
    <x v="2422"/>
    <x v="42"/>
    <x v="5"/>
    <x v="82"/>
    <x v="838"/>
    <x v="13"/>
    <s v="China"/>
    <m/>
    <x v="1"/>
    <s v="D"/>
    <x v="0"/>
    <d v="1968-01-01T00:00:00"/>
    <s v="Chen"/>
    <s v="Gang"/>
    <m/>
    <d v="2023-04-04T05:01:00"/>
    <m/>
    <m/>
    <n v="1968"/>
    <n v="125.08"/>
    <n v="2.9"/>
    <n v="19910000000000"/>
    <n v="50.6"/>
    <n v="100.2"/>
    <n v="9.4"/>
    <n v="59.2"/>
    <n v="1397715000"/>
  </r>
  <r>
    <x v="217"/>
    <x v="217"/>
    <x v="8"/>
    <x v="2423"/>
    <x v="47"/>
    <x v="5"/>
    <x v="34"/>
    <x v="57"/>
    <x v="8"/>
    <s v="China"/>
    <m/>
    <x v="1"/>
    <s v="D"/>
    <x v="1"/>
    <d v="1975-10-30T00:00:00"/>
    <s v="Chen"/>
    <s v="Liying"/>
    <m/>
    <d v="2023-04-04T05:01:00"/>
    <m/>
    <m/>
    <n v="1975"/>
    <n v="125.08"/>
    <n v="2.9"/>
    <n v="19910000000000"/>
    <n v="50.6"/>
    <n v="100.2"/>
    <n v="9.4"/>
    <n v="59.2"/>
    <n v="1397715000"/>
  </r>
  <r>
    <x v="217"/>
    <x v="217"/>
    <x v="2"/>
    <x v="2424"/>
    <x v="16"/>
    <x v="35"/>
    <x v="611"/>
    <x v="172"/>
    <x v="2"/>
    <s v="Taiwan"/>
    <m/>
    <x v="1"/>
    <s v="U"/>
    <x v="0"/>
    <d v="1949-07-01T00:00:00"/>
    <s v="Chen"/>
    <s v="Tony"/>
    <m/>
    <d v="2023-04-04T05:01:00"/>
    <m/>
    <m/>
    <n v="1949"/>
    <m/>
    <m/>
    <m/>
    <m/>
    <m/>
    <m/>
    <m/>
    <m/>
  </r>
  <r>
    <x v="217"/>
    <x v="217"/>
    <x v="10"/>
    <x v="2425"/>
    <x v="42"/>
    <x v="5"/>
    <x v="434"/>
    <x v="593"/>
    <x v="10"/>
    <s v="China"/>
    <m/>
    <x v="1"/>
    <s v="D"/>
    <x v="1"/>
    <d v="1967-10-16T00:00:00"/>
    <s v="Chen"/>
    <s v="Xueling"/>
    <m/>
    <d v="2023-04-04T05:01:00"/>
    <m/>
    <m/>
    <n v="1967"/>
    <n v="125.08"/>
    <n v="2.9"/>
    <n v="19910000000000"/>
    <n v="50.6"/>
    <n v="100.2"/>
    <n v="9.4"/>
    <n v="59.2"/>
    <n v="1397715000"/>
  </r>
  <r>
    <x v="217"/>
    <x v="217"/>
    <x v="7"/>
    <x v="2426"/>
    <x v="17"/>
    <x v="5"/>
    <x v="128"/>
    <x v="839"/>
    <x v="7"/>
    <s v="China"/>
    <m/>
    <x v="1"/>
    <s v="D"/>
    <x v="0"/>
    <d v="1965-01-01T00:00:00"/>
    <s v="Cheng"/>
    <s v="Lili"/>
    <m/>
    <d v="2023-04-04T05:01:00"/>
    <m/>
    <m/>
    <n v="1965"/>
    <n v="125.08"/>
    <n v="2.9"/>
    <n v="19910000000000"/>
    <n v="50.6"/>
    <n v="100.2"/>
    <n v="9.4"/>
    <n v="59.2"/>
    <n v="1397715000"/>
  </r>
  <r>
    <x v="217"/>
    <x v="217"/>
    <x v="2"/>
    <x v="2427"/>
    <x v="44"/>
    <x v="22"/>
    <x v="25"/>
    <x v="58"/>
    <x v="2"/>
    <s v="Taiwan"/>
    <m/>
    <x v="1"/>
    <s v="D"/>
    <x v="0"/>
    <m/>
    <s v="Cho"/>
    <s v="Jyh-jer"/>
    <m/>
    <d v="2023-04-04T05:01:00"/>
    <m/>
    <m/>
    <m/>
    <m/>
    <m/>
    <m/>
    <m/>
    <m/>
    <m/>
    <m/>
    <m/>
  </r>
  <r>
    <x v="217"/>
    <x v="217"/>
    <x v="2"/>
    <x v="2428"/>
    <x v="38"/>
    <x v="1"/>
    <x v="27"/>
    <x v="58"/>
    <x v="2"/>
    <s v="United States"/>
    <s v="Marvell Technology Group Ltd."/>
    <x v="1"/>
    <s v="D"/>
    <x v="1"/>
    <d v="1961-09-14T00:00:00"/>
    <s v="Dai"/>
    <s v="Weili"/>
    <s v="Cofounder-President"/>
    <d v="2023-04-04T05:01:00"/>
    <s v="Nevada"/>
    <s v="West"/>
    <n v="1961"/>
    <n v="117.24"/>
    <n v="7.5"/>
    <n v="21427700000000"/>
    <n v="88.2"/>
    <n v="101.8"/>
    <n v="9.6"/>
    <n v="36.6"/>
    <n v="328239523"/>
  </r>
  <r>
    <x v="217"/>
    <x v="217"/>
    <x v="7"/>
    <x v="2429"/>
    <x v="44"/>
    <x v="4"/>
    <x v="405"/>
    <x v="614"/>
    <x v="7"/>
    <s v="Spain"/>
    <m/>
    <x v="0"/>
    <s v="R"/>
    <x v="1"/>
    <m/>
    <s v="Daurella Aguilera"/>
    <s v="Carmen"/>
    <m/>
    <d v="2023-04-04T05:01:00"/>
    <m/>
    <m/>
    <m/>
    <n v="110.96"/>
    <n v="0.7"/>
    <n v="1394116310769"/>
    <n v="88.9"/>
    <n v="102.7"/>
    <n v="14.2"/>
    <n v="47"/>
    <n v="47076781"/>
  </r>
  <r>
    <x v="217"/>
    <x v="217"/>
    <x v="10"/>
    <x v="2430"/>
    <x v="25"/>
    <x v="5"/>
    <x v="645"/>
    <x v="380"/>
    <x v="10"/>
    <s v="China"/>
    <m/>
    <x v="1"/>
    <s v="D"/>
    <x v="0"/>
    <d v="1951-01-01T00:00:00"/>
    <s v="Deng"/>
    <s v="Yingzhong"/>
    <m/>
    <d v="2023-04-04T05:01:00"/>
    <m/>
    <m/>
    <n v="1951"/>
    <n v="125.08"/>
    <n v="2.9"/>
    <n v="19910000000000"/>
    <n v="50.6"/>
    <n v="100.2"/>
    <n v="9.4"/>
    <n v="59.2"/>
    <n v="1397715000"/>
  </r>
  <r>
    <x v="217"/>
    <x v="217"/>
    <x v="3"/>
    <x v="2431"/>
    <x v="11"/>
    <x v="27"/>
    <x v="199"/>
    <x v="150"/>
    <x v="3"/>
    <s v="Israel"/>
    <m/>
    <x v="1"/>
    <s v="D"/>
    <x v="0"/>
    <d v="1936-01-18T00:00:00"/>
    <s v="Eliahu"/>
    <s v="Shlomo"/>
    <m/>
    <d v="2023-04-04T05:01:00"/>
    <m/>
    <m/>
    <n v="1936"/>
    <n v="108.15"/>
    <n v="0.8"/>
    <n v="395098666122"/>
    <n v="63.4"/>
    <n v="104.9"/>
    <n v="23.1"/>
    <n v="25.3"/>
    <n v="9053300"/>
  </r>
  <r>
    <x v="217"/>
    <x v="217"/>
    <x v="3"/>
    <x v="2432"/>
    <x v="8"/>
    <x v="13"/>
    <x v="705"/>
    <x v="150"/>
    <x v="3"/>
    <s v="United States"/>
    <s v="Admiral Group "/>
    <x v="1"/>
    <s v="D"/>
    <x v="0"/>
    <d v="1958-01-17T00:00:00"/>
    <s v="Engelhardt"/>
    <s v="Henry"/>
    <s v="Chief Executive Officer"/>
    <d v="2023-04-04T05:01:00"/>
    <m/>
    <m/>
    <n v="1958"/>
    <n v="119.62"/>
    <n v="1.7"/>
    <n v="2827113184696"/>
    <n v="60"/>
    <n v="101.2"/>
    <n v="25.5"/>
    <n v="30.6"/>
    <n v="66834405"/>
  </r>
  <r>
    <x v="217"/>
    <x v="217"/>
    <x v="15"/>
    <x v="2433"/>
    <x v="50"/>
    <x v="4"/>
    <x v="706"/>
    <x v="368"/>
    <x v="15"/>
    <s v="Spain"/>
    <m/>
    <x v="1"/>
    <s v="E"/>
    <x v="0"/>
    <d v="1935-03-02T00:00:00"/>
    <s v="Escarrer"/>
    <s v="Gabriel"/>
    <m/>
    <d v="2023-04-04T05:01:00"/>
    <m/>
    <m/>
    <n v="1935"/>
    <n v="110.96"/>
    <n v="0.7"/>
    <n v="1394116310769"/>
    <n v="88.9"/>
    <n v="102.7"/>
    <n v="14.2"/>
    <n v="47"/>
    <n v="47076781"/>
  </r>
  <r>
    <x v="217"/>
    <x v="217"/>
    <x v="10"/>
    <x v="2434"/>
    <x v="53"/>
    <x v="30"/>
    <x v="666"/>
    <x v="807"/>
    <x v="10"/>
    <s v="Brazil"/>
    <m/>
    <x v="0"/>
    <s v="D"/>
    <x v="0"/>
    <d v="1959-10-28T00:00:00"/>
    <s v="Feffer"/>
    <s v="Daniel"/>
    <m/>
    <d v="2023-04-04T05:01:00"/>
    <m/>
    <m/>
    <n v="1959"/>
    <n v="167.4"/>
    <n v="3.7"/>
    <n v="1839758040766"/>
    <n v="51.3"/>
    <n v="115.4"/>
    <n v="14.2"/>
    <n v="65.099999999999994"/>
    <n v="212559417"/>
  </r>
  <r>
    <x v="217"/>
    <x v="217"/>
    <x v="10"/>
    <x v="2435"/>
    <x v="52"/>
    <x v="30"/>
    <x v="666"/>
    <x v="807"/>
    <x v="10"/>
    <s v="Brazil"/>
    <m/>
    <x v="0"/>
    <s v="D"/>
    <x v="0"/>
    <m/>
    <s v="Feffer"/>
    <s v="Ruben"/>
    <m/>
    <d v="2023-04-04T05:01:00"/>
    <m/>
    <m/>
    <m/>
    <n v="167.4"/>
    <n v="3.7"/>
    <n v="1839758040766"/>
    <n v="51.3"/>
    <n v="115.4"/>
    <n v="14.2"/>
    <n v="65.099999999999994"/>
    <n v="212559417"/>
  </r>
  <r>
    <x v="217"/>
    <x v="217"/>
    <x v="5"/>
    <x v="2436"/>
    <x v="32"/>
    <x v="63"/>
    <x v="500"/>
    <x v="38"/>
    <x v="5"/>
    <s v="Russia"/>
    <m/>
    <x v="1"/>
    <s v="D"/>
    <x v="0"/>
    <d v="1966-06-05T00:00:00"/>
    <s v="Fetisov"/>
    <s v="Gleb"/>
    <m/>
    <d v="2023-04-04T05:01:00"/>
    <m/>
    <m/>
    <n v="1966"/>
    <n v="102.51"/>
    <n v="0.3"/>
    <n v="24564647935"/>
    <n v="75.900000000000006"/>
    <n v="99.3"/>
    <n v="24.5"/>
    <n v="22.4"/>
    <n v="1198575"/>
  </r>
  <r>
    <x v="217"/>
    <x v="217"/>
    <x v="0"/>
    <x v="2437"/>
    <x v="55"/>
    <x v="1"/>
    <x v="98"/>
    <x v="840"/>
    <x v="0"/>
    <s v="United States"/>
    <m/>
    <x v="1"/>
    <s v="E"/>
    <x v="0"/>
    <d v="1944-02-14T00:00:00"/>
    <s v="Fireman"/>
    <s v="Paul"/>
    <m/>
    <d v="2023-04-04T05:01:00"/>
    <s v="Massachusetts"/>
    <s v="Northeast"/>
    <n v="1944"/>
    <n v="117.24"/>
    <n v="7.5"/>
    <n v="21427700000000"/>
    <n v="88.2"/>
    <n v="101.8"/>
    <n v="9.6"/>
    <n v="36.6"/>
    <n v="328239523"/>
  </r>
  <r>
    <x v="217"/>
    <x v="217"/>
    <x v="0"/>
    <x v="2438"/>
    <x v="9"/>
    <x v="1"/>
    <x v="120"/>
    <x v="528"/>
    <x v="0"/>
    <s v="United States"/>
    <s v="Gap Inc."/>
    <x v="0"/>
    <s v="D"/>
    <x v="0"/>
    <d v="1953-08-01T00:00:00"/>
    <s v="Fisher"/>
    <s v="Robert"/>
    <s v="Chairman of the Board"/>
    <d v="2023-04-04T05:01:00"/>
    <s v="California"/>
    <s v="West"/>
    <n v="1953"/>
    <n v="117.24"/>
    <n v="7.5"/>
    <n v="21427700000000"/>
    <n v="88.2"/>
    <n v="101.8"/>
    <n v="9.6"/>
    <n v="36.6"/>
    <n v="328239523"/>
  </r>
  <r>
    <x v="217"/>
    <x v="217"/>
    <x v="0"/>
    <x v="2439"/>
    <x v="37"/>
    <x v="7"/>
    <x v="707"/>
    <x v="31"/>
    <x v="0"/>
    <s v="Germany"/>
    <m/>
    <x v="1"/>
    <s v="D"/>
    <x v="0"/>
    <d v="1957-01-01T00:00:00"/>
    <s v="Freier"/>
    <s v="Bernd"/>
    <m/>
    <d v="2023-04-04T05:01:00"/>
    <m/>
    <m/>
    <n v="1957"/>
    <n v="112.85"/>
    <n v="1.4"/>
    <n v="3845630030824"/>
    <n v="70.2"/>
    <n v="104"/>
    <n v="11.5"/>
    <n v="48.8"/>
    <n v="83132799"/>
  </r>
  <r>
    <x v="217"/>
    <x v="217"/>
    <x v="10"/>
    <x v="2440"/>
    <x v="26"/>
    <x v="1"/>
    <x v="115"/>
    <x v="108"/>
    <x v="10"/>
    <s v="United States"/>
    <m/>
    <x v="1"/>
    <s v="E"/>
    <x v="0"/>
    <d v="1940-10-03T00:00:00"/>
    <s v="Friese"/>
    <s v="Donald"/>
    <m/>
    <d v="2023-04-04T05:01:00"/>
    <s v="California"/>
    <s v="West"/>
    <n v="1940"/>
    <n v="117.24"/>
    <n v="7.5"/>
    <n v="21427700000000"/>
    <n v="88.2"/>
    <n v="101.8"/>
    <n v="9.6"/>
    <n v="36.6"/>
    <n v="328239523"/>
  </r>
  <r>
    <x v="217"/>
    <x v="217"/>
    <x v="14"/>
    <x v="2441"/>
    <x v="0"/>
    <x v="5"/>
    <x v="19"/>
    <x v="83"/>
    <x v="14"/>
    <s v="China"/>
    <m/>
    <x v="1"/>
    <s v="D"/>
    <x v="0"/>
    <d v="1948-07-01T00:00:00"/>
    <s v="Gan"/>
    <s v="Zhongru"/>
    <m/>
    <d v="2023-04-04T05:01:00"/>
    <m/>
    <m/>
    <n v="1948"/>
    <n v="125.08"/>
    <n v="2.9"/>
    <n v="19910000000000"/>
    <n v="50.6"/>
    <n v="100.2"/>
    <n v="9.4"/>
    <n v="59.2"/>
    <n v="1397715000"/>
  </r>
  <r>
    <x v="217"/>
    <x v="217"/>
    <x v="0"/>
    <x v="2442"/>
    <x v="36"/>
    <x v="3"/>
    <x v="41"/>
    <x v="841"/>
    <x v="0"/>
    <s v="India"/>
    <m/>
    <x v="0"/>
    <s v="D"/>
    <x v="0"/>
    <d v="1952-11-18T00:00:00"/>
    <s v="Gautam"/>
    <s v="Rahul"/>
    <m/>
    <d v="2023-04-04T05:01:00"/>
    <m/>
    <m/>
    <n v="1952"/>
    <n v="180.44"/>
    <n v="7.7"/>
    <n v="2611000000000"/>
    <n v="28.1"/>
    <n v="113"/>
    <n v="11.2"/>
    <n v="49.7"/>
    <n v="1366417754"/>
  </r>
  <r>
    <x v="217"/>
    <x v="217"/>
    <x v="3"/>
    <x v="2443"/>
    <x v="15"/>
    <x v="1"/>
    <x v="5"/>
    <x v="122"/>
    <x v="3"/>
    <s v="United States"/>
    <m/>
    <x v="1"/>
    <s v="E"/>
    <x v="0"/>
    <d v="1962-04-16T00:00:00"/>
    <s v="Golub"/>
    <s v="David"/>
    <s v="Investor"/>
    <d v="2023-04-04T05:01:00"/>
    <s v="New York"/>
    <s v="Northeast"/>
    <n v="1962"/>
    <n v="117.24"/>
    <n v="7.5"/>
    <n v="21427700000000"/>
    <n v="88.2"/>
    <n v="101.8"/>
    <n v="9.6"/>
    <n v="36.6"/>
    <n v="328239523"/>
  </r>
  <r>
    <x v="217"/>
    <x v="217"/>
    <x v="11"/>
    <x v="2444"/>
    <x v="47"/>
    <x v="17"/>
    <x v="48"/>
    <x v="842"/>
    <x v="11"/>
    <s v="Russia"/>
    <m/>
    <x v="1"/>
    <s v="N"/>
    <x v="0"/>
    <d v="1976-03-13T00:00:00"/>
    <s v="Golubkov"/>
    <s v="Pavel"/>
    <m/>
    <d v="2023-04-04T05:01:00"/>
    <m/>
    <m/>
    <n v="1976"/>
    <n v="180.75"/>
    <n v="4.5"/>
    <n v="1699876578871"/>
    <n v="81.900000000000006"/>
    <n v="102.6"/>
    <n v="11.4"/>
    <n v="46.2"/>
    <n v="144373535"/>
  </r>
  <r>
    <x v="217"/>
    <x v="217"/>
    <x v="0"/>
    <x v="2445"/>
    <x v="44"/>
    <x v="13"/>
    <x v="32"/>
    <x v="31"/>
    <x v="0"/>
    <s v="United Kingdom"/>
    <m/>
    <x v="1"/>
    <s v="Split Family Fortune"/>
    <x v="1"/>
    <m/>
    <s v="Green"/>
    <s v="Cristina"/>
    <m/>
    <d v="2023-04-04T05:01:00"/>
    <m/>
    <m/>
    <m/>
    <n v="119.62"/>
    <n v="1.7"/>
    <n v="2827113184696"/>
    <n v="60"/>
    <n v="101.2"/>
    <n v="25.5"/>
    <n v="30.6"/>
    <n v="66834405"/>
  </r>
  <r>
    <x v="217"/>
    <x v="217"/>
    <x v="0"/>
    <x v="2446"/>
    <x v="44"/>
    <x v="13"/>
    <x v="32"/>
    <x v="31"/>
    <x v="0"/>
    <s v="United Kingdom"/>
    <m/>
    <x v="1"/>
    <s v="Split Family Fortune"/>
    <x v="0"/>
    <m/>
    <s v="Green"/>
    <s v="Philip"/>
    <m/>
    <d v="2023-04-04T05:01:00"/>
    <m/>
    <m/>
    <m/>
    <n v="119.62"/>
    <n v="1.7"/>
    <n v="2827113184696"/>
    <n v="60"/>
    <n v="101.2"/>
    <n v="25.5"/>
    <n v="30.6"/>
    <n v="66834405"/>
  </r>
  <r>
    <x v="217"/>
    <x v="217"/>
    <x v="13"/>
    <x v="2447"/>
    <x v="64"/>
    <x v="13"/>
    <x v="32"/>
    <x v="85"/>
    <x v="13"/>
    <s v="Russia"/>
    <m/>
    <x v="0"/>
    <s v="R"/>
    <x v="0"/>
    <d v="1988-04-18T00:00:00"/>
    <s v="Gutseriev"/>
    <s v="Said"/>
    <m/>
    <d v="2023-04-04T05:01:00"/>
    <m/>
    <m/>
    <n v="1988"/>
    <n v="119.62"/>
    <n v="1.7"/>
    <n v="2827113184696"/>
    <n v="60"/>
    <n v="101.2"/>
    <n v="25.5"/>
    <n v="30.6"/>
    <n v="66834405"/>
  </r>
  <r>
    <x v="217"/>
    <x v="217"/>
    <x v="15"/>
    <x v="2448"/>
    <x v="53"/>
    <x v="19"/>
    <x v="192"/>
    <x v="843"/>
    <x v="15"/>
    <s v="Cyprus"/>
    <m/>
    <x v="0"/>
    <s v="U"/>
    <x v="0"/>
    <d v="1960-01-11T00:00:00"/>
    <s v="Haji-Ioannou"/>
    <s v="Polys"/>
    <m/>
    <d v="2023-04-04T05:01:00"/>
    <m/>
    <m/>
    <n v="1960"/>
    <m/>
    <m/>
    <n v="7184844193"/>
    <m/>
    <m/>
    <m/>
    <m/>
    <n v="38964"/>
  </r>
  <r>
    <x v="217"/>
    <x v="217"/>
    <x v="7"/>
    <x v="2449"/>
    <x v="41"/>
    <x v="5"/>
    <x v="528"/>
    <x v="67"/>
    <x v="7"/>
    <s v="China"/>
    <m/>
    <x v="1"/>
    <s v="D"/>
    <x v="0"/>
    <d v="1965-10-28T00:00:00"/>
    <s v="He"/>
    <s v="Zuxun"/>
    <m/>
    <d v="2023-04-04T05:01:00"/>
    <m/>
    <m/>
    <n v="1965"/>
    <n v="125.08"/>
    <n v="2.9"/>
    <n v="19910000000000"/>
    <n v="50.6"/>
    <n v="100.2"/>
    <n v="9.4"/>
    <n v="59.2"/>
    <n v="1397715000"/>
  </r>
  <r>
    <x v="217"/>
    <x v="217"/>
    <x v="3"/>
    <x v="2450"/>
    <x v="44"/>
    <x v="7"/>
    <x v="127"/>
    <x v="216"/>
    <x v="3"/>
    <s v="Germany"/>
    <m/>
    <x v="0"/>
    <s v="E"/>
    <x v="0"/>
    <m/>
    <s v="Herz"/>
    <s v="Christian"/>
    <m/>
    <d v="2023-04-04T05:01:00"/>
    <m/>
    <m/>
    <m/>
    <n v="112.85"/>
    <n v="1.4"/>
    <n v="3845630030824"/>
    <n v="70.2"/>
    <n v="104"/>
    <n v="11.5"/>
    <n v="48.8"/>
    <n v="83132799"/>
  </r>
  <r>
    <x v="217"/>
    <x v="217"/>
    <x v="3"/>
    <x v="2451"/>
    <x v="44"/>
    <x v="7"/>
    <x v="127"/>
    <x v="216"/>
    <x v="3"/>
    <s v="Germany"/>
    <m/>
    <x v="0"/>
    <s v="E"/>
    <x v="1"/>
    <m/>
    <s v="Herz"/>
    <s v="Michaela"/>
    <m/>
    <d v="2023-04-04T05:01:00"/>
    <m/>
    <m/>
    <m/>
    <n v="112.85"/>
    <n v="1.4"/>
    <n v="3845630030824"/>
    <n v="70.2"/>
    <n v="104"/>
    <n v="11.5"/>
    <n v="48.8"/>
    <n v="83132799"/>
  </r>
  <r>
    <x v="217"/>
    <x v="217"/>
    <x v="2"/>
    <x v="2452"/>
    <x v="3"/>
    <x v="1"/>
    <x v="46"/>
    <x v="117"/>
    <x v="2"/>
    <s v="United States"/>
    <s v="Tanium"/>
    <x v="1"/>
    <s v="D"/>
    <x v="0"/>
    <d v="1944-12-08T00:00:00"/>
    <s v="Hindawi"/>
    <s v="David"/>
    <s v="Executive Chairman"/>
    <d v="2023-04-04T05:01:00"/>
    <s v="Washington"/>
    <s v="West"/>
    <n v="1944"/>
    <n v="117.24"/>
    <n v="7.5"/>
    <n v="21427700000000"/>
    <n v="88.2"/>
    <n v="101.8"/>
    <n v="9.6"/>
    <n v="36.6"/>
    <n v="328239523"/>
  </r>
  <r>
    <x v="217"/>
    <x v="217"/>
    <x v="2"/>
    <x v="2453"/>
    <x v="33"/>
    <x v="5"/>
    <x v="26"/>
    <x v="117"/>
    <x v="2"/>
    <s v="China"/>
    <m/>
    <x v="1"/>
    <s v="R"/>
    <x v="0"/>
    <d v="1970-08-09T00:00:00"/>
    <s v="Huang"/>
    <s v="Shan"/>
    <m/>
    <d v="2023-04-04T05:01:00"/>
    <m/>
    <m/>
    <n v="1970"/>
    <n v="125.08"/>
    <n v="2.9"/>
    <n v="19910000000000"/>
    <n v="50.6"/>
    <n v="100.2"/>
    <n v="9.4"/>
    <n v="59.2"/>
    <n v="1397715000"/>
  </r>
  <r>
    <x v="217"/>
    <x v="217"/>
    <x v="2"/>
    <x v="2454"/>
    <x v="38"/>
    <x v="5"/>
    <x v="26"/>
    <x v="844"/>
    <x v="2"/>
    <s v="China"/>
    <m/>
    <x v="1"/>
    <s v="D"/>
    <x v="1"/>
    <d v="1962-01-01T00:00:00"/>
    <s v="Huang"/>
    <s v="Xiaofen"/>
    <m/>
    <d v="2023-04-04T05:01:00"/>
    <m/>
    <m/>
    <n v="1962"/>
    <n v="125.08"/>
    <n v="2.9"/>
    <n v="19910000000000"/>
    <n v="50.6"/>
    <n v="100.2"/>
    <n v="9.4"/>
    <n v="59.2"/>
    <n v="1397715000"/>
  </r>
  <r>
    <x v="217"/>
    <x v="217"/>
    <x v="1"/>
    <x v="2455"/>
    <x v="31"/>
    <x v="12"/>
    <x v="31"/>
    <x v="452"/>
    <x v="1"/>
    <s v="Japan"/>
    <m/>
    <x v="0"/>
    <s v="U"/>
    <x v="0"/>
    <d v="1946-08-01T00:00:00"/>
    <s v="Ishibashi"/>
    <s v="Hiroshi"/>
    <m/>
    <d v="2023-04-04T05:01:00"/>
    <m/>
    <m/>
    <n v="1946"/>
    <n v="105.48"/>
    <n v="0.5"/>
    <n v="5081769542380"/>
    <n v="63.2"/>
    <n v="98.8"/>
    <n v="11.9"/>
    <n v="46.7"/>
    <n v="126226568"/>
  </r>
  <r>
    <x v="217"/>
    <x v="217"/>
    <x v="9"/>
    <x v="2456"/>
    <x v="0"/>
    <x v="12"/>
    <x v="31"/>
    <x v="845"/>
    <x v="9"/>
    <s v="Japan"/>
    <m/>
    <x v="0"/>
    <s v="R"/>
    <x v="0"/>
    <d v="1948-12-15T00:00:00"/>
    <s v="Ishihara"/>
    <s v="Masayuki"/>
    <m/>
    <d v="2023-04-04T05:01:00"/>
    <m/>
    <m/>
    <n v="1948"/>
    <n v="105.48"/>
    <n v="0.5"/>
    <n v="5081769542380"/>
    <n v="63.2"/>
    <n v="98.8"/>
    <n v="11.9"/>
    <n v="46.7"/>
    <n v="126226568"/>
  </r>
  <r>
    <x v="217"/>
    <x v="217"/>
    <x v="3"/>
    <x v="2457"/>
    <x v="48"/>
    <x v="23"/>
    <x v="73"/>
    <x v="174"/>
    <x v="3"/>
    <s v="Thailand"/>
    <m/>
    <x v="1"/>
    <s v="D"/>
    <x v="0"/>
    <d v="1951-07-05T00:00:00"/>
    <s v="Kaewbootta"/>
    <s v="Chatchai"/>
    <m/>
    <d v="2023-04-04T05:01:00"/>
    <m/>
    <m/>
    <n v="1951"/>
    <n v="113.27"/>
    <n v="0.7"/>
    <n v="543649976166"/>
    <n v="49.3"/>
    <n v="99.8"/>
    <n v="14.9"/>
    <n v="29.5"/>
    <n v="69625582"/>
  </r>
  <r>
    <x v="217"/>
    <x v="217"/>
    <x v="3"/>
    <x v="2458"/>
    <x v="39"/>
    <x v="3"/>
    <x v="123"/>
    <x v="285"/>
    <x v="3"/>
    <s v="India"/>
    <m/>
    <x v="1"/>
    <s v="N"/>
    <x v="0"/>
    <d v="1986-09-05T00:00:00"/>
    <s v="Kamath"/>
    <s v="Nikhil"/>
    <m/>
    <d v="2023-04-04T05:01:00"/>
    <m/>
    <m/>
    <n v="1986"/>
    <n v="180.44"/>
    <n v="7.7"/>
    <n v="2611000000000"/>
    <n v="28.1"/>
    <n v="113"/>
    <n v="11.2"/>
    <n v="49.7"/>
    <n v="1366417754"/>
  </r>
  <r>
    <x v="217"/>
    <x v="217"/>
    <x v="3"/>
    <x v="2459"/>
    <x v="41"/>
    <x v="13"/>
    <x v="32"/>
    <x v="846"/>
    <x v="3"/>
    <s v="Sweden"/>
    <m/>
    <x v="0"/>
    <s v="E"/>
    <x v="0"/>
    <d v="1966-03-04T00:00:00"/>
    <s v="Kamprad"/>
    <s v="Jonas"/>
    <m/>
    <d v="2023-04-04T05:01:00"/>
    <m/>
    <m/>
    <n v="1966"/>
    <n v="119.62"/>
    <n v="1.7"/>
    <n v="2827113184696"/>
    <n v="60"/>
    <n v="101.2"/>
    <n v="25.5"/>
    <n v="30.6"/>
    <n v="66834405"/>
  </r>
  <r>
    <x v="217"/>
    <x v="217"/>
    <x v="3"/>
    <x v="2460"/>
    <x v="52"/>
    <x v="13"/>
    <x v="32"/>
    <x v="846"/>
    <x v="3"/>
    <s v="Sweden"/>
    <m/>
    <x v="0"/>
    <s v="E"/>
    <x v="0"/>
    <d v="1969-06-27T00:00:00"/>
    <s v="Kamprad"/>
    <s v="Mathias"/>
    <m/>
    <d v="2023-04-04T05:01:00"/>
    <m/>
    <m/>
    <n v="1969"/>
    <n v="119.62"/>
    <n v="1.7"/>
    <n v="2827113184696"/>
    <n v="60"/>
    <n v="101.2"/>
    <n v="25.5"/>
    <n v="30.6"/>
    <n v="66834405"/>
  </r>
  <r>
    <x v="217"/>
    <x v="217"/>
    <x v="3"/>
    <x v="2461"/>
    <x v="2"/>
    <x v="9"/>
    <x v="708"/>
    <x v="846"/>
    <x v="3"/>
    <s v="Sweden"/>
    <m/>
    <x v="0"/>
    <s v="E"/>
    <x v="0"/>
    <d v="1964-03-29T00:00:00"/>
    <s v="Kamprad"/>
    <s v="Peter"/>
    <m/>
    <d v="2023-04-04T05:01:00"/>
    <m/>
    <m/>
    <n v="1964"/>
    <n v="117.11"/>
    <n v="1.4"/>
    <n v="529606710418"/>
    <n v="79.7"/>
    <n v="103.9"/>
    <n v="24"/>
    <n v="55.4"/>
    <n v="11484055"/>
  </r>
  <r>
    <x v="217"/>
    <x v="217"/>
    <x v="15"/>
    <x v="2462"/>
    <x v="37"/>
    <x v="12"/>
    <x v="635"/>
    <x v="847"/>
    <x v="15"/>
    <s v="Japan"/>
    <m/>
    <x v="1"/>
    <s v="N"/>
    <x v="0"/>
    <d v="1956-10-17T00:00:00"/>
    <s v="Kaneko"/>
    <s v="Fumio"/>
    <m/>
    <d v="2023-04-04T05:01:00"/>
    <m/>
    <m/>
    <n v="1956"/>
    <n v="105.48"/>
    <n v="0.5"/>
    <n v="5081769542380"/>
    <n v="63.2"/>
    <n v="98.8"/>
    <n v="11.9"/>
    <n v="46.7"/>
    <n v="126226568"/>
  </r>
  <r>
    <x v="217"/>
    <x v="217"/>
    <x v="1"/>
    <x v="2463"/>
    <x v="1"/>
    <x v="3"/>
    <x v="41"/>
    <x v="101"/>
    <x v="1"/>
    <s v="United States"/>
    <m/>
    <x v="0"/>
    <s v="D"/>
    <x v="0"/>
    <d v="1971-10-15T00:00:00"/>
    <s v="Kapur"/>
    <s v="Sunjay"/>
    <m/>
    <d v="2023-04-04T05:01:00"/>
    <m/>
    <m/>
    <n v="1971"/>
    <n v="180.44"/>
    <n v="7.7"/>
    <n v="2611000000000"/>
    <n v="28.1"/>
    <n v="113"/>
    <n v="11.2"/>
    <n v="49.7"/>
    <n v="1366417754"/>
  </r>
  <r>
    <x v="217"/>
    <x v="217"/>
    <x v="13"/>
    <x v="2464"/>
    <x v="50"/>
    <x v="47"/>
    <x v="228"/>
    <x v="100"/>
    <x v="13"/>
    <s v="Turkey"/>
    <m/>
    <x v="1"/>
    <s v="R"/>
    <x v="0"/>
    <d v="1934-08-30T00:00:00"/>
    <s v="Kazanci"/>
    <s v="Ali Metin"/>
    <m/>
    <d v="2023-04-04T05:01:00"/>
    <m/>
    <m/>
    <n v="1934"/>
    <n v="234.44"/>
    <n v="15.2"/>
    <n v="754411708203"/>
    <n v="23.9"/>
    <n v="93.2"/>
    <n v="17.899999999999999"/>
    <n v="42.3"/>
    <n v="83429615"/>
  </r>
  <r>
    <x v="217"/>
    <x v="217"/>
    <x v="14"/>
    <x v="2465"/>
    <x v="15"/>
    <x v="5"/>
    <x v="82"/>
    <x v="500"/>
    <x v="14"/>
    <s v="China"/>
    <m/>
    <x v="1"/>
    <s v="U"/>
    <x v="0"/>
    <d v="1963-01-01T00:00:00"/>
    <s v="Ke"/>
    <s v="Kangbao"/>
    <m/>
    <d v="2023-04-04T05:01:00"/>
    <m/>
    <m/>
    <n v="1963"/>
    <n v="125.08"/>
    <n v="2.9"/>
    <n v="19910000000000"/>
    <n v="50.6"/>
    <n v="100.2"/>
    <n v="9.4"/>
    <n v="59.2"/>
    <n v="1397715000"/>
  </r>
  <r>
    <x v="217"/>
    <x v="217"/>
    <x v="17"/>
    <x v="2466"/>
    <x v="17"/>
    <x v="8"/>
    <x v="71"/>
    <x v="848"/>
    <x v="17"/>
    <s v="Germany"/>
    <m/>
    <x v="1"/>
    <s v="D"/>
    <x v="0"/>
    <d v="1964-11-27T00:00:00"/>
    <s v="Koerl"/>
    <s v="Carsten"/>
    <s v="Entrepreneur, Investor"/>
    <d v="2023-04-04T05:01:00"/>
    <m/>
    <m/>
    <n v="1964"/>
    <n v="99.55"/>
    <n v="0.4"/>
    <n v="703082435360"/>
    <n v="59.6"/>
    <n v="105.2"/>
    <n v="10.1"/>
    <n v="28.8"/>
    <n v="8574832"/>
  </r>
  <r>
    <x v="217"/>
    <x v="217"/>
    <x v="2"/>
    <x v="2467"/>
    <x v="29"/>
    <x v="32"/>
    <x v="109"/>
    <x v="638"/>
    <x v="2"/>
    <s v="South Korea"/>
    <s v="Heesung"/>
    <x v="0"/>
    <s v="E"/>
    <x v="0"/>
    <d v="1958-06-28T00:00:00"/>
    <s v="Koo"/>
    <s v="Bon-sik"/>
    <m/>
    <d v="2023-04-04T05:01:00"/>
    <m/>
    <m/>
    <n v="1958"/>
    <n v="115.16"/>
    <n v="0.4"/>
    <n v="2029000000000"/>
    <n v="94.3"/>
    <n v="98.1"/>
    <n v="15.6"/>
    <n v="33.200000000000003"/>
    <n v="51709098"/>
  </r>
  <r>
    <x v="217"/>
    <x v="217"/>
    <x v="13"/>
    <x v="2468"/>
    <x v="34"/>
    <x v="17"/>
    <x v="48"/>
    <x v="75"/>
    <x v="13"/>
    <s v="Russia"/>
    <m/>
    <x v="1"/>
    <s v="D"/>
    <x v="0"/>
    <d v="1961-03-15T00:00:00"/>
    <s v="Kosogov"/>
    <s v="Andrei"/>
    <m/>
    <d v="2023-04-04T05:01:00"/>
    <m/>
    <m/>
    <n v="1961"/>
    <n v="180.75"/>
    <n v="4.5"/>
    <n v="1699876578871"/>
    <n v="81.900000000000006"/>
    <n v="102.6"/>
    <n v="11.4"/>
    <n v="46.2"/>
    <n v="144373535"/>
  </r>
  <r>
    <x v="217"/>
    <x v="217"/>
    <x v="10"/>
    <x v="2469"/>
    <x v="0"/>
    <x v="3"/>
    <x v="7"/>
    <x v="805"/>
    <x v="10"/>
    <s v="India"/>
    <m/>
    <x v="1"/>
    <s v="D"/>
    <x v="0"/>
    <d v="1949-01-01T00:00:00"/>
    <s v="Kothari"/>
    <s v="Yogesh"/>
    <m/>
    <d v="2023-04-04T05:01:00"/>
    <m/>
    <m/>
    <n v="1949"/>
    <n v="180.44"/>
    <n v="7.7"/>
    <n v="2611000000000"/>
    <n v="28.1"/>
    <n v="113"/>
    <n v="11.2"/>
    <n v="49.7"/>
    <n v="1366417754"/>
  </r>
  <r>
    <x v="217"/>
    <x v="217"/>
    <x v="14"/>
    <x v="2470"/>
    <x v="16"/>
    <x v="3"/>
    <x v="41"/>
    <x v="849"/>
    <x v="14"/>
    <s v="India"/>
    <m/>
    <x v="0"/>
    <s v="D"/>
    <x v="0"/>
    <d v="1949-08-22T00:00:00"/>
    <s v="Lal"/>
    <s v="Arvind"/>
    <m/>
    <d v="2023-04-04T05:01:00"/>
    <m/>
    <m/>
    <n v="1949"/>
    <n v="180.44"/>
    <n v="7.7"/>
    <n v="2611000000000"/>
    <n v="28.1"/>
    <n v="113"/>
    <n v="11.2"/>
    <n v="49.7"/>
    <n v="1366417754"/>
  </r>
  <r>
    <x v="217"/>
    <x v="217"/>
    <x v="9"/>
    <x v="2471"/>
    <x v="3"/>
    <x v="4"/>
    <x v="709"/>
    <x v="27"/>
    <x v="9"/>
    <s v="Spain"/>
    <m/>
    <x v="1"/>
    <s v="D"/>
    <x v="0"/>
    <d v="1944-06-10T00:00:00"/>
    <s v="Lao Hernández"/>
    <s v="Manuel"/>
    <m/>
    <d v="2023-04-04T05:01:00"/>
    <m/>
    <m/>
    <n v="1944"/>
    <n v="110.96"/>
    <n v="0.7"/>
    <n v="1394116310769"/>
    <n v="88.9"/>
    <n v="102.7"/>
    <n v="14.2"/>
    <n v="47"/>
    <n v="47076781"/>
  </r>
  <r>
    <x v="217"/>
    <x v="217"/>
    <x v="16"/>
    <x v="2472"/>
    <x v="26"/>
    <x v="32"/>
    <x v="109"/>
    <x v="850"/>
    <x v="16"/>
    <s v="South Korea"/>
    <s v="Booyoung Group"/>
    <x v="1"/>
    <s v="D"/>
    <x v="0"/>
    <d v="1941-01-11T00:00:00"/>
    <s v="Lee"/>
    <s v="Joong-keun"/>
    <m/>
    <d v="2023-04-04T05:01:00"/>
    <m/>
    <m/>
    <n v="1941"/>
    <n v="115.16"/>
    <n v="0.4"/>
    <n v="2029000000000"/>
    <n v="94.3"/>
    <n v="98.1"/>
    <n v="15.6"/>
    <n v="33.200000000000003"/>
    <n v="51709098"/>
  </r>
  <r>
    <x v="217"/>
    <x v="217"/>
    <x v="3"/>
    <x v="2473"/>
    <x v="34"/>
    <x v="1"/>
    <x v="684"/>
    <x v="604"/>
    <x v="3"/>
    <s v="United States"/>
    <m/>
    <x v="0"/>
    <s v="E"/>
    <x v="1"/>
    <d v="1960-05-11T00:00:00"/>
    <s v="Lerner"/>
    <s v="Nancy"/>
    <m/>
    <d v="2023-04-04T05:01:00"/>
    <s v="Ohio"/>
    <s v="Midwest"/>
    <n v="1960"/>
    <n v="117.24"/>
    <n v="7.5"/>
    <n v="21427700000000"/>
    <n v="88.2"/>
    <n v="101.8"/>
    <n v="9.6"/>
    <n v="36.6"/>
    <n v="328239523"/>
  </r>
  <r>
    <x v="217"/>
    <x v="217"/>
    <x v="3"/>
    <x v="2474"/>
    <x v="11"/>
    <x v="1"/>
    <x v="684"/>
    <x v="75"/>
    <x v="3"/>
    <s v="United States"/>
    <m/>
    <x v="0"/>
    <s v="E"/>
    <x v="1"/>
    <d v="1936-03-28T00:00:00"/>
    <s v="Lerner"/>
    <s v="Norma"/>
    <m/>
    <d v="2023-04-04T05:01:00"/>
    <s v="Ohio"/>
    <s v="Midwest"/>
    <n v="1936"/>
    <n v="117.24"/>
    <n v="7.5"/>
    <n v="21427700000000"/>
    <n v="88.2"/>
    <n v="101.8"/>
    <n v="9.6"/>
    <n v="36.6"/>
    <n v="328239523"/>
  </r>
  <r>
    <x v="217"/>
    <x v="217"/>
    <x v="3"/>
    <x v="2475"/>
    <x v="38"/>
    <x v="1"/>
    <x v="684"/>
    <x v="604"/>
    <x v="3"/>
    <s v="United States"/>
    <m/>
    <x v="0"/>
    <s v="E"/>
    <x v="0"/>
    <d v="1962-02-21T00:00:00"/>
    <s v="Lerner"/>
    <s v="Randolph"/>
    <m/>
    <d v="2023-04-04T05:01:00"/>
    <s v="Ohio"/>
    <s v="Midwest"/>
    <n v="1962"/>
    <n v="117.24"/>
    <n v="7.5"/>
    <n v="21427700000000"/>
    <n v="88.2"/>
    <n v="101.8"/>
    <n v="9.6"/>
    <n v="36.6"/>
    <n v="328239523"/>
  </r>
  <r>
    <x v="217"/>
    <x v="217"/>
    <x v="14"/>
    <x v="2476"/>
    <x v="47"/>
    <x v="5"/>
    <x v="320"/>
    <x v="78"/>
    <x v="14"/>
    <s v="China"/>
    <m/>
    <x v="1"/>
    <s v="D"/>
    <x v="0"/>
    <d v="1975-09-01T00:00:00"/>
    <s v="Lin"/>
    <s v="Zhijun"/>
    <m/>
    <d v="2023-04-04T05:01:00"/>
    <m/>
    <m/>
    <n v="1975"/>
    <n v="125.08"/>
    <n v="2.9"/>
    <n v="19910000000000"/>
    <n v="50.6"/>
    <n v="100.2"/>
    <n v="9.4"/>
    <n v="59.2"/>
    <n v="1397715000"/>
  </r>
  <r>
    <x v="217"/>
    <x v="217"/>
    <x v="14"/>
    <x v="2477"/>
    <x v="12"/>
    <x v="5"/>
    <x v="320"/>
    <x v="78"/>
    <x v="14"/>
    <s v="China"/>
    <m/>
    <x v="1"/>
    <s v="D"/>
    <x v="0"/>
    <d v="1973-07-01T00:00:00"/>
    <s v="Lin"/>
    <s v="Zhixiong"/>
    <m/>
    <d v="2023-04-04T05:01:00"/>
    <m/>
    <m/>
    <n v="1973"/>
    <n v="125.08"/>
    <n v="2.9"/>
    <n v="19910000000000"/>
    <n v="50.6"/>
    <n v="100.2"/>
    <n v="9.4"/>
    <n v="59.2"/>
    <n v="1397715000"/>
  </r>
  <r>
    <x v="217"/>
    <x v="217"/>
    <x v="10"/>
    <x v="2478"/>
    <x v="13"/>
    <x v="1"/>
    <x v="710"/>
    <x v="851"/>
    <x v="10"/>
    <s v="United States"/>
    <m/>
    <x v="0"/>
    <s v="D"/>
    <x v="0"/>
    <d v="1954-10-25T00:00:00"/>
    <s v="Lorberbaum"/>
    <s v="Jeffrey"/>
    <m/>
    <d v="2023-04-04T05:01:00"/>
    <s v="Tennessee"/>
    <s v="South"/>
    <n v="1954"/>
    <n v="117.24"/>
    <n v="7.5"/>
    <n v="21427700000000"/>
    <n v="88.2"/>
    <n v="101.8"/>
    <n v="9.6"/>
    <n v="36.6"/>
    <n v="328239523"/>
  </r>
  <r>
    <x v="217"/>
    <x v="217"/>
    <x v="5"/>
    <x v="2479"/>
    <x v="33"/>
    <x v="5"/>
    <x v="320"/>
    <x v="852"/>
    <x v="5"/>
    <s v="China"/>
    <m/>
    <x v="1"/>
    <s v="D"/>
    <x v="0"/>
    <d v="1971-01-01T00:00:00"/>
    <s v="Lu"/>
    <s v="Rongfu"/>
    <m/>
    <d v="2023-04-04T05:01:00"/>
    <m/>
    <m/>
    <n v="1971"/>
    <n v="125.08"/>
    <n v="2.9"/>
    <n v="19910000000000"/>
    <n v="50.6"/>
    <n v="100.2"/>
    <n v="9.4"/>
    <n v="59.2"/>
    <n v="1397715000"/>
  </r>
  <r>
    <x v="217"/>
    <x v="217"/>
    <x v="0"/>
    <x v="2480"/>
    <x v="15"/>
    <x v="5"/>
    <x v="34"/>
    <x v="427"/>
    <x v="0"/>
    <s v="China"/>
    <m/>
    <x v="1"/>
    <s v="N"/>
    <x v="0"/>
    <d v="1963-01-01T00:00:00"/>
    <s v="Lyu"/>
    <s v="Yixiong"/>
    <m/>
    <d v="2023-04-04T05:01:00"/>
    <m/>
    <m/>
    <n v="1963"/>
    <n v="125.08"/>
    <n v="2.9"/>
    <n v="19910000000000"/>
    <n v="50.6"/>
    <n v="100.2"/>
    <n v="9.4"/>
    <n v="59.2"/>
    <n v="1397715000"/>
  </r>
  <r>
    <x v="217"/>
    <x v="217"/>
    <x v="2"/>
    <x v="2481"/>
    <x v="62"/>
    <x v="12"/>
    <x v="31"/>
    <x v="853"/>
    <x v="2"/>
    <s v="Japan"/>
    <m/>
    <x v="1"/>
    <s v="E"/>
    <x v="0"/>
    <d v="1976-06-15T00:00:00"/>
    <s v="Minami"/>
    <s v="Soichiro"/>
    <m/>
    <d v="2023-04-04T05:01:00"/>
    <m/>
    <m/>
    <n v="1976"/>
    <n v="105.48"/>
    <n v="0.5"/>
    <n v="5081769542380"/>
    <n v="63.2"/>
    <n v="98.8"/>
    <n v="11.9"/>
    <n v="46.7"/>
    <n v="126226568"/>
  </r>
  <r>
    <x v="217"/>
    <x v="217"/>
    <x v="1"/>
    <x v="2482"/>
    <x v="13"/>
    <x v="3"/>
    <x v="41"/>
    <x v="854"/>
    <x v="1"/>
    <s v="India"/>
    <m/>
    <x v="0"/>
    <s v="Split Family Fortune"/>
    <x v="0"/>
    <d v="1954-10-28T00:00:00"/>
    <s v="Munjal"/>
    <s v="Pawan"/>
    <m/>
    <d v="2023-04-04T05:01:00"/>
    <m/>
    <m/>
    <n v="1954"/>
    <n v="180.44"/>
    <n v="7.7"/>
    <n v="2611000000000"/>
    <n v="28.1"/>
    <n v="113"/>
    <n v="11.2"/>
    <n v="49.7"/>
    <n v="1366417754"/>
  </r>
  <r>
    <x v="217"/>
    <x v="217"/>
    <x v="1"/>
    <x v="2483"/>
    <x v="13"/>
    <x v="3"/>
    <x v="41"/>
    <x v="854"/>
    <x v="1"/>
    <s v="India"/>
    <m/>
    <x v="0"/>
    <s v="Split Family Fortune"/>
    <x v="1"/>
    <d v="1955-03-06T00:00:00"/>
    <s v="Munjal"/>
    <s v="Renu"/>
    <m/>
    <d v="2023-04-04T05:01:00"/>
    <m/>
    <m/>
    <n v="1955"/>
    <n v="180.44"/>
    <n v="7.7"/>
    <n v="2611000000000"/>
    <n v="28.1"/>
    <n v="113"/>
    <n v="11.2"/>
    <n v="49.7"/>
    <n v="1366417754"/>
  </r>
  <r>
    <x v="217"/>
    <x v="217"/>
    <x v="1"/>
    <x v="2484"/>
    <x v="36"/>
    <x v="3"/>
    <x v="41"/>
    <x v="229"/>
    <x v="1"/>
    <s v="India"/>
    <m/>
    <x v="0"/>
    <s v="Split Family Fortune"/>
    <x v="0"/>
    <d v="1953-02-26T00:00:00"/>
    <s v="Munjal"/>
    <s v="Suman"/>
    <m/>
    <d v="2023-04-04T05:01:00"/>
    <m/>
    <m/>
    <n v="1953"/>
    <n v="180.44"/>
    <n v="7.7"/>
    <n v="2611000000000"/>
    <n v="28.1"/>
    <n v="113"/>
    <n v="11.2"/>
    <n v="49.7"/>
    <n v="1366417754"/>
  </r>
  <r>
    <x v="217"/>
    <x v="217"/>
    <x v="13"/>
    <x v="2485"/>
    <x v="32"/>
    <x v="17"/>
    <x v="711"/>
    <x v="43"/>
    <x v="13"/>
    <s v="Russia"/>
    <m/>
    <x v="1"/>
    <s v="N"/>
    <x v="0"/>
    <d v="1966-08-17T00:00:00"/>
    <s v="Nikolaev"/>
    <s v="Dmitry "/>
    <m/>
    <d v="2023-04-04T05:01:00"/>
    <m/>
    <m/>
    <n v="1966"/>
    <n v="180.75"/>
    <n v="4.5"/>
    <n v="1699876578871"/>
    <n v="81.900000000000006"/>
    <n v="102.6"/>
    <n v="11.4"/>
    <n v="46.2"/>
    <n v="144373535"/>
  </r>
  <r>
    <x v="217"/>
    <x v="217"/>
    <x v="1"/>
    <x v="2486"/>
    <x v="6"/>
    <x v="25"/>
    <x v="76"/>
    <x v="855"/>
    <x v="1"/>
    <s v="Indonesia"/>
    <m/>
    <x v="0"/>
    <s v="R"/>
    <x v="0"/>
    <d v="1942-01-19T00:00:00"/>
    <s v="Nursalim"/>
    <s v="Sjamsul"/>
    <m/>
    <d v="2023-04-04T05:01:00"/>
    <m/>
    <m/>
    <n v="1942"/>
    <n v="114.41"/>
    <n v="0.6"/>
    <n v="372062527489"/>
    <n v="84.8"/>
    <n v="100.6"/>
    <n v="13.1"/>
    <n v="21"/>
    <n v="5703569"/>
  </r>
  <r>
    <x v="217"/>
    <x v="217"/>
    <x v="0"/>
    <x v="2487"/>
    <x v="23"/>
    <x v="67"/>
    <x v="569"/>
    <x v="21"/>
    <x v="0"/>
    <s v="Romania"/>
    <m/>
    <x v="1"/>
    <s v="U"/>
    <x v="0"/>
    <d v="1968-09-23T00:00:00"/>
    <s v="Paval"/>
    <s v="Adrian"/>
    <m/>
    <d v="2023-04-04T05:01:00"/>
    <m/>
    <m/>
    <n v="1968"/>
    <n v="123.78"/>
    <n v="3.8"/>
    <n v="250077444017"/>
    <n v="49.4"/>
    <n v="85.2"/>
    <n v="14.6"/>
    <n v="20"/>
    <n v="19356544"/>
  </r>
  <r>
    <x v="217"/>
    <x v="217"/>
    <x v="6"/>
    <x v="2488"/>
    <x v="9"/>
    <x v="28"/>
    <x v="406"/>
    <x v="856"/>
    <x v="6"/>
    <s v="Italy"/>
    <m/>
    <x v="1"/>
    <s v="D"/>
    <x v="0"/>
    <d v="1953-06-09T00:00:00"/>
    <s v="Percassi"/>
    <s v="Antonio"/>
    <m/>
    <d v="2023-04-04T05:01:00"/>
    <m/>
    <m/>
    <n v="1953"/>
    <n v="110.62"/>
    <n v="0.6"/>
    <n v="2001244392042"/>
    <n v="61.9"/>
    <n v="101.9"/>
    <n v="24.3"/>
    <n v="59.1"/>
    <n v="60297396"/>
  </r>
  <r>
    <x v="217"/>
    <x v="217"/>
    <x v="0"/>
    <x v="2489"/>
    <x v="10"/>
    <x v="1"/>
    <x v="712"/>
    <x v="857"/>
    <x v="0"/>
    <s v="United States"/>
    <s v="Under Armour"/>
    <x v="1"/>
    <s v="D"/>
    <x v="0"/>
    <d v="1972-08-13T00:00:00"/>
    <s v="Plank"/>
    <s v="Kevin"/>
    <s v="Chairman and CEO"/>
    <d v="2023-04-04T05:01:00"/>
    <s v="Maryland"/>
    <s v="South"/>
    <n v="1972"/>
    <n v="117.24"/>
    <n v="7.5"/>
    <n v="21427700000000"/>
    <n v="88.2"/>
    <n v="101.8"/>
    <n v="9.6"/>
    <n v="36.6"/>
    <n v="328239523"/>
  </r>
  <r>
    <x v="217"/>
    <x v="217"/>
    <x v="14"/>
    <x v="2490"/>
    <x v="34"/>
    <x v="3"/>
    <x v="245"/>
    <x v="83"/>
    <x v="14"/>
    <s v="India"/>
    <m/>
    <x v="0"/>
    <s v="U"/>
    <x v="0"/>
    <d v="1960-11-22T00:00:00"/>
    <s v="Prasad"/>
    <s v="G.V."/>
    <m/>
    <d v="2023-04-04T05:01:00"/>
    <m/>
    <m/>
    <n v="1960"/>
    <n v="180.44"/>
    <n v="7.7"/>
    <n v="2611000000000"/>
    <n v="28.1"/>
    <n v="113"/>
    <n v="11.2"/>
    <n v="49.7"/>
    <n v="1366417754"/>
  </r>
  <r>
    <x v="217"/>
    <x v="217"/>
    <x v="14"/>
    <x v="2491"/>
    <x v="15"/>
    <x v="5"/>
    <x v="19"/>
    <x v="191"/>
    <x v="14"/>
    <s v="China"/>
    <m/>
    <x v="1"/>
    <s v="E"/>
    <x v="0"/>
    <d v="1963-01-01T00:00:00"/>
    <s v="Pu"/>
    <s v="Zhongjie"/>
    <m/>
    <d v="2023-04-04T05:01:00"/>
    <m/>
    <m/>
    <n v="1963"/>
    <n v="125.08"/>
    <n v="2.9"/>
    <n v="19910000000000"/>
    <n v="50.6"/>
    <n v="100.2"/>
    <n v="9.4"/>
    <n v="59.2"/>
    <n v="1397715000"/>
  </r>
  <r>
    <x v="217"/>
    <x v="217"/>
    <x v="14"/>
    <x v="2492"/>
    <x v="17"/>
    <x v="5"/>
    <x v="26"/>
    <x v="83"/>
    <x v="14"/>
    <s v="China"/>
    <m/>
    <x v="1"/>
    <s v="R"/>
    <x v="0"/>
    <d v="1964-11-12T00:00:00"/>
    <s v="Rao"/>
    <s v="Wei"/>
    <m/>
    <d v="2023-04-04T05:01:00"/>
    <m/>
    <m/>
    <n v="1964"/>
    <n v="125.08"/>
    <n v="2.9"/>
    <n v="19910000000000"/>
    <n v="50.6"/>
    <n v="100.2"/>
    <n v="9.4"/>
    <n v="59.2"/>
    <n v="1397715000"/>
  </r>
  <r>
    <x v="217"/>
    <x v="217"/>
    <x v="15"/>
    <x v="2493"/>
    <x v="31"/>
    <x v="4"/>
    <x v="276"/>
    <x v="858"/>
    <x v="15"/>
    <s v="Spain"/>
    <m/>
    <x v="0"/>
    <s v="D"/>
    <x v="1"/>
    <d v="1947-02-10T00:00:00"/>
    <s v="Revoredo"/>
    <s v="Helena"/>
    <m/>
    <d v="2023-04-04T05:01:00"/>
    <m/>
    <m/>
    <n v="1947"/>
    <n v="110.96"/>
    <n v="0.7"/>
    <n v="1394116310769"/>
    <n v="88.9"/>
    <n v="102.7"/>
    <n v="14.2"/>
    <n v="47"/>
    <n v="47076781"/>
  </r>
  <r>
    <x v="217"/>
    <x v="217"/>
    <x v="3"/>
    <x v="2494"/>
    <x v="10"/>
    <x v="1"/>
    <x v="54"/>
    <x v="530"/>
    <x v="3"/>
    <s v="United States"/>
    <m/>
    <x v="1"/>
    <s v="D"/>
    <x v="0"/>
    <d v="1972-12-09T00:00:00"/>
    <s v="Roszak"/>
    <s v="Matthew"/>
    <m/>
    <d v="2023-04-04T05:01:00"/>
    <s v="Illinois"/>
    <s v="Midwest"/>
    <n v="1972"/>
    <n v="117.24"/>
    <n v="7.5"/>
    <n v="21427700000000"/>
    <n v="88.2"/>
    <n v="101.8"/>
    <n v="9.6"/>
    <n v="36.6"/>
    <n v="328239523"/>
  </r>
  <r>
    <x v="217"/>
    <x v="217"/>
    <x v="2"/>
    <x v="2495"/>
    <x v="57"/>
    <x v="1"/>
    <x v="120"/>
    <x v="859"/>
    <x v="2"/>
    <s v="United States"/>
    <m/>
    <x v="1"/>
    <s v="D"/>
    <x v="0"/>
    <d v="1981-02-15T00:00:00"/>
    <s v="Sciarra"/>
    <s v="Paul"/>
    <m/>
    <d v="2023-04-04T05:01:00"/>
    <s v="California"/>
    <s v="West"/>
    <n v="1981"/>
    <n v="117.24"/>
    <n v="7.5"/>
    <n v="21427700000000"/>
    <n v="88.2"/>
    <n v="101.8"/>
    <n v="9.6"/>
    <n v="36.6"/>
    <n v="328239523"/>
  </r>
  <r>
    <x v="217"/>
    <x v="217"/>
    <x v="3"/>
    <x v="2496"/>
    <x v="52"/>
    <x v="3"/>
    <x v="7"/>
    <x v="224"/>
    <x v="3"/>
    <s v="India"/>
    <m/>
    <x v="0"/>
    <s v="N"/>
    <x v="0"/>
    <d v="1970-02-25T00:00:00"/>
    <s v="Sharma"/>
    <s v="Rajesh"/>
    <m/>
    <d v="2023-04-04T05:01:00"/>
    <m/>
    <m/>
    <n v="1970"/>
    <n v="180.44"/>
    <n v="7.7"/>
    <n v="2611000000000"/>
    <n v="28.1"/>
    <n v="113"/>
    <n v="11.2"/>
    <n v="49.7"/>
    <n v="1366417754"/>
  </r>
  <r>
    <x v="217"/>
    <x v="217"/>
    <x v="13"/>
    <x v="2497"/>
    <x v="17"/>
    <x v="1"/>
    <x v="713"/>
    <x v="860"/>
    <x v="13"/>
    <s v="United States"/>
    <m/>
    <x v="1"/>
    <s v="U"/>
    <x v="0"/>
    <d v="1965-01-01T00:00:00"/>
    <s v="Solon"/>
    <s v="Dean"/>
    <m/>
    <d v="2023-04-04T05:01:00"/>
    <s v="Tennessee"/>
    <s v="South"/>
    <n v="1965"/>
    <n v="117.24"/>
    <n v="7.5"/>
    <n v="21427700000000"/>
    <n v="88.2"/>
    <n v="101.8"/>
    <n v="9.6"/>
    <n v="36.6"/>
    <n v="328239523"/>
  </r>
  <r>
    <x v="217"/>
    <x v="217"/>
    <x v="3"/>
    <x v="2498"/>
    <x v="5"/>
    <x v="13"/>
    <x v="714"/>
    <x v="861"/>
    <x v="3"/>
    <s v="United Kingdom"/>
    <m/>
    <x v="1"/>
    <s v="E"/>
    <x v="0"/>
    <d v="1955-05-30T00:00:00"/>
    <s v="Spencer"/>
    <s v="Michael"/>
    <m/>
    <d v="2023-04-04T05:01:00"/>
    <m/>
    <m/>
    <n v="1955"/>
    <n v="119.62"/>
    <n v="1.7"/>
    <n v="2827113184696"/>
    <n v="60"/>
    <n v="101.2"/>
    <n v="25.5"/>
    <n v="30.6"/>
    <n v="66834405"/>
  </r>
  <r>
    <x v="217"/>
    <x v="217"/>
    <x v="3"/>
    <x v="2499"/>
    <x v="55"/>
    <x v="1"/>
    <x v="5"/>
    <x v="38"/>
    <x v="3"/>
    <s v="United States"/>
    <m/>
    <x v="1"/>
    <s v="U"/>
    <x v="0"/>
    <d v="1944-02-05T00:00:00"/>
    <s v="Steinberg"/>
    <s v="Joseph"/>
    <m/>
    <d v="2023-04-04T05:01:00"/>
    <s v="New York"/>
    <s v="Northeast"/>
    <n v="1944"/>
    <n v="117.24"/>
    <n v="7.5"/>
    <n v="21427700000000"/>
    <n v="88.2"/>
    <n v="101.8"/>
    <n v="9.6"/>
    <n v="36.6"/>
    <n v="328239523"/>
  </r>
  <r>
    <x v="217"/>
    <x v="217"/>
    <x v="7"/>
    <x v="2500"/>
    <x v="51"/>
    <x v="1"/>
    <x v="24"/>
    <x v="370"/>
    <x v="7"/>
    <s v="United States"/>
    <m/>
    <x v="0"/>
    <s v="Split Family Fortune"/>
    <x v="0"/>
    <d v="1982-01-09T00:00:00"/>
    <s v="Stern"/>
    <s v="Zachary"/>
    <m/>
    <d v="2023-04-04T05:01:00"/>
    <s v="Wyoming"/>
    <s v="South"/>
    <n v="1982"/>
    <n v="117.24"/>
    <n v="7.5"/>
    <n v="21427700000000"/>
    <n v="88.2"/>
    <n v="101.8"/>
    <n v="9.6"/>
    <n v="36.6"/>
    <n v="328239523"/>
  </r>
  <r>
    <x v="217"/>
    <x v="217"/>
    <x v="10"/>
    <x v="2501"/>
    <x v="16"/>
    <x v="14"/>
    <x v="93"/>
    <x v="705"/>
    <x v="10"/>
    <s v="Australia"/>
    <m/>
    <x v="1"/>
    <s v="D"/>
    <x v="0"/>
    <d v="1949-05-09T00:00:00"/>
    <s v="Stul"/>
    <s v="Manny"/>
    <m/>
    <d v="2023-04-04T05:01:00"/>
    <m/>
    <m/>
    <n v="1949"/>
    <n v="119.8"/>
    <n v="1.6"/>
    <n v="1392680589329"/>
    <n v="113.1"/>
    <n v="100.3"/>
    <n v="23"/>
    <n v="47.4"/>
    <n v="25766605"/>
  </r>
  <r>
    <x v="217"/>
    <x v="217"/>
    <x v="2"/>
    <x v="2502"/>
    <x v="12"/>
    <x v="5"/>
    <x v="34"/>
    <x v="58"/>
    <x v="2"/>
    <s v="China"/>
    <m/>
    <x v="1"/>
    <s v="D"/>
    <x v="0"/>
    <d v="1973-07-01T00:00:00"/>
    <s v="Sun"/>
    <s v="Hongjun"/>
    <m/>
    <d v="2023-04-04T05:01:00"/>
    <m/>
    <m/>
    <n v="1973"/>
    <n v="125.08"/>
    <n v="2.9"/>
    <n v="19910000000000"/>
    <n v="50.6"/>
    <n v="100.2"/>
    <n v="9.4"/>
    <n v="59.2"/>
    <n v="1397715000"/>
  </r>
  <r>
    <x v="217"/>
    <x v="217"/>
    <x v="10"/>
    <x v="2503"/>
    <x v="2"/>
    <x v="5"/>
    <x v="507"/>
    <x v="862"/>
    <x v="10"/>
    <s v="China"/>
    <m/>
    <x v="1"/>
    <s v="D"/>
    <x v="0"/>
    <d v="1963-07-26T00:00:00"/>
    <s v="Sun"/>
    <s v="Weijie"/>
    <m/>
    <d v="2023-04-04T05:01:00"/>
    <m/>
    <m/>
    <n v="1963"/>
    <n v="125.08"/>
    <n v="2.9"/>
    <n v="19910000000000"/>
    <n v="50.6"/>
    <n v="100.2"/>
    <n v="9.4"/>
    <n v="59.2"/>
    <n v="1397715000"/>
  </r>
  <r>
    <x v="217"/>
    <x v="217"/>
    <x v="2"/>
    <x v="2504"/>
    <x v="38"/>
    <x v="1"/>
    <x v="27"/>
    <x v="58"/>
    <x v="2"/>
    <s v="United States"/>
    <m/>
    <x v="1"/>
    <s v="D"/>
    <x v="0"/>
    <d v="1961-07-09T00:00:00"/>
    <s v="Sutardja"/>
    <s v="Sehat"/>
    <m/>
    <d v="2023-04-04T05:01:00"/>
    <s v="Nevada"/>
    <s v="West"/>
    <n v="1961"/>
    <n v="117.24"/>
    <n v="7.5"/>
    <n v="21427700000000"/>
    <n v="88.2"/>
    <n v="101.8"/>
    <n v="9.6"/>
    <n v="36.6"/>
    <n v="328239523"/>
  </r>
  <r>
    <x v="217"/>
    <x v="217"/>
    <x v="4"/>
    <x v="2505"/>
    <x v="45"/>
    <x v="25"/>
    <x v="76"/>
    <x v="287"/>
    <x v="4"/>
    <s v="Singapore"/>
    <m/>
    <x v="1"/>
    <s v="R"/>
    <x v="0"/>
    <d v="1977-11-05T00:00:00"/>
    <s v="Tan"/>
    <s v="Min-Liang"/>
    <m/>
    <d v="2023-04-04T05:01:00"/>
    <m/>
    <m/>
    <n v="1977"/>
    <n v="114.41"/>
    <n v="0.6"/>
    <n v="372062527489"/>
    <n v="84.8"/>
    <n v="100.6"/>
    <n v="13.1"/>
    <n v="21"/>
    <n v="5703569"/>
  </r>
  <r>
    <x v="217"/>
    <x v="217"/>
    <x v="0"/>
    <x v="2506"/>
    <x v="33"/>
    <x v="31"/>
    <x v="715"/>
    <x v="21"/>
    <x v="0"/>
    <s v="Malaysia"/>
    <m/>
    <x v="1"/>
    <s v="D"/>
    <x v="0"/>
    <d v="1971-01-01T00:00:00"/>
    <s v="Tan"/>
    <s v="Yu Yeh"/>
    <m/>
    <d v="2023-04-04T05:01:00"/>
    <m/>
    <m/>
    <n v="1971"/>
    <n v="121.46"/>
    <n v="0.7"/>
    <n v="364701517788"/>
    <n v="45.1"/>
    <n v="105.3"/>
    <n v="12"/>
    <n v="38.700000000000003"/>
    <n v="32447385"/>
  </r>
  <r>
    <x v="217"/>
    <x v="217"/>
    <x v="1"/>
    <x v="2507"/>
    <x v="22"/>
    <x v="5"/>
    <x v="128"/>
    <x v="101"/>
    <x v="1"/>
    <s v="China"/>
    <m/>
    <x v="1"/>
    <s v="N"/>
    <x v="0"/>
    <d v="1945-04-11T00:00:00"/>
    <s v="Tang"/>
    <s v="Aoqi"/>
    <m/>
    <d v="2023-04-04T05:01:00"/>
    <m/>
    <m/>
    <n v="1945"/>
    <n v="125.08"/>
    <n v="2.9"/>
    <n v="19910000000000"/>
    <n v="50.6"/>
    <n v="100.2"/>
    <n v="9.4"/>
    <n v="59.2"/>
    <n v="1397715000"/>
  </r>
  <r>
    <x v="217"/>
    <x v="217"/>
    <x v="10"/>
    <x v="2508"/>
    <x v="1"/>
    <x v="23"/>
    <x v="73"/>
    <x v="863"/>
    <x v="10"/>
    <s v="Thailand"/>
    <m/>
    <x v="0"/>
    <s v="D"/>
    <x v="0"/>
    <d v="1971-09-11T00:00:00"/>
    <s v="Tangkaravakoon"/>
    <s v="Vonnarat"/>
    <m/>
    <d v="2023-04-04T05:01:00"/>
    <m/>
    <m/>
    <n v="1971"/>
    <n v="113.27"/>
    <n v="0.7"/>
    <n v="543649976166"/>
    <n v="49.3"/>
    <n v="99.8"/>
    <n v="14.9"/>
    <n v="29.5"/>
    <n v="69625582"/>
  </r>
  <r>
    <x v="217"/>
    <x v="217"/>
    <x v="7"/>
    <x v="2509"/>
    <x v="31"/>
    <x v="35"/>
    <x v="152"/>
    <x v="267"/>
    <x v="7"/>
    <s v="Taiwan"/>
    <m/>
    <x v="1"/>
    <s v="N"/>
    <x v="0"/>
    <d v="1947-01-01T00:00:00"/>
    <s v="Tsao"/>
    <s v="Ter-fung"/>
    <m/>
    <d v="2023-04-04T05:01:00"/>
    <m/>
    <m/>
    <n v="1947"/>
    <m/>
    <m/>
    <m/>
    <m/>
    <m/>
    <m/>
    <m/>
    <m/>
  </r>
  <r>
    <x v="217"/>
    <x v="217"/>
    <x v="10"/>
    <x v="2510"/>
    <x v="17"/>
    <x v="5"/>
    <x v="574"/>
    <x v="108"/>
    <x v="10"/>
    <s v="China"/>
    <m/>
    <x v="1"/>
    <s v="D"/>
    <x v="0"/>
    <d v="1965-01-01T00:00:00"/>
    <s v="Tung"/>
    <s v="Ching Sai"/>
    <m/>
    <d v="2023-04-04T05:01:00"/>
    <m/>
    <m/>
    <n v="1965"/>
    <n v="125.08"/>
    <n v="2.9"/>
    <n v="19910000000000"/>
    <n v="50.6"/>
    <n v="100.2"/>
    <n v="9.4"/>
    <n v="59.2"/>
    <n v="1397715000"/>
  </r>
  <r>
    <x v="217"/>
    <x v="217"/>
    <x v="2"/>
    <x v="2511"/>
    <x v="2"/>
    <x v="27"/>
    <x v="199"/>
    <x v="864"/>
    <x v="2"/>
    <s v="Russia"/>
    <m/>
    <x v="1"/>
    <s v="R"/>
    <x v="0"/>
    <d v="1964-02-11T00:00:00"/>
    <s v="Volozh"/>
    <s v="Arkady"/>
    <m/>
    <d v="2023-04-04T05:01:00"/>
    <m/>
    <m/>
    <n v="1964"/>
    <n v="108.15"/>
    <n v="0.8"/>
    <n v="395098666122"/>
    <n v="63.4"/>
    <n v="104.9"/>
    <n v="23.1"/>
    <n v="25.3"/>
    <n v="9053300"/>
  </r>
  <r>
    <x v="217"/>
    <x v="217"/>
    <x v="10"/>
    <x v="2512"/>
    <x v="48"/>
    <x v="7"/>
    <x v="716"/>
    <x v="50"/>
    <x v="10"/>
    <s v="Germany"/>
    <m/>
    <x v="0"/>
    <s v="U"/>
    <x v="0"/>
    <d v="1951-10-02T00:00:00"/>
    <s v="Wacker"/>
    <s v="Peter-Alexander"/>
    <m/>
    <d v="2023-04-04T05:01:00"/>
    <m/>
    <m/>
    <n v="1951"/>
    <n v="112.85"/>
    <n v="1.4"/>
    <n v="3845630030824"/>
    <n v="70.2"/>
    <n v="104"/>
    <n v="11.5"/>
    <n v="48.8"/>
    <n v="83132799"/>
  </r>
  <r>
    <x v="217"/>
    <x v="217"/>
    <x v="7"/>
    <x v="2513"/>
    <x v="26"/>
    <x v="5"/>
    <x v="717"/>
    <x v="267"/>
    <x v="7"/>
    <s v="China"/>
    <m/>
    <x v="1"/>
    <s v="D"/>
    <x v="0"/>
    <d v="1940-09-01T00:00:00"/>
    <s v="Wan"/>
    <s v="Long"/>
    <m/>
    <d v="2023-04-04T05:01:00"/>
    <m/>
    <m/>
    <n v="1940"/>
    <n v="125.08"/>
    <n v="2.9"/>
    <n v="19910000000000"/>
    <n v="50.6"/>
    <n v="100.2"/>
    <n v="9.4"/>
    <n v="59.2"/>
    <n v="1397715000"/>
  </r>
  <r>
    <x v="217"/>
    <x v="217"/>
    <x v="6"/>
    <x v="2514"/>
    <x v="66"/>
    <x v="5"/>
    <x v="34"/>
    <x v="353"/>
    <x v="6"/>
    <s v="China"/>
    <m/>
    <x v="0"/>
    <s v="D"/>
    <x v="0"/>
    <d v="1987-08-01T00:00:00"/>
    <s v="Wang"/>
    <s v="Han"/>
    <m/>
    <d v="2023-04-04T05:01:00"/>
    <m/>
    <m/>
    <n v="1987"/>
    <n v="125.08"/>
    <n v="2.9"/>
    <n v="19910000000000"/>
    <n v="50.6"/>
    <n v="100.2"/>
    <n v="9.4"/>
    <n v="59.2"/>
    <n v="1397715000"/>
  </r>
  <r>
    <x v="217"/>
    <x v="217"/>
    <x v="4"/>
    <x v="2515"/>
    <x v="62"/>
    <x v="21"/>
    <x v="718"/>
    <x v="281"/>
    <x v="4"/>
    <s v="Sweden"/>
    <m/>
    <x v="1"/>
    <s v="D"/>
    <x v="0"/>
    <d v="1977-04-02T00:00:00"/>
    <s v="Wingefors"/>
    <s v="Lars"/>
    <m/>
    <d v="2023-04-04T05:01:00"/>
    <m/>
    <m/>
    <n v="1977"/>
    <n v="110.51"/>
    <n v="1.8"/>
    <n v="530832908738"/>
    <n v="67"/>
    <n v="126.6"/>
    <n v="27.9"/>
    <n v="49.1"/>
    <n v="10285453"/>
  </r>
  <r>
    <x v="217"/>
    <x v="217"/>
    <x v="10"/>
    <x v="2516"/>
    <x v="16"/>
    <x v="10"/>
    <x v="36"/>
    <x v="172"/>
    <x v="10"/>
    <s v="Hong Kong"/>
    <m/>
    <x v="1"/>
    <s v="E"/>
    <x v="0"/>
    <d v="1950-04-01T00:00:00"/>
    <s v="Wong"/>
    <s v="Allan"/>
    <m/>
    <d v="2023-04-04T05:01:00"/>
    <m/>
    <m/>
    <n v="1950"/>
    <m/>
    <m/>
    <m/>
    <m/>
    <m/>
    <m/>
    <m/>
    <m/>
  </r>
  <r>
    <x v="217"/>
    <x v="217"/>
    <x v="17"/>
    <x v="2517"/>
    <x v="47"/>
    <x v="1"/>
    <x v="719"/>
    <x v="865"/>
    <x v="17"/>
    <s v="United States"/>
    <s v="PGA"/>
    <x v="1"/>
    <s v="N"/>
    <x v="0"/>
    <d v="1975-12-30T00:00:00"/>
    <s v="Woods"/>
    <s v="Tiger"/>
    <s v="Athlete"/>
    <d v="2023-04-04T05:01:00"/>
    <s v="Florida"/>
    <s v="South"/>
    <n v="1975"/>
    <n v="117.24"/>
    <n v="7.5"/>
    <n v="21427700000000"/>
    <n v="88.2"/>
    <n v="101.8"/>
    <n v="9.6"/>
    <n v="36.6"/>
    <n v="328239523"/>
  </r>
  <r>
    <x v="217"/>
    <x v="217"/>
    <x v="0"/>
    <x v="2518"/>
    <x v="6"/>
    <x v="7"/>
    <x v="720"/>
    <x v="577"/>
    <x v="0"/>
    <s v="Germany"/>
    <m/>
    <x v="1"/>
    <s v="D"/>
    <x v="0"/>
    <d v="1941-05-08T00:00:00"/>
    <s v="Wortmann"/>
    <s v="Horst"/>
    <m/>
    <d v="2023-04-04T05:01:00"/>
    <m/>
    <m/>
    <n v="1941"/>
    <n v="112.85"/>
    <n v="1.4"/>
    <n v="3845630030824"/>
    <n v="70.2"/>
    <n v="104"/>
    <n v="11.5"/>
    <n v="48.8"/>
    <n v="83132799"/>
  </r>
  <r>
    <x v="217"/>
    <x v="217"/>
    <x v="5"/>
    <x v="2519"/>
    <x v="52"/>
    <x v="5"/>
    <x v="320"/>
    <x v="172"/>
    <x v="5"/>
    <s v="Hong Kong"/>
    <m/>
    <x v="1"/>
    <s v="D"/>
    <x v="0"/>
    <d v="1969-12-01T00:00:00"/>
    <s v="Wu"/>
    <s v="Kaiting"/>
    <m/>
    <d v="2023-04-04T05:01:00"/>
    <m/>
    <m/>
    <n v="1969"/>
    <n v="125.08"/>
    <n v="2.9"/>
    <n v="19910000000000"/>
    <n v="50.6"/>
    <n v="100.2"/>
    <n v="9.4"/>
    <n v="59.2"/>
    <n v="1397715000"/>
  </r>
  <r>
    <x v="217"/>
    <x v="217"/>
    <x v="10"/>
    <x v="2520"/>
    <x v="26"/>
    <x v="35"/>
    <x v="721"/>
    <x v="710"/>
    <x v="10"/>
    <s v="Taiwan"/>
    <m/>
    <x v="1"/>
    <s v="D"/>
    <x v="0"/>
    <d v="1941-01-01T00:00:00"/>
    <s v="Wu"/>
    <s v="Li-gann"/>
    <m/>
    <d v="2023-04-04T05:01:00"/>
    <m/>
    <m/>
    <n v="1941"/>
    <m/>
    <m/>
    <m/>
    <m/>
    <m/>
    <m/>
    <m/>
    <m/>
  </r>
  <r>
    <x v="217"/>
    <x v="217"/>
    <x v="7"/>
    <x v="2521"/>
    <x v="23"/>
    <x v="5"/>
    <x v="19"/>
    <x v="866"/>
    <x v="7"/>
    <s v="China"/>
    <m/>
    <x v="1"/>
    <s v="D"/>
    <x v="0"/>
    <d v="1969-01-01T00:00:00"/>
    <s v="Wu"/>
    <s v="Xiangdong"/>
    <m/>
    <d v="2023-04-04T05:01:00"/>
    <m/>
    <m/>
    <n v="1969"/>
    <n v="125.08"/>
    <n v="2.9"/>
    <n v="19910000000000"/>
    <n v="50.6"/>
    <n v="100.2"/>
    <n v="9.4"/>
    <n v="59.2"/>
    <n v="1397715000"/>
  </r>
  <r>
    <x v="217"/>
    <x v="217"/>
    <x v="14"/>
    <x v="2522"/>
    <x v="13"/>
    <x v="5"/>
    <x v="612"/>
    <x v="83"/>
    <x v="14"/>
    <s v="China"/>
    <m/>
    <x v="1"/>
    <s v="D"/>
    <x v="0"/>
    <d v="1954-07-01T00:00:00"/>
    <s v="Xiu"/>
    <s v="Laigui"/>
    <m/>
    <d v="2023-04-04T05:01:00"/>
    <m/>
    <m/>
    <n v="1954"/>
    <n v="125.08"/>
    <n v="2.9"/>
    <n v="19910000000000"/>
    <n v="50.6"/>
    <n v="100.2"/>
    <n v="9.4"/>
    <n v="59.2"/>
    <n v="1397715000"/>
  </r>
  <r>
    <x v="217"/>
    <x v="217"/>
    <x v="14"/>
    <x v="2523"/>
    <x v="38"/>
    <x v="5"/>
    <x v="722"/>
    <x v="867"/>
    <x v="14"/>
    <s v="China"/>
    <m/>
    <x v="1"/>
    <s v="N"/>
    <x v="0"/>
    <d v="1962-01-01T00:00:00"/>
    <s v="Xu"/>
    <s v="Jiangnan"/>
    <m/>
    <d v="2023-04-04T05:01:00"/>
    <m/>
    <m/>
    <n v="1962"/>
    <n v="125.08"/>
    <n v="2.9"/>
    <n v="19910000000000"/>
    <n v="50.6"/>
    <n v="100.2"/>
    <n v="9.4"/>
    <n v="59.2"/>
    <n v="1397715000"/>
  </r>
  <r>
    <x v="217"/>
    <x v="217"/>
    <x v="5"/>
    <x v="2524"/>
    <x v="25"/>
    <x v="5"/>
    <x v="697"/>
    <x v="868"/>
    <x v="5"/>
    <s v="China"/>
    <m/>
    <x v="1"/>
    <s v="D"/>
    <x v="0"/>
    <d v="1951-01-01T00:00:00"/>
    <s v="Xue"/>
    <s v="Jiping"/>
    <m/>
    <d v="2023-04-04T05:01:00"/>
    <m/>
    <m/>
    <n v="1951"/>
    <n v="125.08"/>
    <n v="2.9"/>
    <n v="19910000000000"/>
    <n v="50.6"/>
    <n v="100.2"/>
    <n v="9.4"/>
    <n v="59.2"/>
    <n v="1397715000"/>
  </r>
  <r>
    <x v="217"/>
    <x v="217"/>
    <x v="10"/>
    <x v="2525"/>
    <x v="7"/>
    <x v="25"/>
    <x v="76"/>
    <x v="108"/>
    <x v="10"/>
    <s v="Singapore"/>
    <m/>
    <x v="1"/>
    <s v="U"/>
    <x v="0"/>
    <d v="1940-01-01T00:00:00"/>
    <s v="Yao"/>
    <s v="Hsiao Tung"/>
    <m/>
    <d v="2023-04-04T05:01:00"/>
    <m/>
    <m/>
    <n v="1940"/>
    <n v="114.41"/>
    <n v="0.6"/>
    <n v="372062527489"/>
    <n v="84.8"/>
    <n v="100.6"/>
    <n v="13.1"/>
    <n v="21"/>
    <n v="5703569"/>
  </r>
  <r>
    <x v="217"/>
    <x v="217"/>
    <x v="2"/>
    <x v="2526"/>
    <x v="13"/>
    <x v="5"/>
    <x v="12"/>
    <x v="117"/>
    <x v="2"/>
    <s v="China"/>
    <m/>
    <x v="1"/>
    <s v="U"/>
    <x v="1"/>
    <d v="1954-10-14T00:00:00"/>
    <s v="Ye"/>
    <s v="Qiongjiu"/>
    <m/>
    <d v="2023-04-04T05:01:00"/>
    <m/>
    <m/>
    <n v="1954"/>
    <n v="125.08"/>
    <n v="2.9"/>
    <n v="19910000000000"/>
    <n v="50.6"/>
    <n v="100.2"/>
    <n v="9.4"/>
    <n v="59.2"/>
    <n v="1397715000"/>
  </r>
  <r>
    <x v="217"/>
    <x v="217"/>
    <x v="7"/>
    <x v="2527"/>
    <x v="52"/>
    <x v="5"/>
    <x v="49"/>
    <x v="80"/>
    <x v="7"/>
    <s v="China"/>
    <m/>
    <x v="1"/>
    <s v="D"/>
    <x v="0"/>
    <d v="1969-10-01T00:00:00"/>
    <s v="Ye"/>
    <s v="Yanqiao"/>
    <m/>
    <d v="2023-04-04T05:01:00"/>
    <m/>
    <m/>
    <n v="1969"/>
    <n v="125.08"/>
    <n v="2.9"/>
    <n v="19910000000000"/>
    <n v="50.6"/>
    <n v="100.2"/>
    <n v="9.4"/>
    <n v="59.2"/>
    <n v="1397715000"/>
  </r>
  <r>
    <x v="217"/>
    <x v="217"/>
    <x v="10"/>
    <x v="2528"/>
    <x v="6"/>
    <x v="22"/>
    <x v="25"/>
    <x v="108"/>
    <x v="10"/>
    <s v="Taiwan"/>
    <m/>
    <x v="1"/>
    <s v="D"/>
    <x v="0"/>
    <d v="1941-04-21T00:00:00"/>
    <s v="Yeh"/>
    <s v="Kuo-I"/>
    <m/>
    <d v="2023-04-04T05:01:00"/>
    <m/>
    <m/>
    <n v="1941"/>
    <m/>
    <m/>
    <m/>
    <m/>
    <m/>
    <m/>
    <m/>
    <m/>
  </r>
  <r>
    <x v="217"/>
    <x v="217"/>
    <x v="4"/>
    <x v="2529"/>
    <x v="1"/>
    <x v="5"/>
    <x v="307"/>
    <x v="869"/>
    <x v="4"/>
    <s v="China"/>
    <m/>
    <x v="1"/>
    <s v="D"/>
    <x v="0"/>
    <d v="1971-10-07T00:00:00"/>
    <s v="Yu"/>
    <s v="Faxiang"/>
    <m/>
    <d v="2023-04-04T05:01:00"/>
    <m/>
    <m/>
    <n v="1971"/>
    <n v="125.08"/>
    <n v="2.9"/>
    <n v="19910000000000"/>
    <n v="50.6"/>
    <n v="100.2"/>
    <n v="9.4"/>
    <n v="59.2"/>
    <n v="1397715000"/>
  </r>
  <r>
    <x v="217"/>
    <x v="217"/>
    <x v="12"/>
    <x v="2530"/>
    <x v="60"/>
    <x v="5"/>
    <x v="723"/>
    <x v="870"/>
    <x v="12"/>
    <s v="China"/>
    <m/>
    <x v="0"/>
    <s v="D"/>
    <x v="0"/>
    <d v="1982-08-01T00:00:00"/>
    <s v="Zeng"/>
    <s v="Chaolin"/>
    <m/>
    <d v="2023-04-04T05:01:00"/>
    <m/>
    <m/>
    <n v="1982"/>
    <n v="125.08"/>
    <n v="2.9"/>
    <n v="19910000000000"/>
    <n v="50.6"/>
    <n v="100.2"/>
    <n v="9.4"/>
    <n v="59.2"/>
    <n v="1397715000"/>
  </r>
  <r>
    <x v="217"/>
    <x v="217"/>
    <x v="16"/>
    <x v="2531"/>
    <x v="17"/>
    <x v="5"/>
    <x v="704"/>
    <x v="467"/>
    <x v="16"/>
    <s v="China"/>
    <m/>
    <x v="1"/>
    <s v="U"/>
    <x v="0"/>
    <d v="1965-01-01T00:00:00"/>
    <s v="Zhang"/>
    <s v="Kapeng"/>
    <m/>
    <d v="2023-04-04T05:01:00"/>
    <m/>
    <m/>
    <n v="1965"/>
    <n v="125.08"/>
    <n v="2.9"/>
    <n v="19910000000000"/>
    <n v="50.6"/>
    <n v="100.2"/>
    <n v="9.4"/>
    <n v="59.2"/>
    <n v="1397715000"/>
  </r>
  <r>
    <x v="217"/>
    <x v="217"/>
    <x v="0"/>
    <x v="2532"/>
    <x v="1"/>
    <x v="5"/>
    <x v="334"/>
    <x v="81"/>
    <x v="0"/>
    <s v="China"/>
    <m/>
    <x v="1"/>
    <s v="D"/>
    <x v="0"/>
    <d v="1971-10-09T00:00:00"/>
    <s v="Zhang"/>
    <s v="Xuansong"/>
    <m/>
    <d v="2023-04-04T05:01:00"/>
    <m/>
    <m/>
    <n v="1971"/>
    <n v="125.08"/>
    <n v="2.9"/>
    <n v="19910000000000"/>
    <n v="50.6"/>
    <n v="100.2"/>
    <n v="9.4"/>
    <n v="59.2"/>
    <n v="1397715000"/>
  </r>
  <r>
    <x v="217"/>
    <x v="217"/>
    <x v="7"/>
    <x v="2533"/>
    <x v="65"/>
    <x v="5"/>
    <x v="78"/>
    <x v="712"/>
    <x v="7"/>
    <s v="China"/>
    <m/>
    <x v="1"/>
    <s v="R"/>
    <x v="0"/>
    <d v="1974-08-19T00:00:00"/>
    <s v="Zhang"/>
    <s v="Xuewu"/>
    <m/>
    <d v="2023-04-04T05:01:00"/>
    <m/>
    <m/>
    <n v="1974"/>
    <n v="125.08"/>
    <n v="2.9"/>
    <n v="19910000000000"/>
    <n v="50.6"/>
    <n v="100.2"/>
    <n v="9.4"/>
    <n v="59.2"/>
    <n v="1397715000"/>
  </r>
  <r>
    <x v="217"/>
    <x v="217"/>
    <x v="2"/>
    <x v="2534"/>
    <x v="10"/>
    <x v="5"/>
    <x v="19"/>
    <x v="58"/>
    <x v="2"/>
    <s v="China"/>
    <m/>
    <x v="1"/>
    <s v="D"/>
    <x v="0"/>
    <d v="1972-07-01T00:00:00"/>
    <s v="Zhu"/>
    <s v="Yiming"/>
    <m/>
    <d v="2023-04-04T05:01:00"/>
    <m/>
    <m/>
    <n v="1972"/>
    <n v="125.08"/>
    <n v="2.9"/>
    <n v="19910000000000"/>
    <n v="50.6"/>
    <n v="100.2"/>
    <n v="9.4"/>
    <n v="59.2"/>
    <n v="1397715000"/>
  </r>
  <r>
    <x v="217"/>
    <x v="217"/>
    <x v="10"/>
    <x v="2535"/>
    <x v="12"/>
    <x v="5"/>
    <x v="26"/>
    <x v="123"/>
    <x v="10"/>
    <s v="China"/>
    <m/>
    <x v="1"/>
    <s v="D"/>
    <x v="0"/>
    <d v="1974-01-01T00:00:00"/>
    <s v="Zhu"/>
    <s v="Zhaojiang"/>
    <m/>
    <d v="2023-04-04T05:01:00"/>
    <m/>
    <m/>
    <n v="1974"/>
    <n v="125.08"/>
    <n v="2.9"/>
    <n v="19910000000000"/>
    <n v="50.6"/>
    <n v="100.2"/>
    <n v="9.4"/>
    <n v="59.2"/>
    <n v="1397715000"/>
  </r>
  <r>
    <x v="217"/>
    <x v="217"/>
    <x v="10"/>
    <x v="2536"/>
    <x v="41"/>
    <x v="10"/>
    <x v="36"/>
    <x v="844"/>
    <x v="10"/>
    <s v="Hong Kong"/>
    <m/>
    <x v="0"/>
    <s v="D"/>
    <x v="1"/>
    <d v="1966-01-01T00:00:00"/>
    <s v="Zhuo"/>
    <s v="Jun"/>
    <m/>
    <d v="2023-04-04T05:01:00"/>
    <m/>
    <m/>
    <n v="1966"/>
    <m/>
    <m/>
    <m/>
    <m/>
    <m/>
    <m/>
    <m/>
    <m/>
  </r>
  <r>
    <x v="218"/>
    <x v="218"/>
    <x v="7"/>
    <x v="2537"/>
    <x v="13"/>
    <x v="3"/>
    <x v="41"/>
    <x v="712"/>
    <x v="7"/>
    <s v="India"/>
    <m/>
    <x v="0"/>
    <s v="N"/>
    <x v="0"/>
    <d v="1954-10-30T00:00:00"/>
    <s v="Agarwal"/>
    <s v="Manohar Lal"/>
    <m/>
    <d v="2023-04-04T05:01:00"/>
    <m/>
    <m/>
    <n v="1954"/>
    <n v="180.44"/>
    <n v="7.7"/>
    <n v="2611000000000"/>
    <n v="28.1"/>
    <n v="113"/>
    <n v="11.2"/>
    <n v="49.7"/>
    <n v="1366417754"/>
  </r>
  <r>
    <x v="218"/>
    <x v="218"/>
    <x v="3"/>
    <x v="2538"/>
    <x v="54"/>
    <x v="13"/>
    <x v="32"/>
    <x v="38"/>
    <x v="3"/>
    <s v="Germany"/>
    <m/>
    <x v="1"/>
    <s v="D"/>
    <x v="0"/>
    <d v="1978-04-26T00:00:00"/>
    <s v="Angermayer"/>
    <s v="Christian"/>
    <m/>
    <d v="2023-04-04T05:01:00"/>
    <m/>
    <m/>
    <n v="1978"/>
    <n v="119.62"/>
    <n v="1.7"/>
    <n v="2827113184696"/>
    <n v="60"/>
    <n v="101.2"/>
    <n v="25.5"/>
    <n v="30.6"/>
    <n v="66834405"/>
  </r>
  <r>
    <x v="218"/>
    <x v="218"/>
    <x v="0"/>
    <x v="2539"/>
    <x v="31"/>
    <x v="12"/>
    <x v="31"/>
    <x v="21"/>
    <x v="0"/>
    <s v="Japan"/>
    <m/>
    <x v="1"/>
    <s v="D"/>
    <x v="0"/>
    <d v="1946-05-28T00:00:00"/>
    <s v="Arai"/>
    <s v="Ryuji"/>
    <m/>
    <d v="2023-04-04T05:01:00"/>
    <m/>
    <m/>
    <n v="1946"/>
    <n v="105.48"/>
    <n v="0.5"/>
    <n v="5081769542380"/>
    <n v="63.2"/>
    <n v="98.8"/>
    <n v="11.9"/>
    <n v="46.7"/>
    <n v="126226568"/>
  </r>
  <r>
    <x v="218"/>
    <x v="218"/>
    <x v="14"/>
    <x v="2540"/>
    <x v="54"/>
    <x v="7"/>
    <x v="457"/>
    <x v="526"/>
    <x v="14"/>
    <s v="Germany"/>
    <m/>
    <x v="0"/>
    <s v="D"/>
    <x v="1"/>
    <d v="1979-01-01T00:00:00"/>
    <s v="Braun"/>
    <s v="Anna Maria"/>
    <m/>
    <d v="2023-04-04T05:01:00"/>
    <m/>
    <m/>
    <n v="1979"/>
    <n v="112.85"/>
    <n v="1.4"/>
    <n v="3845630030824"/>
    <n v="70.2"/>
    <n v="104"/>
    <n v="11.5"/>
    <n v="48.8"/>
    <n v="83132799"/>
  </r>
  <r>
    <x v="218"/>
    <x v="218"/>
    <x v="14"/>
    <x v="2541"/>
    <x v="27"/>
    <x v="7"/>
    <x v="457"/>
    <x v="526"/>
    <x v="14"/>
    <s v="Germany"/>
    <m/>
    <x v="0"/>
    <s v="E"/>
    <x v="1"/>
    <d v="1980-01-01T00:00:00"/>
    <s v="Braun"/>
    <s v="Johanna"/>
    <m/>
    <d v="2023-04-04T05:01:00"/>
    <m/>
    <m/>
    <n v="1980"/>
    <n v="112.85"/>
    <n v="1.4"/>
    <n v="3845630030824"/>
    <n v="70.2"/>
    <n v="104"/>
    <n v="11.5"/>
    <n v="48.8"/>
    <n v="83132799"/>
  </r>
  <r>
    <x v="218"/>
    <x v="218"/>
    <x v="14"/>
    <x v="2542"/>
    <x v="60"/>
    <x v="7"/>
    <x v="457"/>
    <x v="526"/>
    <x v="14"/>
    <s v="Germany"/>
    <m/>
    <x v="0"/>
    <s v="E"/>
    <x v="0"/>
    <d v="1983-01-01T00:00:00"/>
    <s v="Braun"/>
    <s v="Karl Friedrich"/>
    <m/>
    <d v="2023-04-04T05:01:00"/>
    <m/>
    <m/>
    <n v="1983"/>
    <n v="112.85"/>
    <n v="1.4"/>
    <n v="3845630030824"/>
    <n v="70.2"/>
    <n v="104"/>
    <n v="11.5"/>
    <n v="48.8"/>
    <n v="83132799"/>
  </r>
  <r>
    <x v="218"/>
    <x v="218"/>
    <x v="14"/>
    <x v="2543"/>
    <x v="67"/>
    <x v="7"/>
    <x v="457"/>
    <x v="526"/>
    <x v="14"/>
    <s v="Germany"/>
    <m/>
    <x v="0"/>
    <s v="D"/>
    <x v="0"/>
    <d v="1990-01-01T00:00:00"/>
    <s v="Braun"/>
    <s v="Ludwig Theodor"/>
    <m/>
    <d v="2023-04-04T05:01:00"/>
    <m/>
    <m/>
    <n v="1990"/>
    <n v="112.85"/>
    <n v="1.4"/>
    <n v="3845630030824"/>
    <n v="70.2"/>
    <n v="104"/>
    <n v="11.5"/>
    <n v="48.8"/>
    <n v="83132799"/>
  </r>
  <r>
    <x v="218"/>
    <x v="218"/>
    <x v="6"/>
    <x v="2544"/>
    <x v="73"/>
    <x v="76"/>
    <x v="620"/>
    <x v="871"/>
    <x v="6"/>
    <s v="Peru"/>
    <m/>
    <x v="0"/>
    <s v="D"/>
    <x v="1"/>
    <d v="1924-04-19T00:00:00"/>
    <s v="Brescia Cafferata"/>
    <s v="Ana Maria"/>
    <m/>
    <d v="2023-04-04T05:01:00"/>
    <m/>
    <m/>
    <n v="1924"/>
    <n v="129.78"/>
    <n v="2.1"/>
    <n v="226848050820"/>
    <n v="70.7"/>
    <n v="106.9"/>
    <n v="14.3"/>
    <n v="36.799999999999997"/>
    <n v="32510453"/>
  </r>
  <r>
    <x v="218"/>
    <x v="218"/>
    <x v="4"/>
    <x v="2545"/>
    <x v="31"/>
    <x v="1"/>
    <x v="43"/>
    <x v="872"/>
    <x v="4"/>
    <s v="United States"/>
    <m/>
    <x v="1"/>
    <s v="N"/>
    <x v="0"/>
    <d v="1946-12-25T00:00:00"/>
    <s v="Buffett"/>
    <s v="Jimmy"/>
    <s v="Musician"/>
    <d v="2023-04-04T05:01:00"/>
    <s v="Florida"/>
    <m/>
    <n v="1946"/>
    <n v="117.24"/>
    <n v="7.5"/>
    <n v="21427700000000"/>
    <n v="88.2"/>
    <n v="101.8"/>
    <n v="9.6"/>
    <n v="36.6"/>
    <n v="328239523"/>
  </r>
  <r>
    <x v="218"/>
    <x v="218"/>
    <x v="9"/>
    <x v="2546"/>
    <x v="36"/>
    <x v="12"/>
    <x v="31"/>
    <x v="845"/>
    <x v="9"/>
    <s v="Japan"/>
    <m/>
    <x v="0"/>
    <s v="R"/>
    <x v="0"/>
    <d v="1952-09-30T00:00:00"/>
    <s v="Busujima"/>
    <s v="Hideyuki"/>
    <m/>
    <d v="2023-04-04T05:01:00"/>
    <m/>
    <m/>
    <n v="1952"/>
    <n v="105.48"/>
    <n v="0.5"/>
    <n v="5081769542380"/>
    <n v="63.2"/>
    <n v="98.8"/>
    <n v="11.9"/>
    <n v="46.7"/>
    <n v="126226568"/>
  </r>
  <r>
    <x v="218"/>
    <x v="218"/>
    <x v="3"/>
    <x v="2547"/>
    <x v="43"/>
    <x v="0"/>
    <x v="0"/>
    <x v="786"/>
    <x v="3"/>
    <s v="France"/>
    <m/>
    <x v="1"/>
    <s v="D"/>
    <x v="0"/>
    <d v="1947-09-04T00:00:00"/>
    <s v="Carmignac"/>
    <s v="Edouard"/>
    <m/>
    <d v="2023-04-04T05:01:00"/>
    <m/>
    <m/>
    <n v="1947"/>
    <n v="110.05"/>
    <n v="1.1000000000000001"/>
    <n v="2715518274227"/>
    <n v="65.599999999999994"/>
    <n v="102.5"/>
    <n v="24.2"/>
    <n v="60.7"/>
    <n v="67059887"/>
  </r>
  <r>
    <x v="218"/>
    <x v="218"/>
    <x v="8"/>
    <x v="2548"/>
    <x v="44"/>
    <x v="35"/>
    <x v="152"/>
    <x v="662"/>
    <x v="8"/>
    <s v="Taiwan"/>
    <m/>
    <x v="0"/>
    <s v="D"/>
    <x v="0"/>
    <m/>
    <s v="Chang"/>
    <s v="Kuo-Ming"/>
    <m/>
    <d v="2023-04-04T05:01:00"/>
    <m/>
    <m/>
    <m/>
    <m/>
    <m/>
    <m/>
    <m/>
    <m/>
    <m/>
    <m/>
    <m/>
  </r>
  <r>
    <x v="218"/>
    <x v="218"/>
    <x v="10"/>
    <x v="2549"/>
    <x v="29"/>
    <x v="5"/>
    <x v="451"/>
    <x v="108"/>
    <x v="10"/>
    <s v="China"/>
    <m/>
    <x v="1"/>
    <s v="D"/>
    <x v="0"/>
    <d v="1959-01-13T00:00:00"/>
    <s v="Chen"/>
    <s v="Jiancheng"/>
    <m/>
    <d v="2023-04-04T05:01:00"/>
    <m/>
    <m/>
    <n v="1959"/>
    <n v="125.08"/>
    <n v="2.9"/>
    <n v="19910000000000"/>
    <n v="50.6"/>
    <n v="100.2"/>
    <n v="9.4"/>
    <n v="59.2"/>
    <n v="1397715000"/>
  </r>
  <r>
    <x v="218"/>
    <x v="218"/>
    <x v="4"/>
    <x v="2550"/>
    <x v="45"/>
    <x v="5"/>
    <x v="34"/>
    <x v="873"/>
    <x v="4"/>
    <s v="China"/>
    <m/>
    <x v="1"/>
    <s v="R"/>
    <x v="0"/>
    <d v="1978-01-01T00:00:00"/>
    <s v="Chen"/>
    <s v="Rui"/>
    <m/>
    <d v="2023-04-04T05:01:00"/>
    <m/>
    <m/>
    <n v="1978"/>
    <n v="125.08"/>
    <n v="2.9"/>
    <n v="19910000000000"/>
    <n v="50.6"/>
    <n v="100.2"/>
    <n v="9.4"/>
    <n v="59.2"/>
    <n v="1397715000"/>
  </r>
  <r>
    <x v="218"/>
    <x v="218"/>
    <x v="10"/>
    <x v="2551"/>
    <x v="2"/>
    <x v="5"/>
    <x v="650"/>
    <x v="874"/>
    <x v="10"/>
    <s v="China"/>
    <m/>
    <x v="1"/>
    <s v="D"/>
    <x v="0"/>
    <d v="1963-12-01T00:00:00"/>
    <s v="Chen"/>
    <s v="Shiliang"/>
    <m/>
    <d v="2023-04-04T05:01:00"/>
    <m/>
    <m/>
    <n v="1963"/>
    <n v="125.08"/>
    <n v="2.9"/>
    <n v="19910000000000"/>
    <n v="50.6"/>
    <n v="100.2"/>
    <n v="9.4"/>
    <n v="59.2"/>
    <n v="1397715000"/>
  </r>
  <r>
    <x v="218"/>
    <x v="218"/>
    <x v="2"/>
    <x v="2552"/>
    <x v="12"/>
    <x v="1"/>
    <x v="70"/>
    <x v="41"/>
    <x v="2"/>
    <s v="China"/>
    <m/>
    <x v="1"/>
    <s v="D"/>
    <x v="0"/>
    <d v="1973-05-16T00:00:00"/>
    <s v="Chen"/>
    <s v="Tianqiao"/>
    <m/>
    <d v="2023-04-04T05:01:00"/>
    <s v="California"/>
    <s v="West"/>
    <n v="1973"/>
    <n v="117.24"/>
    <n v="7.5"/>
    <n v="21427700000000"/>
    <n v="88.2"/>
    <n v="101.8"/>
    <n v="9.6"/>
    <n v="36.6"/>
    <n v="328239523"/>
  </r>
  <r>
    <x v="218"/>
    <x v="218"/>
    <x v="13"/>
    <x v="2553"/>
    <x v="42"/>
    <x v="5"/>
    <x v="30"/>
    <x v="30"/>
    <x v="13"/>
    <s v="China"/>
    <m/>
    <x v="1"/>
    <s v="D"/>
    <x v="0"/>
    <d v="1968-03-01T00:00:00"/>
    <s v="Chen"/>
    <s v="Yuantai"/>
    <m/>
    <d v="2023-04-04T05:01:00"/>
    <m/>
    <m/>
    <n v="1968"/>
    <n v="125.08"/>
    <n v="2.9"/>
    <n v="19910000000000"/>
    <n v="50.6"/>
    <n v="100.2"/>
    <n v="9.4"/>
    <n v="59.2"/>
    <n v="1397715000"/>
  </r>
  <r>
    <x v="218"/>
    <x v="218"/>
    <x v="7"/>
    <x v="2554"/>
    <x v="8"/>
    <x v="10"/>
    <x v="36"/>
    <x v="370"/>
    <x v="7"/>
    <s v="Hong Kong"/>
    <m/>
    <x v="1"/>
    <s v="D"/>
    <x v="0"/>
    <d v="1957-11-01T00:00:00"/>
    <s v="Cheng"/>
    <s v="Antares"/>
    <m/>
    <d v="2023-04-04T05:01:00"/>
    <m/>
    <m/>
    <n v="1957"/>
    <m/>
    <m/>
    <m/>
    <m/>
    <m/>
    <m/>
    <m/>
    <m/>
  </r>
  <r>
    <x v="218"/>
    <x v="218"/>
    <x v="10"/>
    <x v="2555"/>
    <x v="25"/>
    <x v="3"/>
    <x v="724"/>
    <x v="875"/>
    <x v="10"/>
    <s v="India"/>
    <m/>
    <x v="1"/>
    <s v="R"/>
    <x v="0"/>
    <d v="1950-12-27T00:00:00"/>
    <s v="Chittilappilly"/>
    <s v="Kochouseph"/>
    <m/>
    <d v="2023-04-04T05:01:00"/>
    <m/>
    <m/>
    <n v="1950"/>
    <n v="180.44"/>
    <n v="7.7"/>
    <n v="2611000000000"/>
    <n v="28.1"/>
    <n v="113"/>
    <n v="11.2"/>
    <n v="49.7"/>
    <n v="1366417754"/>
  </r>
  <r>
    <x v="218"/>
    <x v="218"/>
    <x v="11"/>
    <x v="2556"/>
    <x v="41"/>
    <x v="19"/>
    <x v="192"/>
    <x v="36"/>
    <x v="11"/>
    <s v="United Kingdom"/>
    <m/>
    <x v="1"/>
    <s v="N"/>
    <x v="0"/>
    <d v="1965-05-24T00:00:00"/>
    <s v="Christodoulou"/>
    <s v="John"/>
    <m/>
    <d v="2023-04-04T05:01:00"/>
    <m/>
    <m/>
    <n v="1965"/>
    <m/>
    <m/>
    <n v="7184844193"/>
    <m/>
    <m/>
    <m/>
    <m/>
    <n v="38964"/>
  </r>
  <r>
    <x v="218"/>
    <x v="218"/>
    <x v="3"/>
    <x v="2557"/>
    <x v="29"/>
    <x v="10"/>
    <x v="36"/>
    <x v="876"/>
    <x v="3"/>
    <s v="Hong Kong"/>
    <m/>
    <x v="1"/>
    <s v="E"/>
    <x v="1"/>
    <d v="1958-08-03T00:00:00"/>
    <s v="Chu"/>
    <s v="Pollyanna"/>
    <m/>
    <d v="2023-04-04T05:01:00"/>
    <m/>
    <m/>
    <n v="1958"/>
    <m/>
    <m/>
    <m/>
    <m/>
    <m/>
    <m/>
    <m/>
    <m/>
  </r>
  <r>
    <x v="218"/>
    <x v="218"/>
    <x v="6"/>
    <x v="2558"/>
    <x v="5"/>
    <x v="47"/>
    <x v="228"/>
    <x v="8"/>
    <x v="6"/>
    <s v="Turkey"/>
    <m/>
    <x v="1"/>
    <s v="D"/>
    <x v="0"/>
    <d v="1956-03-01T00:00:00"/>
    <s v="Ciner"/>
    <s v="Turgay"/>
    <m/>
    <d v="2023-04-04T05:01:00"/>
    <m/>
    <m/>
    <n v="1956"/>
    <n v="234.44"/>
    <n v="15.2"/>
    <n v="754411708203"/>
    <n v="23.9"/>
    <n v="93.2"/>
    <n v="17.899999999999999"/>
    <n v="42.3"/>
    <n v="83429615"/>
  </r>
  <r>
    <x v="218"/>
    <x v="218"/>
    <x v="2"/>
    <x v="2559"/>
    <x v="32"/>
    <x v="1"/>
    <x v="725"/>
    <x v="117"/>
    <x v="2"/>
    <s v="United States"/>
    <m/>
    <x v="1"/>
    <s v="D"/>
    <x v="0"/>
    <d v="1966-06-29T00:00:00"/>
    <s v="Dageville"/>
    <s v="Benoit"/>
    <m/>
    <d v="2023-04-04T05:01:00"/>
    <s v="California"/>
    <s v="West"/>
    <n v="1966"/>
    <n v="117.24"/>
    <n v="7.5"/>
    <n v="21427700000000"/>
    <n v="88.2"/>
    <n v="101.8"/>
    <n v="9.6"/>
    <n v="36.6"/>
    <n v="328239523"/>
  </r>
  <r>
    <x v="218"/>
    <x v="218"/>
    <x v="11"/>
    <x v="2560"/>
    <x v="53"/>
    <x v="19"/>
    <x v="192"/>
    <x v="877"/>
    <x v="11"/>
    <s v="United Kingdom"/>
    <m/>
    <x v="1"/>
    <s v="D"/>
    <x v="0"/>
    <d v="1959-11-02T00:00:00"/>
    <s v="Dixon"/>
    <s v="Mark"/>
    <m/>
    <d v="2023-04-04T05:01:00"/>
    <m/>
    <m/>
    <n v="1959"/>
    <m/>
    <m/>
    <n v="7184844193"/>
    <m/>
    <m/>
    <m/>
    <m/>
    <n v="38964"/>
  </r>
  <r>
    <x v="218"/>
    <x v="218"/>
    <x v="2"/>
    <x v="2561"/>
    <x v="10"/>
    <x v="5"/>
    <x v="82"/>
    <x v="117"/>
    <x v="2"/>
    <s v="China"/>
    <m/>
    <x v="1"/>
    <s v="N"/>
    <x v="0"/>
    <d v="1972-08-01T00:00:00"/>
    <s v="Du"/>
    <s v="Yulin"/>
    <m/>
    <d v="2023-04-04T05:01:00"/>
    <m/>
    <m/>
    <n v="1972"/>
    <n v="125.08"/>
    <n v="2.9"/>
    <n v="19910000000000"/>
    <n v="50.6"/>
    <n v="100.2"/>
    <n v="9.4"/>
    <n v="59.2"/>
    <n v="1397715000"/>
  </r>
  <r>
    <x v="218"/>
    <x v="218"/>
    <x v="14"/>
    <x v="2562"/>
    <x v="17"/>
    <x v="5"/>
    <x v="19"/>
    <x v="83"/>
    <x v="14"/>
    <s v="China"/>
    <m/>
    <x v="1"/>
    <s v="D"/>
    <x v="1"/>
    <d v="1964-11-06T00:00:00"/>
    <s v="Feng"/>
    <s v="Yuxia"/>
    <m/>
    <d v="2023-04-04T05:01:00"/>
    <m/>
    <m/>
    <n v="1964"/>
    <n v="125.08"/>
    <n v="2.9"/>
    <n v="19910000000000"/>
    <n v="50.6"/>
    <n v="100.2"/>
    <n v="9.4"/>
    <n v="59.2"/>
    <n v="1397715000"/>
  </r>
  <r>
    <x v="218"/>
    <x v="218"/>
    <x v="14"/>
    <x v="2563"/>
    <x v="13"/>
    <x v="38"/>
    <x v="726"/>
    <x v="78"/>
    <x v="14"/>
    <s v="Denmark"/>
    <m/>
    <x v="0"/>
    <s v="D"/>
    <x v="1"/>
    <d v="1954-09-21T00:00:00"/>
    <s v="Find"/>
    <s v="Benedicte"/>
    <m/>
    <d v="2023-04-04T05:01:00"/>
    <m/>
    <m/>
    <n v="1954"/>
    <n v="110.35"/>
    <n v="0.8"/>
    <n v="348078018464"/>
    <n v="80.599999999999994"/>
    <n v="101.3"/>
    <n v="32.4"/>
    <n v="23.8"/>
    <n v="5818553"/>
  </r>
  <r>
    <x v="218"/>
    <x v="218"/>
    <x v="0"/>
    <x v="2564"/>
    <x v="37"/>
    <x v="1"/>
    <x v="120"/>
    <x v="528"/>
    <x v="0"/>
    <s v="United States"/>
    <s v="Gap Inc."/>
    <x v="0"/>
    <s v="D"/>
    <x v="0"/>
    <d v="1957-04-01T00:00:00"/>
    <s v="Fisher"/>
    <s v="William"/>
    <s v="Director"/>
    <d v="2023-04-04T05:01:00"/>
    <s v="California"/>
    <s v="West"/>
    <n v="1957"/>
    <n v="117.24"/>
    <n v="7.5"/>
    <n v="21427700000000"/>
    <n v="88.2"/>
    <n v="101.8"/>
    <n v="9.6"/>
    <n v="36.6"/>
    <n v="328239523"/>
  </r>
  <r>
    <x v="218"/>
    <x v="218"/>
    <x v="10"/>
    <x v="2565"/>
    <x v="32"/>
    <x v="5"/>
    <x v="26"/>
    <x v="878"/>
    <x v="10"/>
    <s v="China"/>
    <m/>
    <x v="1"/>
    <s v="D"/>
    <x v="0"/>
    <d v="1967-02-01T00:00:00"/>
    <s v="Gao"/>
    <s v="Yunfeng"/>
    <m/>
    <d v="2023-04-04T05:01:00"/>
    <m/>
    <m/>
    <n v="1967"/>
    <n v="125.08"/>
    <n v="2.9"/>
    <n v="19910000000000"/>
    <n v="50.6"/>
    <n v="100.2"/>
    <n v="9.4"/>
    <n v="59.2"/>
    <n v="1397715000"/>
  </r>
  <r>
    <x v="218"/>
    <x v="218"/>
    <x v="11"/>
    <x v="2566"/>
    <x v="15"/>
    <x v="5"/>
    <x v="198"/>
    <x v="36"/>
    <x v="11"/>
    <s v="China"/>
    <m/>
    <x v="1"/>
    <s v="D"/>
    <x v="0"/>
    <d v="1962-09-01T00:00:00"/>
    <s v="Geng"/>
    <s v="Jianming"/>
    <m/>
    <d v="2023-04-04T05:01:00"/>
    <m/>
    <m/>
    <n v="1962"/>
    <n v="125.08"/>
    <n v="2.9"/>
    <n v="19910000000000"/>
    <n v="50.6"/>
    <n v="100.2"/>
    <n v="9.4"/>
    <n v="59.2"/>
    <n v="1397715000"/>
  </r>
  <r>
    <x v="218"/>
    <x v="218"/>
    <x v="3"/>
    <x v="2567"/>
    <x v="55"/>
    <x v="21"/>
    <x v="69"/>
    <x v="285"/>
    <x v="3"/>
    <s v="Sweden"/>
    <m/>
    <x v="1"/>
    <s v="D"/>
    <x v="0"/>
    <d v="1943-11-30T00:00:00"/>
    <s v="Hagströmer"/>
    <s v="Sven"/>
    <m/>
    <d v="2023-04-04T05:01:00"/>
    <m/>
    <m/>
    <n v="1943"/>
    <n v="110.51"/>
    <n v="1.8"/>
    <n v="530832908738"/>
    <n v="67"/>
    <n v="126.6"/>
    <n v="27.9"/>
    <n v="49.1"/>
    <n v="10285453"/>
  </r>
  <r>
    <x v="218"/>
    <x v="218"/>
    <x v="15"/>
    <x v="2568"/>
    <x v="33"/>
    <x v="19"/>
    <x v="58"/>
    <x v="843"/>
    <x v="15"/>
    <s v="Cyprus"/>
    <m/>
    <x v="0"/>
    <s v="R"/>
    <x v="1"/>
    <d v="1971-01-01T00:00:00"/>
    <s v="Haji-Ioannou"/>
    <s v="Clelia"/>
    <m/>
    <d v="2023-04-04T05:01:00"/>
    <m/>
    <m/>
    <n v="1971"/>
    <m/>
    <m/>
    <n v="7184844193"/>
    <m/>
    <m/>
    <m/>
    <m/>
    <n v="38964"/>
  </r>
  <r>
    <x v="218"/>
    <x v="218"/>
    <x v="15"/>
    <x v="2569"/>
    <x v="32"/>
    <x v="19"/>
    <x v="58"/>
    <x v="843"/>
    <x v="15"/>
    <s v="Cyprus"/>
    <m/>
    <x v="0"/>
    <s v="D"/>
    <x v="0"/>
    <d v="1967-02-14T00:00:00"/>
    <s v="Haji-Ioannou"/>
    <s v="Stelios"/>
    <m/>
    <d v="2023-04-04T05:01:00"/>
    <m/>
    <m/>
    <n v="1967"/>
    <m/>
    <m/>
    <n v="7184844193"/>
    <m/>
    <m/>
    <m/>
    <m/>
    <n v="38964"/>
  </r>
  <r>
    <x v="218"/>
    <x v="218"/>
    <x v="10"/>
    <x v="2570"/>
    <x v="42"/>
    <x v="5"/>
    <x v="327"/>
    <x v="532"/>
    <x v="10"/>
    <s v="China"/>
    <m/>
    <x v="1"/>
    <s v="D"/>
    <x v="1"/>
    <d v="1968-01-01T00:00:00"/>
    <s v="Hang"/>
    <s v="Hong"/>
    <m/>
    <d v="2023-04-04T05:01:00"/>
    <m/>
    <m/>
    <n v="1968"/>
    <n v="125.08"/>
    <n v="2.9"/>
    <n v="19910000000000"/>
    <n v="50.6"/>
    <n v="100.2"/>
    <n v="9.4"/>
    <n v="59.2"/>
    <n v="1397715000"/>
  </r>
  <r>
    <x v="218"/>
    <x v="218"/>
    <x v="10"/>
    <x v="2571"/>
    <x v="37"/>
    <x v="5"/>
    <x v="90"/>
    <x v="108"/>
    <x v="10"/>
    <s v="China"/>
    <m/>
    <x v="1"/>
    <s v="D"/>
    <x v="0"/>
    <d v="1957-02-23T00:00:00"/>
    <s v="He"/>
    <s v="Yamin"/>
    <m/>
    <d v="2023-04-04T05:01:00"/>
    <m/>
    <m/>
    <n v="1957"/>
    <n v="125.08"/>
    <n v="2.9"/>
    <n v="19910000000000"/>
    <n v="50.6"/>
    <n v="100.2"/>
    <n v="9.4"/>
    <n v="59.2"/>
    <n v="1397715000"/>
  </r>
  <r>
    <x v="218"/>
    <x v="218"/>
    <x v="13"/>
    <x v="2572"/>
    <x v="55"/>
    <x v="15"/>
    <x v="42"/>
    <x v="43"/>
    <x v="13"/>
    <s v="Indonesia"/>
    <m/>
    <x v="0"/>
    <s v="N"/>
    <x v="1"/>
    <d v="1943-09-03T00:00:00"/>
    <s v="Hiang"/>
    <s v="Ghan Djoe"/>
    <m/>
    <d v="2023-04-04T05:01:00"/>
    <m/>
    <m/>
    <n v="1943"/>
    <n v="151.18"/>
    <n v="3"/>
    <n v="1119190780753"/>
    <n v="36.299999999999997"/>
    <n v="106.4"/>
    <n v="10.199999999999999"/>
    <n v="30.1"/>
    <n v="270203917"/>
  </r>
  <r>
    <x v="218"/>
    <x v="218"/>
    <x v="2"/>
    <x v="2573"/>
    <x v="62"/>
    <x v="5"/>
    <x v="19"/>
    <x v="123"/>
    <x v="2"/>
    <s v="China"/>
    <m/>
    <x v="1"/>
    <s v="D"/>
    <x v="0"/>
    <d v="1977-01-01T00:00:00"/>
    <s v="Hong"/>
    <s v="Feng"/>
    <m/>
    <d v="2023-04-04T05:01:00"/>
    <m/>
    <m/>
    <n v="1977"/>
    <n v="125.08"/>
    <n v="2.9"/>
    <n v="19910000000000"/>
    <n v="50.6"/>
    <n v="100.2"/>
    <n v="9.4"/>
    <n v="59.2"/>
    <n v="1397715000"/>
  </r>
  <r>
    <x v="218"/>
    <x v="218"/>
    <x v="0"/>
    <x v="2574"/>
    <x v="36"/>
    <x v="32"/>
    <x v="109"/>
    <x v="444"/>
    <x v="0"/>
    <s v="South Korea"/>
    <s v="BGF Co. Ltd."/>
    <x v="0"/>
    <s v="D"/>
    <x v="0"/>
    <d v="1953-01-08T00:00:00"/>
    <s v="Hong"/>
    <s v="Seok-joh"/>
    <m/>
    <d v="2023-04-04T05:01:00"/>
    <m/>
    <m/>
    <n v="1953"/>
    <n v="115.16"/>
    <n v="0.4"/>
    <n v="2029000000000"/>
    <n v="94.3"/>
    <n v="98.1"/>
    <n v="15.6"/>
    <n v="33.200000000000003"/>
    <n v="51709098"/>
  </r>
  <r>
    <x v="218"/>
    <x v="218"/>
    <x v="14"/>
    <x v="2575"/>
    <x v="2"/>
    <x v="5"/>
    <x v="34"/>
    <x v="879"/>
    <x v="14"/>
    <s v="China"/>
    <m/>
    <x v="1"/>
    <s v="R"/>
    <x v="0"/>
    <d v="1964-01-09T00:00:00"/>
    <s v="Hu"/>
    <s v="Gengxi"/>
    <m/>
    <d v="2023-04-04T05:01:00"/>
    <m/>
    <m/>
    <n v="1964"/>
    <n v="125.08"/>
    <n v="2.9"/>
    <n v="19910000000000"/>
    <n v="50.6"/>
    <n v="100.2"/>
    <n v="9.4"/>
    <n v="59.2"/>
    <n v="1397715000"/>
  </r>
  <r>
    <x v="218"/>
    <x v="218"/>
    <x v="2"/>
    <x v="2576"/>
    <x v="45"/>
    <x v="28"/>
    <x v="319"/>
    <x v="880"/>
    <x v="2"/>
    <s v="Italy"/>
    <m/>
    <x v="1"/>
    <s v="N"/>
    <x v="0"/>
    <d v="1978-04-02T00:00:00"/>
    <s v="Iervolino"/>
    <s v="Danilo"/>
    <m/>
    <d v="2023-04-04T05:01:00"/>
    <m/>
    <m/>
    <n v="1978"/>
    <n v="110.62"/>
    <n v="0.6"/>
    <n v="2001244392042"/>
    <n v="61.9"/>
    <n v="101.9"/>
    <n v="24.3"/>
    <n v="59.1"/>
    <n v="60297396"/>
  </r>
  <r>
    <x v="218"/>
    <x v="218"/>
    <x v="3"/>
    <x v="2577"/>
    <x v="13"/>
    <x v="7"/>
    <x v="338"/>
    <x v="38"/>
    <x v="3"/>
    <s v="Germany"/>
    <m/>
    <x v="1"/>
    <s v="D"/>
    <x v="1"/>
    <d v="1955-01-01T00:00:00"/>
    <s v="im Brahm-Droege"/>
    <s v="Hedda"/>
    <m/>
    <d v="2023-04-04T05:01:00"/>
    <m/>
    <m/>
    <n v="1955"/>
    <n v="112.85"/>
    <n v="1.4"/>
    <n v="3845630030824"/>
    <n v="70.2"/>
    <n v="104"/>
    <n v="11.5"/>
    <n v="48.8"/>
    <n v="83132799"/>
  </r>
  <r>
    <x v="218"/>
    <x v="218"/>
    <x v="10"/>
    <x v="2578"/>
    <x v="36"/>
    <x v="3"/>
    <x v="7"/>
    <x v="881"/>
    <x v="10"/>
    <s v="India"/>
    <m/>
    <x v="1"/>
    <s v="N"/>
    <x v="0"/>
    <d v="1953-03-29T00:00:00"/>
    <s v="Jaisinghani"/>
    <s v="Inder "/>
    <m/>
    <d v="2023-04-04T05:01:00"/>
    <m/>
    <m/>
    <n v="1953"/>
    <n v="180.44"/>
    <n v="7.7"/>
    <n v="2611000000000"/>
    <n v="28.1"/>
    <n v="113"/>
    <n v="11.2"/>
    <n v="49.7"/>
    <n v="1366417754"/>
  </r>
  <r>
    <x v="218"/>
    <x v="218"/>
    <x v="17"/>
    <x v="2579"/>
    <x v="14"/>
    <x v="1"/>
    <x v="115"/>
    <x v="882"/>
    <x v="17"/>
    <s v="United States"/>
    <s v="NBA"/>
    <x v="1"/>
    <s v="N"/>
    <x v="0"/>
    <d v="1984-12-30T00:00:00"/>
    <s v="James"/>
    <s v="LeBron"/>
    <s v="Athlete"/>
    <d v="2023-04-04T05:01:00"/>
    <s v="California"/>
    <s v="West"/>
    <n v="1984"/>
    <n v="117.24"/>
    <n v="7.5"/>
    <n v="21427700000000"/>
    <n v="88.2"/>
    <n v="101.8"/>
    <n v="9.6"/>
    <n v="36.6"/>
    <n v="328239523"/>
  </r>
  <r>
    <x v="218"/>
    <x v="218"/>
    <x v="0"/>
    <x v="2580"/>
    <x v="32"/>
    <x v="36"/>
    <x v="154"/>
    <x v="883"/>
    <x v="0"/>
    <s v="Norway"/>
    <m/>
    <x v="0"/>
    <s v="D"/>
    <x v="0"/>
    <d v="1967-01-01T00:00:00"/>
    <s v="Johannson"/>
    <s v="Johan"/>
    <m/>
    <d v="2023-04-04T05:01:00"/>
    <m/>
    <m/>
    <n v="1967"/>
    <n v="120.27"/>
    <n v="2.2000000000000002"/>
    <n v="403336363636"/>
    <n v="82"/>
    <n v="100.3"/>
    <n v="23.9"/>
    <n v="36.200000000000003"/>
    <n v="5347896"/>
  </r>
  <r>
    <x v="218"/>
    <x v="218"/>
    <x v="2"/>
    <x v="2581"/>
    <x v="46"/>
    <x v="27"/>
    <x v="727"/>
    <x v="117"/>
    <x v="2"/>
    <s v="Israel"/>
    <m/>
    <x v="1"/>
    <s v="E"/>
    <x v="0"/>
    <d v="1930-01-01T00:00:00"/>
    <s v="Kahn"/>
    <s v="Morris"/>
    <m/>
    <d v="2023-04-04T05:01:00"/>
    <m/>
    <m/>
    <n v="1930"/>
    <n v="108.15"/>
    <n v="0.8"/>
    <n v="395098666122"/>
    <n v="63.4"/>
    <n v="104.9"/>
    <n v="23.1"/>
    <n v="25.3"/>
    <n v="9053300"/>
  </r>
  <r>
    <x v="218"/>
    <x v="218"/>
    <x v="10"/>
    <x v="2582"/>
    <x v="43"/>
    <x v="3"/>
    <x v="41"/>
    <x v="884"/>
    <x v="10"/>
    <s v="India"/>
    <m/>
    <x v="1"/>
    <s v="R"/>
    <x v="0"/>
    <d v="1947-08-01T00:00:00"/>
    <s v="Kajaria"/>
    <s v="Ashok"/>
    <m/>
    <d v="2023-04-04T05:01:00"/>
    <m/>
    <m/>
    <n v="1947"/>
    <n v="180.44"/>
    <n v="7.7"/>
    <n v="2611000000000"/>
    <n v="28.1"/>
    <n v="113"/>
    <n v="11.2"/>
    <n v="49.7"/>
    <n v="1366417754"/>
  </r>
  <r>
    <x v="218"/>
    <x v="218"/>
    <x v="3"/>
    <x v="2583"/>
    <x v="52"/>
    <x v="30"/>
    <x v="99"/>
    <x v="75"/>
    <x v="3"/>
    <s v="Brazil"/>
    <m/>
    <x v="1"/>
    <s v="E"/>
    <x v="0"/>
    <d v="1969-10-15T00:00:00"/>
    <s v="Kalim"/>
    <s v="Marcelo"/>
    <m/>
    <d v="2023-04-04T05:01:00"/>
    <m/>
    <m/>
    <n v="1969"/>
    <n v="167.4"/>
    <n v="3.7"/>
    <n v="1839758040766"/>
    <n v="51.3"/>
    <n v="115.4"/>
    <n v="14.2"/>
    <n v="65.099999999999994"/>
    <n v="212559417"/>
  </r>
  <r>
    <x v="218"/>
    <x v="218"/>
    <x v="17"/>
    <x v="2584"/>
    <x v="55"/>
    <x v="1"/>
    <x v="359"/>
    <x v="885"/>
    <x v="17"/>
    <s v="United States"/>
    <m/>
    <x v="1"/>
    <s v="E"/>
    <x v="0"/>
    <d v="1943-09-02T00:00:00"/>
    <s v="Kendrick"/>
    <s v="Ken"/>
    <m/>
    <d v="2023-04-04T05:01:00"/>
    <s v="Arizona"/>
    <s v="West"/>
    <n v="1943"/>
    <n v="117.24"/>
    <n v="7.5"/>
    <n v="21427700000000"/>
    <n v="88.2"/>
    <n v="101.8"/>
    <n v="9.6"/>
    <n v="36.6"/>
    <n v="328239523"/>
  </r>
  <r>
    <x v="218"/>
    <x v="218"/>
    <x v="2"/>
    <x v="2585"/>
    <x v="52"/>
    <x v="1"/>
    <x v="54"/>
    <x v="259"/>
    <x v="2"/>
    <s v="United States"/>
    <m/>
    <x v="1"/>
    <s v="N"/>
    <x v="0"/>
    <d v="1969-10-27T00:00:00"/>
    <s v="Keywell"/>
    <s v="Brad"/>
    <m/>
    <d v="2023-04-04T05:01:00"/>
    <s v="Illinois"/>
    <s v="Midwest"/>
    <n v="1969"/>
    <n v="117.24"/>
    <n v="7.5"/>
    <n v="21427700000000"/>
    <n v="88.2"/>
    <n v="101.8"/>
    <n v="9.6"/>
    <n v="36.6"/>
    <n v="328239523"/>
  </r>
  <r>
    <x v="218"/>
    <x v="218"/>
    <x v="13"/>
    <x v="2586"/>
    <x v="13"/>
    <x v="25"/>
    <x v="76"/>
    <x v="886"/>
    <x v="13"/>
    <s v="Bangladesh"/>
    <m/>
    <x v="1"/>
    <s v="N"/>
    <x v="0"/>
    <d v="1955-03-01T00:00:00"/>
    <s v="Khan"/>
    <s v="Muhammed Aziz"/>
    <m/>
    <d v="2023-04-04T05:01:00"/>
    <m/>
    <m/>
    <n v="1955"/>
    <n v="114.41"/>
    <n v="0.6"/>
    <n v="372062527489"/>
    <n v="84.8"/>
    <n v="100.6"/>
    <n v="13.1"/>
    <n v="21"/>
    <n v="5703569"/>
  </r>
  <r>
    <x v="218"/>
    <x v="218"/>
    <x v="0"/>
    <x v="2587"/>
    <x v="65"/>
    <x v="32"/>
    <x v="109"/>
    <x v="427"/>
    <x v="0"/>
    <s v="South Korea"/>
    <m/>
    <x v="1"/>
    <s v="D"/>
    <x v="0"/>
    <d v="1975-01-01T00:00:00"/>
    <s v="Kim"/>
    <s v="Jung-woong"/>
    <m/>
    <d v="2023-04-04T05:01:00"/>
    <m/>
    <m/>
    <n v="1975"/>
    <n v="115.16"/>
    <n v="0.4"/>
    <n v="2029000000000"/>
    <n v="94.3"/>
    <n v="98.1"/>
    <n v="15.6"/>
    <n v="33.200000000000003"/>
    <n v="51709098"/>
  </r>
  <r>
    <x v="218"/>
    <x v="218"/>
    <x v="6"/>
    <x v="2588"/>
    <x v="15"/>
    <x v="44"/>
    <x v="504"/>
    <x v="618"/>
    <x v="6"/>
    <s v="Israel"/>
    <m/>
    <x v="1"/>
    <s v="E"/>
    <x v="0"/>
    <d v="1963-02-13T00:00:00"/>
    <s v="Kolomoyskyy"/>
    <s v="Ihor"/>
    <m/>
    <d v="2023-04-04T05:01:00"/>
    <m/>
    <m/>
    <n v="1963"/>
    <n v="281.66000000000003"/>
    <n v="7.9"/>
    <n v="153781069118"/>
    <n v="82.7"/>
    <n v="99"/>
    <n v="20.100000000000001"/>
    <n v="45.2"/>
    <n v="44385155"/>
  </r>
  <r>
    <x v="218"/>
    <x v="218"/>
    <x v="11"/>
    <x v="2589"/>
    <x v="42"/>
    <x v="5"/>
    <x v="82"/>
    <x v="36"/>
    <x v="11"/>
    <s v="China"/>
    <m/>
    <x v="1"/>
    <s v="D"/>
    <x v="0"/>
    <d v="1968-01-01T00:00:00"/>
    <s v="Kong"/>
    <s v="Jian Min"/>
    <m/>
    <d v="2023-04-04T05:01:00"/>
    <m/>
    <m/>
    <n v="1968"/>
    <n v="125.08"/>
    <n v="2.9"/>
    <n v="19910000000000"/>
    <n v="50.6"/>
    <n v="100.2"/>
    <n v="9.4"/>
    <n v="59.2"/>
    <n v="1397715000"/>
  </r>
  <r>
    <x v="218"/>
    <x v="218"/>
    <x v="10"/>
    <x v="2590"/>
    <x v="0"/>
    <x v="32"/>
    <x v="109"/>
    <x v="172"/>
    <x v="10"/>
    <s v="South Korea"/>
    <s v="Heesung Electronics"/>
    <x v="0"/>
    <s v="D"/>
    <x v="0"/>
    <d v="1949-03-26T00:00:00"/>
    <s v="Koo"/>
    <s v="Bon-neung"/>
    <m/>
    <d v="2023-04-04T05:01:00"/>
    <m/>
    <m/>
    <n v="1949"/>
    <n v="115.16"/>
    <n v="0.4"/>
    <n v="2029000000000"/>
    <n v="94.3"/>
    <n v="98.1"/>
    <n v="15.6"/>
    <n v="33.200000000000003"/>
    <n v="51709098"/>
  </r>
  <r>
    <x v="218"/>
    <x v="218"/>
    <x v="11"/>
    <x v="2591"/>
    <x v="3"/>
    <x v="25"/>
    <x v="76"/>
    <x v="368"/>
    <x v="11"/>
    <s v="Singapore"/>
    <m/>
    <x v="1"/>
    <s v="N"/>
    <x v="0"/>
    <d v="1945-01-01T00:00:00"/>
    <s v="Kum"/>
    <s v="Michael"/>
    <m/>
    <d v="2023-04-04T05:01:00"/>
    <m/>
    <m/>
    <n v="1945"/>
    <n v="114.41"/>
    <n v="0.6"/>
    <n v="372062527489"/>
    <n v="84.8"/>
    <n v="100.6"/>
    <n v="13.1"/>
    <n v="21"/>
    <n v="5703569"/>
  </r>
  <r>
    <x v="218"/>
    <x v="218"/>
    <x v="11"/>
    <x v="2592"/>
    <x v="26"/>
    <x v="1"/>
    <x v="43"/>
    <x v="36"/>
    <x v="11"/>
    <s v="United States"/>
    <m/>
    <x v="1"/>
    <s v="N"/>
    <x v="0"/>
    <d v="1940-05-15T00:00:00"/>
    <s v="Kurtz"/>
    <s v="Richard"/>
    <m/>
    <d v="2023-04-04T05:01:00"/>
    <s v="Florida"/>
    <s v="South"/>
    <n v="1940"/>
    <n v="117.24"/>
    <n v="7.5"/>
    <n v="21427700000000"/>
    <n v="88.2"/>
    <n v="101.8"/>
    <n v="9.6"/>
    <n v="36.6"/>
    <n v="328239523"/>
  </r>
  <r>
    <x v="218"/>
    <x v="218"/>
    <x v="3"/>
    <x v="2593"/>
    <x v="41"/>
    <x v="17"/>
    <x v="48"/>
    <x v="168"/>
    <x v="3"/>
    <s v="Russia"/>
    <m/>
    <x v="1"/>
    <s v="R"/>
    <x v="0"/>
    <d v="1965-08-27T00:00:00"/>
    <s v="Kvetnoi"/>
    <s v="Lev"/>
    <m/>
    <d v="2023-04-04T05:01:00"/>
    <m/>
    <m/>
    <n v="1965"/>
    <n v="180.75"/>
    <n v="4.5"/>
    <n v="1699876578871"/>
    <n v="81.900000000000006"/>
    <n v="102.6"/>
    <n v="11.4"/>
    <n v="46.2"/>
    <n v="144373535"/>
  </r>
  <r>
    <x v="218"/>
    <x v="218"/>
    <x v="3"/>
    <x v="2594"/>
    <x v="16"/>
    <x v="29"/>
    <x v="728"/>
    <x v="75"/>
    <x v="3"/>
    <s v="South Africa"/>
    <m/>
    <x v="1"/>
    <s v="D"/>
    <x v="0"/>
    <d v="1949-05-20T00:00:00"/>
    <s v="Le Roux"/>
    <s v="Michiel"/>
    <m/>
    <d v="2023-04-04T05:01:00"/>
    <m/>
    <m/>
    <n v="1949"/>
    <n v="158.93"/>
    <n v="4.0999999999999996"/>
    <n v="351431649241"/>
    <n v="22.4"/>
    <n v="100.9"/>
    <n v="27.5"/>
    <n v="29.2"/>
    <n v="58558270"/>
  </r>
  <r>
    <x v="218"/>
    <x v="218"/>
    <x v="2"/>
    <x v="2595"/>
    <x v="45"/>
    <x v="5"/>
    <x v="19"/>
    <x v="123"/>
    <x v="2"/>
    <s v="China"/>
    <m/>
    <x v="1"/>
    <s v="D"/>
    <x v="0"/>
    <d v="1977-08-01T00:00:00"/>
    <s v="Li"/>
    <s v="Wanqiang"/>
    <m/>
    <d v="2023-04-04T05:01:00"/>
    <m/>
    <m/>
    <n v="1977"/>
    <n v="125.08"/>
    <n v="2.9"/>
    <n v="19910000000000"/>
    <n v="50.6"/>
    <n v="100.2"/>
    <n v="9.4"/>
    <n v="59.2"/>
    <n v="1397715000"/>
  </r>
  <r>
    <x v="218"/>
    <x v="218"/>
    <x v="0"/>
    <x v="2596"/>
    <x v="9"/>
    <x v="5"/>
    <x v="269"/>
    <x v="308"/>
    <x v="0"/>
    <s v="China"/>
    <m/>
    <x v="1"/>
    <s v="E"/>
    <x v="0"/>
    <d v="1953-06-01T00:00:00"/>
    <s v="Liu"/>
    <s v="Baolin"/>
    <m/>
    <d v="2023-04-04T05:01:00"/>
    <m/>
    <m/>
    <n v="1953"/>
    <n v="125.08"/>
    <n v="2.9"/>
    <n v="19910000000000"/>
    <n v="50.6"/>
    <n v="100.2"/>
    <n v="9.4"/>
    <n v="59.2"/>
    <n v="1397715000"/>
  </r>
  <r>
    <x v="218"/>
    <x v="218"/>
    <x v="14"/>
    <x v="2597"/>
    <x v="0"/>
    <x v="25"/>
    <x v="76"/>
    <x v="291"/>
    <x v="14"/>
    <s v="Singapore"/>
    <m/>
    <x v="1"/>
    <s v="N"/>
    <x v="0"/>
    <d v="1949-02-27T00:00:00"/>
    <s v="Loo"/>
    <s v="Choon Yong"/>
    <m/>
    <d v="2023-04-04T05:01:00"/>
    <m/>
    <m/>
    <n v="1949"/>
    <n v="114.41"/>
    <n v="0.6"/>
    <n v="372062527489"/>
    <n v="84.8"/>
    <n v="100.6"/>
    <n v="13.1"/>
    <n v="21"/>
    <n v="5703569"/>
  </r>
  <r>
    <x v="218"/>
    <x v="218"/>
    <x v="2"/>
    <x v="2598"/>
    <x v="2"/>
    <x v="5"/>
    <x v="34"/>
    <x v="172"/>
    <x v="2"/>
    <s v="China"/>
    <m/>
    <x v="1"/>
    <s v="D"/>
    <x v="0"/>
    <d v="1963-07-26T00:00:00"/>
    <s v="Lu"/>
    <s v="Yonghua"/>
    <m/>
    <d v="2023-04-04T05:01:00"/>
    <m/>
    <m/>
    <n v="1963"/>
    <n v="125.08"/>
    <n v="2.9"/>
    <n v="19910000000000"/>
    <n v="50.6"/>
    <n v="100.2"/>
    <n v="9.4"/>
    <n v="59.2"/>
    <n v="1397715000"/>
  </r>
  <r>
    <x v="218"/>
    <x v="218"/>
    <x v="10"/>
    <x v="2599"/>
    <x v="33"/>
    <x v="5"/>
    <x v="34"/>
    <x v="887"/>
    <x v="10"/>
    <s v="China"/>
    <m/>
    <x v="1"/>
    <s v="D"/>
    <x v="1"/>
    <d v="1971-01-07T00:00:00"/>
    <s v="Ma"/>
    <s v="Xiuhui"/>
    <m/>
    <d v="2023-04-04T05:01:00"/>
    <m/>
    <m/>
    <n v="1971"/>
    <n v="125.08"/>
    <n v="2.9"/>
    <n v="19910000000000"/>
    <n v="50.6"/>
    <n v="100.2"/>
    <n v="9.4"/>
    <n v="59.2"/>
    <n v="1397715000"/>
  </r>
  <r>
    <x v="218"/>
    <x v="218"/>
    <x v="2"/>
    <x v="2600"/>
    <x v="39"/>
    <x v="1"/>
    <x v="120"/>
    <x v="888"/>
    <x v="2"/>
    <s v="Canada"/>
    <s v="Instacart"/>
    <x v="1"/>
    <s v="D"/>
    <x v="0"/>
    <d v="1986-07-19T00:00:00"/>
    <s v="Mehta"/>
    <s v="Apoorva"/>
    <s v="Founder"/>
    <d v="2023-04-04T05:01:00"/>
    <s v="California"/>
    <s v="West"/>
    <n v="1986"/>
    <n v="117.24"/>
    <n v="7.5"/>
    <n v="21427700000000"/>
    <n v="88.2"/>
    <n v="101.8"/>
    <n v="9.6"/>
    <n v="36.6"/>
    <n v="328239523"/>
  </r>
  <r>
    <x v="218"/>
    <x v="218"/>
    <x v="10"/>
    <x v="2601"/>
    <x v="44"/>
    <x v="7"/>
    <x v="729"/>
    <x v="579"/>
    <x v="10"/>
    <s v="Germany"/>
    <m/>
    <x v="0"/>
    <s v="D"/>
    <x v="1"/>
    <m/>
    <s v="Meister"/>
    <s v="Gabriella"/>
    <m/>
    <d v="2023-04-04T05:01:00"/>
    <m/>
    <m/>
    <m/>
    <n v="112.85"/>
    <n v="1.4"/>
    <n v="3845630030824"/>
    <n v="70.2"/>
    <n v="104"/>
    <n v="11.5"/>
    <n v="48.8"/>
    <n v="83132799"/>
  </r>
  <r>
    <x v="218"/>
    <x v="218"/>
    <x v="10"/>
    <x v="2602"/>
    <x v="32"/>
    <x v="7"/>
    <x v="730"/>
    <x v="579"/>
    <x v="10"/>
    <s v="Germany"/>
    <m/>
    <x v="0"/>
    <s v="D"/>
    <x v="1"/>
    <d v="1967-03-13T00:00:00"/>
    <s v="Meister"/>
    <s v="Ulrike"/>
    <m/>
    <d v="2023-04-04T05:01:00"/>
    <m/>
    <m/>
    <n v="1967"/>
    <n v="112.85"/>
    <n v="1.4"/>
    <n v="3845630030824"/>
    <n v="70.2"/>
    <n v="104"/>
    <n v="11.5"/>
    <n v="48.8"/>
    <n v="83132799"/>
  </r>
  <r>
    <x v="218"/>
    <x v="218"/>
    <x v="16"/>
    <x v="2603"/>
    <x v="1"/>
    <x v="17"/>
    <x v="48"/>
    <x v="460"/>
    <x v="16"/>
    <s v="Russia"/>
    <m/>
    <x v="1"/>
    <s v="R"/>
    <x v="0"/>
    <d v="1971-09-24T00:00:00"/>
    <s v="Molchanov"/>
    <s v="Andrei"/>
    <m/>
    <d v="2023-04-04T05:01:00"/>
    <m/>
    <m/>
    <n v="1971"/>
    <n v="180.75"/>
    <n v="4.5"/>
    <n v="1699876578871"/>
    <n v="81.900000000000006"/>
    <n v="102.6"/>
    <n v="11.4"/>
    <n v="46.2"/>
    <n v="144373535"/>
  </r>
  <r>
    <x v="218"/>
    <x v="218"/>
    <x v="10"/>
    <x v="2604"/>
    <x v="3"/>
    <x v="28"/>
    <x v="731"/>
    <x v="889"/>
    <x v="10"/>
    <s v="Italy"/>
    <m/>
    <x v="1"/>
    <s v="N"/>
    <x v="0"/>
    <d v="1944-10-22T00:00:00"/>
    <s v="Montipò"/>
    <s v="Fulvio"/>
    <m/>
    <d v="2023-04-04T05:01:00"/>
    <m/>
    <m/>
    <n v="1944"/>
    <n v="110.62"/>
    <n v="0.6"/>
    <n v="2001244392042"/>
    <n v="61.9"/>
    <n v="101.9"/>
    <n v="24.3"/>
    <n v="59.1"/>
    <n v="60297396"/>
  </r>
  <r>
    <x v="218"/>
    <x v="218"/>
    <x v="3"/>
    <x v="2605"/>
    <x v="22"/>
    <x v="22"/>
    <x v="25"/>
    <x v="224"/>
    <x v="3"/>
    <s v="Panama"/>
    <m/>
    <x v="0"/>
    <s v="N"/>
    <x v="0"/>
    <d v="1945-06-15T00:00:00"/>
    <s v="Motta"/>
    <s v="Stanley"/>
    <m/>
    <d v="2023-04-04T05:01:00"/>
    <m/>
    <m/>
    <n v="1945"/>
    <m/>
    <m/>
    <m/>
    <m/>
    <m/>
    <m/>
    <m/>
    <m/>
  </r>
  <r>
    <x v="218"/>
    <x v="218"/>
    <x v="4"/>
    <x v="2606"/>
    <x v="52"/>
    <x v="1"/>
    <x v="139"/>
    <x v="890"/>
    <x v="4"/>
    <s v="United States"/>
    <s v="Television"/>
    <x v="1"/>
    <s v="E"/>
    <x v="0"/>
    <d v="1969-09-14T00:00:00"/>
    <s v="Perry"/>
    <s v="Tyler"/>
    <s v="Director"/>
    <d v="2023-04-04T05:01:00"/>
    <s v="Georgia"/>
    <s v="South"/>
    <n v="1969"/>
    <n v="117.24"/>
    <n v="7.5"/>
    <n v="21427700000000"/>
    <n v="88.2"/>
    <n v="101.8"/>
    <n v="9.6"/>
    <n v="36.6"/>
    <n v="328239523"/>
  </r>
  <r>
    <x v="218"/>
    <x v="218"/>
    <x v="0"/>
    <x v="2607"/>
    <x v="44"/>
    <x v="6"/>
    <x v="446"/>
    <x v="444"/>
    <x v="0"/>
    <s v="Canada"/>
    <m/>
    <x v="1"/>
    <s v="N"/>
    <x v="0"/>
    <m/>
    <s v="Plourde"/>
    <s v="Réal"/>
    <m/>
    <d v="2023-04-04T05:01:00"/>
    <m/>
    <m/>
    <m/>
    <n v="116.76"/>
    <n v="1.9"/>
    <n v="1736425629520"/>
    <n v="68.900000000000006"/>
    <n v="100.9"/>
    <n v="12.8"/>
    <n v="24.5"/>
    <n v="36991981"/>
  </r>
  <r>
    <x v="218"/>
    <x v="218"/>
    <x v="7"/>
    <x v="2608"/>
    <x v="0"/>
    <x v="56"/>
    <x v="25"/>
    <x v="82"/>
    <x v="7"/>
    <s v="Brazil"/>
    <m/>
    <x v="0"/>
    <s v="E"/>
    <x v="1"/>
    <d v="1948-12-26T00:00:00"/>
    <s v="Rechulski Santo Domingo"/>
    <s v="Vera"/>
    <m/>
    <d v="2023-04-04T05:01:00"/>
    <m/>
    <m/>
    <n v="1948"/>
    <m/>
    <m/>
    <m/>
    <m/>
    <m/>
    <m/>
    <m/>
    <m/>
  </r>
  <r>
    <x v="218"/>
    <x v="218"/>
    <x v="13"/>
    <x v="2609"/>
    <x v="31"/>
    <x v="1"/>
    <x v="53"/>
    <x v="678"/>
    <x v="13"/>
    <s v="United States"/>
    <m/>
    <x v="1"/>
    <s v="D"/>
    <x v="0"/>
    <d v="1946-06-03T00:00:00"/>
    <s v="Sakellaris"/>
    <s v="George"/>
    <m/>
    <d v="2023-04-04T05:01:00"/>
    <s v="Massachusetts"/>
    <s v="Northeast"/>
    <n v="1946"/>
    <n v="117.24"/>
    <n v="7.5"/>
    <n v="21427700000000"/>
    <n v="88.2"/>
    <n v="101.8"/>
    <n v="9.6"/>
    <n v="36.6"/>
    <n v="328239523"/>
  </r>
  <r>
    <x v="218"/>
    <x v="218"/>
    <x v="4"/>
    <x v="2610"/>
    <x v="9"/>
    <x v="15"/>
    <x v="42"/>
    <x v="891"/>
    <x v="4"/>
    <s v="Indonesia"/>
    <m/>
    <x v="1"/>
    <s v="D"/>
    <x v="0"/>
    <d v="1953-08-23T00:00:00"/>
    <s v="Sariaatmadja"/>
    <s v="Eddy Kusnadi"/>
    <m/>
    <d v="2023-04-04T05:01:00"/>
    <m/>
    <m/>
    <n v="1953"/>
    <n v="151.18"/>
    <n v="3"/>
    <n v="1119190780753"/>
    <n v="36.299999999999997"/>
    <n v="106.4"/>
    <n v="10.199999999999999"/>
    <n v="30.1"/>
    <n v="270203917"/>
  </r>
  <r>
    <x v="218"/>
    <x v="218"/>
    <x v="2"/>
    <x v="2611"/>
    <x v="13"/>
    <x v="1"/>
    <x v="602"/>
    <x v="892"/>
    <x v="2"/>
    <s v="United States"/>
    <m/>
    <x v="1"/>
    <s v="E"/>
    <x v="1"/>
    <d v="1955-01-16T00:00:00"/>
    <s v="Sethi"/>
    <s v="Neerja"/>
    <m/>
    <d v="2023-04-04T05:01:00"/>
    <s v="Florida"/>
    <s v="South"/>
    <n v="1955"/>
    <n v="117.24"/>
    <n v="7.5"/>
    <n v="21427700000000"/>
    <n v="88.2"/>
    <n v="101.8"/>
    <n v="9.6"/>
    <n v="36.6"/>
    <n v="328239523"/>
  </r>
  <r>
    <x v="218"/>
    <x v="218"/>
    <x v="2"/>
    <x v="2612"/>
    <x v="16"/>
    <x v="1"/>
    <x v="588"/>
    <x v="645"/>
    <x v="2"/>
    <s v="United States"/>
    <m/>
    <x v="1"/>
    <s v="D"/>
    <x v="0"/>
    <d v="1949-04-12T00:00:00"/>
    <s v="Smith"/>
    <s v="Scott"/>
    <m/>
    <d v="2023-04-04T05:01:00"/>
    <s v="Utah"/>
    <s v="West"/>
    <n v="1949"/>
    <n v="117.24"/>
    <n v="7.5"/>
    <n v="21427700000000"/>
    <n v="88.2"/>
    <n v="101.8"/>
    <n v="9.6"/>
    <n v="36.6"/>
    <n v="328239523"/>
  </r>
  <r>
    <x v="218"/>
    <x v="218"/>
    <x v="15"/>
    <x v="2613"/>
    <x v="15"/>
    <x v="36"/>
    <x v="154"/>
    <x v="368"/>
    <x v="15"/>
    <s v="Norway"/>
    <m/>
    <x v="1"/>
    <s v="D"/>
    <x v="0"/>
    <d v="1962-11-29T00:00:00"/>
    <s v="Stordalen"/>
    <s v="Petter"/>
    <m/>
    <d v="2023-04-04T05:01:00"/>
    <m/>
    <m/>
    <n v="1962"/>
    <n v="120.27"/>
    <n v="2.2000000000000002"/>
    <n v="403336363636"/>
    <n v="82"/>
    <n v="100.3"/>
    <n v="23.9"/>
    <n v="36.200000000000003"/>
    <n v="5347896"/>
  </r>
  <r>
    <x v="218"/>
    <x v="218"/>
    <x v="6"/>
    <x v="2614"/>
    <x v="52"/>
    <x v="17"/>
    <x v="48"/>
    <x v="893"/>
    <x v="6"/>
    <s v="Russia"/>
    <m/>
    <x v="1"/>
    <s v="N"/>
    <x v="0"/>
    <d v="1969-10-02T00:00:00"/>
    <s v="Streshinsky"/>
    <s v="Ivan"/>
    <m/>
    <d v="2023-04-04T05:01:00"/>
    <m/>
    <m/>
    <n v="1969"/>
    <n v="180.75"/>
    <n v="4.5"/>
    <n v="1699876578871"/>
    <n v="81.900000000000006"/>
    <n v="102.6"/>
    <n v="11.4"/>
    <n v="46.2"/>
    <n v="144373535"/>
  </r>
  <r>
    <x v="218"/>
    <x v="218"/>
    <x v="3"/>
    <x v="2615"/>
    <x v="1"/>
    <x v="17"/>
    <x v="48"/>
    <x v="894"/>
    <x v="3"/>
    <s v="Russia"/>
    <m/>
    <x v="1"/>
    <s v="R"/>
    <x v="0"/>
    <d v="1971-05-12T00:00:00"/>
    <s v="Sudarikov"/>
    <s v="Sergei"/>
    <m/>
    <d v="2023-04-04T05:01:00"/>
    <m/>
    <m/>
    <n v="1971"/>
    <n v="180.75"/>
    <n v="4.5"/>
    <n v="1699876578871"/>
    <n v="81.900000000000006"/>
    <n v="102.6"/>
    <n v="11.4"/>
    <n v="46.2"/>
    <n v="144373535"/>
  </r>
  <r>
    <x v="218"/>
    <x v="218"/>
    <x v="10"/>
    <x v="2616"/>
    <x v="36"/>
    <x v="15"/>
    <x v="537"/>
    <x v="89"/>
    <x v="10"/>
    <s v="Indonesia"/>
    <m/>
    <x v="0"/>
    <s v="Split Family Fortune"/>
    <x v="0"/>
    <d v="1952-08-28T00:00:00"/>
    <s v="Tanoko"/>
    <s v="Wijono"/>
    <m/>
    <d v="2023-04-04T05:01:00"/>
    <m/>
    <m/>
    <n v="1952"/>
    <n v="151.18"/>
    <n v="3"/>
    <n v="1119190780753"/>
    <n v="36.299999999999997"/>
    <n v="106.4"/>
    <n v="10.199999999999999"/>
    <n v="30.1"/>
    <n v="270203917"/>
  </r>
  <r>
    <x v="218"/>
    <x v="218"/>
    <x v="10"/>
    <x v="2617"/>
    <x v="2"/>
    <x v="15"/>
    <x v="42"/>
    <x v="108"/>
    <x v="10"/>
    <s v="Indonesia"/>
    <m/>
    <x v="0"/>
    <s v="N"/>
    <x v="0"/>
    <d v="1963-04-30T00:00:00"/>
    <s v="Tjiptodihardjo"/>
    <s v="Haryanto"/>
    <m/>
    <d v="2023-04-04T05:01:00"/>
    <m/>
    <m/>
    <n v="1963"/>
    <n v="151.18"/>
    <n v="3"/>
    <n v="1119190780753"/>
    <n v="36.299999999999997"/>
    <n v="106.4"/>
    <n v="10.199999999999999"/>
    <n v="30.1"/>
    <n v="270203917"/>
  </r>
  <r>
    <x v="218"/>
    <x v="218"/>
    <x v="7"/>
    <x v="2618"/>
    <x v="22"/>
    <x v="1"/>
    <x v="732"/>
    <x v="895"/>
    <x v="7"/>
    <s v="United States"/>
    <m/>
    <x v="1"/>
    <s v="N"/>
    <x v="0"/>
    <d v="1945-11-19T00:00:00"/>
    <s v="Tran"/>
    <s v="David"/>
    <m/>
    <d v="2023-04-04T05:01:00"/>
    <s v="California"/>
    <s v="West"/>
    <n v="1945"/>
    <n v="117.24"/>
    <n v="7.5"/>
    <n v="21427700000000"/>
    <n v="88.2"/>
    <n v="101.8"/>
    <n v="9.6"/>
    <n v="36.6"/>
    <n v="328239523"/>
  </r>
  <r>
    <x v="218"/>
    <x v="218"/>
    <x v="4"/>
    <x v="2619"/>
    <x v="26"/>
    <x v="12"/>
    <x v="55"/>
    <x v="281"/>
    <x v="4"/>
    <s v="Japan"/>
    <m/>
    <x v="1"/>
    <s v="N"/>
    <x v="0"/>
    <d v="1940-12-15T00:00:00"/>
    <s v="Tsujimoto"/>
    <s v="Kenzo"/>
    <m/>
    <d v="2023-04-04T05:01:00"/>
    <m/>
    <m/>
    <n v="1940"/>
    <n v="105.48"/>
    <n v="0.5"/>
    <n v="5081769542380"/>
    <n v="63.2"/>
    <n v="98.8"/>
    <n v="11.9"/>
    <n v="46.7"/>
    <n v="126226568"/>
  </r>
  <r>
    <x v="218"/>
    <x v="218"/>
    <x v="5"/>
    <x v="2620"/>
    <x v="43"/>
    <x v="47"/>
    <x v="228"/>
    <x v="7"/>
    <x v="5"/>
    <s v="Turkey"/>
    <m/>
    <x v="1"/>
    <s v="D"/>
    <x v="0"/>
    <d v="1947-11-14T00:00:00"/>
    <s v="Vargi"/>
    <s v="Murat"/>
    <m/>
    <d v="2023-04-04T05:01:00"/>
    <m/>
    <m/>
    <n v="1947"/>
    <n v="234.44"/>
    <n v="15.2"/>
    <n v="754411708203"/>
    <n v="23.9"/>
    <n v="93.2"/>
    <n v="17.899999999999999"/>
    <n v="42.3"/>
    <n v="83429615"/>
  </r>
  <r>
    <x v="218"/>
    <x v="218"/>
    <x v="2"/>
    <x v="2621"/>
    <x v="36"/>
    <x v="12"/>
    <x v="733"/>
    <x v="117"/>
    <x v="2"/>
    <s v="Japan"/>
    <m/>
    <x v="1"/>
    <s v="E"/>
    <x v="0"/>
    <d v="1952-08-30T00:00:00"/>
    <s v="Wada"/>
    <s v="Shigefumi"/>
    <m/>
    <d v="2023-04-04T05:01:00"/>
    <m/>
    <m/>
    <n v="1952"/>
    <n v="105.48"/>
    <n v="0.5"/>
    <n v="5081769542380"/>
    <n v="63.2"/>
    <n v="98.8"/>
    <n v="11.9"/>
    <n v="46.7"/>
    <n v="126226568"/>
  </r>
  <r>
    <x v="218"/>
    <x v="218"/>
    <x v="14"/>
    <x v="2622"/>
    <x v="23"/>
    <x v="5"/>
    <x v="26"/>
    <x v="191"/>
    <x v="14"/>
    <s v="China"/>
    <m/>
    <x v="1"/>
    <s v="R"/>
    <x v="0"/>
    <d v="1969-01-01T00:00:00"/>
    <s v="Wan"/>
    <s v="Feng"/>
    <m/>
    <d v="2023-04-04T05:01:00"/>
    <m/>
    <m/>
    <n v="1969"/>
    <n v="125.08"/>
    <n v="2.9"/>
    <n v="19910000000000"/>
    <n v="50.6"/>
    <n v="100.2"/>
    <n v="9.4"/>
    <n v="59.2"/>
    <n v="1397715000"/>
  </r>
  <r>
    <x v="218"/>
    <x v="218"/>
    <x v="1"/>
    <x v="2623"/>
    <x v="52"/>
    <x v="5"/>
    <x v="114"/>
    <x v="101"/>
    <x v="1"/>
    <s v="China"/>
    <m/>
    <x v="1"/>
    <s v="D"/>
    <x v="0"/>
    <m/>
    <s v="Wang"/>
    <s v="Jianfeng"/>
    <m/>
    <d v="2023-04-04T05:01:00"/>
    <m/>
    <m/>
    <m/>
    <n v="125.08"/>
    <n v="2.9"/>
    <n v="19910000000000"/>
    <n v="50.6"/>
    <n v="100.2"/>
    <n v="9.4"/>
    <n v="59.2"/>
    <n v="1397715000"/>
  </r>
  <r>
    <x v="218"/>
    <x v="218"/>
    <x v="8"/>
    <x v="2624"/>
    <x v="22"/>
    <x v="22"/>
    <x v="25"/>
    <x v="361"/>
    <x v="8"/>
    <s v="Japan"/>
    <m/>
    <x v="1"/>
    <s v="R"/>
    <x v="0"/>
    <d v="1945-05-23T00:00:00"/>
    <s v="Wasami"/>
    <s v="Masaru"/>
    <m/>
    <d v="2023-04-04T05:01:00"/>
    <m/>
    <m/>
    <n v="1945"/>
    <m/>
    <m/>
    <m/>
    <m/>
    <m/>
    <m/>
    <m/>
    <m/>
  </r>
  <r>
    <x v="218"/>
    <x v="218"/>
    <x v="3"/>
    <x v="2625"/>
    <x v="25"/>
    <x v="6"/>
    <x v="16"/>
    <x v="661"/>
    <x v="3"/>
    <s v="Canada"/>
    <m/>
    <x v="1"/>
    <s v="R"/>
    <x v="0"/>
    <d v="1950-08-05T00:00:00"/>
    <s v="Watsa"/>
    <s v="V. Prem"/>
    <m/>
    <d v="2023-04-04T05:01:00"/>
    <m/>
    <m/>
    <n v="1950"/>
    <n v="116.76"/>
    <n v="1.9"/>
    <n v="1736425629520"/>
    <n v="68.900000000000006"/>
    <n v="100.9"/>
    <n v="12.8"/>
    <n v="24.5"/>
    <n v="36991981"/>
  </r>
  <r>
    <x v="218"/>
    <x v="218"/>
    <x v="7"/>
    <x v="2626"/>
    <x v="15"/>
    <x v="5"/>
    <x v="734"/>
    <x v="105"/>
    <x v="7"/>
    <s v="China"/>
    <m/>
    <x v="1"/>
    <s v="D"/>
    <x v="0"/>
    <d v="1962-10-08T00:00:00"/>
    <s v="Wen"/>
    <s v="Pengcheng"/>
    <m/>
    <d v="2023-04-04T05:01:00"/>
    <m/>
    <m/>
    <n v="1962"/>
    <n v="125.08"/>
    <n v="2.9"/>
    <n v="19910000000000"/>
    <n v="50.6"/>
    <n v="100.2"/>
    <n v="9.4"/>
    <n v="59.2"/>
    <n v="1397715000"/>
  </r>
  <r>
    <x v="218"/>
    <x v="218"/>
    <x v="17"/>
    <x v="2627"/>
    <x v="1"/>
    <x v="19"/>
    <x v="25"/>
    <x v="333"/>
    <x v="17"/>
    <s v="Austria"/>
    <m/>
    <x v="1"/>
    <s v="N"/>
    <x v="0"/>
    <d v="1972-01-12T00:00:00"/>
    <s v="Wolff"/>
    <s v="Toto"/>
    <m/>
    <d v="2023-04-04T05:01:00"/>
    <m/>
    <m/>
    <n v="1972"/>
    <m/>
    <m/>
    <n v="7184844193"/>
    <m/>
    <m/>
    <m/>
    <m/>
    <n v="38964"/>
  </r>
  <r>
    <x v="218"/>
    <x v="218"/>
    <x v="10"/>
    <x v="2628"/>
    <x v="66"/>
    <x v="22"/>
    <x v="25"/>
    <x v="242"/>
    <x v="10"/>
    <s v="Germany"/>
    <m/>
    <x v="0"/>
    <s v="D"/>
    <x v="1"/>
    <d v="1988-03-21T00:00:00"/>
    <s v="Wuerbser"/>
    <s v="Franziska"/>
    <m/>
    <d v="2023-04-04T05:01:00"/>
    <m/>
    <m/>
    <n v="1988"/>
    <m/>
    <m/>
    <m/>
    <m/>
    <m/>
    <m/>
    <m/>
    <m/>
  </r>
  <r>
    <x v="218"/>
    <x v="218"/>
    <x v="0"/>
    <x v="2629"/>
    <x v="23"/>
    <x v="5"/>
    <x v="82"/>
    <x v="185"/>
    <x v="0"/>
    <s v="China"/>
    <m/>
    <x v="1"/>
    <s v="N"/>
    <x v="0"/>
    <d v="1969-01-01T00:00:00"/>
    <s v="Xie"/>
    <s v="Bingzheng"/>
    <m/>
    <d v="2023-04-04T05:01:00"/>
    <m/>
    <m/>
    <n v="1969"/>
    <n v="125.08"/>
    <n v="2.9"/>
    <n v="19910000000000"/>
    <n v="50.6"/>
    <n v="100.2"/>
    <n v="9.4"/>
    <n v="59.2"/>
    <n v="1397715000"/>
  </r>
  <r>
    <x v="218"/>
    <x v="218"/>
    <x v="10"/>
    <x v="2630"/>
    <x v="2"/>
    <x v="5"/>
    <x v="640"/>
    <x v="50"/>
    <x v="10"/>
    <s v="China"/>
    <m/>
    <x v="1"/>
    <s v="D"/>
    <x v="0"/>
    <d v="1963-04-17T00:00:00"/>
    <s v="Xu"/>
    <s v="Gang"/>
    <m/>
    <d v="2023-04-04T05:01:00"/>
    <m/>
    <m/>
    <n v="1963"/>
    <n v="125.08"/>
    <n v="2.9"/>
    <n v="19910000000000"/>
    <n v="50.6"/>
    <n v="100.2"/>
    <n v="9.4"/>
    <n v="59.2"/>
    <n v="1397715000"/>
  </r>
  <r>
    <x v="218"/>
    <x v="218"/>
    <x v="10"/>
    <x v="2631"/>
    <x v="52"/>
    <x v="5"/>
    <x v="735"/>
    <x v="108"/>
    <x v="10"/>
    <s v="China"/>
    <m/>
    <x v="1"/>
    <s v="D"/>
    <x v="0"/>
    <d v="1969-07-17T00:00:00"/>
    <s v="Yan"/>
    <s v="Junxu"/>
    <m/>
    <d v="2023-04-04T05:01:00"/>
    <m/>
    <m/>
    <n v="1969"/>
    <n v="125.08"/>
    <n v="2.9"/>
    <n v="19910000000000"/>
    <n v="50.6"/>
    <n v="100.2"/>
    <n v="9.4"/>
    <n v="59.2"/>
    <n v="1397715000"/>
  </r>
  <r>
    <x v="218"/>
    <x v="218"/>
    <x v="14"/>
    <x v="2632"/>
    <x v="53"/>
    <x v="5"/>
    <x v="82"/>
    <x v="83"/>
    <x v="14"/>
    <s v="China"/>
    <m/>
    <x v="1"/>
    <s v="D"/>
    <x v="0"/>
    <d v="1959-05-01T00:00:00"/>
    <s v="Yi"/>
    <s v="Xianzhong"/>
    <m/>
    <d v="2023-04-04T05:01:00"/>
    <m/>
    <m/>
    <n v="1959"/>
    <n v="125.08"/>
    <n v="2.9"/>
    <n v="19910000000000"/>
    <n v="50.6"/>
    <n v="100.2"/>
    <n v="9.4"/>
    <n v="59.2"/>
    <n v="1397715000"/>
  </r>
  <r>
    <x v="218"/>
    <x v="218"/>
    <x v="14"/>
    <x v="2633"/>
    <x v="1"/>
    <x v="5"/>
    <x v="34"/>
    <x v="896"/>
    <x v="14"/>
    <s v="China"/>
    <m/>
    <x v="1"/>
    <s v="D"/>
    <x v="0"/>
    <d v="1971-12-14T00:00:00"/>
    <s v="Yu"/>
    <s v="Rong"/>
    <m/>
    <d v="2023-04-04T05:01:00"/>
    <m/>
    <m/>
    <n v="1971"/>
    <n v="125.08"/>
    <n v="2.9"/>
    <n v="19910000000000"/>
    <n v="50.6"/>
    <n v="100.2"/>
    <n v="9.4"/>
    <n v="59.2"/>
    <n v="1397715000"/>
  </r>
  <r>
    <x v="218"/>
    <x v="218"/>
    <x v="7"/>
    <x v="2634"/>
    <x v="35"/>
    <x v="1"/>
    <x v="736"/>
    <x v="82"/>
    <x v="7"/>
    <s v="United States"/>
    <m/>
    <x v="0"/>
    <s v="E"/>
    <x v="0"/>
    <d v="1943-03-10T00:00:00"/>
    <s v="Yuengling"/>
    <s v="Richard"/>
    <m/>
    <d v="2023-04-04T05:01:00"/>
    <s v="Pennsylvania"/>
    <s v="Northeast"/>
    <n v="1943"/>
    <n v="117.24"/>
    <n v="7.5"/>
    <n v="21427700000000"/>
    <n v="88.2"/>
    <n v="101.8"/>
    <n v="9.6"/>
    <n v="36.6"/>
    <n v="328239523"/>
  </r>
  <r>
    <x v="218"/>
    <x v="218"/>
    <x v="10"/>
    <x v="2635"/>
    <x v="15"/>
    <x v="5"/>
    <x v="737"/>
    <x v="897"/>
    <x v="10"/>
    <s v="China"/>
    <m/>
    <x v="1"/>
    <s v="R"/>
    <x v="0"/>
    <d v="1962-12-18T00:00:00"/>
    <s v="Zhang"/>
    <s v="Gongyun"/>
    <m/>
    <d v="2023-04-04T05:01:00"/>
    <m/>
    <m/>
    <n v="1962"/>
    <n v="125.08"/>
    <n v="2.9"/>
    <n v="19910000000000"/>
    <n v="50.6"/>
    <n v="100.2"/>
    <n v="9.4"/>
    <n v="59.2"/>
    <n v="1397715000"/>
  </r>
  <r>
    <x v="218"/>
    <x v="218"/>
    <x v="11"/>
    <x v="2636"/>
    <x v="48"/>
    <x v="5"/>
    <x v="454"/>
    <x v="36"/>
    <x v="11"/>
    <s v="China"/>
    <m/>
    <x v="1"/>
    <s v="D"/>
    <x v="0"/>
    <d v="1951-08-21T00:00:00"/>
    <s v="Zhang"/>
    <s v="Guiping"/>
    <m/>
    <d v="2023-04-04T05:01:00"/>
    <m/>
    <m/>
    <n v="1951"/>
    <n v="125.08"/>
    <n v="2.9"/>
    <n v="19910000000000"/>
    <n v="50.6"/>
    <n v="100.2"/>
    <n v="9.4"/>
    <n v="59.2"/>
    <n v="1397715000"/>
  </r>
  <r>
    <x v="218"/>
    <x v="218"/>
    <x v="6"/>
    <x v="2637"/>
    <x v="37"/>
    <x v="34"/>
    <x v="738"/>
    <x v="8"/>
    <x v="6"/>
    <s v="Philippines"/>
    <m/>
    <x v="0"/>
    <s v="R"/>
    <x v="0"/>
    <d v="1956-11-01T00:00:00"/>
    <s v="Zobel"/>
    <s v="Inigo"/>
    <m/>
    <d v="2023-04-04T05:01:00"/>
    <m/>
    <m/>
    <n v="1956"/>
    <n v="129.61000000000001"/>
    <n v="2.5"/>
    <n v="376795508680"/>
    <n v="35.5"/>
    <n v="107.5"/>
    <n v="14"/>
    <n v="43.1"/>
    <n v="108116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6EFD02-B2FA-42FB-8D98-51ED203E5F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F1:G83" firstHeaderRow="1" firstDataRow="1" firstDataCol="1"/>
  <pivotFields count="31">
    <pivotField showAll="0"/>
    <pivotField dataField="1" showAll="0" sortType="ascending">
      <items count="220">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sortType="descending">
      <items count="81">
        <item sd="0" x="44"/>
        <item sd="0" x="78"/>
        <item sd="0" x="49"/>
        <item sd="0" x="73"/>
        <item sd="0" x="77"/>
        <item sd="0" x="61"/>
        <item sd="0" x="28"/>
        <item sd="0" x="21"/>
        <item sd="0" x="46"/>
        <item sd="0" x="4"/>
        <item sd="0" x="56"/>
        <item sd="0" x="40"/>
        <item sd="0" x="58"/>
        <item sd="0" x="50"/>
        <item sd="0" x="11"/>
        <item sd="0" x="20"/>
        <item sd="0" x="18"/>
        <item sd="0" x="30"/>
        <item sd="0" x="7"/>
        <item sd="0" x="26"/>
        <item sd="0" x="6"/>
        <item sd="0" x="35"/>
        <item sd="0" x="55"/>
        <item sd="0" x="3"/>
        <item sd="0" x="22"/>
        <item sd="0" x="31"/>
        <item sd="0" x="43"/>
        <item sd="0" x="0"/>
        <item sd="0" x="16"/>
        <item sd="0" x="25"/>
        <item sd="0" x="48"/>
        <item sd="0" x="36"/>
        <item sd="0" x="9"/>
        <item sd="0" x="13"/>
        <item sd="0" x="5"/>
        <item sd="0" x="37"/>
        <item sd="0" x="8"/>
        <item sd="0" x="29"/>
        <item sd="0" x="53"/>
        <item sd="0" x="34"/>
        <item sd="0" x="38"/>
        <item sd="0" x="15"/>
        <item sd="0" x="2"/>
        <item sd="0" x="17"/>
        <item sd="0" x="41"/>
        <item sd="0" x="32"/>
        <item sd="0" x="42"/>
        <item sd="0" x="23"/>
        <item sd="0" x="52"/>
        <item sd="0" x="33"/>
        <item sd="0" x="1"/>
        <item sd="0" x="10"/>
        <item sd="0" x="12"/>
        <item sd="0" x="65"/>
        <item sd="0" x="47"/>
        <item sd="0" x="62"/>
        <item sd="0" x="45"/>
        <item sd="0" x="54"/>
        <item sd="0" x="27"/>
        <item sd="0" x="57"/>
        <item sd="0" x="51"/>
        <item sd="0" x="60"/>
        <item sd="0" x="19"/>
        <item sd="0" x="14"/>
        <item sd="0" x="59"/>
        <item sd="0" x="39"/>
        <item sd="0" x="66"/>
        <item sd="0" x="64"/>
        <item sd="0" x="67"/>
        <item sd="0" x="63"/>
        <item sd="0" x="71"/>
        <item sd="0" x="24"/>
        <item sd="0" x="72"/>
        <item sd="0" x="79"/>
        <item sd="0" x="69"/>
        <item sd="0" x="76"/>
        <item sd="0" x="70"/>
        <item sd="0" x="74"/>
        <item sd="0" x="75"/>
        <item sd="0" x="68"/>
        <item t="default" sd="0"/>
      </items>
      <autoSortScope>
        <pivotArea dataOnly="0" outline="0" fieldPosition="0">
          <references count="1">
            <reference field="4294967294" count="1" selected="0">
              <x v="0"/>
            </reference>
          </references>
        </pivotArea>
      </autoSortScope>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s>
  <rowFields count="2">
    <field x="30"/>
    <field x="4"/>
  </rowFields>
  <rowItems count="82">
    <i>
      <x/>
    </i>
    <i r="1">
      <x v="27"/>
    </i>
    <i r="1">
      <x v="34"/>
    </i>
    <i r="1">
      <x v="36"/>
    </i>
    <i r="1">
      <x v="42"/>
    </i>
    <i r="1">
      <x v="43"/>
    </i>
    <i r="1">
      <x v="23"/>
    </i>
    <i r="1">
      <x v="41"/>
    </i>
    <i r="1">
      <x v="50"/>
    </i>
    <i r="1">
      <x v="18"/>
    </i>
    <i r="1">
      <x v="29"/>
    </i>
    <i r="1">
      <x v="32"/>
    </i>
    <i r="1">
      <x v="33"/>
    </i>
    <i r="1">
      <x v="28"/>
    </i>
    <i r="1">
      <x v="24"/>
    </i>
    <i r="1">
      <x v="14"/>
    </i>
    <i r="1">
      <x v="20"/>
    </i>
    <i r="1">
      <x v="46"/>
    </i>
    <i r="1">
      <x v="44"/>
    </i>
    <i r="1">
      <x v="40"/>
    </i>
    <i r="1">
      <x v="35"/>
    </i>
    <i r="1">
      <x v="30"/>
    </i>
    <i r="1">
      <x v="47"/>
    </i>
    <i r="1">
      <x v="31"/>
    </i>
    <i r="1">
      <x v="45"/>
    </i>
    <i r="1">
      <x v="16"/>
    </i>
    <i r="1">
      <x v="37"/>
    </i>
    <i r="1">
      <x v="26"/>
    </i>
    <i r="1">
      <x v="21"/>
    </i>
    <i r="1">
      <x v="49"/>
    </i>
    <i r="1">
      <x v="51"/>
    </i>
    <i r="1">
      <x v="25"/>
    </i>
    <i r="1">
      <x v="39"/>
    </i>
    <i r="1">
      <x v="19"/>
    </i>
    <i r="1">
      <x v="38"/>
    </i>
    <i r="1">
      <x v="48"/>
    </i>
    <i r="1">
      <x v="52"/>
    </i>
    <i r="1">
      <x v="22"/>
    </i>
    <i r="1">
      <x/>
    </i>
    <i r="1">
      <x v="9"/>
    </i>
    <i r="1">
      <x v="17"/>
    </i>
    <i r="1">
      <x v="15"/>
    </i>
    <i r="1">
      <x v="7"/>
    </i>
    <i r="1">
      <x v="54"/>
    </i>
    <i r="1">
      <x v="11"/>
    </i>
    <i r="1">
      <x v="63"/>
    </i>
    <i r="1">
      <x v="58"/>
    </i>
    <i r="1">
      <x v="13"/>
    </i>
    <i r="1">
      <x v="60"/>
    </i>
    <i r="1">
      <x v="62"/>
    </i>
    <i r="1">
      <x v="56"/>
    </i>
    <i r="1">
      <x v="6"/>
    </i>
    <i r="1">
      <x v="55"/>
    </i>
    <i r="1">
      <x v="8"/>
    </i>
    <i r="1">
      <x v="10"/>
    </i>
    <i r="1">
      <x v="12"/>
    </i>
    <i r="1">
      <x v="53"/>
    </i>
    <i r="1">
      <x v="71"/>
    </i>
    <i r="1">
      <x v="57"/>
    </i>
    <i r="1">
      <x v="61"/>
    </i>
    <i r="1">
      <x v="65"/>
    </i>
    <i r="1">
      <x v="59"/>
    </i>
    <i r="1">
      <x v="64"/>
    </i>
    <i r="1">
      <x v="2"/>
    </i>
    <i r="1">
      <x v="67"/>
    </i>
    <i r="1">
      <x v="5"/>
    </i>
    <i r="1">
      <x v="66"/>
    </i>
    <i r="1">
      <x v="69"/>
    </i>
    <i r="1">
      <x v="68"/>
    </i>
    <i r="1">
      <x v="4"/>
    </i>
    <i r="1">
      <x v="76"/>
    </i>
    <i r="1">
      <x v="74"/>
    </i>
    <i r="1">
      <x v="3"/>
    </i>
    <i r="1">
      <x v="79"/>
    </i>
    <i r="1">
      <x v="75"/>
    </i>
    <i r="1">
      <x v="70"/>
    </i>
    <i r="1">
      <x v="72"/>
    </i>
    <i r="1">
      <x v="77"/>
    </i>
    <i r="1">
      <x v="78"/>
    </i>
    <i r="1">
      <x v="1"/>
    </i>
    <i r="1">
      <x v="73"/>
    </i>
    <i t="grand">
      <x/>
    </i>
  </rowItems>
  <colItems count="1">
    <i/>
  </colItems>
  <dataFields count="1">
    <dataField name="Sum of Net Worth" fld="1" baseField="30" baseItem="0" numFmtId="170"/>
  </dataFields>
  <formats count="5">
    <format dxfId="4">
      <pivotArea outline="0" collapsedLevelsAreSubtotals="1" fieldPosition="0"/>
    </format>
    <format dxfId="3">
      <pivotArea dataOnly="0" labelOnly="1" outline="0" axis="axisValues" fieldPosition="0"/>
    </format>
    <format dxfId="2">
      <pivotArea dataOnly="0" labelOnly="1" fieldPosition="0">
        <references count="1">
          <reference field="4" count="50">
            <x v="0"/>
            <x v="7"/>
            <x v="9"/>
            <x v="11"/>
            <x v="13"/>
            <x v="14"/>
            <x v="15"/>
            <x v="16"/>
            <x v="17"/>
            <x v="18"/>
            <x v="19"/>
            <x v="20"/>
            <x v="21"/>
            <x v="22"/>
            <x v="23"/>
            <x v="24"/>
            <x v="25"/>
            <x v="26"/>
            <x v="27"/>
            <x v="28"/>
            <x v="29"/>
            <x v="30"/>
            <x v="31"/>
            <x v="32"/>
            <x v="33"/>
            <x v="34"/>
            <x v="35"/>
            <x v="36"/>
            <x v="37"/>
            <x v="38"/>
            <x v="39"/>
            <x v="40"/>
            <x v="41"/>
            <x v="42"/>
            <x v="43"/>
            <x v="44"/>
            <x v="45"/>
            <x v="46"/>
            <x v="47"/>
            <x v="48"/>
            <x v="49"/>
            <x v="50"/>
            <x v="51"/>
            <x v="52"/>
            <x v="54"/>
            <x v="56"/>
            <x v="58"/>
            <x v="60"/>
            <x v="62"/>
            <x v="63"/>
          </reference>
        </references>
      </pivotArea>
    </format>
    <format dxfId="1">
      <pivotArea dataOnly="0" labelOnly="1" fieldPosition="0">
        <references count="1">
          <reference field="4" count="30">
            <x v="1"/>
            <x v="2"/>
            <x v="3"/>
            <x v="4"/>
            <x v="5"/>
            <x v="6"/>
            <x v="8"/>
            <x v="10"/>
            <x v="12"/>
            <x v="53"/>
            <x v="55"/>
            <x v="57"/>
            <x v="59"/>
            <x v="61"/>
            <x v="64"/>
            <x v="65"/>
            <x v="66"/>
            <x v="67"/>
            <x v="68"/>
            <x v="69"/>
            <x v="70"/>
            <x v="71"/>
            <x v="72"/>
            <x v="73"/>
            <x v="74"/>
            <x v="75"/>
            <x v="76"/>
            <x v="77"/>
            <x v="78"/>
            <x v="79"/>
          </reference>
        </references>
      </pivotArea>
    </format>
    <format dxfId="0">
      <pivotArea outline="0" fieldPosition="0">
        <references count="1">
          <reference field="4294967294" count="1">
            <x v="0"/>
          </reference>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24885-23E9-4AC4-9C30-8EF467FD01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I43:I44" firstHeaderRow="1" firstDataRow="1" firstDataCol="0"/>
  <pivotFields count="31">
    <pivotField showAll="0"/>
    <pivotField dataField="1" showAll="0" sortType="ascending"/>
    <pivotField showAll="0"/>
    <pivotField showAll="0">
      <items count="2639">
        <item x="2131"/>
        <item x="1272"/>
        <item x="981"/>
        <item x="250"/>
        <item x="1118"/>
        <item x="2359"/>
        <item x="2406"/>
        <item x="71"/>
        <item x="1277"/>
        <item x="855"/>
        <item x="1187"/>
        <item x="1399"/>
        <item x="1077"/>
        <item x="1687"/>
        <item x="2487"/>
        <item x="962"/>
        <item x="379"/>
        <item x="1917"/>
        <item x="2101"/>
        <item x="1619"/>
        <item x="1012"/>
        <item x="890"/>
        <item x="1085"/>
        <item x="427"/>
        <item x="407"/>
        <item x="1787"/>
        <item x="40"/>
        <item x="1928"/>
        <item x="795"/>
        <item x="2330"/>
        <item x="1709"/>
        <item x="1886"/>
        <item x="1722"/>
        <item x="1369"/>
        <item x="2229"/>
        <item x="2020"/>
        <item x="1027"/>
        <item x="2154"/>
        <item x="1773"/>
        <item x="1347"/>
        <item x="1352"/>
        <item x="1235"/>
        <item x="1237"/>
        <item x="343"/>
        <item x="1654"/>
        <item x="1203"/>
        <item x="1567"/>
        <item x="859"/>
        <item x="1433"/>
        <item x="1810"/>
        <item x="1410"/>
        <item x="424"/>
        <item x="1122"/>
        <item x="536"/>
        <item x="2182"/>
        <item x="2309"/>
        <item x="1545"/>
        <item x="1484"/>
        <item x="216"/>
        <item x="1201"/>
        <item x="2356"/>
        <item x="1154"/>
        <item x="1499"/>
        <item x="1908"/>
        <item x="1588"/>
        <item x="546"/>
        <item x="510"/>
        <item x="1742"/>
        <item x="400"/>
        <item x="78"/>
        <item x="1057"/>
        <item x="1761"/>
        <item x="1282"/>
        <item x="737"/>
        <item x="2115"/>
        <item x="1825"/>
        <item x="2042"/>
        <item x="582"/>
        <item x="2036"/>
        <item x="2464"/>
        <item x="1409"/>
        <item x="20"/>
        <item x="1186"/>
        <item x="124"/>
        <item x="121"/>
        <item x="2516"/>
        <item x="1543"/>
        <item x="12"/>
        <item x="2026"/>
        <item x="1983"/>
        <item x="861"/>
        <item x="1724"/>
        <item x="1528"/>
        <item x="1719"/>
        <item x="1922"/>
        <item x="2544"/>
        <item x="1438"/>
        <item x="2157"/>
        <item x="1477"/>
        <item x="2106"/>
        <item x="515"/>
        <item x="2135"/>
        <item x="2072"/>
        <item x="1700"/>
        <item x="313"/>
        <item x="583"/>
        <item x="596"/>
        <item x="438"/>
        <item x="1862"/>
        <item x="148"/>
        <item x="237"/>
        <item x="1113"/>
        <item x="189"/>
        <item x="2468"/>
        <item x="643"/>
        <item x="1466"/>
        <item x="2603"/>
        <item x="2345"/>
        <item x="273"/>
        <item x="678"/>
        <item x="1867"/>
        <item x="169"/>
        <item x="1226"/>
        <item x="291"/>
        <item x="81"/>
        <item x="1261"/>
        <item x="1517"/>
        <item x="57"/>
        <item x="1371"/>
        <item x="1913"/>
        <item x="1135"/>
        <item x="1645"/>
        <item x="239"/>
        <item x="1211"/>
        <item x="2540"/>
        <item x="2159"/>
        <item x="1111"/>
        <item x="1971"/>
        <item x="2114"/>
        <item x="392"/>
        <item x="404"/>
        <item x="2147"/>
        <item x="2295"/>
        <item x="1848"/>
        <item x="154"/>
        <item x="780"/>
        <item x="217"/>
        <item x="1889"/>
        <item x="208"/>
        <item x="911"/>
        <item x="2353"/>
        <item x="2488"/>
        <item x="439"/>
        <item x="2019"/>
        <item x="685"/>
        <item x="1515"/>
        <item x="2175"/>
        <item x="2600"/>
        <item x="470"/>
        <item x="1939"/>
        <item x="928"/>
        <item x="839"/>
        <item x="2511"/>
        <item x="889"/>
        <item x="1299"/>
        <item x="2191"/>
        <item x="1465"/>
        <item x="298"/>
        <item x="316"/>
        <item x="447"/>
        <item x="692"/>
        <item x="907"/>
        <item x="2470"/>
        <item x="1056"/>
        <item x="1262"/>
        <item x="2582"/>
        <item x="335"/>
        <item x="2278"/>
        <item x="1748"/>
        <item x="2348"/>
        <item x="1878"/>
        <item x="1345"/>
        <item x="721"/>
        <item x="181"/>
        <item x="2335"/>
        <item x="1990"/>
        <item x="2158"/>
        <item x="2041"/>
        <item x="211"/>
        <item x="1905"/>
        <item x="1604"/>
        <item x="1241"/>
        <item x="1459"/>
        <item x="1809"/>
        <item x="2267"/>
        <item x="2292"/>
        <item x="1705"/>
        <item x="1728"/>
        <item x="2141"/>
        <item x="1912"/>
        <item x="1501"/>
        <item x="749"/>
        <item x="516"/>
        <item x="606"/>
        <item x="850"/>
        <item x="1987"/>
        <item x="108"/>
        <item x="791"/>
        <item x="1443"/>
        <item x="636"/>
        <item x="1163"/>
        <item x="699"/>
        <item x="2289"/>
        <item x="1984"/>
        <item x="2563"/>
        <item x="1089"/>
        <item x="1693"/>
        <item x="881"/>
        <item x="2347"/>
        <item x="2559"/>
        <item x="311"/>
        <item x="0"/>
        <item x="568"/>
        <item x="1034"/>
        <item x="1281"/>
        <item x="2065"/>
        <item x="262"/>
        <item x="713"/>
        <item x="2439"/>
        <item x="2269"/>
        <item x="590"/>
        <item x="959"/>
        <item x="1557"/>
        <item x="1924"/>
        <item x="1554"/>
        <item x="557"/>
        <item x="1217"/>
        <item x="879"/>
        <item x="5"/>
        <item x="1831"/>
        <item x="1238"/>
        <item x="1544"/>
        <item x="2022"/>
        <item x="1656"/>
        <item x="243"/>
        <item x="2200"/>
        <item x="2116"/>
        <item x="1448"/>
        <item x="792"/>
        <item x="867"/>
        <item x="1251"/>
        <item x="1330"/>
        <item x="2096"/>
        <item x="2130"/>
        <item x="770"/>
        <item x="1243"/>
        <item x="2585"/>
        <item x="2073"/>
        <item x="1372"/>
        <item x="1271"/>
        <item x="1368"/>
        <item x="205"/>
        <item x="1669"/>
        <item x="1779"/>
        <item x="1440"/>
        <item x="1119"/>
        <item x="1329"/>
        <item x="386"/>
        <item x="1962"/>
        <item x="1887"/>
        <item x="910"/>
        <item x="383"/>
        <item x="1158"/>
        <item x="1594"/>
        <item x="1263"/>
        <item x="1197"/>
        <item x="987"/>
        <item x="2416"/>
        <item x="1813"/>
        <item x="2027"/>
        <item x="436"/>
        <item x="2146"/>
        <item x="1646"/>
        <item x="2382"/>
        <item x="1439"/>
        <item x="1521"/>
        <item x="2417"/>
        <item x="1028"/>
        <item x="289"/>
        <item x="2321"/>
        <item x="396"/>
        <item x="171"/>
        <item x="1733"/>
        <item x="1179"/>
        <item x="738"/>
        <item x="94"/>
        <item x="900"/>
        <item x="584"/>
        <item x="235"/>
        <item x="1000"/>
        <item x="1979"/>
        <item x="2099"/>
        <item x="7"/>
        <item x="2429"/>
        <item x="2002"/>
        <item x="1600"/>
        <item x="228"/>
        <item x="2466"/>
        <item x="2205"/>
        <item x="994"/>
        <item x="1288"/>
        <item x="1171"/>
        <item x="1407"/>
        <item x="563"/>
        <item x="660"/>
        <item x="989"/>
        <item x="757"/>
        <item x="2148"/>
        <item x="2420"/>
        <item x="1919"/>
        <item x="2548"/>
        <item x="168"/>
        <item x="1317"/>
        <item x="118"/>
        <item x="524"/>
        <item x="1222"/>
        <item x="299"/>
        <item x="767"/>
        <item x="592"/>
        <item x="955"/>
        <item x="914"/>
        <item x="16"/>
        <item x="1398"/>
        <item x="212"/>
        <item x="519"/>
        <item x="876"/>
        <item x="1640"/>
        <item x="2105"/>
        <item x="2202"/>
        <item x="117"/>
        <item x="238"/>
        <item x="2457"/>
        <item x="127"/>
        <item x="2421"/>
        <item x="724"/>
        <item x="661"/>
        <item x="2549"/>
        <item x="229"/>
        <item x="1374"/>
        <item x="1731"/>
        <item x="909"/>
        <item x="1069"/>
        <item x="1584"/>
        <item x="880"/>
        <item x="2551"/>
        <item x="1276"/>
        <item x="1814"/>
        <item x="2029"/>
        <item x="2273"/>
        <item x="2150"/>
        <item x="1375"/>
        <item x="2425"/>
        <item x="2151"/>
        <item x="1815"/>
        <item x="1173"/>
        <item x="1585"/>
        <item x="2554"/>
        <item x="2426"/>
        <item x="2274"/>
        <item x="511"/>
        <item x="1225"/>
        <item x="1101"/>
        <item x="1816"/>
        <item x="1441"/>
        <item x="2152"/>
        <item x="2371"/>
        <item x="549"/>
        <item x="2134"/>
        <item x="858"/>
        <item x="2427"/>
        <item x="948"/>
        <item x="1070"/>
        <item x="2032"/>
        <item x="1391"/>
        <item x="1881"/>
        <item x="2538"/>
        <item x="1811"/>
        <item x="629"/>
        <item x="2450"/>
        <item x="1470"/>
        <item x="1152"/>
        <item x="2310"/>
        <item x="2044"/>
        <item x="1365"/>
        <item x="1667"/>
        <item x="365"/>
        <item x="1757"/>
        <item x="1980"/>
        <item x="177"/>
        <item x="1920"/>
        <item x="1319"/>
        <item x="2030"/>
        <item x="1642"/>
        <item x="1386"/>
        <item x="2275"/>
        <item x="822"/>
        <item x="1339"/>
        <item x="1431"/>
        <item x="2568"/>
        <item x="2238"/>
        <item x="823"/>
        <item x="806"/>
        <item x="1807"/>
        <item x="446"/>
        <item x="1550"/>
        <item x="44"/>
        <item x="2178"/>
        <item x="1546"/>
        <item x="2445"/>
        <item x="1547"/>
        <item x="67"/>
        <item x="1661"/>
        <item x="553"/>
        <item x="384"/>
        <item x="472"/>
        <item x="2291"/>
        <item x="706"/>
        <item x="1142"/>
        <item x="562"/>
        <item x="1885"/>
        <item x="141"/>
        <item x="1442"/>
        <item x="821"/>
        <item x="1824"/>
        <item x="1323"/>
        <item x="2434"/>
        <item x="91"/>
        <item x="2045"/>
        <item x="209"/>
        <item x="834"/>
        <item x="1475"/>
        <item x="966"/>
        <item x="778"/>
        <item x="1294"/>
        <item x="1062"/>
        <item x="652"/>
        <item x="451"/>
        <item x="679"/>
        <item x="2576"/>
        <item x="2264"/>
        <item x="351"/>
        <item x="2276"/>
        <item x="642"/>
        <item x="1166"/>
        <item x="1576"/>
        <item x="389"/>
        <item x="1729"/>
        <item x="214"/>
        <item x="172"/>
        <item x="2287"/>
        <item x="915"/>
        <item x="1597"/>
        <item x="283"/>
        <item x="2443"/>
        <item x="116"/>
        <item x="2452"/>
        <item x="1836"/>
        <item x="2305"/>
        <item x="1612"/>
        <item x="2077"/>
        <item x="1686"/>
        <item x="1342"/>
        <item x="1343"/>
        <item x="2089"/>
        <item x="1974"/>
        <item x="393"/>
        <item x="932"/>
        <item x="272"/>
        <item x="360"/>
        <item x="434"/>
        <item x="378"/>
        <item x="2001"/>
        <item x="89"/>
        <item x="21"/>
        <item x="2618"/>
        <item x="619"/>
        <item x="1305"/>
        <item x="1425"/>
        <item x="1799"/>
        <item x="2497"/>
        <item x="2078"/>
        <item x="1177"/>
        <item x="951"/>
        <item x="2430"/>
        <item x="1140"/>
        <item x="2231"/>
        <item x="353"/>
        <item x="532"/>
        <item x="2223"/>
        <item x="1454"/>
        <item x="403"/>
        <item x="1376"/>
        <item x="2228"/>
        <item x="664"/>
        <item x="115"/>
        <item x="2351"/>
        <item x="2230"/>
        <item x="130"/>
        <item x="1535"/>
        <item x="1662"/>
        <item x="2277"/>
        <item x="1207"/>
        <item x="26"/>
        <item x="611"/>
        <item x="111"/>
        <item x="2107"/>
        <item x="645"/>
        <item x="300"/>
        <item x="268"/>
        <item x="2280"/>
        <item x="838"/>
        <item x="452"/>
        <item x="675"/>
        <item x="332"/>
        <item x="1185"/>
        <item x="1081"/>
        <item x="2485"/>
        <item x="1777"/>
        <item x="401"/>
        <item x="1444"/>
        <item x="1608"/>
        <item x="319"/>
        <item x="342"/>
        <item x="535"/>
        <item x="96"/>
        <item x="2440"/>
        <item x="1040"/>
        <item x="163"/>
        <item x="694"/>
        <item x="1264"/>
        <item x="1592"/>
        <item x="913"/>
        <item x="1377"/>
        <item x="1279"/>
        <item x="1524"/>
        <item x="601"/>
        <item x="1461"/>
        <item x="500"/>
        <item x="1775"/>
        <item x="1082"/>
        <item x="2046"/>
        <item x="2381"/>
        <item x="1074"/>
        <item x="2561"/>
        <item x="1977"/>
        <item x="1769"/>
        <item x="225"/>
        <item x="1625"/>
        <item x="672"/>
        <item x="2610"/>
        <item x="2365"/>
        <item x="2547"/>
        <item x="2187"/>
        <item x="2155"/>
        <item x="1596"/>
        <item x="175"/>
        <item x="1273"/>
        <item x="995"/>
        <item x="356"/>
        <item x="1758"/>
        <item x="1609"/>
        <item x="375"/>
        <item x="1497"/>
        <item x="801"/>
        <item x="2358"/>
        <item x="344"/>
        <item x="1926"/>
        <item x="1005"/>
        <item x="1846"/>
        <item x="1508"/>
        <item x="1073"/>
        <item x="2140"/>
        <item x="700"/>
        <item x="499"/>
        <item x="1632"/>
        <item x="763"/>
        <item x="1"/>
        <item x="560"/>
        <item x="70"/>
        <item x="314"/>
        <item x="1253"/>
        <item x="1180"/>
        <item x="667"/>
        <item x="83"/>
        <item x="104"/>
        <item x="213"/>
        <item x="266"/>
        <item x="2354"/>
        <item x="875"/>
        <item x="508"/>
        <item x="1016"/>
        <item x="1326"/>
        <item x="998"/>
        <item x="203"/>
        <item x="1050"/>
        <item x="1931"/>
        <item x="1464"/>
        <item x="1483"/>
        <item x="2385"/>
        <item x="1071"/>
        <item x="2270"/>
        <item x="986"/>
        <item x="1155"/>
        <item x="1715"/>
        <item x="1871"/>
        <item x="85"/>
        <item x="1689"/>
        <item x="2296"/>
        <item x="1648"/>
        <item x="1199"/>
        <item x="829"/>
        <item x="594"/>
        <item x="2286"/>
        <item x="522"/>
        <item x="2283"/>
        <item x="968"/>
        <item x="2403"/>
        <item x="2008"/>
        <item x="1595"/>
        <item x="819"/>
        <item x="1291"/>
        <item x="1923"/>
        <item x="2232"/>
        <item x="1164"/>
        <item x="997"/>
        <item x="2562"/>
        <item x="2193"/>
        <item x="1256"/>
        <item x="1174"/>
        <item x="734"/>
        <item x="2220"/>
        <item x="1349"/>
        <item x="219"/>
        <item x="1181"/>
        <item x="1486"/>
        <item x="599"/>
        <item x="2342"/>
        <item x="748"/>
        <item x="2350"/>
        <item x="247"/>
        <item x="248"/>
        <item x="1865"/>
        <item x="1737"/>
        <item x="27"/>
        <item x="10"/>
        <item x="1117"/>
        <item x="1133"/>
        <item x="432"/>
        <item x="1988"/>
        <item x="979"/>
        <item x="654"/>
        <item x="2628"/>
        <item x="605"/>
        <item x="2320"/>
        <item x="328"/>
        <item x="448"/>
        <item x="1903"/>
        <item x="976"/>
        <item x="2271"/>
        <item x="192"/>
        <item x="1004"/>
        <item x="412"/>
        <item x="1593"/>
        <item x="1379"/>
        <item x="884"/>
        <item x="1927"/>
        <item x="2604"/>
        <item x="2462"/>
        <item x="1930"/>
        <item x="2217"/>
        <item x="1622"/>
        <item x="2490"/>
        <item x="736"/>
        <item x="2433"/>
        <item x="2601"/>
        <item x="709"/>
        <item x="2441"/>
        <item x="2422"/>
        <item x="1022"/>
        <item x="513"/>
        <item x="405"/>
        <item x="1829"/>
        <item x="2565"/>
        <item x="1068"/>
        <item x="1826"/>
        <item x="2290"/>
        <item x="2189"/>
        <item x="2075"/>
        <item x="1684"/>
        <item x="505"/>
        <item x="23"/>
        <item x="1643"/>
        <item x="580"/>
        <item x="1701"/>
        <item x="90"/>
        <item x="1130"/>
        <item x="929"/>
        <item x="1325"/>
        <item x="1051"/>
        <item x="176"/>
        <item x="274"/>
        <item x="1358"/>
        <item x="1367"/>
        <item x="984"/>
        <item x="2179"/>
        <item x="133"/>
        <item x="1676"/>
        <item x="543"/>
        <item x="2203"/>
        <item x="1972"/>
        <item x="2214"/>
        <item x="251"/>
        <item x="2609"/>
        <item x="377"/>
        <item x="1895"/>
        <item x="1446"/>
        <item x="1280"/>
        <item x="2352"/>
        <item x="41"/>
        <item x="249"/>
        <item x="53"/>
        <item x="1743"/>
        <item x="2572"/>
        <item x="1830"/>
        <item x="1147"/>
        <item x="42"/>
        <item x="896"/>
        <item x="1009"/>
        <item x="51"/>
        <item x="1555"/>
        <item x="156"/>
        <item x="1346"/>
        <item x="1726"/>
        <item x="29"/>
        <item x="2023"/>
        <item x="905"/>
        <item x="2418"/>
        <item x="820"/>
        <item x="727"/>
        <item x="2436"/>
        <item x="1156"/>
        <item x="1115"/>
        <item x="1052"/>
        <item x="122"/>
        <item x="158"/>
        <item x="429"/>
        <item x="1452"/>
        <item x="358"/>
        <item x="2009"/>
        <item x="232"/>
        <item x="1964"/>
        <item x="2173"/>
        <item x="1054"/>
        <item x="2086"/>
        <item x="1037"/>
        <item x="2038"/>
        <item x="701"/>
        <item x="1013"/>
        <item x="1161"/>
        <item x="2318"/>
        <item x="1019"/>
        <item x="1039"/>
        <item x="728"/>
        <item x="321"/>
        <item x="1598"/>
        <item x="952"/>
        <item x="411"/>
        <item x="1159"/>
        <item x="912"/>
        <item x="2313"/>
        <item x="648"/>
        <item x="570"/>
        <item x="756"/>
        <item x="1058"/>
        <item x="2225"/>
        <item x="1749"/>
        <item x="2233"/>
        <item x="2258"/>
        <item x="1906"/>
        <item x="1502"/>
        <item x="922"/>
        <item x="2570"/>
        <item x="602"/>
        <item x="1198"/>
        <item x="1132"/>
        <item x="1196"/>
        <item x="872"/>
        <item x="1300"/>
        <item x="531"/>
        <item x="1384"/>
        <item x="1382"/>
        <item x="1394"/>
        <item x="941"/>
        <item x="2143"/>
        <item x="2402"/>
        <item x="1109"/>
        <item x="1415"/>
        <item x="88"/>
        <item x="310"/>
        <item x="136"/>
        <item x="1455"/>
        <item x="1008"/>
        <item x="2617"/>
        <item x="290"/>
        <item x="234"/>
        <item x="765"/>
        <item x="63"/>
        <item x="2043"/>
        <item x="2571"/>
        <item x="1744"/>
        <item x="1936"/>
        <item x="2169"/>
        <item x="2449"/>
        <item x="2577"/>
        <item x="2170"/>
        <item x="1537"/>
        <item x="572"/>
        <item x="2493"/>
        <item x="450"/>
        <item x="1402"/>
        <item x="2053"/>
        <item x="2409"/>
        <item x="1112"/>
        <item x="1230"/>
        <item x="2432"/>
        <item x="302"/>
        <item x="1188"/>
        <item x="387"/>
        <item x="286"/>
        <item x="1414"/>
        <item x="1260"/>
        <item x="1224"/>
        <item x="869"/>
        <item x="1805"/>
        <item x="1301"/>
        <item x="657"/>
        <item x="1633"/>
        <item x="2546"/>
        <item x="933"/>
        <item x="2455"/>
        <item x="866"/>
        <item x="1938"/>
        <item x="2171"/>
        <item x="2573"/>
        <item x="686"/>
        <item x="585"/>
        <item x="2574"/>
        <item x="1571"/>
        <item x="1215"/>
        <item x="1565"/>
        <item x="577"/>
        <item x="779"/>
        <item x="2518"/>
        <item x="1460"/>
        <item x="1183"/>
        <item x="1580"/>
        <item x="1397"/>
        <item x="782"/>
        <item x="921"/>
        <item x="2575"/>
        <item x="639"/>
        <item x="1603"/>
        <item x="1530"/>
        <item x="1336"/>
        <item x="1628"/>
        <item x="1531"/>
        <item x="2301"/>
        <item x="2047"/>
        <item x="769"/>
        <item x="1462"/>
        <item x="1532"/>
        <item x="2453"/>
        <item x="114"/>
        <item x="2454"/>
        <item x="796"/>
        <item x="680"/>
        <item x="2346"/>
        <item x="1002"/>
        <item x="1838"/>
        <item x="1605"/>
        <item x="1429"/>
        <item x="618"/>
        <item x="1522"/>
        <item x="1583"/>
        <item x="646"/>
        <item x="1794"/>
        <item x="498"/>
        <item x="126"/>
        <item x="853"/>
        <item x="333"/>
        <item x="688"/>
        <item x="1396"/>
        <item x="348"/>
        <item x="2221"/>
        <item x="2098"/>
        <item x="2588"/>
        <item x="1747"/>
        <item x="1835"/>
        <item x="1771"/>
        <item x="2578"/>
        <item x="2637"/>
        <item x="2364"/>
        <item x="1564"/>
        <item x="1042"/>
        <item x="837"/>
        <item x="64"/>
        <item x="1833"/>
        <item x="712"/>
        <item x="936"/>
        <item x="1026"/>
        <item x="312"/>
        <item x="152"/>
        <item x="604"/>
        <item x="2197"/>
        <item x="1817"/>
        <item x="215"/>
        <item x="1783"/>
        <item x="2614"/>
        <item x="288"/>
        <item x="2034"/>
        <item x="340"/>
        <item x="1373"/>
        <item x="868"/>
        <item x="1239"/>
        <item x="2380"/>
        <item x="808"/>
        <item x="1819"/>
        <item x="1114"/>
        <item x="334"/>
        <item x="593"/>
        <item x="62"/>
        <item x="30"/>
        <item x="1032"/>
        <item x="185"/>
        <item x="2208"/>
        <item x="793"/>
        <item x="722"/>
        <item x="466"/>
        <item x="1031"/>
        <item x="1591"/>
        <item x="1321"/>
        <item x="206"/>
        <item x="1664"/>
        <item x="304"/>
        <item x="730"/>
        <item x="473"/>
        <item x="1388"/>
        <item x="1763"/>
        <item x="1611"/>
        <item x="1200"/>
        <item x="66"/>
        <item x="2226"/>
        <item x="1823"/>
        <item x="1078"/>
        <item x="131"/>
        <item x="1457"/>
        <item x="541"/>
        <item x="544"/>
        <item x="437"/>
        <item x="1463"/>
        <item x="2104"/>
        <item x="1935"/>
        <item x="581"/>
        <item x="772"/>
        <item x="428"/>
        <item x="1746"/>
        <item x="649"/>
        <item x="270"/>
        <item x="1666"/>
        <item x="1357"/>
        <item x="1240"/>
        <item x="671"/>
        <item x="993"/>
        <item x="479"/>
        <item x="281"/>
        <item x="988"/>
        <item x="1290"/>
        <item x="2"/>
        <item x="318"/>
        <item x="1150"/>
        <item x="673"/>
        <item x="1259"/>
        <item x="957"/>
        <item x="1999"/>
        <item x="47"/>
        <item x="173"/>
        <item x="2272"/>
        <item x="1381"/>
        <item x="2478"/>
        <item x="631"/>
        <item x="2329"/>
        <item x="1412"/>
        <item x="899"/>
        <item x="1621"/>
        <item x="2235"/>
        <item x="2068"/>
        <item x="2005"/>
        <item x="75"/>
        <item x="687"/>
        <item x="132"/>
        <item x="1967"/>
        <item x="1406"/>
        <item x="810"/>
        <item x="1307"/>
        <item x="716"/>
        <item x="2234"/>
        <item x="771"/>
        <item x="399"/>
        <item x="612"/>
        <item x="2176"/>
        <item x="142"/>
        <item x="474"/>
        <item x="2566"/>
        <item x="1331"/>
        <item x="1582"/>
        <item x="2109"/>
        <item x="1730"/>
        <item x="789"/>
        <item x="1821"/>
        <item x="626"/>
        <item x="551"/>
        <item x="773"/>
        <item x="241"/>
        <item x="1947"/>
        <item x="1857"/>
        <item x="202"/>
        <item x="48"/>
        <item x="1707"/>
        <item x="18"/>
        <item x="2545"/>
        <item x="569"/>
        <item x="1765"/>
        <item x="2344"/>
        <item x="195"/>
        <item x="1673"/>
        <item x="2177"/>
        <item x="1778"/>
        <item x="1295"/>
        <item x="1637"/>
        <item x="2259"/>
        <item x="690"/>
        <item x="1681"/>
        <item x="292"/>
        <item x="2183"/>
        <item x="1677"/>
        <item x="1678"/>
        <item x="431"/>
        <item x="632"/>
        <item x="1780"/>
        <item x="2168"/>
        <item x="1167"/>
        <item x="2580"/>
        <item x="325"/>
        <item x="157"/>
        <item x="2541"/>
        <item x="376"/>
        <item x="1311"/>
        <item x="878"/>
        <item x="1313"/>
        <item x="2024"/>
        <item x="445"/>
        <item x="682"/>
        <item x="1030"/>
        <item x="2556"/>
        <item x="949"/>
        <item x="468"/>
        <item x="1660"/>
        <item x="223"/>
        <item x="1178"/>
        <item x="1736"/>
        <item x="2033"/>
        <item x="1324"/>
        <item x="129"/>
        <item x="885"/>
        <item x="1741"/>
        <item x="406"/>
        <item x="1529"/>
        <item x="703"/>
        <item x="2322"/>
        <item x="210"/>
        <item x="31"/>
        <item x="97"/>
        <item x="865"/>
        <item x="245"/>
        <item x="1968"/>
        <item x="359"/>
        <item x="2212"/>
        <item x="1033"/>
        <item x="1011"/>
        <item x="1254"/>
        <item x="294"/>
        <item x="1981"/>
        <item x="781"/>
        <item x="380"/>
        <item x="1210"/>
        <item x="2240"/>
        <item x="1888"/>
        <item x="640"/>
        <item x="651"/>
        <item x="946"/>
        <item x="2459"/>
        <item x="556"/>
        <item x="1131"/>
        <item x="969"/>
        <item x="2336"/>
        <item x="1788"/>
        <item x="2372"/>
        <item x="2327"/>
        <item x="733"/>
        <item x="109"/>
        <item x="1776"/>
        <item x="220"/>
        <item x="638"/>
        <item x="2285"/>
        <item x="2338"/>
        <item x="1103"/>
        <item x="2260"/>
        <item x="2284"/>
        <item x="1682"/>
        <item x="1812"/>
        <item x="2405"/>
        <item x="1233"/>
        <item x="753"/>
        <item x="134"/>
        <item x="613"/>
        <item x="2499"/>
        <item x="296"/>
        <item x="441"/>
        <item x="799"/>
        <item x="1066"/>
        <item x="1104"/>
        <item x="637"/>
        <item x="610"/>
        <item x="1866"/>
        <item x="809"/>
        <item x="341"/>
        <item x="324"/>
        <item x="161"/>
        <item x="720"/>
        <item x="17"/>
        <item x="739"/>
        <item x="1209"/>
        <item x="1165"/>
        <item x="1577"/>
        <item x="891"/>
        <item x="2243"/>
        <item x="2216"/>
        <item x="1212"/>
        <item x="1327"/>
        <item x="2015"/>
        <item x="1320"/>
        <item x="2070"/>
        <item x="2185"/>
        <item x="1426"/>
        <item x="2334"/>
        <item x="1289"/>
        <item x="1453"/>
        <item x="1067"/>
        <item x="2465"/>
        <item x="2531"/>
        <item x="259"/>
        <item x="460"/>
        <item x="904"/>
        <item x="841"/>
        <item x="1699"/>
        <item x="107"/>
        <item x="2542"/>
        <item x="2311"/>
        <item x="1408"/>
        <item x="1975"/>
        <item x="1145"/>
        <item x="1060"/>
        <item x="1479"/>
        <item x="1909"/>
        <item x="971"/>
        <item x="478"/>
        <item x="1417"/>
        <item x="1411"/>
        <item x="2211"/>
        <item x="2307"/>
        <item x="1944"/>
        <item x="2308"/>
        <item x="2049"/>
        <item x="1751"/>
        <item x="1127"/>
        <item x="1784"/>
        <item x="2163"/>
        <item x="1735"/>
        <item x="564"/>
        <item x="364"/>
        <item x="35"/>
        <item x="2584"/>
        <item x="458"/>
        <item x="696"/>
        <item x="726"/>
        <item x="1036"/>
        <item x="1934"/>
        <item x="1789"/>
        <item x="2004"/>
        <item x="1618"/>
        <item x="2619"/>
        <item x="695"/>
        <item x="2325"/>
        <item x="1334"/>
        <item x="2489"/>
        <item x="1994"/>
        <item x="1716"/>
        <item x="2139"/>
        <item x="540"/>
        <item x="1753"/>
        <item x="1842"/>
        <item x="1754"/>
        <item x="2587"/>
        <item x="1755"/>
        <item x="1945"/>
        <item x="2306"/>
        <item x="2050"/>
        <item x="1480"/>
        <item x="1447"/>
        <item x="221"/>
        <item x="1978"/>
        <item x="1338"/>
        <item x="366"/>
        <item x="527"/>
        <item x="28"/>
        <item x="934"/>
        <item x="2555"/>
        <item x="2051"/>
        <item x="1732"/>
        <item x="2589"/>
        <item x="2357"/>
        <item x="2236"/>
        <item x="2590"/>
        <item x="2467"/>
        <item x="1675"/>
        <item x="705"/>
        <item x="1274"/>
        <item x="2255"/>
        <item x="2188"/>
        <item x="1697"/>
        <item x="953"/>
        <item x="123"/>
        <item x="961"/>
        <item x="252"/>
        <item x="2055"/>
        <item x="2056"/>
        <item x="2057"/>
        <item x="2058"/>
        <item x="887"/>
        <item x="1287"/>
        <item x="2059"/>
        <item x="2060"/>
        <item x="525"/>
        <item x="125"/>
        <item x="1250"/>
        <item x="1759"/>
        <item x="456"/>
        <item x="1390"/>
        <item x="92"/>
        <item x="1332"/>
        <item x="1468"/>
        <item x="2037"/>
        <item x="1359"/>
        <item x="3"/>
        <item x="11"/>
        <item x="1624"/>
        <item x="1562"/>
        <item x="2515"/>
        <item x="1760"/>
        <item x="860"/>
        <item x="144"/>
        <item x="255"/>
        <item x="2180"/>
        <item x="1875"/>
        <item x="337"/>
        <item x="2293"/>
        <item x="2300"/>
        <item x="811"/>
        <item x="2579"/>
        <item x="1312"/>
        <item x="923"/>
        <item x="2190"/>
        <item x="2062"/>
        <item x="2472"/>
        <item x="1043"/>
        <item x="46"/>
        <item x="2314"/>
        <item x="1079"/>
        <item x="1850"/>
        <item x="870"/>
        <item x="1672"/>
        <item x="1762"/>
        <item x="191"/>
        <item x="1024"/>
        <item x="39"/>
        <item x="833"/>
        <item x="488"/>
        <item x="231"/>
        <item x="1228"/>
        <item x="76"/>
        <item x="1206"/>
        <item x="295"/>
        <item x="824"/>
        <item x="788"/>
        <item x="261"/>
        <item x="72"/>
        <item x="1488"/>
        <item x="1986"/>
        <item x="435"/>
        <item x="1727"/>
        <item x="1649"/>
        <item x="2593"/>
        <item x="598"/>
        <item x="2192"/>
        <item x="586"/>
        <item x="459"/>
        <item x="1191"/>
        <item x="2315"/>
        <item x="1335"/>
        <item x="1245"/>
        <item x="1953"/>
        <item x="1044"/>
        <item x="1954"/>
        <item x="2066"/>
        <item x="32"/>
        <item x="1045"/>
        <item x="924"/>
        <item x="1539"/>
        <item x="370"/>
        <item x="1955"/>
        <item x="2316"/>
        <item x="1956"/>
        <item x="276"/>
        <item x="1851"/>
        <item x="1852"/>
        <item x="2595"/>
        <item x="1080"/>
        <item x="1853"/>
        <item x="755"/>
        <item x="1046"/>
        <item x="102"/>
        <item x="2194"/>
        <item x="1192"/>
        <item x="240"/>
        <item x="2195"/>
        <item x="1136"/>
        <item x="925"/>
        <item x="1854"/>
        <item x="1540"/>
        <item x="327"/>
        <item x="1393"/>
        <item x="1137"/>
        <item x="1541"/>
        <item x="697"/>
        <item x="2206"/>
        <item x="2172"/>
        <item x="558"/>
        <item x="1337"/>
        <item x="668"/>
        <item x="1472"/>
        <item x="1246"/>
        <item x="1613"/>
        <item x="1542"/>
        <item x="371"/>
        <item x="1766"/>
        <item x="669"/>
        <item x="1006"/>
        <item x="413"/>
        <item x="277"/>
        <item x="1007"/>
        <item x="2476"/>
        <item x="2477"/>
        <item x="2370"/>
        <item x="1552"/>
        <item x="916"/>
        <item x="1860"/>
        <item x="1344"/>
        <item x="2596"/>
        <item x="1473"/>
        <item x="2069"/>
        <item x="2196"/>
        <item x="150"/>
        <item x="347"/>
        <item x="2071"/>
        <item x="2319"/>
        <item x="1047"/>
        <item x="1958"/>
        <item x="285"/>
        <item x="182"/>
        <item x="2423"/>
        <item x="2408"/>
        <item x="1328"/>
        <item x="2597"/>
        <item x="1075"/>
        <item x="2328"/>
        <item x="1420"/>
        <item x="1808"/>
        <item x="1189"/>
        <item x="1679"/>
        <item x="55"/>
        <item x="1767"/>
        <item x="2198"/>
        <item x="2479"/>
        <item x="1194"/>
        <item x="135"/>
        <item x="1247"/>
        <item x="2598"/>
        <item x="1959"/>
        <item x="1960"/>
        <item x="2366"/>
        <item x="825"/>
        <item x="684"/>
        <item x="2074"/>
        <item x="906"/>
        <item x="919"/>
        <item x="1302"/>
        <item x="1631"/>
        <item x="476"/>
        <item x="2543"/>
        <item x="128"/>
        <item x="402"/>
        <item x="73"/>
        <item x="196"/>
        <item x="1680"/>
        <item x="1385"/>
        <item x="2199"/>
        <item x="503"/>
        <item x="935"/>
        <item x="674"/>
        <item x="2480"/>
        <item x="509"/>
        <item x="2093"/>
        <item x="33"/>
        <item x="306"/>
        <item x="2599"/>
        <item x="59"/>
        <item x="1092"/>
        <item x="1106"/>
        <item x="372"/>
        <item x="1124"/>
        <item x="486"/>
        <item x="1691"/>
        <item x="1010"/>
        <item x="1586"/>
        <item x="2064"/>
        <item x="991"/>
        <item x="630"/>
        <item x="2501"/>
        <item x="2537"/>
        <item x="2471"/>
        <item x="236"/>
        <item x="2076"/>
        <item x="2326"/>
        <item x="1725"/>
        <item x="331"/>
        <item x="666"/>
        <item x="1469"/>
        <item x="617"/>
        <item x="1278"/>
        <item x="165"/>
        <item x="2583"/>
        <item x="2361"/>
        <item x="554"/>
        <item x="1734"/>
        <item x="1090"/>
        <item x="482"/>
        <item x="835"/>
        <item x="624"/>
        <item x="454"/>
        <item x="410"/>
        <item x="1176"/>
        <item x="579"/>
        <item x="1525"/>
        <item x="1205"/>
        <item x="641"/>
        <item x="1849"/>
        <item x="732"/>
        <item x="282"/>
        <item x="258"/>
        <item x="197"/>
        <item x="2414"/>
        <item x="2419"/>
        <item x="1348"/>
        <item x="1739"/>
        <item x="1527"/>
        <item x="1965"/>
        <item x="826"/>
        <item x="1134"/>
        <item x="2082"/>
        <item x="1659"/>
        <item x="591"/>
        <item x="1590"/>
        <item x="2560"/>
        <item x="1190"/>
        <item x="36"/>
        <item x="603"/>
        <item x="2340"/>
        <item x="518"/>
        <item x="561"/>
        <item x="741"/>
        <item x="506"/>
        <item x="15"/>
        <item x="856"/>
        <item x="2339"/>
        <item x="754"/>
        <item x="2323"/>
        <item x="1435"/>
        <item x="954"/>
        <item x="537"/>
        <item x="1538"/>
        <item x="1048"/>
        <item x="2207"/>
        <item x="2100"/>
        <item x="1712"/>
        <item x="1018"/>
        <item x="2166"/>
        <item x="689"/>
        <item x="1650"/>
        <item x="804"/>
        <item x="805"/>
        <item x="2624"/>
        <item x="1635"/>
        <item x="68"/>
        <item x="2456"/>
        <item x="369"/>
        <item x="2160"/>
        <item x="1859"/>
        <item x="487"/>
        <item x="2395"/>
        <item x="2282"/>
        <item x="2460"/>
        <item x="1551"/>
        <item x="2494"/>
        <item x="493"/>
        <item x="1298"/>
        <item x="818"/>
        <item x="1395"/>
        <item x="607"/>
        <item x="1099"/>
        <item x="2263"/>
        <item x="1634"/>
        <item x="807"/>
        <item x="390"/>
        <item x="1476"/>
        <item x="188"/>
        <item x="1772"/>
        <item x="1340"/>
        <item x="489"/>
        <item x="2079"/>
        <item x="2080"/>
        <item x="2261"/>
        <item x="1518"/>
        <item x="566"/>
        <item x="6"/>
        <item x="22"/>
        <item x="1035"/>
        <item x="65"/>
        <item x="2298"/>
        <item x="419"/>
        <item x="920"/>
        <item x="1534"/>
        <item x="421"/>
        <item x="190"/>
        <item x="2186"/>
        <item x="2591"/>
        <item x="2063"/>
        <item x="433"/>
        <item x="2014"/>
        <item x="670"/>
        <item x="230"/>
        <item x="490"/>
        <item x="105"/>
        <item x="1864"/>
        <item x="151"/>
        <item x="1208"/>
        <item x="2498"/>
        <item x="2363"/>
        <item x="1877"/>
        <item x="847"/>
        <item x="1510"/>
        <item x="2451"/>
        <item x="416"/>
        <item x="1559"/>
        <item x="542"/>
        <item x="2594"/>
        <item x="465"/>
        <item x="514"/>
        <item x="1120"/>
        <item x="960"/>
        <item x="1575"/>
        <item x="417"/>
        <item x="170"/>
        <item x="1976"/>
        <item x="2360"/>
        <item x="139"/>
        <item x="831"/>
        <item x="775"/>
        <item x="155"/>
        <item x="634"/>
        <item x="355"/>
        <item x="665"/>
        <item x="2505"/>
        <item x="34"/>
        <item x="1170"/>
        <item x="1284"/>
        <item x="2174"/>
        <item x="477"/>
        <item x="491"/>
        <item x="2094"/>
        <item x="1688"/>
        <item x="1516"/>
        <item x="803"/>
        <item x="1925"/>
        <item x="2303"/>
        <item x="877"/>
        <item x="725"/>
        <item x="1911"/>
        <item x="1316"/>
        <item x="2581"/>
        <item x="1310"/>
        <item x="1774"/>
        <item x="1482"/>
        <item x="2586"/>
        <item x="8"/>
        <item x="552"/>
        <item x="548"/>
        <item x="2620"/>
        <item x="2341"/>
        <item x="1756"/>
        <item x="1128"/>
        <item x="2246"/>
        <item x="1116"/>
        <item x="615"/>
        <item x="388"/>
        <item x="1123"/>
        <item x="894"/>
        <item x="1083"/>
        <item x="2473"/>
        <item x="269"/>
        <item x="1088"/>
        <item x="2265"/>
        <item x="1620"/>
        <item x="309"/>
        <item x="260"/>
        <item x="391"/>
        <item x="625"/>
        <item x="2611"/>
        <item x="2332"/>
        <item x="426"/>
        <item x="895"/>
        <item x="1973"/>
        <item x="1907"/>
        <item x="2210"/>
        <item x="1401"/>
        <item x="1202"/>
        <item x="681"/>
        <item x="242"/>
        <item x="1579"/>
        <item x="1952"/>
        <item x="983"/>
        <item x="790"/>
        <item x="184"/>
        <item x="849"/>
        <item x="442"/>
        <item x="2021"/>
        <item x="1692"/>
        <item x="898"/>
        <item x="2458"/>
        <item x="1713"/>
        <item x="1578"/>
        <item x="1883"/>
        <item x="2399"/>
        <item x="1107"/>
        <item x="1937"/>
        <item x="1481"/>
        <item x="1125"/>
        <item x="2085"/>
        <item x="1380"/>
        <item x="2224"/>
        <item x="2103"/>
        <item x="1822"/>
        <item x="2474"/>
        <item x="985"/>
        <item x="1803"/>
        <item x="743"/>
        <item x="1653"/>
        <item x="616"/>
        <item x="1549"/>
        <item x="2411"/>
        <item x="1231"/>
        <item x="1436"/>
        <item x="1696"/>
        <item x="1267"/>
        <item x="970"/>
        <item x="1430"/>
        <item x="2299"/>
        <item x="267"/>
        <item x="1752"/>
        <item x="2142"/>
        <item x="1038"/>
        <item x="1275"/>
        <item x="1561"/>
        <item x="1858"/>
        <item x="1490"/>
        <item x="1553"/>
        <item x="2218"/>
        <item x="888"/>
        <item x="1768"/>
        <item x="198"/>
        <item x="1144"/>
        <item x="1292"/>
        <item x="2087"/>
        <item x="2088"/>
        <item x="106"/>
        <item x="576"/>
        <item x="794"/>
        <item x="827"/>
        <item x="1915"/>
        <item x="1148"/>
        <item x="1657"/>
        <item x="939"/>
        <item x="1139"/>
        <item x="1910"/>
        <item x="469"/>
        <item x="635"/>
        <item x="1933"/>
        <item x="832"/>
        <item x="263"/>
        <item x="443"/>
        <item x="485"/>
        <item x="2437"/>
        <item x="1449"/>
        <item x="1283"/>
        <item x="707"/>
        <item x="1782"/>
        <item x="2495"/>
        <item x="480"/>
        <item x="301"/>
        <item x="1362"/>
        <item x="345"/>
        <item x="1750"/>
        <item x="1519"/>
        <item x="147"/>
        <item x="2444"/>
        <item x="265"/>
        <item x="2482"/>
        <item x="735"/>
        <item x="1227"/>
        <item x="227"/>
        <item x="2253"/>
        <item x="973"/>
        <item x="830"/>
        <item x="886"/>
        <item x="628"/>
        <item x="1285"/>
        <item x="1940"/>
        <item x="2461"/>
        <item x="797"/>
        <item x="1950"/>
        <item x="1193"/>
        <item x="1630"/>
        <item x="1874"/>
        <item x="693"/>
        <item x="677"/>
        <item x="1265"/>
        <item x="110"/>
        <item x="2512"/>
        <item x="2613"/>
        <item x="650"/>
        <item x="24"/>
        <item x="893"/>
        <item x="160"/>
        <item x="2165"/>
        <item x="2446"/>
        <item x="293"/>
        <item x="1087"/>
        <item x="1929"/>
        <item x="346"/>
        <item x="1665"/>
        <item x="1404"/>
        <item x="1523"/>
        <item x="471"/>
        <item x="467"/>
        <item x="1694"/>
        <item x="226"/>
        <item x="1711"/>
        <item x="2557"/>
        <item x="2448"/>
        <item x="2241"/>
        <item x="1998"/>
        <item x="2415"/>
        <item x="501"/>
        <item x="836"/>
        <item x="1405"/>
        <item x="1587"/>
        <item x="1248"/>
        <item x="2404"/>
        <item x="2491"/>
        <item x="659"/>
        <item x="1845"/>
        <item x="278"/>
        <item x="1403"/>
        <item x="633"/>
        <item x="2091"/>
        <item x="2343"/>
        <item x="2092"/>
        <item x="86"/>
        <item x="1627"/>
        <item x="1296"/>
        <item x="1255"/>
        <item x="2215"/>
        <item x="179"/>
        <item x="60"/>
        <item x="2153"/>
        <item x="1655"/>
        <item x="1422"/>
        <item x="113"/>
        <item x="2102"/>
        <item x="395"/>
        <item x="627"/>
        <item x="43"/>
        <item x="1478"/>
        <item x="382"/>
        <item x="747"/>
        <item x="2442"/>
        <item x="1948"/>
        <item x="1151"/>
        <item x="710"/>
        <item x="1297"/>
        <item x="1942"/>
        <item x="2133"/>
        <item x="2496"/>
        <item x="2039"/>
        <item x="786"/>
        <item x="1533"/>
        <item x="1785"/>
        <item x="752"/>
        <item x="711"/>
        <item x="1445"/>
        <item x="336"/>
        <item x="1943"/>
        <item x="2048"/>
        <item x="854"/>
        <item x="271"/>
        <item x="363"/>
        <item x="1843"/>
        <item x="2209"/>
        <item x="2475"/>
        <item x="1091"/>
        <item x="2492"/>
        <item x="1489"/>
        <item x="233"/>
        <item x="967"/>
        <item x="931"/>
        <item x="82"/>
        <item x="1175"/>
        <item x="455"/>
        <item x="2061"/>
        <item x="2607"/>
        <item x="958"/>
        <item x="1951"/>
        <item x="1602"/>
        <item x="1863"/>
        <item x="287"/>
        <item x="45"/>
        <item x="2035"/>
        <item x="523"/>
        <item x="840"/>
        <item x="1623"/>
        <item x="101"/>
        <item x="495"/>
        <item x="425"/>
        <item x="2483"/>
        <item x="975"/>
        <item x="1710"/>
        <item x="162"/>
        <item x="857"/>
        <item x="1172"/>
        <item x="2149"/>
        <item x="2279"/>
        <item x="1828"/>
        <item x="2297"/>
        <item x="1607"/>
        <item x="320"/>
        <item x="2592"/>
        <item x="774"/>
        <item x="600"/>
        <item x="224"/>
        <item x="647"/>
        <item x="1146"/>
        <item x="1491"/>
        <item x="1350"/>
        <item x="783"/>
        <item x="653"/>
        <item x="764"/>
        <item x="483"/>
        <item x="2634"/>
        <item x="497"/>
        <item x="194"/>
        <item x="2095"/>
        <item x="1220"/>
        <item x="444"/>
        <item x="1086"/>
        <item x="977"/>
        <item x="19"/>
        <item x="534"/>
        <item x="1818"/>
        <item x="1663"/>
        <item x="264"/>
        <item x="512"/>
        <item x="2438"/>
        <item x="1121"/>
        <item x="1685"/>
        <item x="538"/>
        <item x="862"/>
        <item x="164"/>
        <item x="145"/>
        <item x="1847"/>
        <item x="1616"/>
        <item x="1966"/>
        <item x="307"/>
        <item x="112"/>
        <item x="517"/>
        <item x="461"/>
        <item x="1015"/>
        <item x="2239"/>
        <item x="453"/>
        <item x="1574"/>
        <item x="1601"/>
        <item x="1683"/>
        <item x="284"/>
        <item x="37"/>
        <item x="817"/>
        <item x="275"/>
        <item x="892"/>
        <item x="1059"/>
        <item x="186"/>
        <item x="930"/>
        <item x="1266"/>
        <item x="338"/>
        <item x="1740"/>
        <item x="207"/>
        <item x="2136"/>
        <item x="940"/>
        <item x="1963"/>
        <item x="530"/>
        <item x="533"/>
        <item x="908"/>
        <item x="1985"/>
        <item x="597"/>
        <item x="1049"/>
        <item x="1695"/>
        <item x="507"/>
        <item x="350"/>
        <item x="1029"/>
        <item x="740"/>
        <item x="414"/>
        <item x="1781"/>
        <item x="415"/>
        <item x="2435"/>
        <item x="2373"/>
        <item x="1970"/>
        <item x="559"/>
        <item x="718"/>
        <item x="2550"/>
        <item x="663"/>
        <item x="98"/>
        <item x="608"/>
        <item x="2237"/>
        <item x="2412"/>
        <item x="950"/>
        <item x="1872"/>
        <item x="2539"/>
        <item x="571"/>
        <item x="1216"/>
        <item x="1703"/>
        <item x="1242"/>
        <item x="1651"/>
        <item x="2138"/>
        <item x="1918"/>
        <item x="2447"/>
        <item x="1916"/>
        <item x="1153"/>
        <item x="999"/>
        <item x="2302"/>
        <item x="2369"/>
        <item x="521"/>
        <item x="526"/>
        <item x="926"/>
        <item x="1318"/>
        <item x="800"/>
        <item x="621"/>
        <item x="1126"/>
        <item x="1234"/>
        <item x="1921"/>
        <item x="349"/>
        <item x="2374"/>
        <item x="2257"/>
        <item x="1652"/>
        <item x="1314"/>
        <item x="787"/>
        <item x="1456"/>
        <item x="2407"/>
        <item x="1614"/>
        <item x="140"/>
        <item x="2294"/>
        <item x="2031"/>
        <item x="1868"/>
        <item x="2219"/>
        <item x="1690"/>
        <item x="95"/>
        <item x="683"/>
        <item x="354"/>
        <item x="178"/>
        <item x="1606"/>
        <item x="1957"/>
        <item x="2333"/>
        <item x="843"/>
        <item x="2612"/>
        <item x="1884"/>
        <item x="1093"/>
        <item x="1076"/>
        <item x="2054"/>
        <item x="1055"/>
        <item x="2281"/>
        <item x="2504"/>
        <item x="2222"/>
        <item x="1880"/>
        <item x="982"/>
        <item x="918"/>
        <item x="463"/>
        <item x="1236"/>
        <item x="917"/>
        <item x="956"/>
        <item x="1841"/>
        <item x="2052"/>
        <item x="972"/>
        <item x="1992"/>
        <item x="2615"/>
        <item x="13"/>
        <item x="1232"/>
        <item x="1474"/>
        <item x="1195"/>
        <item x="481"/>
        <item x="2184"/>
        <item x="1370"/>
        <item x="143"/>
        <item x="1421"/>
        <item x="1869"/>
        <item x="1626"/>
        <item x="339"/>
        <item x="658"/>
        <item x="2266"/>
        <item x="714"/>
        <item x="1108"/>
        <item x="963"/>
        <item x="937"/>
        <item x="1702"/>
        <item x="1982"/>
        <item x="1629"/>
        <item x="1492"/>
        <item x="2621"/>
        <item x="777"/>
        <item x="1569"/>
        <item x="2304"/>
        <item x="1904"/>
        <item x="54"/>
        <item x="2431"/>
        <item x="1536"/>
        <item x="1383"/>
        <item x="1494"/>
        <item x="2111"/>
        <item x="2144"/>
        <item x="698"/>
        <item x="1946"/>
        <item x="352"/>
        <item x="1617"/>
        <item x="394"/>
        <item x="2167"/>
        <item x="2486"/>
        <item x="167"/>
        <item x="1072"/>
        <item x="2132"/>
        <item x="367"/>
        <item x="2481"/>
        <item x="1589"/>
        <item x="1392"/>
        <item x="852"/>
        <item x="1610"/>
        <item x="731"/>
        <item x="1949"/>
        <item x="305"/>
        <item x="398"/>
        <item x="1837"/>
        <item x="138"/>
        <item x="2605"/>
        <item x="409"/>
        <item x="1969"/>
        <item x="103"/>
        <item x="1861"/>
        <item x="58"/>
        <item x="494"/>
        <item x="1353"/>
        <item x="871"/>
        <item x="1213"/>
        <item x="1450"/>
        <item x="246"/>
        <item x="1458"/>
        <item x="2569"/>
        <item x="1351"/>
        <item x="2227"/>
        <item x="623"/>
        <item x="2410"/>
        <item x="397"/>
        <item x="1581"/>
        <item x="996"/>
        <item x="751"/>
        <item x="1941"/>
        <item x="1333"/>
        <item x="802"/>
        <item x="146"/>
        <item x="1014"/>
        <item x="49"/>
        <item x="897"/>
        <item x="1793"/>
        <item x="9"/>
        <item x="2028"/>
        <item x="93"/>
        <item x="945"/>
        <item x="863"/>
        <item x="1896"/>
        <item x="308"/>
        <item x="1204"/>
        <item x="715"/>
        <item x="1876"/>
        <item x="762"/>
        <item x="2145"/>
        <item x="1182"/>
        <item x="1094"/>
        <item x="504"/>
        <item x="1615"/>
        <item x="1095"/>
        <item x="760"/>
        <item x="1993"/>
        <item x="2097"/>
        <item x="927"/>
        <item x="1832"/>
        <item x="1704"/>
        <item x="1105"/>
        <item x="1020"/>
        <item x="166"/>
        <item x="2484"/>
        <item x="430"/>
        <item x="2502"/>
        <item x="1786"/>
        <item x="1498"/>
        <item x="193"/>
        <item x="1096"/>
        <item x="2503"/>
        <item x="422"/>
        <item x="2463"/>
        <item x="1021"/>
        <item x="2312"/>
        <item x="1599"/>
        <item x="1218"/>
        <item x="1001"/>
        <item x="50"/>
        <item x="2567"/>
        <item x="2118"/>
        <item x="1061"/>
        <item x="1804"/>
        <item x="1560"/>
        <item x="2355"/>
        <item x="1706"/>
        <item x="1556"/>
        <item x="1356"/>
        <item x="2083"/>
        <item x="38"/>
        <item x="1084"/>
        <item x="676"/>
        <item x="322"/>
        <item x="903"/>
        <item x="77"/>
        <item x="326"/>
        <item x="1995"/>
        <item x="2506"/>
        <item x="2507"/>
        <item x="1996"/>
        <item x="1418"/>
        <item x="1997"/>
        <item x="1419"/>
        <item x="1354"/>
        <item x="187"/>
        <item x="222"/>
        <item x="1219"/>
        <item x="1304"/>
        <item x="462"/>
        <item x="1820"/>
        <item x="1548"/>
        <item x="1856"/>
        <item x="1416"/>
        <item x="374"/>
        <item x="317"/>
        <item x="1989"/>
        <item x="574"/>
        <item x="1493"/>
        <item x="100"/>
        <item x="614"/>
        <item x="1471"/>
        <item x="974"/>
        <item x="1400"/>
        <item x="256"/>
        <item x="2268"/>
        <item x="2413"/>
        <item x="1322"/>
        <item x="80"/>
        <item x="662"/>
        <item x="1387"/>
        <item x="368"/>
        <item x="1467"/>
        <item x="56"/>
        <item x="502"/>
        <item x="2349"/>
        <item x="449"/>
        <item x="587"/>
        <item x="844"/>
        <item x="1991"/>
        <item x="547"/>
        <item x="149"/>
        <item x="1157"/>
        <item x="2376"/>
        <item x="1717"/>
        <item x="2375"/>
        <item x="1221"/>
        <item x="1355"/>
        <item x="1839"/>
        <item x="2552"/>
        <item x="2517"/>
        <item x="257"/>
        <item x="1658"/>
        <item x="589"/>
        <item x="1141"/>
        <item x="1315"/>
        <item x="2162"/>
        <item x="1834"/>
        <item x="1495"/>
        <item x="644"/>
        <item x="978"/>
        <item x="2013"/>
        <item x="708"/>
        <item x="496"/>
        <item x="990"/>
        <item x="1714"/>
        <item x="901"/>
        <item x="1378"/>
        <item x="555"/>
        <item x="418"/>
        <item x="776"/>
        <item x="2090"/>
        <item x="1792"/>
        <item x="1252"/>
        <item x="567"/>
        <item x="2424"/>
        <item x="528"/>
        <item x="2367"/>
        <item x="2262"/>
        <item x="1293"/>
        <item x="717"/>
        <item x="2040"/>
        <item x="1500"/>
        <item x="2627"/>
        <item x="2003"/>
        <item x="1708"/>
        <item x="1434"/>
        <item x="704"/>
        <item x="758"/>
        <item x="385"/>
        <item x="761"/>
        <item x="440"/>
        <item x="742"/>
        <item x="1303"/>
        <item x="2509"/>
        <item x="529"/>
        <item x="1097"/>
        <item x="1879"/>
        <item x="812"/>
        <item x="1098"/>
        <item x="2510"/>
        <item x="2558"/>
        <item x="520"/>
        <item x="2606"/>
        <item x="2383"/>
        <item x="137"/>
        <item x="942"/>
        <item x="545"/>
        <item x="2331"/>
        <item x="1110"/>
        <item x="2602"/>
        <item x="1306"/>
        <item x="2625"/>
        <item x="1341"/>
        <item x="2084"/>
        <item x="2393"/>
        <item x="79"/>
        <item x="1674"/>
        <item x="199"/>
        <item x="723"/>
        <item x="1636"/>
        <item x="1806"/>
        <item x="1496"/>
        <item x="2608"/>
        <item x="2362"/>
        <item x="153"/>
        <item x="99"/>
        <item x="1487"/>
        <item x="200"/>
        <item x="1053"/>
        <item x="457"/>
        <item x="539"/>
        <item x="174"/>
        <item x="361"/>
        <item x="201"/>
        <item x="1855"/>
        <item x="1138"/>
        <item x="943"/>
        <item x="183"/>
        <item x="573"/>
        <item x="702"/>
        <item x="1698"/>
        <item x="2337"/>
        <item x="842"/>
        <item x="1223"/>
        <item x="1003"/>
        <item x="2025"/>
        <item x="595"/>
        <item x="69"/>
        <item x="965"/>
        <item x="61"/>
        <item x="1798"/>
        <item x="2508"/>
        <item x="798"/>
        <item x="729"/>
        <item x="882"/>
        <item x="883"/>
        <item x="828"/>
        <item x="691"/>
        <item x="2622"/>
        <item x="2513"/>
        <item x="1882"/>
        <item x="1638"/>
        <item x="1790"/>
        <item x="87"/>
        <item x="2377"/>
        <item x="2514"/>
        <item x="2623"/>
        <item x="2242"/>
        <item x="253"/>
        <item x="2110"/>
        <item x="813"/>
        <item x="2006"/>
        <item x="655"/>
        <item x="315"/>
        <item x="362"/>
        <item x="1503"/>
        <item x="218"/>
        <item x="2244"/>
        <item x="1791"/>
        <item x="1639"/>
        <item x="2378"/>
        <item x="74"/>
        <item x="656"/>
        <item x="1423"/>
        <item x="84"/>
        <item x="2379"/>
        <item x="204"/>
        <item x="785"/>
        <item x="408"/>
        <item x="2112"/>
        <item x="1424"/>
        <item x="1361"/>
        <item x="2391"/>
        <item x="4"/>
        <item x="938"/>
        <item x="1149"/>
        <item x="329"/>
        <item x="1932"/>
        <item x="1670"/>
        <item x="1504"/>
        <item x="120"/>
        <item x="2245"/>
        <item x="1505"/>
        <item x="1507"/>
        <item x="1506"/>
        <item x="2428"/>
        <item x="2161"/>
        <item x="2626"/>
        <item x="2388"/>
        <item x="2007"/>
        <item x="2156"/>
        <item x="1257"/>
        <item x="2113"/>
        <item x="1168"/>
        <item x="750"/>
        <item x="1563"/>
        <item x="2616"/>
        <item x="1520"/>
        <item x="1647"/>
        <item x="851"/>
        <item x="766"/>
        <item x="1437"/>
        <item x="992"/>
        <item x="52"/>
        <item x="2564"/>
        <item x="1827"/>
        <item x="1526"/>
        <item x="1745"/>
        <item x="1844"/>
        <item x="864"/>
        <item x="2067"/>
        <item x="2324"/>
        <item x="1413"/>
        <item x="2213"/>
        <item x="1063"/>
        <item x="1566"/>
        <item x="1389"/>
        <item x="1249"/>
        <item x="2108"/>
        <item x="845"/>
        <item x="575"/>
        <item x="420"/>
        <item x="1244"/>
        <item x="475"/>
        <item x="492"/>
        <item x="1100"/>
        <item x="1160"/>
        <item x="2117"/>
        <item x="2384"/>
        <item x="873"/>
        <item x="464"/>
        <item x="2519"/>
        <item x="1795"/>
        <item x="2520"/>
        <item x="944"/>
        <item x="2521"/>
        <item x="2247"/>
        <item x="2248"/>
        <item x="180"/>
        <item x="744"/>
        <item x="1890"/>
        <item x="1718"/>
        <item x="2386"/>
        <item x="1891"/>
        <item x="1268"/>
        <item x="373"/>
        <item x="2387"/>
        <item x="814"/>
        <item x="1893"/>
        <item x="846"/>
        <item x="1360"/>
        <item x="1363"/>
        <item x="2629"/>
        <item x="1641"/>
        <item x="1269"/>
        <item x="2126"/>
        <item x="1451"/>
        <item x="2010"/>
        <item x="2249"/>
        <item x="2522"/>
        <item x="2368"/>
        <item x="1796"/>
        <item x="2630"/>
        <item x="2119"/>
        <item x="119"/>
        <item x="2523"/>
        <item x="2389"/>
        <item x="620"/>
        <item x="2250"/>
        <item x="381"/>
        <item x="2390"/>
        <item x="1364"/>
        <item x="1509"/>
        <item x="1427"/>
        <item x="2392"/>
        <item x="2011"/>
        <item x="2012"/>
        <item x="1286"/>
        <item x="902"/>
        <item x="2524"/>
        <item x="609"/>
        <item x="1894"/>
        <item x="1764"/>
        <item x="1229"/>
        <item x="768"/>
        <item x="2251"/>
        <item x="2631"/>
        <item x="1720"/>
        <item x="254"/>
        <item x="1308"/>
        <item x="848"/>
        <item x="1309"/>
        <item x="1797"/>
        <item x="2394"/>
        <item x="2527"/>
        <item x="2525"/>
        <item x="2120"/>
        <item x="279"/>
        <item x="2201"/>
        <item x="1738"/>
        <item x="759"/>
        <item x="1897"/>
        <item x="1270"/>
        <item x="2526"/>
        <item x="1023"/>
        <item x="2528"/>
        <item x="1428"/>
        <item x="1898"/>
        <item x="2632"/>
        <item x="874"/>
        <item x="964"/>
        <item x="1671"/>
        <item x="784"/>
        <item x="2469"/>
        <item x="2164"/>
        <item x="1017"/>
        <item x="980"/>
        <item x="1721"/>
        <item x="2081"/>
        <item x="622"/>
        <item x="1961"/>
        <item x="2529"/>
        <item x="1899"/>
        <item x="2121"/>
        <item x="1511"/>
        <item x="745"/>
        <item x="2633"/>
        <item x="578"/>
        <item x="1512"/>
        <item x="2122"/>
        <item x="2553"/>
        <item x="1902"/>
        <item x="2000"/>
        <item x="1143"/>
        <item x="1129"/>
        <item x="357"/>
        <item x="1870"/>
        <item x="1770"/>
        <item x="1668"/>
        <item x="1258"/>
        <item x="2204"/>
        <item x="1169"/>
        <item x="2500"/>
        <item x="1914"/>
        <item x="1873"/>
        <item x="2396"/>
        <item x="1041"/>
        <item x="2181"/>
        <item x="2530"/>
        <item x="2252"/>
        <item x="815"/>
        <item x="1900"/>
        <item x="2016"/>
        <item x="2123"/>
        <item x="280"/>
        <item x="719"/>
        <item x="1568"/>
        <item x="2635"/>
        <item x="2636"/>
        <item x="330"/>
        <item x="2017"/>
        <item x="1644"/>
        <item x="816"/>
        <item x="1366"/>
        <item x="2124"/>
        <item x="1723"/>
        <item x="1513"/>
        <item x="565"/>
        <item x="1570"/>
        <item x="1064"/>
        <item x="1800"/>
        <item x="2125"/>
        <item x="2532"/>
        <item x="2533"/>
        <item x="1901"/>
        <item x="2397"/>
        <item x="25"/>
        <item x="2398"/>
        <item x="303"/>
        <item x="159"/>
        <item x="1432"/>
        <item x="1214"/>
        <item x="1514"/>
        <item x="2254"/>
        <item x="484"/>
        <item x="1840"/>
        <item x="2317"/>
        <item x="1184"/>
        <item x="2127"/>
        <item x="244"/>
        <item x="1801"/>
        <item x="297"/>
        <item x="1802"/>
        <item x="14"/>
        <item x="2128"/>
        <item x="1892"/>
        <item x="947"/>
        <item x="2129"/>
        <item x="1572"/>
        <item x="1065"/>
        <item x="423"/>
        <item x="2400"/>
        <item x="2018"/>
        <item x="746"/>
        <item x="1025"/>
        <item x="2401"/>
        <item x="1102"/>
        <item x="550"/>
        <item x="1162"/>
        <item x="2534"/>
        <item x="1573"/>
        <item x="2535"/>
        <item x="2536"/>
        <item x="2137"/>
        <item x="323"/>
        <item x="2256"/>
        <item x="2288"/>
        <item x="1485"/>
        <item x="588"/>
        <item x="1558"/>
        <item t="default"/>
      </items>
    </pivotField>
    <pivotField showAll="0">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Net Worth" fld="1" baseField="0" baseItem="0"/>
  </dataFields>
  <formats count="2">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E88888-E6E6-4CFF-979A-D71CF3F2CC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I36:I37" firstHeaderRow="1" firstDataRow="1" firstDataCol="0"/>
  <pivotFields count="31">
    <pivotField showAll="0"/>
    <pivotField showAll="0" sortType="ascending"/>
    <pivotField showAll="0"/>
    <pivotField dataField="1" showAll="0">
      <items count="2639">
        <item x="2131"/>
        <item x="1272"/>
        <item x="981"/>
        <item x="250"/>
        <item x="1118"/>
        <item x="2359"/>
        <item x="2406"/>
        <item x="71"/>
        <item x="1277"/>
        <item x="855"/>
        <item x="1187"/>
        <item x="1399"/>
        <item x="1077"/>
        <item x="1687"/>
        <item x="2487"/>
        <item x="962"/>
        <item x="379"/>
        <item x="1917"/>
        <item x="2101"/>
        <item x="1619"/>
        <item x="1012"/>
        <item x="890"/>
        <item x="1085"/>
        <item x="427"/>
        <item x="407"/>
        <item x="1787"/>
        <item x="40"/>
        <item x="1928"/>
        <item x="795"/>
        <item x="2330"/>
        <item x="1709"/>
        <item x="1886"/>
        <item x="1722"/>
        <item x="1369"/>
        <item x="2229"/>
        <item x="2020"/>
        <item x="1027"/>
        <item x="2154"/>
        <item x="1773"/>
        <item x="1347"/>
        <item x="1352"/>
        <item x="1235"/>
        <item x="1237"/>
        <item x="343"/>
        <item x="1654"/>
        <item x="1203"/>
        <item x="1567"/>
        <item x="859"/>
        <item x="1433"/>
        <item x="1810"/>
        <item x="1410"/>
        <item x="424"/>
        <item x="1122"/>
        <item x="536"/>
        <item x="2182"/>
        <item x="2309"/>
        <item x="1545"/>
        <item x="1484"/>
        <item x="216"/>
        <item x="1201"/>
        <item x="2356"/>
        <item x="1154"/>
        <item x="1499"/>
        <item x="1908"/>
        <item x="1588"/>
        <item x="546"/>
        <item x="510"/>
        <item x="1742"/>
        <item x="400"/>
        <item x="78"/>
        <item x="1057"/>
        <item x="1761"/>
        <item x="1282"/>
        <item x="737"/>
        <item x="2115"/>
        <item x="1825"/>
        <item x="2042"/>
        <item x="582"/>
        <item x="2036"/>
        <item x="2464"/>
        <item x="1409"/>
        <item x="20"/>
        <item x="1186"/>
        <item x="124"/>
        <item x="121"/>
        <item x="2516"/>
        <item x="1543"/>
        <item x="12"/>
        <item x="2026"/>
        <item x="1983"/>
        <item x="861"/>
        <item x="1724"/>
        <item x="1528"/>
        <item x="1719"/>
        <item x="1922"/>
        <item x="2544"/>
        <item x="1438"/>
        <item x="2157"/>
        <item x="1477"/>
        <item x="2106"/>
        <item x="515"/>
        <item x="2135"/>
        <item x="2072"/>
        <item x="1700"/>
        <item x="313"/>
        <item x="583"/>
        <item x="596"/>
        <item x="438"/>
        <item x="1862"/>
        <item x="148"/>
        <item x="237"/>
        <item x="1113"/>
        <item x="189"/>
        <item x="2468"/>
        <item x="643"/>
        <item x="1466"/>
        <item x="2603"/>
        <item x="2345"/>
        <item x="273"/>
        <item x="678"/>
        <item x="1867"/>
        <item x="169"/>
        <item x="1226"/>
        <item x="291"/>
        <item x="81"/>
        <item x="1261"/>
        <item x="1517"/>
        <item x="57"/>
        <item x="1371"/>
        <item x="1913"/>
        <item x="1135"/>
        <item x="1645"/>
        <item x="239"/>
        <item x="1211"/>
        <item x="2540"/>
        <item x="2159"/>
        <item x="1111"/>
        <item x="1971"/>
        <item x="2114"/>
        <item x="392"/>
        <item x="404"/>
        <item x="2147"/>
        <item x="2295"/>
        <item x="1848"/>
        <item x="154"/>
        <item x="780"/>
        <item x="217"/>
        <item x="1889"/>
        <item x="208"/>
        <item x="911"/>
        <item x="2353"/>
        <item x="2488"/>
        <item x="439"/>
        <item x="2019"/>
        <item x="685"/>
        <item x="1515"/>
        <item x="2175"/>
        <item x="2600"/>
        <item x="470"/>
        <item x="1939"/>
        <item x="928"/>
        <item x="839"/>
        <item x="2511"/>
        <item x="889"/>
        <item x="1299"/>
        <item x="2191"/>
        <item x="1465"/>
        <item x="298"/>
        <item x="316"/>
        <item x="447"/>
        <item x="692"/>
        <item x="907"/>
        <item x="2470"/>
        <item x="1056"/>
        <item x="1262"/>
        <item x="2582"/>
        <item x="335"/>
        <item x="2278"/>
        <item x="1748"/>
        <item x="2348"/>
        <item x="1878"/>
        <item x="1345"/>
        <item x="721"/>
        <item x="181"/>
        <item x="2335"/>
        <item x="1990"/>
        <item x="2158"/>
        <item x="2041"/>
        <item x="211"/>
        <item x="1905"/>
        <item x="1604"/>
        <item x="1241"/>
        <item x="1459"/>
        <item x="1809"/>
        <item x="2267"/>
        <item x="2292"/>
        <item x="1705"/>
        <item x="1728"/>
        <item x="2141"/>
        <item x="1912"/>
        <item x="1501"/>
        <item x="749"/>
        <item x="516"/>
        <item x="606"/>
        <item x="850"/>
        <item x="1987"/>
        <item x="108"/>
        <item x="791"/>
        <item x="1443"/>
        <item x="636"/>
        <item x="1163"/>
        <item x="699"/>
        <item x="2289"/>
        <item x="1984"/>
        <item x="2563"/>
        <item x="1089"/>
        <item x="1693"/>
        <item x="881"/>
        <item x="2347"/>
        <item x="2559"/>
        <item x="311"/>
        <item x="0"/>
        <item x="568"/>
        <item x="1034"/>
        <item x="1281"/>
        <item x="2065"/>
        <item x="262"/>
        <item x="713"/>
        <item x="2439"/>
        <item x="2269"/>
        <item x="590"/>
        <item x="959"/>
        <item x="1557"/>
        <item x="1924"/>
        <item x="1554"/>
        <item x="557"/>
        <item x="1217"/>
        <item x="879"/>
        <item x="5"/>
        <item x="1831"/>
        <item x="1238"/>
        <item x="1544"/>
        <item x="2022"/>
        <item x="1656"/>
        <item x="243"/>
        <item x="2200"/>
        <item x="2116"/>
        <item x="1448"/>
        <item x="792"/>
        <item x="867"/>
        <item x="1251"/>
        <item x="1330"/>
        <item x="2096"/>
        <item x="2130"/>
        <item x="770"/>
        <item x="1243"/>
        <item x="2585"/>
        <item x="2073"/>
        <item x="1372"/>
        <item x="1271"/>
        <item x="1368"/>
        <item x="205"/>
        <item x="1669"/>
        <item x="1779"/>
        <item x="1440"/>
        <item x="1119"/>
        <item x="1329"/>
        <item x="386"/>
        <item x="1962"/>
        <item x="1887"/>
        <item x="910"/>
        <item x="383"/>
        <item x="1158"/>
        <item x="1594"/>
        <item x="1263"/>
        <item x="1197"/>
        <item x="987"/>
        <item x="2416"/>
        <item x="1813"/>
        <item x="2027"/>
        <item x="436"/>
        <item x="2146"/>
        <item x="1646"/>
        <item x="2382"/>
        <item x="1439"/>
        <item x="1521"/>
        <item x="2417"/>
        <item x="1028"/>
        <item x="289"/>
        <item x="2321"/>
        <item x="396"/>
        <item x="171"/>
        <item x="1733"/>
        <item x="1179"/>
        <item x="738"/>
        <item x="94"/>
        <item x="900"/>
        <item x="584"/>
        <item x="235"/>
        <item x="1000"/>
        <item x="1979"/>
        <item x="2099"/>
        <item x="7"/>
        <item x="2429"/>
        <item x="2002"/>
        <item x="1600"/>
        <item x="228"/>
        <item x="2466"/>
        <item x="2205"/>
        <item x="994"/>
        <item x="1288"/>
        <item x="1171"/>
        <item x="1407"/>
        <item x="563"/>
        <item x="660"/>
        <item x="989"/>
        <item x="757"/>
        <item x="2148"/>
        <item x="2420"/>
        <item x="1919"/>
        <item x="2548"/>
        <item x="168"/>
        <item x="1317"/>
        <item x="118"/>
        <item x="524"/>
        <item x="1222"/>
        <item x="299"/>
        <item x="767"/>
        <item x="592"/>
        <item x="955"/>
        <item x="914"/>
        <item x="16"/>
        <item x="1398"/>
        <item x="212"/>
        <item x="519"/>
        <item x="876"/>
        <item x="1640"/>
        <item x="2105"/>
        <item x="2202"/>
        <item x="117"/>
        <item x="238"/>
        <item x="2457"/>
        <item x="127"/>
        <item x="2421"/>
        <item x="724"/>
        <item x="661"/>
        <item x="2549"/>
        <item x="229"/>
        <item x="1374"/>
        <item x="1731"/>
        <item x="909"/>
        <item x="1069"/>
        <item x="1584"/>
        <item x="880"/>
        <item x="2551"/>
        <item x="1276"/>
        <item x="1814"/>
        <item x="2029"/>
        <item x="2273"/>
        <item x="2150"/>
        <item x="1375"/>
        <item x="2425"/>
        <item x="2151"/>
        <item x="1815"/>
        <item x="1173"/>
        <item x="1585"/>
        <item x="2554"/>
        <item x="2426"/>
        <item x="2274"/>
        <item x="511"/>
        <item x="1225"/>
        <item x="1101"/>
        <item x="1816"/>
        <item x="1441"/>
        <item x="2152"/>
        <item x="2371"/>
        <item x="549"/>
        <item x="2134"/>
        <item x="858"/>
        <item x="2427"/>
        <item x="948"/>
        <item x="1070"/>
        <item x="2032"/>
        <item x="1391"/>
        <item x="1881"/>
        <item x="2538"/>
        <item x="1811"/>
        <item x="629"/>
        <item x="2450"/>
        <item x="1470"/>
        <item x="1152"/>
        <item x="2310"/>
        <item x="2044"/>
        <item x="1365"/>
        <item x="1667"/>
        <item x="365"/>
        <item x="1757"/>
        <item x="1980"/>
        <item x="177"/>
        <item x="1920"/>
        <item x="1319"/>
        <item x="2030"/>
        <item x="1642"/>
        <item x="1386"/>
        <item x="2275"/>
        <item x="822"/>
        <item x="1339"/>
        <item x="1431"/>
        <item x="2568"/>
        <item x="2238"/>
        <item x="823"/>
        <item x="806"/>
        <item x="1807"/>
        <item x="446"/>
        <item x="1550"/>
        <item x="44"/>
        <item x="2178"/>
        <item x="1546"/>
        <item x="2445"/>
        <item x="1547"/>
        <item x="67"/>
        <item x="1661"/>
        <item x="553"/>
        <item x="384"/>
        <item x="472"/>
        <item x="2291"/>
        <item x="706"/>
        <item x="1142"/>
        <item x="562"/>
        <item x="1885"/>
        <item x="141"/>
        <item x="1442"/>
        <item x="821"/>
        <item x="1824"/>
        <item x="1323"/>
        <item x="2434"/>
        <item x="91"/>
        <item x="2045"/>
        <item x="209"/>
        <item x="834"/>
        <item x="1475"/>
        <item x="966"/>
        <item x="778"/>
        <item x="1294"/>
        <item x="1062"/>
        <item x="652"/>
        <item x="451"/>
        <item x="679"/>
        <item x="2576"/>
        <item x="2264"/>
        <item x="351"/>
        <item x="2276"/>
        <item x="642"/>
        <item x="1166"/>
        <item x="1576"/>
        <item x="389"/>
        <item x="1729"/>
        <item x="214"/>
        <item x="172"/>
        <item x="2287"/>
        <item x="915"/>
        <item x="1597"/>
        <item x="283"/>
        <item x="2443"/>
        <item x="116"/>
        <item x="2452"/>
        <item x="1836"/>
        <item x="2305"/>
        <item x="1612"/>
        <item x="2077"/>
        <item x="1686"/>
        <item x="1342"/>
        <item x="1343"/>
        <item x="2089"/>
        <item x="1974"/>
        <item x="393"/>
        <item x="932"/>
        <item x="272"/>
        <item x="360"/>
        <item x="434"/>
        <item x="378"/>
        <item x="2001"/>
        <item x="89"/>
        <item x="21"/>
        <item x="2618"/>
        <item x="619"/>
        <item x="1305"/>
        <item x="1425"/>
        <item x="1799"/>
        <item x="2497"/>
        <item x="2078"/>
        <item x="1177"/>
        <item x="951"/>
        <item x="2430"/>
        <item x="1140"/>
        <item x="2231"/>
        <item x="353"/>
        <item x="532"/>
        <item x="2223"/>
        <item x="1454"/>
        <item x="403"/>
        <item x="1376"/>
        <item x="2228"/>
        <item x="664"/>
        <item x="115"/>
        <item x="2351"/>
        <item x="2230"/>
        <item x="130"/>
        <item x="1535"/>
        <item x="1662"/>
        <item x="2277"/>
        <item x="1207"/>
        <item x="26"/>
        <item x="611"/>
        <item x="111"/>
        <item x="2107"/>
        <item x="645"/>
        <item x="300"/>
        <item x="268"/>
        <item x="2280"/>
        <item x="838"/>
        <item x="452"/>
        <item x="675"/>
        <item x="332"/>
        <item x="1185"/>
        <item x="1081"/>
        <item x="2485"/>
        <item x="1777"/>
        <item x="401"/>
        <item x="1444"/>
        <item x="1608"/>
        <item x="319"/>
        <item x="342"/>
        <item x="535"/>
        <item x="96"/>
        <item x="2440"/>
        <item x="1040"/>
        <item x="163"/>
        <item x="694"/>
        <item x="1264"/>
        <item x="1592"/>
        <item x="913"/>
        <item x="1377"/>
        <item x="1279"/>
        <item x="1524"/>
        <item x="601"/>
        <item x="1461"/>
        <item x="500"/>
        <item x="1775"/>
        <item x="1082"/>
        <item x="2046"/>
        <item x="2381"/>
        <item x="1074"/>
        <item x="2561"/>
        <item x="1977"/>
        <item x="1769"/>
        <item x="225"/>
        <item x="1625"/>
        <item x="672"/>
        <item x="2610"/>
        <item x="2365"/>
        <item x="2547"/>
        <item x="2187"/>
        <item x="2155"/>
        <item x="1596"/>
        <item x="175"/>
        <item x="1273"/>
        <item x="995"/>
        <item x="356"/>
        <item x="1758"/>
        <item x="1609"/>
        <item x="375"/>
        <item x="1497"/>
        <item x="801"/>
        <item x="2358"/>
        <item x="344"/>
        <item x="1926"/>
        <item x="1005"/>
        <item x="1846"/>
        <item x="1508"/>
        <item x="1073"/>
        <item x="2140"/>
        <item x="700"/>
        <item x="499"/>
        <item x="1632"/>
        <item x="763"/>
        <item x="1"/>
        <item x="560"/>
        <item x="70"/>
        <item x="314"/>
        <item x="1253"/>
        <item x="1180"/>
        <item x="667"/>
        <item x="83"/>
        <item x="104"/>
        <item x="213"/>
        <item x="266"/>
        <item x="2354"/>
        <item x="875"/>
        <item x="508"/>
        <item x="1016"/>
        <item x="1326"/>
        <item x="998"/>
        <item x="203"/>
        <item x="1050"/>
        <item x="1931"/>
        <item x="1464"/>
        <item x="1483"/>
        <item x="2385"/>
        <item x="1071"/>
        <item x="2270"/>
        <item x="986"/>
        <item x="1155"/>
        <item x="1715"/>
        <item x="1871"/>
        <item x="85"/>
        <item x="1689"/>
        <item x="2296"/>
        <item x="1648"/>
        <item x="1199"/>
        <item x="829"/>
        <item x="594"/>
        <item x="2286"/>
        <item x="522"/>
        <item x="2283"/>
        <item x="968"/>
        <item x="2403"/>
        <item x="2008"/>
        <item x="1595"/>
        <item x="819"/>
        <item x="1291"/>
        <item x="1923"/>
        <item x="2232"/>
        <item x="1164"/>
        <item x="997"/>
        <item x="2562"/>
        <item x="2193"/>
        <item x="1256"/>
        <item x="1174"/>
        <item x="734"/>
        <item x="2220"/>
        <item x="1349"/>
        <item x="219"/>
        <item x="1181"/>
        <item x="1486"/>
        <item x="599"/>
        <item x="2342"/>
        <item x="748"/>
        <item x="2350"/>
        <item x="247"/>
        <item x="248"/>
        <item x="1865"/>
        <item x="1737"/>
        <item x="27"/>
        <item x="10"/>
        <item x="1117"/>
        <item x="1133"/>
        <item x="432"/>
        <item x="1988"/>
        <item x="979"/>
        <item x="654"/>
        <item x="2628"/>
        <item x="605"/>
        <item x="2320"/>
        <item x="328"/>
        <item x="448"/>
        <item x="1903"/>
        <item x="976"/>
        <item x="2271"/>
        <item x="192"/>
        <item x="1004"/>
        <item x="412"/>
        <item x="1593"/>
        <item x="1379"/>
        <item x="884"/>
        <item x="1927"/>
        <item x="2604"/>
        <item x="2462"/>
        <item x="1930"/>
        <item x="2217"/>
        <item x="1622"/>
        <item x="2490"/>
        <item x="736"/>
        <item x="2433"/>
        <item x="2601"/>
        <item x="709"/>
        <item x="2441"/>
        <item x="2422"/>
        <item x="1022"/>
        <item x="513"/>
        <item x="405"/>
        <item x="1829"/>
        <item x="2565"/>
        <item x="1068"/>
        <item x="1826"/>
        <item x="2290"/>
        <item x="2189"/>
        <item x="2075"/>
        <item x="1684"/>
        <item x="505"/>
        <item x="23"/>
        <item x="1643"/>
        <item x="580"/>
        <item x="1701"/>
        <item x="90"/>
        <item x="1130"/>
        <item x="929"/>
        <item x="1325"/>
        <item x="1051"/>
        <item x="176"/>
        <item x="274"/>
        <item x="1358"/>
        <item x="1367"/>
        <item x="984"/>
        <item x="2179"/>
        <item x="133"/>
        <item x="1676"/>
        <item x="543"/>
        <item x="2203"/>
        <item x="1972"/>
        <item x="2214"/>
        <item x="251"/>
        <item x="2609"/>
        <item x="377"/>
        <item x="1895"/>
        <item x="1446"/>
        <item x="1280"/>
        <item x="2352"/>
        <item x="41"/>
        <item x="249"/>
        <item x="53"/>
        <item x="1743"/>
        <item x="2572"/>
        <item x="1830"/>
        <item x="1147"/>
        <item x="42"/>
        <item x="896"/>
        <item x="1009"/>
        <item x="51"/>
        <item x="1555"/>
        <item x="156"/>
        <item x="1346"/>
        <item x="1726"/>
        <item x="29"/>
        <item x="2023"/>
        <item x="905"/>
        <item x="2418"/>
        <item x="820"/>
        <item x="727"/>
        <item x="2436"/>
        <item x="1156"/>
        <item x="1115"/>
        <item x="1052"/>
        <item x="122"/>
        <item x="158"/>
        <item x="429"/>
        <item x="1452"/>
        <item x="358"/>
        <item x="2009"/>
        <item x="232"/>
        <item x="1964"/>
        <item x="2173"/>
        <item x="1054"/>
        <item x="2086"/>
        <item x="1037"/>
        <item x="2038"/>
        <item x="701"/>
        <item x="1013"/>
        <item x="1161"/>
        <item x="2318"/>
        <item x="1019"/>
        <item x="1039"/>
        <item x="728"/>
        <item x="321"/>
        <item x="1598"/>
        <item x="952"/>
        <item x="411"/>
        <item x="1159"/>
        <item x="912"/>
        <item x="2313"/>
        <item x="648"/>
        <item x="570"/>
        <item x="756"/>
        <item x="1058"/>
        <item x="2225"/>
        <item x="1749"/>
        <item x="2233"/>
        <item x="2258"/>
        <item x="1906"/>
        <item x="1502"/>
        <item x="922"/>
        <item x="2570"/>
        <item x="602"/>
        <item x="1198"/>
        <item x="1132"/>
        <item x="1196"/>
        <item x="872"/>
        <item x="1300"/>
        <item x="531"/>
        <item x="1384"/>
        <item x="1382"/>
        <item x="1394"/>
        <item x="941"/>
        <item x="2143"/>
        <item x="2402"/>
        <item x="1109"/>
        <item x="1415"/>
        <item x="88"/>
        <item x="310"/>
        <item x="136"/>
        <item x="1455"/>
        <item x="1008"/>
        <item x="2617"/>
        <item x="290"/>
        <item x="234"/>
        <item x="765"/>
        <item x="63"/>
        <item x="2043"/>
        <item x="2571"/>
        <item x="1744"/>
        <item x="1936"/>
        <item x="2169"/>
        <item x="2449"/>
        <item x="2577"/>
        <item x="2170"/>
        <item x="1537"/>
        <item x="572"/>
        <item x="2493"/>
        <item x="450"/>
        <item x="1402"/>
        <item x="2053"/>
        <item x="2409"/>
        <item x="1112"/>
        <item x="1230"/>
        <item x="2432"/>
        <item x="302"/>
        <item x="1188"/>
        <item x="387"/>
        <item x="286"/>
        <item x="1414"/>
        <item x="1260"/>
        <item x="1224"/>
        <item x="869"/>
        <item x="1805"/>
        <item x="1301"/>
        <item x="657"/>
        <item x="1633"/>
        <item x="2546"/>
        <item x="933"/>
        <item x="2455"/>
        <item x="866"/>
        <item x="1938"/>
        <item x="2171"/>
        <item x="2573"/>
        <item x="686"/>
        <item x="585"/>
        <item x="2574"/>
        <item x="1571"/>
        <item x="1215"/>
        <item x="1565"/>
        <item x="577"/>
        <item x="779"/>
        <item x="2518"/>
        <item x="1460"/>
        <item x="1183"/>
        <item x="1580"/>
        <item x="1397"/>
        <item x="782"/>
        <item x="921"/>
        <item x="2575"/>
        <item x="639"/>
        <item x="1603"/>
        <item x="1530"/>
        <item x="1336"/>
        <item x="1628"/>
        <item x="1531"/>
        <item x="2301"/>
        <item x="2047"/>
        <item x="769"/>
        <item x="1462"/>
        <item x="1532"/>
        <item x="2453"/>
        <item x="114"/>
        <item x="2454"/>
        <item x="796"/>
        <item x="680"/>
        <item x="2346"/>
        <item x="1002"/>
        <item x="1838"/>
        <item x="1605"/>
        <item x="1429"/>
        <item x="618"/>
        <item x="1522"/>
        <item x="1583"/>
        <item x="646"/>
        <item x="1794"/>
        <item x="498"/>
        <item x="126"/>
        <item x="853"/>
        <item x="333"/>
        <item x="688"/>
        <item x="1396"/>
        <item x="348"/>
        <item x="2221"/>
        <item x="2098"/>
        <item x="2588"/>
        <item x="1747"/>
        <item x="1835"/>
        <item x="1771"/>
        <item x="2578"/>
        <item x="2637"/>
        <item x="2364"/>
        <item x="1564"/>
        <item x="1042"/>
        <item x="837"/>
        <item x="64"/>
        <item x="1833"/>
        <item x="712"/>
        <item x="936"/>
        <item x="1026"/>
        <item x="312"/>
        <item x="152"/>
        <item x="604"/>
        <item x="2197"/>
        <item x="1817"/>
        <item x="215"/>
        <item x="1783"/>
        <item x="2614"/>
        <item x="288"/>
        <item x="2034"/>
        <item x="340"/>
        <item x="1373"/>
        <item x="868"/>
        <item x="1239"/>
        <item x="2380"/>
        <item x="808"/>
        <item x="1819"/>
        <item x="1114"/>
        <item x="334"/>
        <item x="593"/>
        <item x="62"/>
        <item x="30"/>
        <item x="1032"/>
        <item x="185"/>
        <item x="2208"/>
        <item x="793"/>
        <item x="722"/>
        <item x="466"/>
        <item x="1031"/>
        <item x="1591"/>
        <item x="1321"/>
        <item x="206"/>
        <item x="1664"/>
        <item x="304"/>
        <item x="730"/>
        <item x="473"/>
        <item x="1388"/>
        <item x="1763"/>
        <item x="1611"/>
        <item x="1200"/>
        <item x="66"/>
        <item x="2226"/>
        <item x="1823"/>
        <item x="1078"/>
        <item x="131"/>
        <item x="1457"/>
        <item x="541"/>
        <item x="544"/>
        <item x="437"/>
        <item x="1463"/>
        <item x="2104"/>
        <item x="1935"/>
        <item x="581"/>
        <item x="772"/>
        <item x="428"/>
        <item x="1746"/>
        <item x="649"/>
        <item x="270"/>
        <item x="1666"/>
        <item x="1357"/>
        <item x="1240"/>
        <item x="671"/>
        <item x="993"/>
        <item x="479"/>
        <item x="281"/>
        <item x="988"/>
        <item x="1290"/>
        <item x="2"/>
        <item x="318"/>
        <item x="1150"/>
        <item x="673"/>
        <item x="1259"/>
        <item x="957"/>
        <item x="1999"/>
        <item x="47"/>
        <item x="173"/>
        <item x="2272"/>
        <item x="1381"/>
        <item x="2478"/>
        <item x="631"/>
        <item x="2329"/>
        <item x="1412"/>
        <item x="899"/>
        <item x="1621"/>
        <item x="2235"/>
        <item x="2068"/>
        <item x="2005"/>
        <item x="75"/>
        <item x="687"/>
        <item x="132"/>
        <item x="1967"/>
        <item x="1406"/>
        <item x="810"/>
        <item x="1307"/>
        <item x="716"/>
        <item x="2234"/>
        <item x="771"/>
        <item x="399"/>
        <item x="612"/>
        <item x="2176"/>
        <item x="142"/>
        <item x="474"/>
        <item x="2566"/>
        <item x="1331"/>
        <item x="1582"/>
        <item x="2109"/>
        <item x="1730"/>
        <item x="789"/>
        <item x="1821"/>
        <item x="626"/>
        <item x="551"/>
        <item x="773"/>
        <item x="241"/>
        <item x="1947"/>
        <item x="1857"/>
        <item x="202"/>
        <item x="48"/>
        <item x="1707"/>
        <item x="18"/>
        <item x="2545"/>
        <item x="569"/>
        <item x="1765"/>
        <item x="2344"/>
        <item x="195"/>
        <item x="1673"/>
        <item x="2177"/>
        <item x="1778"/>
        <item x="1295"/>
        <item x="1637"/>
        <item x="2259"/>
        <item x="690"/>
        <item x="1681"/>
        <item x="292"/>
        <item x="2183"/>
        <item x="1677"/>
        <item x="1678"/>
        <item x="431"/>
        <item x="632"/>
        <item x="1780"/>
        <item x="2168"/>
        <item x="1167"/>
        <item x="2580"/>
        <item x="325"/>
        <item x="157"/>
        <item x="2541"/>
        <item x="376"/>
        <item x="1311"/>
        <item x="878"/>
        <item x="1313"/>
        <item x="2024"/>
        <item x="445"/>
        <item x="682"/>
        <item x="1030"/>
        <item x="2556"/>
        <item x="949"/>
        <item x="468"/>
        <item x="1660"/>
        <item x="223"/>
        <item x="1178"/>
        <item x="1736"/>
        <item x="2033"/>
        <item x="1324"/>
        <item x="129"/>
        <item x="885"/>
        <item x="1741"/>
        <item x="406"/>
        <item x="1529"/>
        <item x="703"/>
        <item x="2322"/>
        <item x="210"/>
        <item x="31"/>
        <item x="97"/>
        <item x="865"/>
        <item x="245"/>
        <item x="1968"/>
        <item x="359"/>
        <item x="2212"/>
        <item x="1033"/>
        <item x="1011"/>
        <item x="1254"/>
        <item x="294"/>
        <item x="1981"/>
        <item x="781"/>
        <item x="380"/>
        <item x="1210"/>
        <item x="2240"/>
        <item x="1888"/>
        <item x="640"/>
        <item x="651"/>
        <item x="946"/>
        <item x="2459"/>
        <item x="556"/>
        <item x="1131"/>
        <item x="969"/>
        <item x="2336"/>
        <item x="1788"/>
        <item x="2372"/>
        <item x="2327"/>
        <item x="733"/>
        <item x="109"/>
        <item x="1776"/>
        <item x="220"/>
        <item x="638"/>
        <item x="2285"/>
        <item x="2338"/>
        <item x="1103"/>
        <item x="2260"/>
        <item x="2284"/>
        <item x="1682"/>
        <item x="1812"/>
        <item x="2405"/>
        <item x="1233"/>
        <item x="753"/>
        <item x="134"/>
        <item x="613"/>
        <item x="2499"/>
        <item x="296"/>
        <item x="441"/>
        <item x="799"/>
        <item x="1066"/>
        <item x="1104"/>
        <item x="637"/>
        <item x="610"/>
        <item x="1866"/>
        <item x="809"/>
        <item x="341"/>
        <item x="324"/>
        <item x="161"/>
        <item x="720"/>
        <item x="17"/>
        <item x="739"/>
        <item x="1209"/>
        <item x="1165"/>
        <item x="1577"/>
        <item x="891"/>
        <item x="2243"/>
        <item x="2216"/>
        <item x="1212"/>
        <item x="1327"/>
        <item x="2015"/>
        <item x="1320"/>
        <item x="2070"/>
        <item x="2185"/>
        <item x="1426"/>
        <item x="2334"/>
        <item x="1289"/>
        <item x="1453"/>
        <item x="1067"/>
        <item x="2465"/>
        <item x="2531"/>
        <item x="259"/>
        <item x="460"/>
        <item x="904"/>
        <item x="841"/>
        <item x="1699"/>
        <item x="107"/>
        <item x="2542"/>
        <item x="2311"/>
        <item x="1408"/>
        <item x="1975"/>
        <item x="1145"/>
        <item x="1060"/>
        <item x="1479"/>
        <item x="1909"/>
        <item x="971"/>
        <item x="478"/>
        <item x="1417"/>
        <item x="1411"/>
        <item x="2211"/>
        <item x="2307"/>
        <item x="1944"/>
        <item x="2308"/>
        <item x="2049"/>
        <item x="1751"/>
        <item x="1127"/>
        <item x="1784"/>
        <item x="2163"/>
        <item x="1735"/>
        <item x="564"/>
        <item x="364"/>
        <item x="35"/>
        <item x="2584"/>
        <item x="458"/>
        <item x="696"/>
        <item x="726"/>
        <item x="1036"/>
        <item x="1934"/>
        <item x="1789"/>
        <item x="2004"/>
        <item x="1618"/>
        <item x="2619"/>
        <item x="695"/>
        <item x="2325"/>
        <item x="1334"/>
        <item x="2489"/>
        <item x="1994"/>
        <item x="1716"/>
        <item x="2139"/>
        <item x="540"/>
        <item x="1753"/>
        <item x="1842"/>
        <item x="1754"/>
        <item x="2587"/>
        <item x="1755"/>
        <item x="1945"/>
        <item x="2306"/>
        <item x="2050"/>
        <item x="1480"/>
        <item x="1447"/>
        <item x="221"/>
        <item x="1978"/>
        <item x="1338"/>
        <item x="366"/>
        <item x="527"/>
        <item x="28"/>
        <item x="934"/>
        <item x="2555"/>
        <item x="2051"/>
        <item x="1732"/>
        <item x="2589"/>
        <item x="2357"/>
        <item x="2236"/>
        <item x="2590"/>
        <item x="2467"/>
        <item x="1675"/>
        <item x="705"/>
        <item x="1274"/>
        <item x="2255"/>
        <item x="2188"/>
        <item x="1697"/>
        <item x="953"/>
        <item x="123"/>
        <item x="961"/>
        <item x="252"/>
        <item x="2055"/>
        <item x="2056"/>
        <item x="2057"/>
        <item x="2058"/>
        <item x="887"/>
        <item x="1287"/>
        <item x="2059"/>
        <item x="2060"/>
        <item x="525"/>
        <item x="125"/>
        <item x="1250"/>
        <item x="1759"/>
        <item x="456"/>
        <item x="1390"/>
        <item x="92"/>
        <item x="1332"/>
        <item x="1468"/>
        <item x="2037"/>
        <item x="1359"/>
        <item x="3"/>
        <item x="11"/>
        <item x="1624"/>
        <item x="1562"/>
        <item x="2515"/>
        <item x="1760"/>
        <item x="860"/>
        <item x="144"/>
        <item x="255"/>
        <item x="2180"/>
        <item x="1875"/>
        <item x="337"/>
        <item x="2293"/>
        <item x="2300"/>
        <item x="811"/>
        <item x="2579"/>
        <item x="1312"/>
        <item x="923"/>
        <item x="2190"/>
        <item x="2062"/>
        <item x="2472"/>
        <item x="1043"/>
        <item x="46"/>
        <item x="2314"/>
        <item x="1079"/>
        <item x="1850"/>
        <item x="870"/>
        <item x="1672"/>
        <item x="1762"/>
        <item x="191"/>
        <item x="1024"/>
        <item x="39"/>
        <item x="833"/>
        <item x="488"/>
        <item x="231"/>
        <item x="1228"/>
        <item x="76"/>
        <item x="1206"/>
        <item x="295"/>
        <item x="824"/>
        <item x="788"/>
        <item x="261"/>
        <item x="72"/>
        <item x="1488"/>
        <item x="1986"/>
        <item x="435"/>
        <item x="1727"/>
        <item x="1649"/>
        <item x="2593"/>
        <item x="598"/>
        <item x="2192"/>
        <item x="586"/>
        <item x="459"/>
        <item x="1191"/>
        <item x="2315"/>
        <item x="1335"/>
        <item x="1245"/>
        <item x="1953"/>
        <item x="1044"/>
        <item x="1954"/>
        <item x="2066"/>
        <item x="32"/>
        <item x="1045"/>
        <item x="924"/>
        <item x="1539"/>
        <item x="370"/>
        <item x="1955"/>
        <item x="2316"/>
        <item x="1956"/>
        <item x="276"/>
        <item x="1851"/>
        <item x="1852"/>
        <item x="2595"/>
        <item x="1080"/>
        <item x="1853"/>
        <item x="755"/>
        <item x="1046"/>
        <item x="102"/>
        <item x="2194"/>
        <item x="1192"/>
        <item x="240"/>
        <item x="2195"/>
        <item x="1136"/>
        <item x="925"/>
        <item x="1854"/>
        <item x="1540"/>
        <item x="327"/>
        <item x="1393"/>
        <item x="1137"/>
        <item x="1541"/>
        <item x="697"/>
        <item x="2206"/>
        <item x="2172"/>
        <item x="558"/>
        <item x="1337"/>
        <item x="668"/>
        <item x="1472"/>
        <item x="1246"/>
        <item x="1613"/>
        <item x="1542"/>
        <item x="371"/>
        <item x="1766"/>
        <item x="669"/>
        <item x="1006"/>
        <item x="413"/>
        <item x="277"/>
        <item x="1007"/>
        <item x="2476"/>
        <item x="2477"/>
        <item x="2370"/>
        <item x="1552"/>
        <item x="916"/>
        <item x="1860"/>
        <item x="1344"/>
        <item x="2596"/>
        <item x="1473"/>
        <item x="2069"/>
        <item x="2196"/>
        <item x="150"/>
        <item x="347"/>
        <item x="2071"/>
        <item x="2319"/>
        <item x="1047"/>
        <item x="1958"/>
        <item x="285"/>
        <item x="182"/>
        <item x="2423"/>
        <item x="2408"/>
        <item x="1328"/>
        <item x="2597"/>
        <item x="1075"/>
        <item x="2328"/>
        <item x="1420"/>
        <item x="1808"/>
        <item x="1189"/>
        <item x="1679"/>
        <item x="55"/>
        <item x="1767"/>
        <item x="2198"/>
        <item x="2479"/>
        <item x="1194"/>
        <item x="135"/>
        <item x="1247"/>
        <item x="2598"/>
        <item x="1959"/>
        <item x="1960"/>
        <item x="2366"/>
        <item x="825"/>
        <item x="684"/>
        <item x="2074"/>
        <item x="906"/>
        <item x="919"/>
        <item x="1302"/>
        <item x="1631"/>
        <item x="476"/>
        <item x="2543"/>
        <item x="128"/>
        <item x="402"/>
        <item x="73"/>
        <item x="196"/>
        <item x="1680"/>
        <item x="1385"/>
        <item x="2199"/>
        <item x="503"/>
        <item x="935"/>
        <item x="674"/>
        <item x="2480"/>
        <item x="509"/>
        <item x="2093"/>
        <item x="33"/>
        <item x="306"/>
        <item x="2599"/>
        <item x="59"/>
        <item x="1092"/>
        <item x="1106"/>
        <item x="372"/>
        <item x="1124"/>
        <item x="486"/>
        <item x="1691"/>
        <item x="1010"/>
        <item x="1586"/>
        <item x="2064"/>
        <item x="991"/>
        <item x="630"/>
        <item x="2501"/>
        <item x="2537"/>
        <item x="2471"/>
        <item x="236"/>
        <item x="2076"/>
        <item x="2326"/>
        <item x="1725"/>
        <item x="331"/>
        <item x="666"/>
        <item x="1469"/>
        <item x="617"/>
        <item x="1278"/>
        <item x="165"/>
        <item x="2583"/>
        <item x="2361"/>
        <item x="554"/>
        <item x="1734"/>
        <item x="1090"/>
        <item x="482"/>
        <item x="835"/>
        <item x="624"/>
        <item x="454"/>
        <item x="410"/>
        <item x="1176"/>
        <item x="579"/>
        <item x="1525"/>
        <item x="1205"/>
        <item x="641"/>
        <item x="1849"/>
        <item x="732"/>
        <item x="282"/>
        <item x="258"/>
        <item x="197"/>
        <item x="2414"/>
        <item x="2419"/>
        <item x="1348"/>
        <item x="1739"/>
        <item x="1527"/>
        <item x="1965"/>
        <item x="826"/>
        <item x="1134"/>
        <item x="2082"/>
        <item x="1659"/>
        <item x="591"/>
        <item x="1590"/>
        <item x="2560"/>
        <item x="1190"/>
        <item x="36"/>
        <item x="603"/>
        <item x="2340"/>
        <item x="518"/>
        <item x="561"/>
        <item x="741"/>
        <item x="506"/>
        <item x="15"/>
        <item x="856"/>
        <item x="2339"/>
        <item x="754"/>
        <item x="2323"/>
        <item x="1435"/>
        <item x="954"/>
        <item x="537"/>
        <item x="1538"/>
        <item x="1048"/>
        <item x="2207"/>
        <item x="2100"/>
        <item x="1712"/>
        <item x="1018"/>
        <item x="2166"/>
        <item x="689"/>
        <item x="1650"/>
        <item x="804"/>
        <item x="805"/>
        <item x="2624"/>
        <item x="1635"/>
        <item x="68"/>
        <item x="2456"/>
        <item x="369"/>
        <item x="2160"/>
        <item x="1859"/>
        <item x="487"/>
        <item x="2395"/>
        <item x="2282"/>
        <item x="2460"/>
        <item x="1551"/>
        <item x="2494"/>
        <item x="493"/>
        <item x="1298"/>
        <item x="818"/>
        <item x="1395"/>
        <item x="607"/>
        <item x="1099"/>
        <item x="2263"/>
        <item x="1634"/>
        <item x="807"/>
        <item x="390"/>
        <item x="1476"/>
        <item x="188"/>
        <item x="1772"/>
        <item x="1340"/>
        <item x="489"/>
        <item x="2079"/>
        <item x="2080"/>
        <item x="2261"/>
        <item x="1518"/>
        <item x="566"/>
        <item x="6"/>
        <item x="22"/>
        <item x="1035"/>
        <item x="65"/>
        <item x="2298"/>
        <item x="419"/>
        <item x="920"/>
        <item x="1534"/>
        <item x="421"/>
        <item x="190"/>
        <item x="2186"/>
        <item x="2591"/>
        <item x="2063"/>
        <item x="433"/>
        <item x="2014"/>
        <item x="670"/>
        <item x="230"/>
        <item x="490"/>
        <item x="105"/>
        <item x="1864"/>
        <item x="151"/>
        <item x="1208"/>
        <item x="2498"/>
        <item x="2363"/>
        <item x="1877"/>
        <item x="847"/>
        <item x="1510"/>
        <item x="2451"/>
        <item x="416"/>
        <item x="1559"/>
        <item x="542"/>
        <item x="2594"/>
        <item x="465"/>
        <item x="514"/>
        <item x="1120"/>
        <item x="960"/>
        <item x="1575"/>
        <item x="417"/>
        <item x="170"/>
        <item x="1976"/>
        <item x="2360"/>
        <item x="139"/>
        <item x="831"/>
        <item x="775"/>
        <item x="155"/>
        <item x="634"/>
        <item x="355"/>
        <item x="665"/>
        <item x="2505"/>
        <item x="34"/>
        <item x="1170"/>
        <item x="1284"/>
        <item x="2174"/>
        <item x="477"/>
        <item x="491"/>
        <item x="2094"/>
        <item x="1688"/>
        <item x="1516"/>
        <item x="803"/>
        <item x="1925"/>
        <item x="2303"/>
        <item x="877"/>
        <item x="725"/>
        <item x="1911"/>
        <item x="1316"/>
        <item x="2581"/>
        <item x="1310"/>
        <item x="1774"/>
        <item x="1482"/>
        <item x="2586"/>
        <item x="8"/>
        <item x="552"/>
        <item x="548"/>
        <item x="2620"/>
        <item x="2341"/>
        <item x="1756"/>
        <item x="1128"/>
        <item x="2246"/>
        <item x="1116"/>
        <item x="615"/>
        <item x="388"/>
        <item x="1123"/>
        <item x="894"/>
        <item x="1083"/>
        <item x="2473"/>
        <item x="269"/>
        <item x="1088"/>
        <item x="2265"/>
        <item x="1620"/>
        <item x="309"/>
        <item x="260"/>
        <item x="391"/>
        <item x="625"/>
        <item x="2611"/>
        <item x="2332"/>
        <item x="426"/>
        <item x="895"/>
        <item x="1973"/>
        <item x="1907"/>
        <item x="2210"/>
        <item x="1401"/>
        <item x="1202"/>
        <item x="681"/>
        <item x="242"/>
        <item x="1579"/>
        <item x="1952"/>
        <item x="983"/>
        <item x="790"/>
        <item x="184"/>
        <item x="849"/>
        <item x="442"/>
        <item x="2021"/>
        <item x="1692"/>
        <item x="898"/>
        <item x="2458"/>
        <item x="1713"/>
        <item x="1578"/>
        <item x="1883"/>
        <item x="2399"/>
        <item x="1107"/>
        <item x="1937"/>
        <item x="1481"/>
        <item x="1125"/>
        <item x="2085"/>
        <item x="1380"/>
        <item x="2224"/>
        <item x="2103"/>
        <item x="1822"/>
        <item x="2474"/>
        <item x="985"/>
        <item x="1803"/>
        <item x="743"/>
        <item x="1653"/>
        <item x="616"/>
        <item x="1549"/>
        <item x="2411"/>
        <item x="1231"/>
        <item x="1436"/>
        <item x="1696"/>
        <item x="1267"/>
        <item x="970"/>
        <item x="1430"/>
        <item x="2299"/>
        <item x="267"/>
        <item x="1752"/>
        <item x="2142"/>
        <item x="1038"/>
        <item x="1275"/>
        <item x="1561"/>
        <item x="1858"/>
        <item x="1490"/>
        <item x="1553"/>
        <item x="2218"/>
        <item x="888"/>
        <item x="1768"/>
        <item x="198"/>
        <item x="1144"/>
        <item x="1292"/>
        <item x="2087"/>
        <item x="2088"/>
        <item x="106"/>
        <item x="576"/>
        <item x="794"/>
        <item x="827"/>
        <item x="1915"/>
        <item x="1148"/>
        <item x="1657"/>
        <item x="939"/>
        <item x="1139"/>
        <item x="1910"/>
        <item x="469"/>
        <item x="635"/>
        <item x="1933"/>
        <item x="832"/>
        <item x="263"/>
        <item x="443"/>
        <item x="485"/>
        <item x="2437"/>
        <item x="1449"/>
        <item x="1283"/>
        <item x="707"/>
        <item x="1782"/>
        <item x="2495"/>
        <item x="480"/>
        <item x="301"/>
        <item x="1362"/>
        <item x="345"/>
        <item x="1750"/>
        <item x="1519"/>
        <item x="147"/>
        <item x="2444"/>
        <item x="265"/>
        <item x="2482"/>
        <item x="735"/>
        <item x="1227"/>
        <item x="227"/>
        <item x="2253"/>
        <item x="973"/>
        <item x="830"/>
        <item x="886"/>
        <item x="628"/>
        <item x="1285"/>
        <item x="1940"/>
        <item x="2461"/>
        <item x="797"/>
        <item x="1950"/>
        <item x="1193"/>
        <item x="1630"/>
        <item x="1874"/>
        <item x="693"/>
        <item x="677"/>
        <item x="1265"/>
        <item x="110"/>
        <item x="2512"/>
        <item x="2613"/>
        <item x="650"/>
        <item x="24"/>
        <item x="893"/>
        <item x="160"/>
        <item x="2165"/>
        <item x="2446"/>
        <item x="293"/>
        <item x="1087"/>
        <item x="1929"/>
        <item x="346"/>
        <item x="1665"/>
        <item x="1404"/>
        <item x="1523"/>
        <item x="471"/>
        <item x="467"/>
        <item x="1694"/>
        <item x="226"/>
        <item x="1711"/>
        <item x="2557"/>
        <item x="2448"/>
        <item x="2241"/>
        <item x="1998"/>
        <item x="2415"/>
        <item x="501"/>
        <item x="836"/>
        <item x="1405"/>
        <item x="1587"/>
        <item x="1248"/>
        <item x="2404"/>
        <item x="2491"/>
        <item x="659"/>
        <item x="1845"/>
        <item x="278"/>
        <item x="1403"/>
        <item x="633"/>
        <item x="2091"/>
        <item x="2343"/>
        <item x="2092"/>
        <item x="86"/>
        <item x="1627"/>
        <item x="1296"/>
        <item x="1255"/>
        <item x="2215"/>
        <item x="179"/>
        <item x="60"/>
        <item x="2153"/>
        <item x="1655"/>
        <item x="1422"/>
        <item x="113"/>
        <item x="2102"/>
        <item x="395"/>
        <item x="627"/>
        <item x="43"/>
        <item x="1478"/>
        <item x="382"/>
        <item x="747"/>
        <item x="2442"/>
        <item x="1948"/>
        <item x="1151"/>
        <item x="710"/>
        <item x="1297"/>
        <item x="1942"/>
        <item x="2133"/>
        <item x="2496"/>
        <item x="2039"/>
        <item x="786"/>
        <item x="1533"/>
        <item x="1785"/>
        <item x="752"/>
        <item x="711"/>
        <item x="1445"/>
        <item x="336"/>
        <item x="1943"/>
        <item x="2048"/>
        <item x="854"/>
        <item x="271"/>
        <item x="363"/>
        <item x="1843"/>
        <item x="2209"/>
        <item x="2475"/>
        <item x="1091"/>
        <item x="2492"/>
        <item x="1489"/>
        <item x="233"/>
        <item x="967"/>
        <item x="931"/>
        <item x="82"/>
        <item x="1175"/>
        <item x="455"/>
        <item x="2061"/>
        <item x="2607"/>
        <item x="958"/>
        <item x="1951"/>
        <item x="1602"/>
        <item x="1863"/>
        <item x="287"/>
        <item x="45"/>
        <item x="2035"/>
        <item x="523"/>
        <item x="840"/>
        <item x="1623"/>
        <item x="101"/>
        <item x="495"/>
        <item x="425"/>
        <item x="2483"/>
        <item x="975"/>
        <item x="1710"/>
        <item x="162"/>
        <item x="857"/>
        <item x="1172"/>
        <item x="2149"/>
        <item x="2279"/>
        <item x="1828"/>
        <item x="2297"/>
        <item x="1607"/>
        <item x="320"/>
        <item x="2592"/>
        <item x="774"/>
        <item x="600"/>
        <item x="224"/>
        <item x="647"/>
        <item x="1146"/>
        <item x="1491"/>
        <item x="1350"/>
        <item x="783"/>
        <item x="653"/>
        <item x="764"/>
        <item x="483"/>
        <item x="2634"/>
        <item x="497"/>
        <item x="194"/>
        <item x="2095"/>
        <item x="1220"/>
        <item x="444"/>
        <item x="1086"/>
        <item x="977"/>
        <item x="19"/>
        <item x="534"/>
        <item x="1818"/>
        <item x="1663"/>
        <item x="264"/>
        <item x="512"/>
        <item x="2438"/>
        <item x="1121"/>
        <item x="1685"/>
        <item x="538"/>
        <item x="862"/>
        <item x="164"/>
        <item x="145"/>
        <item x="1847"/>
        <item x="1616"/>
        <item x="1966"/>
        <item x="307"/>
        <item x="112"/>
        <item x="517"/>
        <item x="461"/>
        <item x="1015"/>
        <item x="2239"/>
        <item x="453"/>
        <item x="1574"/>
        <item x="1601"/>
        <item x="1683"/>
        <item x="284"/>
        <item x="37"/>
        <item x="817"/>
        <item x="275"/>
        <item x="892"/>
        <item x="1059"/>
        <item x="186"/>
        <item x="930"/>
        <item x="1266"/>
        <item x="338"/>
        <item x="1740"/>
        <item x="207"/>
        <item x="2136"/>
        <item x="940"/>
        <item x="1963"/>
        <item x="530"/>
        <item x="533"/>
        <item x="908"/>
        <item x="1985"/>
        <item x="597"/>
        <item x="1049"/>
        <item x="1695"/>
        <item x="507"/>
        <item x="350"/>
        <item x="1029"/>
        <item x="740"/>
        <item x="414"/>
        <item x="1781"/>
        <item x="415"/>
        <item x="2435"/>
        <item x="2373"/>
        <item x="1970"/>
        <item x="559"/>
        <item x="718"/>
        <item x="2550"/>
        <item x="663"/>
        <item x="98"/>
        <item x="608"/>
        <item x="2237"/>
        <item x="2412"/>
        <item x="950"/>
        <item x="1872"/>
        <item x="2539"/>
        <item x="571"/>
        <item x="1216"/>
        <item x="1703"/>
        <item x="1242"/>
        <item x="1651"/>
        <item x="2138"/>
        <item x="1918"/>
        <item x="2447"/>
        <item x="1916"/>
        <item x="1153"/>
        <item x="999"/>
        <item x="2302"/>
        <item x="2369"/>
        <item x="521"/>
        <item x="526"/>
        <item x="926"/>
        <item x="1318"/>
        <item x="800"/>
        <item x="621"/>
        <item x="1126"/>
        <item x="1234"/>
        <item x="1921"/>
        <item x="349"/>
        <item x="2374"/>
        <item x="2257"/>
        <item x="1652"/>
        <item x="1314"/>
        <item x="787"/>
        <item x="1456"/>
        <item x="2407"/>
        <item x="1614"/>
        <item x="140"/>
        <item x="2294"/>
        <item x="2031"/>
        <item x="1868"/>
        <item x="2219"/>
        <item x="1690"/>
        <item x="95"/>
        <item x="683"/>
        <item x="354"/>
        <item x="178"/>
        <item x="1606"/>
        <item x="1957"/>
        <item x="2333"/>
        <item x="843"/>
        <item x="2612"/>
        <item x="1884"/>
        <item x="1093"/>
        <item x="1076"/>
        <item x="2054"/>
        <item x="1055"/>
        <item x="2281"/>
        <item x="2504"/>
        <item x="2222"/>
        <item x="1880"/>
        <item x="982"/>
        <item x="918"/>
        <item x="463"/>
        <item x="1236"/>
        <item x="917"/>
        <item x="956"/>
        <item x="1841"/>
        <item x="2052"/>
        <item x="972"/>
        <item x="1992"/>
        <item x="2615"/>
        <item x="13"/>
        <item x="1232"/>
        <item x="1474"/>
        <item x="1195"/>
        <item x="481"/>
        <item x="2184"/>
        <item x="1370"/>
        <item x="143"/>
        <item x="1421"/>
        <item x="1869"/>
        <item x="1626"/>
        <item x="339"/>
        <item x="658"/>
        <item x="2266"/>
        <item x="714"/>
        <item x="1108"/>
        <item x="963"/>
        <item x="937"/>
        <item x="1702"/>
        <item x="1982"/>
        <item x="1629"/>
        <item x="1492"/>
        <item x="2621"/>
        <item x="777"/>
        <item x="1569"/>
        <item x="2304"/>
        <item x="1904"/>
        <item x="54"/>
        <item x="2431"/>
        <item x="1536"/>
        <item x="1383"/>
        <item x="1494"/>
        <item x="2111"/>
        <item x="2144"/>
        <item x="698"/>
        <item x="1946"/>
        <item x="352"/>
        <item x="1617"/>
        <item x="394"/>
        <item x="2167"/>
        <item x="2486"/>
        <item x="167"/>
        <item x="1072"/>
        <item x="2132"/>
        <item x="367"/>
        <item x="2481"/>
        <item x="1589"/>
        <item x="1392"/>
        <item x="852"/>
        <item x="1610"/>
        <item x="731"/>
        <item x="1949"/>
        <item x="305"/>
        <item x="398"/>
        <item x="1837"/>
        <item x="138"/>
        <item x="2605"/>
        <item x="409"/>
        <item x="1969"/>
        <item x="103"/>
        <item x="1861"/>
        <item x="58"/>
        <item x="494"/>
        <item x="1353"/>
        <item x="871"/>
        <item x="1213"/>
        <item x="1450"/>
        <item x="246"/>
        <item x="1458"/>
        <item x="2569"/>
        <item x="1351"/>
        <item x="2227"/>
        <item x="623"/>
        <item x="2410"/>
        <item x="397"/>
        <item x="1581"/>
        <item x="996"/>
        <item x="751"/>
        <item x="1941"/>
        <item x="1333"/>
        <item x="802"/>
        <item x="146"/>
        <item x="1014"/>
        <item x="49"/>
        <item x="897"/>
        <item x="1793"/>
        <item x="9"/>
        <item x="2028"/>
        <item x="93"/>
        <item x="945"/>
        <item x="863"/>
        <item x="1896"/>
        <item x="308"/>
        <item x="1204"/>
        <item x="715"/>
        <item x="1876"/>
        <item x="762"/>
        <item x="2145"/>
        <item x="1182"/>
        <item x="1094"/>
        <item x="504"/>
        <item x="1615"/>
        <item x="1095"/>
        <item x="760"/>
        <item x="1993"/>
        <item x="2097"/>
        <item x="927"/>
        <item x="1832"/>
        <item x="1704"/>
        <item x="1105"/>
        <item x="1020"/>
        <item x="166"/>
        <item x="2484"/>
        <item x="430"/>
        <item x="2502"/>
        <item x="1786"/>
        <item x="1498"/>
        <item x="193"/>
        <item x="1096"/>
        <item x="2503"/>
        <item x="422"/>
        <item x="2463"/>
        <item x="1021"/>
        <item x="2312"/>
        <item x="1599"/>
        <item x="1218"/>
        <item x="1001"/>
        <item x="50"/>
        <item x="2567"/>
        <item x="2118"/>
        <item x="1061"/>
        <item x="1804"/>
        <item x="1560"/>
        <item x="2355"/>
        <item x="1706"/>
        <item x="1556"/>
        <item x="1356"/>
        <item x="2083"/>
        <item x="38"/>
        <item x="1084"/>
        <item x="676"/>
        <item x="322"/>
        <item x="903"/>
        <item x="77"/>
        <item x="326"/>
        <item x="1995"/>
        <item x="2506"/>
        <item x="2507"/>
        <item x="1996"/>
        <item x="1418"/>
        <item x="1997"/>
        <item x="1419"/>
        <item x="1354"/>
        <item x="187"/>
        <item x="222"/>
        <item x="1219"/>
        <item x="1304"/>
        <item x="462"/>
        <item x="1820"/>
        <item x="1548"/>
        <item x="1856"/>
        <item x="1416"/>
        <item x="374"/>
        <item x="317"/>
        <item x="1989"/>
        <item x="574"/>
        <item x="1493"/>
        <item x="100"/>
        <item x="614"/>
        <item x="1471"/>
        <item x="974"/>
        <item x="1400"/>
        <item x="256"/>
        <item x="2268"/>
        <item x="2413"/>
        <item x="1322"/>
        <item x="80"/>
        <item x="662"/>
        <item x="1387"/>
        <item x="368"/>
        <item x="1467"/>
        <item x="56"/>
        <item x="502"/>
        <item x="2349"/>
        <item x="449"/>
        <item x="587"/>
        <item x="844"/>
        <item x="1991"/>
        <item x="547"/>
        <item x="149"/>
        <item x="1157"/>
        <item x="2376"/>
        <item x="1717"/>
        <item x="2375"/>
        <item x="1221"/>
        <item x="1355"/>
        <item x="1839"/>
        <item x="2552"/>
        <item x="2517"/>
        <item x="257"/>
        <item x="1658"/>
        <item x="589"/>
        <item x="1141"/>
        <item x="1315"/>
        <item x="2162"/>
        <item x="1834"/>
        <item x="1495"/>
        <item x="644"/>
        <item x="978"/>
        <item x="2013"/>
        <item x="708"/>
        <item x="496"/>
        <item x="990"/>
        <item x="1714"/>
        <item x="901"/>
        <item x="1378"/>
        <item x="555"/>
        <item x="418"/>
        <item x="776"/>
        <item x="2090"/>
        <item x="1792"/>
        <item x="1252"/>
        <item x="567"/>
        <item x="2424"/>
        <item x="528"/>
        <item x="2367"/>
        <item x="2262"/>
        <item x="1293"/>
        <item x="717"/>
        <item x="2040"/>
        <item x="1500"/>
        <item x="2627"/>
        <item x="2003"/>
        <item x="1708"/>
        <item x="1434"/>
        <item x="704"/>
        <item x="758"/>
        <item x="385"/>
        <item x="761"/>
        <item x="440"/>
        <item x="742"/>
        <item x="1303"/>
        <item x="2509"/>
        <item x="529"/>
        <item x="1097"/>
        <item x="1879"/>
        <item x="812"/>
        <item x="1098"/>
        <item x="2510"/>
        <item x="2558"/>
        <item x="520"/>
        <item x="2606"/>
        <item x="2383"/>
        <item x="137"/>
        <item x="942"/>
        <item x="545"/>
        <item x="2331"/>
        <item x="1110"/>
        <item x="2602"/>
        <item x="1306"/>
        <item x="2625"/>
        <item x="1341"/>
        <item x="2084"/>
        <item x="2393"/>
        <item x="79"/>
        <item x="1674"/>
        <item x="199"/>
        <item x="723"/>
        <item x="1636"/>
        <item x="1806"/>
        <item x="1496"/>
        <item x="2608"/>
        <item x="2362"/>
        <item x="153"/>
        <item x="99"/>
        <item x="1487"/>
        <item x="200"/>
        <item x="1053"/>
        <item x="457"/>
        <item x="539"/>
        <item x="174"/>
        <item x="361"/>
        <item x="201"/>
        <item x="1855"/>
        <item x="1138"/>
        <item x="943"/>
        <item x="183"/>
        <item x="573"/>
        <item x="702"/>
        <item x="1698"/>
        <item x="2337"/>
        <item x="842"/>
        <item x="1223"/>
        <item x="1003"/>
        <item x="2025"/>
        <item x="595"/>
        <item x="69"/>
        <item x="965"/>
        <item x="61"/>
        <item x="1798"/>
        <item x="2508"/>
        <item x="798"/>
        <item x="729"/>
        <item x="882"/>
        <item x="883"/>
        <item x="828"/>
        <item x="691"/>
        <item x="2622"/>
        <item x="2513"/>
        <item x="1882"/>
        <item x="1638"/>
        <item x="1790"/>
        <item x="87"/>
        <item x="2377"/>
        <item x="2514"/>
        <item x="2623"/>
        <item x="2242"/>
        <item x="253"/>
        <item x="2110"/>
        <item x="813"/>
        <item x="2006"/>
        <item x="655"/>
        <item x="315"/>
        <item x="362"/>
        <item x="1503"/>
        <item x="218"/>
        <item x="2244"/>
        <item x="1791"/>
        <item x="1639"/>
        <item x="2378"/>
        <item x="74"/>
        <item x="656"/>
        <item x="1423"/>
        <item x="84"/>
        <item x="2379"/>
        <item x="204"/>
        <item x="785"/>
        <item x="408"/>
        <item x="2112"/>
        <item x="1424"/>
        <item x="1361"/>
        <item x="2391"/>
        <item x="4"/>
        <item x="938"/>
        <item x="1149"/>
        <item x="329"/>
        <item x="1932"/>
        <item x="1670"/>
        <item x="1504"/>
        <item x="120"/>
        <item x="2245"/>
        <item x="1505"/>
        <item x="1507"/>
        <item x="1506"/>
        <item x="2428"/>
        <item x="2161"/>
        <item x="2626"/>
        <item x="2388"/>
        <item x="2007"/>
        <item x="2156"/>
        <item x="1257"/>
        <item x="2113"/>
        <item x="1168"/>
        <item x="750"/>
        <item x="1563"/>
        <item x="2616"/>
        <item x="1520"/>
        <item x="1647"/>
        <item x="851"/>
        <item x="766"/>
        <item x="1437"/>
        <item x="992"/>
        <item x="52"/>
        <item x="2564"/>
        <item x="1827"/>
        <item x="1526"/>
        <item x="1745"/>
        <item x="1844"/>
        <item x="864"/>
        <item x="2067"/>
        <item x="2324"/>
        <item x="1413"/>
        <item x="2213"/>
        <item x="1063"/>
        <item x="1566"/>
        <item x="1389"/>
        <item x="1249"/>
        <item x="2108"/>
        <item x="845"/>
        <item x="575"/>
        <item x="420"/>
        <item x="1244"/>
        <item x="475"/>
        <item x="492"/>
        <item x="1100"/>
        <item x="1160"/>
        <item x="2117"/>
        <item x="2384"/>
        <item x="873"/>
        <item x="464"/>
        <item x="2519"/>
        <item x="1795"/>
        <item x="2520"/>
        <item x="944"/>
        <item x="2521"/>
        <item x="2247"/>
        <item x="2248"/>
        <item x="180"/>
        <item x="744"/>
        <item x="1890"/>
        <item x="1718"/>
        <item x="2386"/>
        <item x="1891"/>
        <item x="1268"/>
        <item x="373"/>
        <item x="2387"/>
        <item x="814"/>
        <item x="1893"/>
        <item x="846"/>
        <item x="1360"/>
        <item x="1363"/>
        <item x="2629"/>
        <item x="1641"/>
        <item x="1269"/>
        <item x="2126"/>
        <item x="1451"/>
        <item x="2010"/>
        <item x="2249"/>
        <item x="2522"/>
        <item x="2368"/>
        <item x="1796"/>
        <item x="2630"/>
        <item x="2119"/>
        <item x="119"/>
        <item x="2523"/>
        <item x="2389"/>
        <item x="620"/>
        <item x="2250"/>
        <item x="381"/>
        <item x="2390"/>
        <item x="1364"/>
        <item x="1509"/>
        <item x="1427"/>
        <item x="2392"/>
        <item x="2011"/>
        <item x="2012"/>
        <item x="1286"/>
        <item x="902"/>
        <item x="2524"/>
        <item x="609"/>
        <item x="1894"/>
        <item x="1764"/>
        <item x="1229"/>
        <item x="768"/>
        <item x="2251"/>
        <item x="2631"/>
        <item x="1720"/>
        <item x="254"/>
        <item x="1308"/>
        <item x="848"/>
        <item x="1309"/>
        <item x="1797"/>
        <item x="2394"/>
        <item x="2527"/>
        <item x="2525"/>
        <item x="2120"/>
        <item x="279"/>
        <item x="2201"/>
        <item x="1738"/>
        <item x="759"/>
        <item x="1897"/>
        <item x="1270"/>
        <item x="2526"/>
        <item x="1023"/>
        <item x="2528"/>
        <item x="1428"/>
        <item x="1898"/>
        <item x="2632"/>
        <item x="874"/>
        <item x="964"/>
        <item x="1671"/>
        <item x="784"/>
        <item x="2469"/>
        <item x="2164"/>
        <item x="1017"/>
        <item x="980"/>
        <item x="1721"/>
        <item x="2081"/>
        <item x="622"/>
        <item x="1961"/>
        <item x="2529"/>
        <item x="1899"/>
        <item x="2121"/>
        <item x="1511"/>
        <item x="745"/>
        <item x="2633"/>
        <item x="578"/>
        <item x="1512"/>
        <item x="2122"/>
        <item x="2553"/>
        <item x="1902"/>
        <item x="2000"/>
        <item x="1143"/>
        <item x="1129"/>
        <item x="357"/>
        <item x="1870"/>
        <item x="1770"/>
        <item x="1668"/>
        <item x="1258"/>
        <item x="2204"/>
        <item x="1169"/>
        <item x="2500"/>
        <item x="1914"/>
        <item x="1873"/>
        <item x="2396"/>
        <item x="1041"/>
        <item x="2181"/>
        <item x="2530"/>
        <item x="2252"/>
        <item x="815"/>
        <item x="1900"/>
        <item x="2016"/>
        <item x="2123"/>
        <item x="280"/>
        <item x="719"/>
        <item x="1568"/>
        <item x="2635"/>
        <item x="2636"/>
        <item x="330"/>
        <item x="2017"/>
        <item x="1644"/>
        <item x="816"/>
        <item x="1366"/>
        <item x="2124"/>
        <item x="1723"/>
        <item x="1513"/>
        <item x="565"/>
        <item x="1570"/>
        <item x="1064"/>
        <item x="1800"/>
        <item x="2125"/>
        <item x="2532"/>
        <item x="2533"/>
        <item x="1901"/>
        <item x="2397"/>
        <item x="25"/>
        <item x="2398"/>
        <item x="303"/>
        <item x="159"/>
        <item x="1432"/>
        <item x="1214"/>
        <item x="1514"/>
        <item x="2254"/>
        <item x="484"/>
        <item x="1840"/>
        <item x="2317"/>
        <item x="1184"/>
        <item x="2127"/>
        <item x="244"/>
        <item x="1801"/>
        <item x="297"/>
        <item x="1802"/>
        <item x="14"/>
        <item x="2128"/>
        <item x="1892"/>
        <item x="947"/>
        <item x="2129"/>
        <item x="1572"/>
        <item x="1065"/>
        <item x="423"/>
        <item x="2400"/>
        <item x="2018"/>
        <item x="746"/>
        <item x="1025"/>
        <item x="2401"/>
        <item x="1102"/>
        <item x="550"/>
        <item x="1162"/>
        <item x="2534"/>
        <item x="1573"/>
        <item x="2535"/>
        <item x="2536"/>
        <item x="2137"/>
        <item x="323"/>
        <item x="2256"/>
        <item x="2288"/>
        <item x="1485"/>
        <item x="588"/>
        <item x="1558"/>
        <item t="default"/>
      </items>
    </pivotField>
    <pivotField showAll="0">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Max of Name" fld="3" subtotal="max" baseField="0" baseItem="0"/>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B1647-D4B4-4EBA-9EAE-FDE6794E6CD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lf made">
  <location ref="U1:V4" firstHeaderRow="1" firstDataRow="1" firstDataCol="1"/>
  <pivotFields count="31">
    <pivotField showAll="0"/>
    <pivotField dataField="1" showAll="0" sortType="ascending"/>
    <pivotField axis="axisRow" showAll="0">
      <items count="19">
        <item x="1"/>
        <item x="16"/>
        <item sd="0" x="6"/>
        <item sd="0" x="13"/>
        <item sd="0" x="0"/>
        <item sd="0" x="3"/>
        <item sd="0" x="7"/>
        <item x="9"/>
        <item sd="0" x="14"/>
        <item x="8"/>
        <item sd="0" x="10"/>
        <item sd="0" x="4"/>
        <item sd="0" x="12"/>
        <item sd="0" x="11"/>
        <item x="15"/>
        <item x="17"/>
        <item x="2"/>
        <item x="5"/>
        <item t="default"/>
      </items>
    </pivotField>
    <pivotField showAll="0"/>
    <pivotField showAll="0" sortType="descending">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autoSortScope>
        <pivotArea dataOnly="0" outline="0" fieldPosition="0">
          <references count="1">
            <reference field="4294967294" count="1" selected="0">
              <x v="0"/>
            </reference>
          </references>
        </pivotArea>
      </autoSortScope>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sortType="descending">
      <items count="19">
        <item x="1"/>
        <item x="16"/>
        <item x="6"/>
        <item x="13"/>
        <item x="0"/>
        <item x="3"/>
        <item x="7"/>
        <item x="9"/>
        <item x="14"/>
        <item x="8"/>
        <item x="10"/>
        <item x="4"/>
        <item x="12"/>
        <item x="11"/>
        <item x="15"/>
        <item x="17"/>
        <item x="2"/>
        <item x="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3">
        <item sd="0" x="0"/>
        <item sd="0"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2">
    <field x="11"/>
    <field x="2"/>
  </rowFields>
  <rowItems count="3">
    <i>
      <x/>
    </i>
    <i>
      <x v="1"/>
    </i>
    <i t="grand">
      <x/>
    </i>
  </rowItems>
  <colItems count="1">
    <i/>
  </colItems>
  <dataFields count="1">
    <dataField name="Sum of Net Worth" fld="1" baseField="11" baseItem="0" numFmtId="170"/>
  </dataFields>
  <formats count="3">
    <format dxfId="11">
      <pivotArea dataOnly="0" labelOnly="1" outline="0" axis="axisValues" fieldPosition="0"/>
    </format>
    <format dxfId="10">
      <pivotArea outline="0" collapsedLevelsAreSubtotals="1" fieldPosition="0"/>
    </format>
    <format dxfId="9">
      <pivotArea outline="0" fieldPosition="0">
        <references count="1">
          <reference field="4294967294" count="1">
            <x v="0"/>
          </reference>
        </references>
      </pivotArea>
    </format>
  </formats>
  <chartFormats count="7">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1" count="1" selected="0">
            <x v="0"/>
          </reference>
        </references>
      </pivotArea>
    </chartFormat>
    <chartFormat chart="4" format="4">
      <pivotArea type="data" outline="0" fieldPosition="0">
        <references count="2">
          <reference field="4294967294" count="1" selected="0">
            <x v="0"/>
          </reference>
          <reference field="11"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1" count="1" selected="0">
            <x v="1"/>
          </reference>
        </references>
      </pivotArea>
    </chartFormat>
    <chartFormat chart="11" format="9">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E9A1D-09FE-4C4F-A460-53D3287DD9E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I55:I56" firstHeaderRow="1" firstDataRow="1" firstDataCol="0"/>
  <pivotFields count="31">
    <pivotField showAll="0"/>
    <pivotField showAll="0" sortType="ascending"/>
    <pivotField showAll="0"/>
    <pivotField showAll="0">
      <items count="2639">
        <item x="2131"/>
        <item x="1272"/>
        <item x="981"/>
        <item x="250"/>
        <item x="1118"/>
        <item x="2359"/>
        <item x="2406"/>
        <item x="71"/>
        <item x="1277"/>
        <item x="855"/>
        <item x="1187"/>
        <item x="1399"/>
        <item x="1077"/>
        <item x="1687"/>
        <item x="2487"/>
        <item x="962"/>
        <item x="379"/>
        <item x="1917"/>
        <item x="2101"/>
        <item x="1619"/>
        <item x="1012"/>
        <item x="890"/>
        <item x="1085"/>
        <item x="427"/>
        <item x="407"/>
        <item x="1787"/>
        <item x="40"/>
        <item x="1928"/>
        <item x="795"/>
        <item x="2330"/>
        <item x="1709"/>
        <item x="1886"/>
        <item x="1722"/>
        <item x="1369"/>
        <item x="2229"/>
        <item x="2020"/>
        <item x="1027"/>
        <item x="2154"/>
        <item x="1773"/>
        <item x="1347"/>
        <item x="1352"/>
        <item x="1235"/>
        <item x="1237"/>
        <item x="343"/>
        <item x="1654"/>
        <item x="1203"/>
        <item x="1567"/>
        <item x="859"/>
        <item x="1433"/>
        <item x="1810"/>
        <item x="1410"/>
        <item x="424"/>
        <item x="1122"/>
        <item x="536"/>
        <item x="2182"/>
        <item x="2309"/>
        <item x="1545"/>
        <item x="1484"/>
        <item x="216"/>
        <item x="1201"/>
        <item x="2356"/>
        <item x="1154"/>
        <item x="1499"/>
        <item x="1908"/>
        <item x="1588"/>
        <item x="546"/>
        <item x="510"/>
        <item x="1742"/>
        <item x="400"/>
        <item x="78"/>
        <item x="1057"/>
        <item x="1761"/>
        <item x="1282"/>
        <item x="737"/>
        <item x="2115"/>
        <item x="1825"/>
        <item x="2042"/>
        <item x="582"/>
        <item x="2036"/>
        <item x="2464"/>
        <item x="1409"/>
        <item x="20"/>
        <item x="1186"/>
        <item x="124"/>
        <item x="121"/>
        <item x="2516"/>
        <item x="1543"/>
        <item x="12"/>
        <item x="2026"/>
        <item x="1983"/>
        <item x="861"/>
        <item x="1724"/>
        <item x="1528"/>
        <item x="1719"/>
        <item x="1922"/>
        <item x="2544"/>
        <item x="1438"/>
        <item x="2157"/>
        <item x="1477"/>
        <item x="2106"/>
        <item x="515"/>
        <item x="2135"/>
        <item x="2072"/>
        <item x="1700"/>
        <item x="313"/>
        <item x="583"/>
        <item x="596"/>
        <item x="438"/>
        <item x="1862"/>
        <item x="148"/>
        <item x="237"/>
        <item x="1113"/>
        <item x="189"/>
        <item x="2468"/>
        <item x="643"/>
        <item x="1466"/>
        <item x="2603"/>
        <item x="2345"/>
        <item x="273"/>
        <item x="678"/>
        <item x="1867"/>
        <item x="169"/>
        <item x="1226"/>
        <item x="291"/>
        <item x="81"/>
        <item x="1261"/>
        <item x="1517"/>
        <item x="57"/>
        <item x="1371"/>
        <item x="1913"/>
        <item x="1135"/>
        <item x="1645"/>
        <item x="239"/>
        <item x="1211"/>
        <item x="2540"/>
        <item x="2159"/>
        <item x="1111"/>
        <item x="1971"/>
        <item x="2114"/>
        <item x="392"/>
        <item x="404"/>
        <item x="2147"/>
        <item x="2295"/>
        <item x="1848"/>
        <item x="154"/>
        <item x="780"/>
        <item x="217"/>
        <item x="1889"/>
        <item x="208"/>
        <item x="911"/>
        <item x="2353"/>
        <item x="2488"/>
        <item x="439"/>
        <item x="2019"/>
        <item x="685"/>
        <item x="1515"/>
        <item x="2175"/>
        <item x="2600"/>
        <item x="470"/>
        <item x="1939"/>
        <item x="928"/>
        <item x="839"/>
        <item x="2511"/>
        <item x="889"/>
        <item x="1299"/>
        <item x="2191"/>
        <item x="1465"/>
        <item x="298"/>
        <item x="316"/>
        <item x="447"/>
        <item x="692"/>
        <item x="907"/>
        <item x="2470"/>
        <item x="1056"/>
        <item x="1262"/>
        <item x="2582"/>
        <item x="335"/>
        <item x="2278"/>
        <item x="1748"/>
        <item x="2348"/>
        <item x="1878"/>
        <item x="1345"/>
        <item x="721"/>
        <item x="181"/>
        <item x="2335"/>
        <item x="1990"/>
        <item x="2158"/>
        <item x="2041"/>
        <item x="211"/>
        <item x="1905"/>
        <item x="1604"/>
        <item x="1241"/>
        <item x="1459"/>
        <item x="1809"/>
        <item x="2267"/>
        <item x="2292"/>
        <item x="1705"/>
        <item x="1728"/>
        <item x="2141"/>
        <item x="1912"/>
        <item x="1501"/>
        <item x="749"/>
        <item x="516"/>
        <item x="606"/>
        <item x="850"/>
        <item x="1987"/>
        <item x="108"/>
        <item x="791"/>
        <item x="1443"/>
        <item x="636"/>
        <item x="1163"/>
        <item x="699"/>
        <item x="2289"/>
        <item x="1984"/>
        <item x="2563"/>
        <item x="1089"/>
        <item x="1693"/>
        <item x="881"/>
        <item x="2347"/>
        <item x="2559"/>
        <item x="311"/>
        <item x="0"/>
        <item x="568"/>
        <item x="1034"/>
        <item x="1281"/>
        <item x="2065"/>
        <item x="262"/>
        <item x="713"/>
        <item x="2439"/>
        <item x="2269"/>
        <item x="590"/>
        <item x="959"/>
        <item x="1557"/>
        <item x="1924"/>
        <item x="1554"/>
        <item x="557"/>
        <item x="1217"/>
        <item x="879"/>
        <item x="5"/>
        <item x="1831"/>
        <item x="1238"/>
        <item x="1544"/>
        <item x="2022"/>
        <item x="1656"/>
        <item x="243"/>
        <item x="2200"/>
        <item x="2116"/>
        <item x="1448"/>
        <item x="792"/>
        <item x="867"/>
        <item x="1251"/>
        <item x="1330"/>
        <item x="2096"/>
        <item x="2130"/>
        <item x="770"/>
        <item x="1243"/>
        <item x="2585"/>
        <item x="2073"/>
        <item x="1372"/>
        <item x="1271"/>
        <item x="1368"/>
        <item x="205"/>
        <item x="1669"/>
        <item x="1779"/>
        <item x="1440"/>
        <item x="1119"/>
        <item x="1329"/>
        <item x="386"/>
        <item x="1962"/>
        <item x="1887"/>
        <item x="910"/>
        <item x="383"/>
        <item x="1158"/>
        <item x="1594"/>
        <item x="1263"/>
        <item x="1197"/>
        <item x="987"/>
        <item x="2416"/>
        <item x="1813"/>
        <item x="2027"/>
        <item x="436"/>
        <item x="2146"/>
        <item x="1646"/>
        <item x="2382"/>
        <item x="1439"/>
        <item x="1521"/>
        <item x="2417"/>
        <item x="1028"/>
        <item x="289"/>
        <item x="2321"/>
        <item x="396"/>
        <item x="171"/>
        <item x="1733"/>
        <item x="1179"/>
        <item x="738"/>
        <item x="94"/>
        <item x="900"/>
        <item x="584"/>
        <item x="235"/>
        <item x="1000"/>
        <item x="1979"/>
        <item x="2099"/>
        <item x="7"/>
        <item x="2429"/>
        <item x="2002"/>
        <item x="1600"/>
        <item x="228"/>
        <item x="2466"/>
        <item x="2205"/>
        <item x="994"/>
        <item x="1288"/>
        <item x="1171"/>
        <item x="1407"/>
        <item x="563"/>
        <item x="660"/>
        <item x="989"/>
        <item x="757"/>
        <item x="2148"/>
        <item x="2420"/>
        <item x="1919"/>
        <item x="2548"/>
        <item x="168"/>
        <item x="1317"/>
        <item x="118"/>
        <item x="524"/>
        <item x="1222"/>
        <item x="299"/>
        <item x="767"/>
        <item x="592"/>
        <item x="955"/>
        <item x="914"/>
        <item x="16"/>
        <item x="1398"/>
        <item x="212"/>
        <item x="519"/>
        <item x="876"/>
        <item x="1640"/>
        <item x="2105"/>
        <item x="2202"/>
        <item x="117"/>
        <item x="238"/>
        <item x="2457"/>
        <item x="127"/>
        <item x="2421"/>
        <item x="724"/>
        <item x="661"/>
        <item x="2549"/>
        <item x="229"/>
        <item x="1374"/>
        <item x="1731"/>
        <item x="909"/>
        <item x="1069"/>
        <item x="1584"/>
        <item x="880"/>
        <item x="2551"/>
        <item x="1276"/>
        <item x="1814"/>
        <item x="2029"/>
        <item x="2273"/>
        <item x="2150"/>
        <item x="1375"/>
        <item x="2425"/>
        <item x="2151"/>
        <item x="1815"/>
        <item x="1173"/>
        <item x="1585"/>
        <item x="2554"/>
        <item x="2426"/>
        <item x="2274"/>
        <item x="511"/>
        <item x="1225"/>
        <item x="1101"/>
        <item x="1816"/>
        <item x="1441"/>
        <item x="2152"/>
        <item x="2371"/>
        <item x="549"/>
        <item x="2134"/>
        <item x="858"/>
        <item x="2427"/>
        <item x="948"/>
        <item x="1070"/>
        <item x="2032"/>
        <item x="1391"/>
        <item x="1881"/>
        <item x="2538"/>
        <item x="1811"/>
        <item x="629"/>
        <item x="2450"/>
        <item x="1470"/>
        <item x="1152"/>
        <item x="2310"/>
        <item x="2044"/>
        <item x="1365"/>
        <item x="1667"/>
        <item x="365"/>
        <item x="1757"/>
        <item x="1980"/>
        <item x="177"/>
        <item x="1920"/>
        <item x="1319"/>
        <item x="2030"/>
        <item x="1642"/>
        <item x="1386"/>
        <item x="2275"/>
        <item x="822"/>
        <item x="1339"/>
        <item x="1431"/>
        <item x="2568"/>
        <item x="2238"/>
        <item x="823"/>
        <item x="806"/>
        <item x="1807"/>
        <item x="446"/>
        <item x="1550"/>
        <item x="44"/>
        <item x="2178"/>
        <item x="1546"/>
        <item x="2445"/>
        <item x="1547"/>
        <item x="67"/>
        <item x="1661"/>
        <item x="553"/>
        <item x="384"/>
        <item x="472"/>
        <item x="2291"/>
        <item x="706"/>
        <item x="1142"/>
        <item x="562"/>
        <item x="1885"/>
        <item x="141"/>
        <item x="1442"/>
        <item x="821"/>
        <item x="1824"/>
        <item x="1323"/>
        <item x="2434"/>
        <item x="91"/>
        <item x="2045"/>
        <item x="209"/>
        <item x="834"/>
        <item x="1475"/>
        <item x="966"/>
        <item x="778"/>
        <item x="1294"/>
        <item x="1062"/>
        <item x="652"/>
        <item x="451"/>
        <item x="679"/>
        <item x="2576"/>
        <item x="2264"/>
        <item x="351"/>
        <item x="2276"/>
        <item x="642"/>
        <item x="1166"/>
        <item x="1576"/>
        <item x="389"/>
        <item x="1729"/>
        <item x="214"/>
        <item x="172"/>
        <item x="2287"/>
        <item x="915"/>
        <item x="1597"/>
        <item x="283"/>
        <item x="2443"/>
        <item x="116"/>
        <item x="2452"/>
        <item x="1836"/>
        <item x="2305"/>
        <item x="1612"/>
        <item x="2077"/>
        <item x="1686"/>
        <item x="1342"/>
        <item x="1343"/>
        <item x="2089"/>
        <item x="1974"/>
        <item x="393"/>
        <item x="932"/>
        <item x="272"/>
        <item x="360"/>
        <item x="434"/>
        <item x="378"/>
        <item x="2001"/>
        <item x="89"/>
        <item x="21"/>
        <item x="2618"/>
        <item x="619"/>
        <item x="1305"/>
        <item x="1425"/>
        <item x="1799"/>
        <item x="2497"/>
        <item x="2078"/>
        <item x="1177"/>
        <item x="951"/>
        <item x="2430"/>
        <item x="1140"/>
        <item x="2231"/>
        <item x="353"/>
        <item x="532"/>
        <item x="2223"/>
        <item x="1454"/>
        <item x="403"/>
        <item x="1376"/>
        <item x="2228"/>
        <item x="664"/>
        <item x="115"/>
        <item x="2351"/>
        <item x="2230"/>
        <item x="130"/>
        <item x="1535"/>
        <item x="1662"/>
        <item x="2277"/>
        <item x="1207"/>
        <item x="26"/>
        <item x="611"/>
        <item x="111"/>
        <item x="2107"/>
        <item x="645"/>
        <item x="300"/>
        <item x="268"/>
        <item x="2280"/>
        <item x="838"/>
        <item x="452"/>
        <item x="675"/>
        <item x="332"/>
        <item x="1185"/>
        <item x="1081"/>
        <item x="2485"/>
        <item x="1777"/>
        <item x="401"/>
        <item x="1444"/>
        <item x="1608"/>
        <item x="319"/>
        <item x="342"/>
        <item x="535"/>
        <item x="96"/>
        <item x="2440"/>
        <item x="1040"/>
        <item x="163"/>
        <item x="694"/>
        <item x="1264"/>
        <item x="1592"/>
        <item x="913"/>
        <item x="1377"/>
        <item x="1279"/>
        <item x="1524"/>
        <item x="601"/>
        <item x="1461"/>
        <item x="500"/>
        <item x="1775"/>
        <item x="1082"/>
        <item x="2046"/>
        <item x="2381"/>
        <item x="1074"/>
        <item x="2561"/>
        <item x="1977"/>
        <item x="1769"/>
        <item x="225"/>
        <item x="1625"/>
        <item x="672"/>
        <item x="2610"/>
        <item x="2365"/>
        <item x="2547"/>
        <item x="2187"/>
        <item x="2155"/>
        <item x="1596"/>
        <item x="175"/>
        <item x="1273"/>
        <item x="995"/>
        <item x="356"/>
        <item x="1758"/>
        <item x="1609"/>
        <item x="375"/>
        <item x="1497"/>
        <item x="801"/>
        <item x="2358"/>
        <item x="344"/>
        <item x="1926"/>
        <item x="1005"/>
        <item x="1846"/>
        <item x="1508"/>
        <item x="1073"/>
        <item x="2140"/>
        <item x="700"/>
        <item x="499"/>
        <item x="1632"/>
        <item x="763"/>
        <item x="1"/>
        <item x="560"/>
        <item x="70"/>
        <item x="314"/>
        <item x="1253"/>
        <item x="1180"/>
        <item x="667"/>
        <item x="83"/>
        <item x="104"/>
        <item x="213"/>
        <item x="266"/>
        <item x="2354"/>
        <item x="875"/>
        <item x="508"/>
        <item x="1016"/>
        <item x="1326"/>
        <item x="998"/>
        <item x="203"/>
        <item x="1050"/>
        <item x="1931"/>
        <item x="1464"/>
        <item x="1483"/>
        <item x="2385"/>
        <item x="1071"/>
        <item x="2270"/>
        <item x="986"/>
        <item x="1155"/>
        <item x="1715"/>
        <item x="1871"/>
        <item x="85"/>
        <item x="1689"/>
        <item x="2296"/>
        <item x="1648"/>
        <item x="1199"/>
        <item x="829"/>
        <item x="594"/>
        <item x="2286"/>
        <item x="522"/>
        <item x="2283"/>
        <item x="968"/>
        <item x="2403"/>
        <item x="2008"/>
        <item x="1595"/>
        <item x="819"/>
        <item x="1291"/>
        <item x="1923"/>
        <item x="2232"/>
        <item x="1164"/>
        <item x="997"/>
        <item x="2562"/>
        <item x="2193"/>
        <item x="1256"/>
        <item x="1174"/>
        <item x="734"/>
        <item x="2220"/>
        <item x="1349"/>
        <item x="219"/>
        <item x="1181"/>
        <item x="1486"/>
        <item x="599"/>
        <item x="2342"/>
        <item x="748"/>
        <item x="2350"/>
        <item x="247"/>
        <item x="248"/>
        <item x="1865"/>
        <item x="1737"/>
        <item x="27"/>
        <item x="10"/>
        <item x="1117"/>
        <item x="1133"/>
        <item x="432"/>
        <item x="1988"/>
        <item x="979"/>
        <item x="654"/>
        <item x="2628"/>
        <item x="605"/>
        <item x="2320"/>
        <item x="328"/>
        <item x="448"/>
        <item x="1903"/>
        <item x="976"/>
        <item x="2271"/>
        <item x="192"/>
        <item x="1004"/>
        <item x="412"/>
        <item x="1593"/>
        <item x="1379"/>
        <item x="884"/>
        <item x="1927"/>
        <item x="2604"/>
        <item x="2462"/>
        <item x="1930"/>
        <item x="2217"/>
        <item x="1622"/>
        <item x="2490"/>
        <item x="736"/>
        <item x="2433"/>
        <item x="2601"/>
        <item x="709"/>
        <item x="2441"/>
        <item x="2422"/>
        <item x="1022"/>
        <item x="513"/>
        <item x="405"/>
        <item x="1829"/>
        <item x="2565"/>
        <item x="1068"/>
        <item x="1826"/>
        <item x="2290"/>
        <item x="2189"/>
        <item x="2075"/>
        <item x="1684"/>
        <item x="505"/>
        <item x="23"/>
        <item x="1643"/>
        <item x="580"/>
        <item x="1701"/>
        <item x="90"/>
        <item x="1130"/>
        <item x="929"/>
        <item x="1325"/>
        <item x="1051"/>
        <item x="176"/>
        <item x="274"/>
        <item x="1358"/>
        <item x="1367"/>
        <item x="984"/>
        <item x="2179"/>
        <item x="133"/>
        <item x="1676"/>
        <item x="543"/>
        <item x="2203"/>
        <item x="1972"/>
        <item x="2214"/>
        <item x="251"/>
        <item x="2609"/>
        <item x="377"/>
        <item x="1895"/>
        <item x="1446"/>
        <item x="1280"/>
        <item x="2352"/>
        <item x="41"/>
        <item x="249"/>
        <item x="53"/>
        <item x="1743"/>
        <item x="2572"/>
        <item x="1830"/>
        <item x="1147"/>
        <item x="42"/>
        <item x="896"/>
        <item x="1009"/>
        <item x="51"/>
        <item x="1555"/>
        <item x="156"/>
        <item x="1346"/>
        <item x="1726"/>
        <item x="29"/>
        <item x="2023"/>
        <item x="905"/>
        <item x="2418"/>
        <item x="820"/>
        <item x="727"/>
        <item x="2436"/>
        <item x="1156"/>
        <item x="1115"/>
        <item x="1052"/>
        <item x="122"/>
        <item x="158"/>
        <item x="429"/>
        <item x="1452"/>
        <item x="358"/>
        <item x="2009"/>
        <item x="232"/>
        <item x="1964"/>
        <item x="2173"/>
        <item x="1054"/>
        <item x="2086"/>
        <item x="1037"/>
        <item x="2038"/>
        <item x="701"/>
        <item x="1013"/>
        <item x="1161"/>
        <item x="2318"/>
        <item x="1019"/>
        <item x="1039"/>
        <item x="728"/>
        <item x="321"/>
        <item x="1598"/>
        <item x="952"/>
        <item x="411"/>
        <item x="1159"/>
        <item x="912"/>
        <item x="2313"/>
        <item x="648"/>
        <item x="570"/>
        <item x="756"/>
        <item x="1058"/>
        <item x="2225"/>
        <item x="1749"/>
        <item x="2233"/>
        <item x="2258"/>
        <item x="1906"/>
        <item x="1502"/>
        <item x="922"/>
        <item x="2570"/>
        <item x="602"/>
        <item x="1198"/>
        <item x="1132"/>
        <item x="1196"/>
        <item x="872"/>
        <item x="1300"/>
        <item x="531"/>
        <item x="1384"/>
        <item x="1382"/>
        <item x="1394"/>
        <item x="941"/>
        <item x="2143"/>
        <item x="2402"/>
        <item x="1109"/>
        <item x="1415"/>
        <item x="88"/>
        <item x="310"/>
        <item x="136"/>
        <item x="1455"/>
        <item x="1008"/>
        <item x="2617"/>
        <item x="290"/>
        <item x="234"/>
        <item x="765"/>
        <item x="63"/>
        <item x="2043"/>
        <item x="2571"/>
        <item x="1744"/>
        <item x="1936"/>
        <item x="2169"/>
        <item x="2449"/>
        <item x="2577"/>
        <item x="2170"/>
        <item x="1537"/>
        <item x="572"/>
        <item x="2493"/>
        <item x="450"/>
        <item x="1402"/>
        <item x="2053"/>
        <item x="2409"/>
        <item x="1112"/>
        <item x="1230"/>
        <item x="2432"/>
        <item x="302"/>
        <item x="1188"/>
        <item x="387"/>
        <item x="286"/>
        <item x="1414"/>
        <item x="1260"/>
        <item x="1224"/>
        <item x="869"/>
        <item x="1805"/>
        <item x="1301"/>
        <item x="657"/>
        <item x="1633"/>
        <item x="2546"/>
        <item x="933"/>
        <item x="2455"/>
        <item x="866"/>
        <item x="1938"/>
        <item x="2171"/>
        <item x="2573"/>
        <item x="686"/>
        <item x="585"/>
        <item x="2574"/>
        <item x="1571"/>
        <item x="1215"/>
        <item x="1565"/>
        <item x="577"/>
        <item x="779"/>
        <item x="2518"/>
        <item x="1460"/>
        <item x="1183"/>
        <item x="1580"/>
        <item x="1397"/>
        <item x="782"/>
        <item x="921"/>
        <item x="2575"/>
        <item x="639"/>
        <item x="1603"/>
        <item x="1530"/>
        <item x="1336"/>
        <item x="1628"/>
        <item x="1531"/>
        <item x="2301"/>
        <item x="2047"/>
        <item x="769"/>
        <item x="1462"/>
        <item x="1532"/>
        <item x="2453"/>
        <item x="114"/>
        <item x="2454"/>
        <item x="796"/>
        <item x="680"/>
        <item x="2346"/>
        <item x="1002"/>
        <item x="1838"/>
        <item x="1605"/>
        <item x="1429"/>
        <item x="618"/>
        <item x="1522"/>
        <item x="1583"/>
        <item x="646"/>
        <item x="1794"/>
        <item x="498"/>
        <item x="126"/>
        <item x="853"/>
        <item x="333"/>
        <item x="688"/>
        <item x="1396"/>
        <item x="348"/>
        <item x="2221"/>
        <item x="2098"/>
        <item x="2588"/>
        <item x="1747"/>
        <item x="1835"/>
        <item x="1771"/>
        <item x="2578"/>
        <item x="2637"/>
        <item x="2364"/>
        <item x="1564"/>
        <item x="1042"/>
        <item x="837"/>
        <item x="64"/>
        <item x="1833"/>
        <item x="712"/>
        <item x="936"/>
        <item x="1026"/>
        <item x="312"/>
        <item x="152"/>
        <item x="604"/>
        <item x="2197"/>
        <item x="1817"/>
        <item x="215"/>
        <item x="1783"/>
        <item x="2614"/>
        <item x="288"/>
        <item x="2034"/>
        <item x="340"/>
        <item x="1373"/>
        <item x="868"/>
        <item x="1239"/>
        <item x="2380"/>
        <item x="808"/>
        <item x="1819"/>
        <item x="1114"/>
        <item x="334"/>
        <item x="593"/>
        <item x="62"/>
        <item x="30"/>
        <item x="1032"/>
        <item x="185"/>
        <item x="2208"/>
        <item x="793"/>
        <item x="722"/>
        <item x="466"/>
        <item x="1031"/>
        <item x="1591"/>
        <item x="1321"/>
        <item x="206"/>
        <item x="1664"/>
        <item x="304"/>
        <item x="730"/>
        <item x="473"/>
        <item x="1388"/>
        <item x="1763"/>
        <item x="1611"/>
        <item x="1200"/>
        <item x="66"/>
        <item x="2226"/>
        <item x="1823"/>
        <item x="1078"/>
        <item x="131"/>
        <item x="1457"/>
        <item x="541"/>
        <item x="544"/>
        <item x="437"/>
        <item x="1463"/>
        <item x="2104"/>
        <item x="1935"/>
        <item x="581"/>
        <item x="772"/>
        <item x="428"/>
        <item x="1746"/>
        <item x="649"/>
        <item x="270"/>
        <item x="1666"/>
        <item x="1357"/>
        <item x="1240"/>
        <item x="671"/>
        <item x="993"/>
        <item x="479"/>
        <item x="281"/>
        <item x="988"/>
        <item x="1290"/>
        <item x="2"/>
        <item x="318"/>
        <item x="1150"/>
        <item x="673"/>
        <item x="1259"/>
        <item x="957"/>
        <item x="1999"/>
        <item x="47"/>
        <item x="173"/>
        <item x="2272"/>
        <item x="1381"/>
        <item x="2478"/>
        <item x="631"/>
        <item x="2329"/>
        <item x="1412"/>
        <item x="899"/>
        <item x="1621"/>
        <item x="2235"/>
        <item x="2068"/>
        <item x="2005"/>
        <item x="75"/>
        <item x="687"/>
        <item x="132"/>
        <item x="1967"/>
        <item x="1406"/>
        <item x="810"/>
        <item x="1307"/>
        <item x="716"/>
        <item x="2234"/>
        <item x="771"/>
        <item x="399"/>
        <item x="612"/>
        <item x="2176"/>
        <item x="142"/>
        <item x="474"/>
        <item x="2566"/>
        <item x="1331"/>
        <item x="1582"/>
        <item x="2109"/>
        <item x="1730"/>
        <item x="789"/>
        <item x="1821"/>
        <item x="626"/>
        <item x="551"/>
        <item x="773"/>
        <item x="241"/>
        <item x="1947"/>
        <item x="1857"/>
        <item x="202"/>
        <item x="48"/>
        <item x="1707"/>
        <item x="18"/>
        <item x="2545"/>
        <item x="569"/>
        <item x="1765"/>
        <item x="2344"/>
        <item x="195"/>
        <item x="1673"/>
        <item x="2177"/>
        <item x="1778"/>
        <item x="1295"/>
        <item x="1637"/>
        <item x="2259"/>
        <item x="690"/>
        <item x="1681"/>
        <item x="292"/>
        <item x="2183"/>
        <item x="1677"/>
        <item x="1678"/>
        <item x="431"/>
        <item x="632"/>
        <item x="1780"/>
        <item x="2168"/>
        <item x="1167"/>
        <item x="2580"/>
        <item x="325"/>
        <item x="157"/>
        <item x="2541"/>
        <item x="376"/>
        <item x="1311"/>
        <item x="878"/>
        <item x="1313"/>
        <item x="2024"/>
        <item x="445"/>
        <item x="682"/>
        <item x="1030"/>
        <item x="2556"/>
        <item x="949"/>
        <item x="468"/>
        <item x="1660"/>
        <item x="223"/>
        <item x="1178"/>
        <item x="1736"/>
        <item x="2033"/>
        <item x="1324"/>
        <item x="129"/>
        <item x="885"/>
        <item x="1741"/>
        <item x="406"/>
        <item x="1529"/>
        <item x="703"/>
        <item x="2322"/>
        <item x="210"/>
        <item x="31"/>
        <item x="97"/>
        <item x="865"/>
        <item x="245"/>
        <item x="1968"/>
        <item x="359"/>
        <item x="2212"/>
        <item x="1033"/>
        <item x="1011"/>
        <item x="1254"/>
        <item x="294"/>
        <item x="1981"/>
        <item x="781"/>
        <item x="380"/>
        <item x="1210"/>
        <item x="2240"/>
        <item x="1888"/>
        <item x="640"/>
        <item x="651"/>
        <item x="946"/>
        <item x="2459"/>
        <item x="556"/>
        <item x="1131"/>
        <item x="969"/>
        <item x="2336"/>
        <item x="1788"/>
        <item x="2372"/>
        <item x="2327"/>
        <item x="733"/>
        <item x="109"/>
        <item x="1776"/>
        <item x="220"/>
        <item x="638"/>
        <item x="2285"/>
        <item x="2338"/>
        <item x="1103"/>
        <item x="2260"/>
        <item x="2284"/>
        <item x="1682"/>
        <item x="1812"/>
        <item x="2405"/>
        <item x="1233"/>
        <item x="753"/>
        <item x="134"/>
        <item x="613"/>
        <item x="2499"/>
        <item x="296"/>
        <item x="441"/>
        <item x="799"/>
        <item x="1066"/>
        <item x="1104"/>
        <item x="637"/>
        <item x="610"/>
        <item x="1866"/>
        <item x="809"/>
        <item x="341"/>
        <item x="324"/>
        <item x="161"/>
        <item x="720"/>
        <item x="17"/>
        <item x="739"/>
        <item x="1209"/>
        <item x="1165"/>
        <item x="1577"/>
        <item x="891"/>
        <item x="2243"/>
        <item x="2216"/>
        <item x="1212"/>
        <item x="1327"/>
        <item x="2015"/>
        <item x="1320"/>
        <item x="2070"/>
        <item x="2185"/>
        <item x="1426"/>
        <item x="2334"/>
        <item x="1289"/>
        <item x="1453"/>
        <item x="1067"/>
        <item x="2465"/>
        <item x="2531"/>
        <item x="259"/>
        <item x="460"/>
        <item x="904"/>
        <item x="841"/>
        <item x="1699"/>
        <item x="107"/>
        <item x="2542"/>
        <item x="2311"/>
        <item x="1408"/>
        <item x="1975"/>
        <item x="1145"/>
        <item x="1060"/>
        <item x="1479"/>
        <item x="1909"/>
        <item x="971"/>
        <item x="478"/>
        <item x="1417"/>
        <item x="1411"/>
        <item x="2211"/>
        <item x="2307"/>
        <item x="1944"/>
        <item x="2308"/>
        <item x="2049"/>
        <item x="1751"/>
        <item x="1127"/>
        <item x="1784"/>
        <item x="2163"/>
        <item x="1735"/>
        <item x="564"/>
        <item x="364"/>
        <item x="35"/>
        <item x="2584"/>
        <item x="458"/>
        <item x="696"/>
        <item x="726"/>
        <item x="1036"/>
        <item x="1934"/>
        <item x="1789"/>
        <item x="2004"/>
        <item x="1618"/>
        <item x="2619"/>
        <item x="695"/>
        <item x="2325"/>
        <item x="1334"/>
        <item x="2489"/>
        <item x="1994"/>
        <item x="1716"/>
        <item x="2139"/>
        <item x="540"/>
        <item x="1753"/>
        <item x="1842"/>
        <item x="1754"/>
        <item x="2587"/>
        <item x="1755"/>
        <item x="1945"/>
        <item x="2306"/>
        <item x="2050"/>
        <item x="1480"/>
        <item x="1447"/>
        <item x="221"/>
        <item x="1978"/>
        <item x="1338"/>
        <item x="366"/>
        <item x="527"/>
        <item x="28"/>
        <item x="934"/>
        <item x="2555"/>
        <item x="2051"/>
        <item x="1732"/>
        <item x="2589"/>
        <item x="2357"/>
        <item x="2236"/>
        <item x="2590"/>
        <item x="2467"/>
        <item x="1675"/>
        <item x="705"/>
        <item x="1274"/>
        <item x="2255"/>
        <item x="2188"/>
        <item x="1697"/>
        <item x="953"/>
        <item x="123"/>
        <item x="961"/>
        <item x="252"/>
        <item x="2055"/>
        <item x="2056"/>
        <item x="2057"/>
        <item x="2058"/>
        <item x="887"/>
        <item x="1287"/>
        <item x="2059"/>
        <item x="2060"/>
        <item x="525"/>
        <item x="125"/>
        <item x="1250"/>
        <item x="1759"/>
        <item x="456"/>
        <item x="1390"/>
        <item x="92"/>
        <item x="1332"/>
        <item x="1468"/>
        <item x="2037"/>
        <item x="1359"/>
        <item x="3"/>
        <item x="11"/>
        <item x="1624"/>
        <item x="1562"/>
        <item x="2515"/>
        <item x="1760"/>
        <item x="860"/>
        <item x="144"/>
        <item x="255"/>
        <item x="2180"/>
        <item x="1875"/>
        <item x="337"/>
        <item x="2293"/>
        <item x="2300"/>
        <item x="811"/>
        <item x="2579"/>
        <item x="1312"/>
        <item x="923"/>
        <item x="2190"/>
        <item x="2062"/>
        <item x="2472"/>
        <item x="1043"/>
        <item x="46"/>
        <item x="2314"/>
        <item x="1079"/>
        <item x="1850"/>
        <item x="870"/>
        <item x="1672"/>
        <item x="1762"/>
        <item x="191"/>
        <item x="1024"/>
        <item x="39"/>
        <item x="833"/>
        <item x="488"/>
        <item x="231"/>
        <item x="1228"/>
        <item x="76"/>
        <item x="1206"/>
        <item x="295"/>
        <item x="824"/>
        <item x="788"/>
        <item x="261"/>
        <item x="72"/>
        <item x="1488"/>
        <item x="1986"/>
        <item x="435"/>
        <item x="1727"/>
        <item x="1649"/>
        <item x="2593"/>
        <item x="598"/>
        <item x="2192"/>
        <item x="586"/>
        <item x="459"/>
        <item x="1191"/>
        <item x="2315"/>
        <item x="1335"/>
        <item x="1245"/>
        <item x="1953"/>
        <item x="1044"/>
        <item x="1954"/>
        <item x="2066"/>
        <item x="32"/>
        <item x="1045"/>
        <item x="924"/>
        <item x="1539"/>
        <item x="370"/>
        <item x="1955"/>
        <item x="2316"/>
        <item x="1956"/>
        <item x="276"/>
        <item x="1851"/>
        <item x="1852"/>
        <item x="2595"/>
        <item x="1080"/>
        <item x="1853"/>
        <item x="755"/>
        <item x="1046"/>
        <item x="102"/>
        <item x="2194"/>
        <item x="1192"/>
        <item x="240"/>
        <item x="2195"/>
        <item x="1136"/>
        <item x="925"/>
        <item x="1854"/>
        <item x="1540"/>
        <item x="327"/>
        <item x="1393"/>
        <item x="1137"/>
        <item x="1541"/>
        <item x="697"/>
        <item x="2206"/>
        <item x="2172"/>
        <item x="558"/>
        <item x="1337"/>
        <item x="668"/>
        <item x="1472"/>
        <item x="1246"/>
        <item x="1613"/>
        <item x="1542"/>
        <item x="371"/>
        <item x="1766"/>
        <item x="669"/>
        <item x="1006"/>
        <item x="413"/>
        <item x="277"/>
        <item x="1007"/>
        <item x="2476"/>
        <item x="2477"/>
        <item x="2370"/>
        <item x="1552"/>
        <item x="916"/>
        <item x="1860"/>
        <item x="1344"/>
        <item x="2596"/>
        <item x="1473"/>
        <item x="2069"/>
        <item x="2196"/>
        <item x="150"/>
        <item x="347"/>
        <item x="2071"/>
        <item x="2319"/>
        <item x="1047"/>
        <item x="1958"/>
        <item x="285"/>
        <item x="182"/>
        <item x="2423"/>
        <item x="2408"/>
        <item x="1328"/>
        <item x="2597"/>
        <item x="1075"/>
        <item x="2328"/>
        <item x="1420"/>
        <item x="1808"/>
        <item x="1189"/>
        <item x="1679"/>
        <item x="55"/>
        <item x="1767"/>
        <item x="2198"/>
        <item x="2479"/>
        <item x="1194"/>
        <item x="135"/>
        <item x="1247"/>
        <item x="2598"/>
        <item x="1959"/>
        <item x="1960"/>
        <item x="2366"/>
        <item x="825"/>
        <item x="684"/>
        <item x="2074"/>
        <item x="906"/>
        <item x="919"/>
        <item x="1302"/>
        <item x="1631"/>
        <item x="476"/>
        <item x="2543"/>
        <item x="128"/>
        <item x="402"/>
        <item x="73"/>
        <item x="196"/>
        <item x="1680"/>
        <item x="1385"/>
        <item x="2199"/>
        <item x="503"/>
        <item x="935"/>
        <item x="674"/>
        <item x="2480"/>
        <item x="509"/>
        <item x="2093"/>
        <item x="33"/>
        <item x="306"/>
        <item x="2599"/>
        <item x="59"/>
        <item x="1092"/>
        <item x="1106"/>
        <item x="372"/>
        <item x="1124"/>
        <item x="486"/>
        <item x="1691"/>
        <item x="1010"/>
        <item x="1586"/>
        <item x="2064"/>
        <item x="991"/>
        <item x="630"/>
        <item x="2501"/>
        <item x="2537"/>
        <item x="2471"/>
        <item x="236"/>
        <item x="2076"/>
        <item x="2326"/>
        <item x="1725"/>
        <item x="331"/>
        <item x="666"/>
        <item x="1469"/>
        <item x="617"/>
        <item x="1278"/>
        <item x="165"/>
        <item x="2583"/>
        <item x="2361"/>
        <item x="554"/>
        <item x="1734"/>
        <item x="1090"/>
        <item x="482"/>
        <item x="835"/>
        <item x="624"/>
        <item x="454"/>
        <item x="410"/>
        <item x="1176"/>
        <item x="579"/>
        <item x="1525"/>
        <item x="1205"/>
        <item x="641"/>
        <item x="1849"/>
        <item x="732"/>
        <item x="282"/>
        <item x="258"/>
        <item x="197"/>
        <item x="2414"/>
        <item x="2419"/>
        <item x="1348"/>
        <item x="1739"/>
        <item x="1527"/>
        <item x="1965"/>
        <item x="826"/>
        <item x="1134"/>
        <item x="2082"/>
        <item x="1659"/>
        <item x="591"/>
        <item x="1590"/>
        <item x="2560"/>
        <item x="1190"/>
        <item x="36"/>
        <item x="603"/>
        <item x="2340"/>
        <item x="518"/>
        <item x="561"/>
        <item x="741"/>
        <item x="506"/>
        <item x="15"/>
        <item x="856"/>
        <item x="2339"/>
        <item x="754"/>
        <item x="2323"/>
        <item x="1435"/>
        <item x="954"/>
        <item x="537"/>
        <item x="1538"/>
        <item x="1048"/>
        <item x="2207"/>
        <item x="2100"/>
        <item x="1712"/>
        <item x="1018"/>
        <item x="2166"/>
        <item x="689"/>
        <item x="1650"/>
        <item x="804"/>
        <item x="805"/>
        <item x="2624"/>
        <item x="1635"/>
        <item x="68"/>
        <item x="2456"/>
        <item x="369"/>
        <item x="2160"/>
        <item x="1859"/>
        <item x="487"/>
        <item x="2395"/>
        <item x="2282"/>
        <item x="2460"/>
        <item x="1551"/>
        <item x="2494"/>
        <item x="493"/>
        <item x="1298"/>
        <item x="818"/>
        <item x="1395"/>
        <item x="607"/>
        <item x="1099"/>
        <item x="2263"/>
        <item x="1634"/>
        <item x="807"/>
        <item x="390"/>
        <item x="1476"/>
        <item x="188"/>
        <item x="1772"/>
        <item x="1340"/>
        <item x="489"/>
        <item x="2079"/>
        <item x="2080"/>
        <item x="2261"/>
        <item x="1518"/>
        <item x="566"/>
        <item x="6"/>
        <item x="22"/>
        <item x="1035"/>
        <item x="65"/>
        <item x="2298"/>
        <item x="419"/>
        <item x="920"/>
        <item x="1534"/>
        <item x="421"/>
        <item x="190"/>
        <item x="2186"/>
        <item x="2591"/>
        <item x="2063"/>
        <item x="433"/>
        <item x="2014"/>
        <item x="670"/>
        <item x="230"/>
        <item x="490"/>
        <item x="105"/>
        <item x="1864"/>
        <item x="151"/>
        <item x="1208"/>
        <item x="2498"/>
        <item x="2363"/>
        <item x="1877"/>
        <item x="847"/>
        <item x="1510"/>
        <item x="2451"/>
        <item x="416"/>
        <item x="1559"/>
        <item x="542"/>
        <item x="2594"/>
        <item x="465"/>
        <item x="514"/>
        <item x="1120"/>
        <item x="960"/>
        <item x="1575"/>
        <item x="417"/>
        <item x="170"/>
        <item x="1976"/>
        <item x="2360"/>
        <item x="139"/>
        <item x="831"/>
        <item x="775"/>
        <item x="155"/>
        <item x="634"/>
        <item x="355"/>
        <item x="665"/>
        <item x="2505"/>
        <item x="34"/>
        <item x="1170"/>
        <item x="1284"/>
        <item x="2174"/>
        <item x="477"/>
        <item x="491"/>
        <item x="2094"/>
        <item x="1688"/>
        <item x="1516"/>
        <item x="803"/>
        <item x="1925"/>
        <item x="2303"/>
        <item x="877"/>
        <item x="725"/>
        <item x="1911"/>
        <item x="1316"/>
        <item x="2581"/>
        <item x="1310"/>
        <item x="1774"/>
        <item x="1482"/>
        <item x="2586"/>
        <item x="8"/>
        <item x="552"/>
        <item x="548"/>
        <item x="2620"/>
        <item x="2341"/>
        <item x="1756"/>
        <item x="1128"/>
        <item x="2246"/>
        <item x="1116"/>
        <item x="615"/>
        <item x="388"/>
        <item x="1123"/>
        <item x="894"/>
        <item x="1083"/>
        <item x="2473"/>
        <item x="269"/>
        <item x="1088"/>
        <item x="2265"/>
        <item x="1620"/>
        <item x="309"/>
        <item x="260"/>
        <item x="391"/>
        <item x="625"/>
        <item x="2611"/>
        <item x="2332"/>
        <item x="426"/>
        <item x="895"/>
        <item x="1973"/>
        <item x="1907"/>
        <item x="2210"/>
        <item x="1401"/>
        <item x="1202"/>
        <item x="681"/>
        <item x="242"/>
        <item x="1579"/>
        <item x="1952"/>
        <item x="983"/>
        <item x="790"/>
        <item x="184"/>
        <item x="849"/>
        <item x="442"/>
        <item x="2021"/>
        <item x="1692"/>
        <item x="898"/>
        <item x="2458"/>
        <item x="1713"/>
        <item x="1578"/>
        <item x="1883"/>
        <item x="2399"/>
        <item x="1107"/>
        <item x="1937"/>
        <item x="1481"/>
        <item x="1125"/>
        <item x="2085"/>
        <item x="1380"/>
        <item x="2224"/>
        <item x="2103"/>
        <item x="1822"/>
        <item x="2474"/>
        <item x="985"/>
        <item x="1803"/>
        <item x="743"/>
        <item x="1653"/>
        <item x="616"/>
        <item x="1549"/>
        <item x="2411"/>
        <item x="1231"/>
        <item x="1436"/>
        <item x="1696"/>
        <item x="1267"/>
        <item x="970"/>
        <item x="1430"/>
        <item x="2299"/>
        <item x="267"/>
        <item x="1752"/>
        <item x="2142"/>
        <item x="1038"/>
        <item x="1275"/>
        <item x="1561"/>
        <item x="1858"/>
        <item x="1490"/>
        <item x="1553"/>
        <item x="2218"/>
        <item x="888"/>
        <item x="1768"/>
        <item x="198"/>
        <item x="1144"/>
        <item x="1292"/>
        <item x="2087"/>
        <item x="2088"/>
        <item x="106"/>
        <item x="576"/>
        <item x="794"/>
        <item x="827"/>
        <item x="1915"/>
        <item x="1148"/>
        <item x="1657"/>
        <item x="939"/>
        <item x="1139"/>
        <item x="1910"/>
        <item x="469"/>
        <item x="635"/>
        <item x="1933"/>
        <item x="832"/>
        <item x="263"/>
        <item x="443"/>
        <item x="485"/>
        <item x="2437"/>
        <item x="1449"/>
        <item x="1283"/>
        <item x="707"/>
        <item x="1782"/>
        <item x="2495"/>
        <item x="480"/>
        <item x="301"/>
        <item x="1362"/>
        <item x="345"/>
        <item x="1750"/>
        <item x="1519"/>
        <item x="147"/>
        <item x="2444"/>
        <item x="265"/>
        <item x="2482"/>
        <item x="735"/>
        <item x="1227"/>
        <item x="227"/>
        <item x="2253"/>
        <item x="973"/>
        <item x="830"/>
        <item x="886"/>
        <item x="628"/>
        <item x="1285"/>
        <item x="1940"/>
        <item x="2461"/>
        <item x="797"/>
        <item x="1950"/>
        <item x="1193"/>
        <item x="1630"/>
        <item x="1874"/>
        <item x="693"/>
        <item x="677"/>
        <item x="1265"/>
        <item x="110"/>
        <item x="2512"/>
        <item x="2613"/>
        <item x="650"/>
        <item x="24"/>
        <item x="893"/>
        <item x="160"/>
        <item x="2165"/>
        <item x="2446"/>
        <item x="293"/>
        <item x="1087"/>
        <item x="1929"/>
        <item x="346"/>
        <item x="1665"/>
        <item x="1404"/>
        <item x="1523"/>
        <item x="471"/>
        <item x="467"/>
        <item x="1694"/>
        <item x="226"/>
        <item x="1711"/>
        <item x="2557"/>
        <item x="2448"/>
        <item x="2241"/>
        <item x="1998"/>
        <item x="2415"/>
        <item x="501"/>
        <item x="836"/>
        <item x="1405"/>
        <item x="1587"/>
        <item x="1248"/>
        <item x="2404"/>
        <item x="2491"/>
        <item x="659"/>
        <item x="1845"/>
        <item x="278"/>
        <item x="1403"/>
        <item x="633"/>
        <item x="2091"/>
        <item x="2343"/>
        <item x="2092"/>
        <item x="86"/>
        <item x="1627"/>
        <item x="1296"/>
        <item x="1255"/>
        <item x="2215"/>
        <item x="179"/>
        <item x="60"/>
        <item x="2153"/>
        <item x="1655"/>
        <item x="1422"/>
        <item x="113"/>
        <item x="2102"/>
        <item x="395"/>
        <item x="627"/>
        <item x="43"/>
        <item x="1478"/>
        <item x="382"/>
        <item x="747"/>
        <item x="2442"/>
        <item x="1948"/>
        <item x="1151"/>
        <item x="710"/>
        <item x="1297"/>
        <item x="1942"/>
        <item x="2133"/>
        <item x="2496"/>
        <item x="2039"/>
        <item x="786"/>
        <item x="1533"/>
        <item x="1785"/>
        <item x="752"/>
        <item x="711"/>
        <item x="1445"/>
        <item x="336"/>
        <item x="1943"/>
        <item x="2048"/>
        <item x="854"/>
        <item x="271"/>
        <item x="363"/>
        <item x="1843"/>
        <item x="2209"/>
        <item x="2475"/>
        <item x="1091"/>
        <item x="2492"/>
        <item x="1489"/>
        <item x="233"/>
        <item x="967"/>
        <item x="931"/>
        <item x="82"/>
        <item x="1175"/>
        <item x="455"/>
        <item x="2061"/>
        <item x="2607"/>
        <item x="958"/>
        <item x="1951"/>
        <item x="1602"/>
        <item x="1863"/>
        <item x="287"/>
        <item x="45"/>
        <item x="2035"/>
        <item x="523"/>
        <item x="840"/>
        <item x="1623"/>
        <item x="101"/>
        <item x="495"/>
        <item x="425"/>
        <item x="2483"/>
        <item x="975"/>
        <item x="1710"/>
        <item x="162"/>
        <item x="857"/>
        <item x="1172"/>
        <item x="2149"/>
        <item x="2279"/>
        <item x="1828"/>
        <item x="2297"/>
        <item x="1607"/>
        <item x="320"/>
        <item x="2592"/>
        <item x="774"/>
        <item x="600"/>
        <item x="224"/>
        <item x="647"/>
        <item x="1146"/>
        <item x="1491"/>
        <item x="1350"/>
        <item x="783"/>
        <item x="653"/>
        <item x="764"/>
        <item x="483"/>
        <item x="2634"/>
        <item x="497"/>
        <item x="194"/>
        <item x="2095"/>
        <item x="1220"/>
        <item x="444"/>
        <item x="1086"/>
        <item x="977"/>
        <item x="19"/>
        <item x="534"/>
        <item x="1818"/>
        <item x="1663"/>
        <item x="264"/>
        <item x="512"/>
        <item x="2438"/>
        <item x="1121"/>
        <item x="1685"/>
        <item x="538"/>
        <item x="862"/>
        <item x="164"/>
        <item x="145"/>
        <item x="1847"/>
        <item x="1616"/>
        <item x="1966"/>
        <item x="307"/>
        <item x="112"/>
        <item x="517"/>
        <item x="461"/>
        <item x="1015"/>
        <item x="2239"/>
        <item x="453"/>
        <item x="1574"/>
        <item x="1601"/>
        <item x="1683"/>
        <item x="284"/>
        <item x="37"/>
        <item x="817"/>
        <item x="275"/>
        <item x="892"/>
        <item x="1059"/>
        <item x="186"/>
        <item x="930"/>
        <item x="1266"/>
        <item x="338"/>
        <item x="1740"/>
        <item x="207"/>
        <item x="2136"/>
        <item x="940"/>
        <item x="1963"/>
        <item x="530"/>
        <item x="533"/>
        <item x="908"/>
        <item x="1985"/>
        <item x="597"/>
        <item x="1049"/>
        <item x="1695"/>
        <item x="507"/>
        <item x="350"/>
        <item x="1029"/>
        <item x="740"/>
        <item x="414"/>
        <item x="1781"/>
        <item x="415"/>
        <item x="2435"/>
        <item x="2373"/>
        <item x="1970"/>
        <item x="559"/>
        <item x="718"/>
        <item x="2550"/>
        <item x="663"/>
        <item x="98"/>
        <item x="608"/>
        <item x="2237"/>
        <item x="2412"/>
        <item x="950"/>
        <item x="1872"/>
        <item x="2539"/>
        <item x="571"/>
        <item x="1216"/>
        <item x="1703"/>
        <item x="1242"/>
        <item x="1651"/>
        <item x="2138"/>
        <item x="1918"/>
        <item x="2447"/>
        <item x="1916"/>
        <item x="1153"/>
        <item x="999"/>
        <item x="2302"/>
        <item x="2369"/>
        <item x="521"/>
        <item x="526"/>
        <item x="926"/>
        <item x="1318"/>
        <item x="800"/>
        <item x="621"/>
        <item x="1126"/>
        <item x="1234"/>
        <item x="1921"/>
        <item x="349"/>
        <item x="2374"/>
        <item x="2257"/>
        <item x="1652"/>
        <item x="1314"/>
        <item x="787"/>
        <item x="1456"/>
        <item x="2407"/>
        <item x="1614"/>
        <item x="140"/>
        <item x="2294"/>
        <item x="2031"/>
        <item x="1868"/>
        <item x="2219"/>
        <item x="1690"/>
        <item x="95"/>
        <item x="683"/>
        <item x="354"/>
        <item x="178"/>
        <item x="1606"/>
        <item x="1957"/>
        <item x="2333"/>
        <item x="843"/>
        <item x="2612"/>
        <item x="1884"/>
        <item x="1093"/>
        <item x="1076"/>
        <item x="2054"/>
        <item x="1055"/>
        <item x="2281"/>
        <item x="2504"/>
        <item x="2222"/>
        <item x="1880"/>
        <item x="982"/>
        <item x="918"/>
        <item x="463"/>
        <item x="1236"/>
        <item x="917"/>
        <item x="956"/>
        <item x="1841"/>
        <item x="2052"/>
        <item x="972"/>
        <item x="1992"/>
        <item x="2615"/>
        <item x="13"/>
        <item x="1232"/>
        <item x="1474"/>
        <item x="1195"/>
        <item x="481"/>
        <item x="2184"/>
        <item x="1370"/>
        <item x="143"/>
        <item x="1421"/>
        <item x="1869"/>
        <item x="1626"/>
        <item x="339"/>
        <item x="658"/>
        <item x="2266"/>
        <item x="714"/>
        <item x="1108"/>
        <item x="963"/>
        <item x="937"/>
        <item x="1702"/>
        <item x="1982"/>
        <item x="1629"/>
        <item x="1492"/>
        <item x="2621"/>
        <item x="777"/>
        <item x="1569"/>
        <item x="2304"/>
        <item x="1904"/>
        <item x="54"/>
        <item x="2431"/>
        <item x="1536"/>
        <item x="1383"/>
        <item x="1494"/>
        <item x="2111"/>
        <item x="2144"/>
        <item x="698"/>
        <item x="1946"/>
        <item x="352"/>
        <item x="1617"/>
        <item x="394"/>
        <item x="2167"/>
        <item x="2486"/>
        <item x="167"/>
        <item x="1072"/>
        <item x="2132"/>
        <item x="367"/>
        <item x="2481"/>
        <item x="1589"/>
        <item x="1392"/>
        <item x="852"/>
        <item x="1610"/>
        <item x="731"/>
        <item x="1949"/>
        <item x="305"/>
        <item x="398"/>
        <item x="1837"/>
        <item x="138"/>
        <item x="2605"/>
        <item x="409"/>
        <item x="1969"/>
        <item x="103"/>
        <item x="1861"/>
        <item x="58"/>
        <item x="494"/>
        <item x="1353"/>
        <item x="871"/>
        <item x="1213"/>
        <item x="1450"/>
        <item x="246"/>
        <item x="1458"/>
        <item x="2569"/>
        <item x="1351"/>
        <item x="2227"/>
        <item x="623"/>
        <item x="2410"/>
        <item x="397"/>
        <item x="1581"/>
        <item x="996"/>
        <item x="751"/>
        <item x="1941"/>
        <item x="1333"/>
        <item x="802"/>
        <item x="146"/>
        <item x="1014"/>
        <item x="49"/>
        <item x="897"/>
        <item x="1793"/>
        <item x="9"/>
        <item x="2028"/>
        <item x="93"/>
        <item x="945"/>
        <item x="863"/>
        <item x="1896"/>
        <item x="308"/>
        <item x="1204"/>
        <item x="715"/>
        <item x="1876"/>
        <item x="762"/>
        <item x="2145"/>
        <item x="1182"/>
        <item x="1094"/>
        <item x="504"/>
        <item x="1615"/>
        <item x="1095"/>
        <item x="760"/>
        <item x="1993"/>
        <item x="2097"/>
        <item x="927"/>
        <item x="1832"/>
        <item x="1704"/>
        <item x="1105"/>
        <item x="1020"/>
        <item x="166"/>
        <item x="2484"/>
        <item x="430"/>
        <item x="2502"/>
        <item x="1786"/>
        <item x="1498"/>
        <item x="193"/>
        <item x="1096"/>
        <item x="2503"/>
        <item x="422"/>
        <item x="2463"/>
        <item x="1021"/>
        <item x="2312"/>
        <item x="1599"/>
        <item x="1218"/>
        <item x="1001"/>
        <item x="50"/>
        <item x="2567"/>
        <item x="2118"/>
        <item x="1061"/>
        <item x="1804"/>
        <item x="1560"/>
        <item x="2355"/>
        <item x="1706"/>
        <item x="1556"/>
        <item x="1356"/>
        <item x="2083"/>
        <item x="38"/>
        <item x="1084"/>
        <item x="676"/>
        <item x="322"/>
        <item x="903"/>
        <item x="77"/>
        <item x="326"/>
        <item x="1995"/>
        <item x="2506"/>
        <item x="2507"/>
        <item x="1996"/>
        <item x="1418"/>
        <item x="1997"/>
        <item x="1419"/>
        <item x="1354"/>
        <item x="187"/>
        <item x="222"/>
        <item x="1219"/>
        <item x="1304"/>
        <item x="462"/>
        <item x="1820"/>
        <item x="1548"/>
        <item x="1856"/>
        <item x="1416"/>
        <item x="374"/>
        <item x="317"/>
        <item x="1989"/>
        <item x="574"/>
        <item x="1493"/>
        <item x="100"/>
        <item x="614"/>
        <item x="1471"/>
        <item x="974"/>
        <item x="1400"/>
        <item x="256"/>
        <item x="2268"/>
        <item x="2413"/>
        <item x="1322"/>
        <item x="80"/>
        <item x="662"/>
        <item x="1387"/>
        <item x="368"/>
        <item x="1467"/>
        <item x="56"/>
        <item x="502"/>
        <item x="2349"/>
        <item x="449"/>
        <item x="587"/>
        <item x="844"/>
        <item x="1991"/>
        <item x="547"/>
        <item x="149"/>
        <item x="1157"/>
        <item x="2376"/>
        <item x="1717"/>
        <item x="2375"/>
        <item x="1221"/>
        <item x="1355"/>
        <item x="1839"/>
        <item x="2552"/>
        <item x="2517"/>
        <item x="257"/>
        <item x="1658"/>
        <item x="589"/>
        <item x="1141"/>
        <item x="1315"/>
        <item x="2162"/>
        <item x="1834"/>
        <item x="1495"/>
        <item x="644"/>
        <item x="978"/>
        <item x="2013"/>
        <item x="708"/>
        <item x="496"/>
        <item x="990"/>
        <item x="1714"/>
        <item x="901"/>
        <item x="1378"/>
        <item x="555"/>
        <item x="418"/>
        <item x="776"/>
        <item x="2090"/>
        <item x="1792"/>
        <item x="1252"/>
        <item x="567"/>
        <item x="2424"/>
        <item x="528"/>
        <item x="2367"/>
        <item x="2262"/>
        <item x="1293"/>
        <item x="717"/>
        <item x="2040"/>
        <item x="1500"/>
        <item x="2627"/>
        <item x="2003"/>
        <item x="1708"/>
        <item x="1434"/>
        <item x="704"/>
        <item x="758"/>
        <item x="385"/>
        <item x="761"/>
        <item x="440"/>
        <item x="742"/>
        <item x="1303"/>
        <item x="2509"/>
        <item x="529"/>
        <item x="1097"/>
        <item x="1879"/>
        <item x="812"/>
        <item x="1098"/>
        <item x="2510"/>
        <item x="2558"/>
        <item x="520"/>
        <item x="2606"/>
        <item x="2383"/>
        <item x="137"/>
        <item x="942"/>
        <item x="545"/>
        <item x="2331"/>
        <item x="1110"/>
        <item x="2602"/>
        <item x="1306"/>
        <item x="2625"/>
        <item x="1341"/>
        <item x="2084"/>
        <item x="2393"/>
        <item x="79"/>
        <item x="1674"/>
        <item x="199"/>
        <item x="723"/>
        <item x="1636"/>
        <item x="1806"/>
        <item x="1496"/>
        <item x="2608"/>
        <item x="2362"/>
        <item x="153"/>
        <item x="99"/>
        <item x="1487"/>
        <item x="200"/>
        <item x="1053"/>
        <item x="457"/>
        <item x="539"/>
        <item x="174"/>
        <item x="361"/>
        <item x="201"/>
        <item x="1855"/>
        <item x="1138"/>
        <item x="943"/>
        <item x="183"/>
        <item x="573"/>
        <item x="702"/>
        <item x="1698"/>
        <item x="2337"/>
        <item x="842"/>
        <item x="1223"/>
        <item x="1003"/>
        <item x="2025"/>
        <item x="595"/>
        <item x="69"/>
        <item x="965"/>
        <item x="61"/>
        <item x="1798"/>
        <item x="2508"/>
        <item x="798"/>
        <item x="729"/>
        <item x="882"/>
        <item x="883"/>
        <item x="828"/>
        <item x="691"/>
        <item x="2622"/>
        <item x="2513"/>
        <item x="1882"/>
        <item x="1638"/>
        <item x="1790"/>
        <item x="87"/>
        <item x="2377"/>
        <item x="2514"/>
        <item x="2623"/>
        <item x="2242"/>
        <item x="253"/>
        <item x="2110"/>
        <item x="813"/>
        <item x="2006"/>
        <item x="655"/>
        <item x="315"/>
        <item x="362"/>
        <item x="1503"/>
        <item x="218"/>
        <item x="2244"/>
        <item x="1791"/>
        <item x="1639"/>
        <item x="2378"/>
        <item x="74"/>
        <item x="656"/>
        <item x="1423"/>
        <item x="84"/>
        <item x="2379"/>
        <item x="204"/>
        <item x="785"/>
        <item x="408"/>
        <item x="2112"/>
        <item x="1424"/>
        <item x="1361"/>
        <item x="2391"/>
        <item x="4"/>
        <item x="938"/>
        <item x="1149"/>
        <item x="329"/>
        <item x="1932"/>
        <item x="1670"/>
        <item x="1504"/>
        <item x="120"/>
        <item x="2245"/>
        <item x="1505"/>
        <item x="1507"/>
        <item x="1506"/>
        <item x="2428"/>
        <item x="2161"/>
        <item x="2626"/>
        <item x="2388"/>
        <item x="2007"/>
        <item x="2156"/>
        <item x="1257"/>
        <item x="2113"/>
        <item x="1168"/>
        <item x="750"/>
        <item x="1563"/>
        <item x="2616"/>
        <item x="1520"/>
        <item x="1647"/>
        <item x="851"/>
        <item x="766"/>
        <item x="1437"/>
        <item x="992"/>
        <item x="52"/>
        <item x="2564"/>
        <item x="1827"/>
        <item x="1526"/>
        <item x="1745"/>
        <item x="1844"/>
        <item x="864"/>
        <item x="2067"/>
        <item x="2324"/>
        <item x="1413"/>
        <item x="2213"/>
        <item x="1063"/>
        <item x="1566"/>
        <item x="1389"/>
        <item x="1249"/>
        <item x="2108"/>
        <item x="845"/>
        <item x="575"/>
        <item x="420"/>
        <item x="1244"/>
        <item x="475"/>
        <item x="492"/>
        <item x="1100"/>
        <item x="1160"/>
        <item x="2117"/>
        <item x="2384"/>
        <item x="873"/>
        <item x="464"/>
        <item x="2519"/>
        <item x="1795"/>
        <item x="2520"/>
        <item x="944"/>
        <item x="2521"/>
        <item x="2247"/>
        <item x="2248"/>
        <item x="180"/>
        <item x="744"/>
        <item x="1890"/>
        <item x="1718"/>
        <item x="2386"/>
        <item x="1891"/>
        <item x="1268"/>
        <item x="373"/>
        <item x="2387"/>
        <item x="814"/>
        <item x="1893"/>
        <item x="846"/>
        <item x="1360"/>
        <item x="1363"/>
        <item x="2629"/>
        <item x="1641"/>
        <item x="1269"/>
        <item x="2126"/>
        <item x="1451"/>
        <item x="2010"/>
        <item x="2249"/>
        <item x="2522"/>
        <item x="2368"/>
        <item x="1796"/>
        <item x="2630"/>
        <item x="2119"/>
        <item x="119"/>
        <item x="2523"/>
        <item x="2389"/>
        <item x="620"/>
        <item x="2250"/>
        <item x="381"/>
        <item x="2390"/>
        <item x="1364"/>
        <item x="1509"/>
        <item x="1427"/>
        <item x="2392"/>
        <item x="2011"/>
        <item x="2012"/>
        <item x="1286"/>
        <item x="902"/>
        <item x="2524"/>
        <item x="609"/>
        <item x="1894"/>
        <item x="1764"/>
        <item x="1229"/>
        <item x="768"/>
        <item x="2251"/>
        <item x="2631"/>
        <item x="1720"/>
        <item x="254"/>
        <item x="1308"/>
        <item x="848"/>
        <item x="1309"/>
        <item x="1797"/>
        <item x="2394"/>
        <item x="2527"/>
        <item x="2525"/>
        <item x="2120"/>
        <item x="279"/>
        <item x="2201"/>
        <item x="1738"/>
        <item x="759"/>
        <item x="1897"/>
        <item x="1270"/>
        <item x="2526"/>
        <item x="1023"/>
        <item x="2528"/>
        <item x="1428"/>
        <item x="1898"/>
        <item x="2632"/>
        <item x="874"/>
        <item x="964"/>
        <item x="1671"/>
        <item x="784"/>
        <item x="2469"/>
        <item x="2164"/>
        <item x="1017"/>
        <item x="980"/>
        <item x="1721"/>
        <item x="2081"/>
        <item x="622"/>
        <item x="1961"/>
        <item x="2529"/>
        <item x="1899"/>
        <item x="2121"/>
        <item x="1511"/>
        <item x="745"/>
        <item x="2633"/>
        <item x="578"/>
        <item x="1512"/>
        <item x="2122"/>
        <item x="2553"/>
        <item x="1902"/>
        <item x="2000"/>
        <item x="1143"/>
        <item x="1129"/>
        <item x="357"/>
        <item x="1870"/>
        <item x="1770"/>
        <item x="1668"/>
        <item x="1258"/>
        <item x="2204"/>
        <item x="1169"/>
        <item x="2500"/>
        <item x="1914"/>
        <item x="1873"/>
        <item x="2396"/>
        <item x="1041"/>
        <item x="2181"/>
        <item x="2530"/>
        <item x="2252"/>
        <item x="815"/>
        <item x="1900"/>
        <item x="2016"/>
        <item x="2123"/>
        <item x="280"/>
        <item x="719"/>
        <item x="1568"/>
        <item x="2635"/>
        <item x="2636"/>
        <item x="330"/>
        <item x="2017"/>
        <item x="1644"/>
        <item x="816"/>
        <item x="1366"/>
        <item x="2124"/>
        <item x="1723"/>
        <item x="1513"/>
        <item x="565"/>
        <item x="1570"/>
        <item x="1064"/>
        <item x="1800"/>
        <item x="2125"/>
        <item x="2532"/>
        <item x="2533"/>
        <item x="1901"/>
        <item x="2397"/>
        <item x="25"/>
        <item x="2398"/>
        <item x="303"/>
        <item x="159"/>
        <item x="1432"/>
        <item x="1214"/>
        <item x="1514"/>
        <item x="2254"/>
        <item x="484"/>
        <item x="1840"/>
        <item x="2317"/>
        <item x="1184"/>
        <item x="2127"/>
        <item x="244"/>
        <item x="1801"/>
        <item x="297"/>
        <item x="1802"/>
        <item x="14"/>
        <item x="2128"/>
        <item x="1892"/>
        <item x="947"/>
        <item x="2129"/>
        <item x="1572"/>
        <item x="1065"/>
        <item x="423"/>
        <item x="2400"/>
        <item x="2018"/>
        <item x="746"/>
        <item x="1025"/>
        <item x="2401"/>
        <item x="1102"/>
        <item x="550"/>
        <item x="1162"/>
        <item x="2534"/>
        <item x="1573"/>
        <item x="2535"/>
        <item x="2536"/>
        <item x="2137"/>
        <item x="323"/>
        <item x="2256"/>
        <item x="2288"/>
        <item x="1485"/>
        <item x="588"/>
        <item x="1558"/>
        <item t="default"/>
      </items>
    </pivotField>
    <pivotField dataField="1" showAll="0">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Average of age" fld="4" subtotal="average" baseField="0" baseItem="0"/>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212625-E11A-43C2-99EA-B64C0C94A13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Names">
  <location ref="A1:B12" firstHeaderRow="1" firstDataRow="1" firstDataCol="1"/>
  <pivotFields count="31">
    <pivotField showAll="0">
      <items count="2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dataField="1" showAll="0" sortType="ascending"/>
    <pivotField showAll="0"/>
    <pivotField axis="axisRow" showAll="0" measureFilter="1" sortType="ascending">
      <items count="2639">
        <item x="1558"/>
        <item x="588"/>
        <item x="1485"/>
        <item x="2288"/>
        <item x="2256"/>
        <item x="323"/>
        <item x="2137"/>
        <item x="2536"/>
        <item x="2535"/>
        <item x="1573"/>
        <item x="2534"/>
        <item x="1162"/>
        <item x="550"/>
        <item x="1102"/>
        <item x="2401"/>
        <item x="1025"/>
        <item x="746"/>
        <item x="2018"/>
        <item x="2400"/>
        <item x="423"/>
        <item x="1065"/>
        <item x="1572"/>
        <item x="2129"/>
        <item x="947"/>
        <item x="1892"/>
        <item x="2128"/>
        <item x="14"/>
        <item x="1802"/>
        <item x="297"/>
        <item x="1801"/>
        <item x="244"/>
        <item x="2127"/>
        <item x="1184"/>
        <item x="2317"/>
        <item x="1840"/>
        <item x="484"/>
        <item x="2254"/>
        <item x="1514"/>
        <item x="1214"/>
        <item x="1432"/>
        <item x="159"/>
        <item x="303"/>
        <item x="2398"/>
        <item x="25"/>
        <item x="2397"/>
        <item x="1901"/>
        <item x="2533"/>
        <item x="2532"/>
        <item x="2125"/>
        <item x="1800"/>
        <item x="1064"/>
        <item x="1570"/>
        <item x="565"/>
        <item x="1513"/>
        <item x="1723"/>
        <item x="2124"/>
        <item x="1366"/>
        <item x="816"/>
        <item x="1644"/>
        <item x="2017"/>
        <item x="330"/>
        <item x="2636"/>
        <item x="2635"/>
        <item x="1568"/>
        <item x="719"/>
        <item x="280"/>
        <item x="2123"/>
        <item x="2016"/>
        <item x="1900"/>
        <item x="815"/>
        <item x="2252"/>
        <item x="2530"/>
        <item x="2181"/>
        <item x="1041"/>
        <item x="2396"/>
        <item x="1873"/>
        <item x="1914"/>
        <item x="2500"/>
        <item x="1169"/>
        <item x="2204"/>
        <item x="1258"/>
        <item x="1668"/>
        <item x="1770"/>
        <item x="1870"/>
        <item x="357"/>
        <item x="1129"/>
        <item x="1143"/>
        <item x="2000"/>
        <item x="1902"/>
        <item x="2553"/>
        <item x="2122"/>
        <item x="1512"/>
        <item x="578"/>
        <item x="2633"/>
        <item x="745"/>
        <item x="1511"/>
        <item x="2121"/>
        <item x="1899"/>
        <item x="2529"/>
        <item x="1961"/>
        <item x="622"/>
        <item x="2081"/>
        <item x="1721"/>
        <item x="980"/>
        <item x="1017"/>
        <item x="2164"/>
        <item x="2469"/>
        <item x="784"/>
        <item x="1671"/>
        <item x="964"/>
        <item x="874"/>
        <item x="2632"/>
        <item x="1898"/>
        <item x="1428"/>
        <item x="2528"/>
        <item x="1023"/>
        <item x="2526"/>
        <item x="1270"/>
        <item x="1897"/>
        <item x="759"/>
        <item x="1738"/>
        <item x="2201"/>
        <item x="279"/>
        <item x="2120"/>
        <item x="2525"/>
        <item x="2527"/>
        <item x="2394"/>
        <item x="1797"/>
        <item x="1309"/>
        <item x="848"/>
        <item x="1308"/>
        <item x="254"/>
        <item x="1720"/>
        <item x="2631"/>
        <item x="2251"/>
        <item x="768"/>
        <item x="1229"/>
        <item x="1764"/>
        <item x="1894"/>
        <item x="609"/>
        <item x="2524"/>
        <item x="902"/>
        <item x="1286"/>
        <item x="2012"/>
        <item x="2011"/>
        <item x="2392"/>
        <item x="1427"/>
        <item x="1509"/>
        <item x="1364"/>
        <item x="2390"/>
        <item x="381"/>
        <item x="2250"/>
        <item x="620"/>
        <item x="2389"/>
        <item x="2523"/>
        <item x="119"/>
        <item x="2119"/>
        <item x="2630"/>
        <item x="1796"/>
        <item x="2368"/>
        <item x="2522"/>
        <item x="2249"/>
        <item x="2010"/>
        <item x="1451"/>
        <item x="2126"/>
        <item x="1269"/>
        <item x="1641"/>
        <item x="2629"/>
        <item x="1363"/>
        <item x="1360"/>
        <item x="846"/>
        <item x="1893"/>
        <item x="814"/>
        <item x="2387"/>
        <item x="373"/>
        <item x="1268"/>
        <item x="1891"/>
        <item x="2386"/>
        <item x="1718"/>
        <item x="1890"/>
        <item x="744"/>
        <item x="180"/>
        <item x="2248"/>
        <item x="2247"/>
        <item x="2521"/>
        <item x="944"/>
        <item x="2520"/>
        <item x="1795"/>
        <item x="2519"/>
        <item x="464"/>
        <item x="873"/>
        <item x="2384"/>
        <item x="2117"/>
        <item x="1160"/>
        <item x="1100"/>
        <item x="492"/>
        <item x="475"/>
        <item x="1244"/>
        <item x="420"/>
        <item x="575"/>
        <item x="845"/>
        <item x="2108"/>
        <item x="1249"/>
        <item x="1389"/>
        <item x="1566"/>
        <item x="1063"/>
        <item x="2213"/>
        <item x="1413"/>
        <item x="2324"/>
        <item x="2067"/>
        <item x="864"/>
        <item x="1844"/>
        <item x="1745"/>
        <item x="1526"/>
        <item x="1827"/>
        <item x="2564"/>
        <item x="52"/>
        <item x="992"/>
        <item x="1437"/>
        <item x="766"/>
        <item x="851"/>
        <item x="1647"/>
        <item x="1520"/>
        <item x="2616"/>
        <item x="1563"/>
        <item x="750"/>
        <item x="1168"/>
        <item x="2113"/>
        <item x="1257"/>
        <item x="2156"/>
        <item x="2007"/>
        <item x="2388"/>
        <item x="2626"/>
        <item x="2161"/>
        <item x="2428"/>
        <item x="1506"/>
        <item x="1507"/>
        <item x="1505"/>
        <item x="2245"/>
        <item x="120"/>
        <item x="1504"/>
        <item x="1670"/>
        <item x="1932"/>
        <item x="329"/>
        <item x="1149"/>
        <item x="938"/>
        <item sd="0" x="4"/>
        <item x="2391"/>
        <item x="1361"/>
        <item x="1424"/>
        <item x="2112"/>
        <item x="408"/>
        <item x="785"/>
        <item x="204"/>
        <item x="2379"/>
        <item x="84"/>
        <item x="1423"/>
        <item x="656"/>
        <item x="74"/>
        <item x="2378"/>
        <item x="1639"/>
        <item x="1791"/>
        <item x="2244"/>
        <item x="218"/>
        <item x="1503"/>
        <item x="362"/>
        <item x="315"/>
        <item x="655"/>
        <item x="2006"/>
        <item x="813"/>
        <item x="2110"/>
        <item x="253"/>
        <item x="2242"/>
        <item x="2623"/>
        <item x="2514"/>
        <item x="2377"/>
        <item x="87"/>
        <item x="1790"/>
        <item x="1638"/>
        <item x="1882"/>
        <item x="2513"/>
        <item x="2622"/>
        <item x="691"/>
        <item x="828"/>
        <item x="883"/>
        <item x="882"/>
        <item x="729"/>
        <item x="798"/>
        <item x="2508"/>
        <item x="1798"/>
        <item x="61"/>
        <item x="965"/>
        <item x="69"/>
        <item x="595"/>
        <item x="2025"/>
        <item x="1003"/>
        <item x="1223"/>
        <item x="842"/>
        <item x="2337"/>
        <item x="1698"/>
        <item x="702"/>
        <item x="573"/>
        <item x="183"/>
        <item x="943"/>
        <item x="1138"/>
        <item x="1855"/>
        <item x="201"/>
        <item x="361"/>
        <item x="174"/>
        <item x="539"/>
        <item x="457"/>
        <item x="1053"/>
        <item x="200"/>
        <item x="1487"/>
        <item x="99"/>
        <item x="153"/>
        <item x="2362"/>
        <item x="2608"/>
        <item x="1496"/>
        <item x="1806"/>
        <item x="1636"/>
        <item x="723"/>
        <item x="199"/>
        <item x="1674"/>
        <item x="79"/>
        <item x="2393"/>
        <item x="2084"/>
        <item x="1341"/>
        <item x="2625"/>
        <item x="1306"/>
        <item x="2602"/>
        <item x="1110"/>
        <item x="2331"/>
        <item x="545"/>
        <item x="942"/>
        <item x="137"/>
        <item x="2383"/>
        <item x="2606"/>
        <item x="520"/>
        <item x="2558"/>
        <item x="2510"/>
        <item x="1098"/>
        <item x="812"/>
        <item x="1879"/>
        <item x="1097"/>
        <item x="529"/>
        <item x="2509"/>
        <item x="1303"/>
        <item x="742"/>
        <item x="440"/>
        <item x="761"/>
        <item x="385"/>
        <item x="758"/>
        <item x="704"/>
        <item x="1434"/>
        <item x="1708"/>
        <item x="2003"/>
        <item x="2627"/>
        <item x="1500"/>
        <item x="2040"/>
        <item x="717"/>
        <item x="1293"/>
        <item x="2262"/>
        <item x="2367"/>
        <item x="528"/>
        <item x="2424"/>
        <item x="567"/>
        <item x="1252"/>
        <item x="1792"/>
        <item x="2090"/>
        <item x="776"/>
        <item x="418"/>
        <item x="555"/>
        <item x="1378"/>
        <item x="901"/>
        <item x="1714"/>
        <item x="990"/>
        <item x="496"/>
        <item x="708"/>
        <item x="2013"/>
        <item x="978"/>
        <item x="644"/>
        <item x="1495"/>
        <item x="1834"/>
        <item x="2162"/>
        <item x="1315"/>
        <item x="1141"/>
        <item x="589"/>
        <item x="1658"/>
        <item x="257"/>
        <item x="2517"/>
        <item x="2552"/>
        <item x="1839"/>
        <item x="1355"/>
        <item x="1221"/>
        <item x="2375"/>
        <item x="1717"/>
        <item x="2376"/>
        <item x="1157"/>
        <item x="149"/>
        <item x="547"/>
        <item x="1991"/>
        <item x="844"/>
        <item x="587"/>
        <item x="449"/>
        <item x="2349"/>
        <item x="502"/>
        <item x="56"/>
        <item x="1467"/>
        <item x="368"/>
        <item x="1387"/>
        <item x="662"/>
        <item x="80"/>
        <item x="1322"/>
        <item x="2413"/>
        <item x="2268"/>
        <item x="256"/>
        <item x="1400"/>
        <item x="974"/>
        <item x="1471"/>
        <item x="614"/>
        <item x="100"/>
        <item x="1493"/>
        <item x="574"/>
        <item x="1989"/>
        <item x="317"/>
        <item x="374"/>
        <item x="1416"/>
        <item x="1856"/>
        <item x="1548"/>
        <item x="1820"/>
        <item x="462"/>
        <item x="1304"/>
        <item x="1219"/>
        <item x="222"/>
        <item x="187"/>
        <item x="1354"/>
        <item x="1419"/>
        <item x="1997"/>
        <item x="1418"/>
        <item x="1996"/>
        <item x="2507"/>
        <item x="2506"/>
        <item x="1995"/>
        <item x="326"/>
        <item x="77"/>
        <item x="903"/>
        <item x="322"/>
        <item x="676"/>
        <item x="1084"/>
        <item x="38"/>
        <item x="2083"/>
        <item x="1356"/>
        <item x="1556"/>
        <item x="1706"/>
        <item x="2355"/>
        <item x="1560"/>
        <item x="1804"/>
        <item x="1061"/>
        <item x="2118"/>
        <item x="2567"/>
        <item x="50"/>
        <item x="1001"/>
        <item x="1218"/>
        <item x="1599"/>
        <item x="2312"/>
        <item x="1021"/>
        <item x="2463"/>
        <item x="422"/>
        <item x="2503"/>
        <item x="1096"/>
        <item x="193"/>
        <item x="1498"/>
        <item x="1786"/>
        <item x="2502"/>
        <item x="430"/>
        <item x="2484"/>
        <item x="166"/>
        <item x="1020"/>
        <item x="1105"/>
        <item x="1704"/>
        <item x="1832"/>
        <item x="927"/>
        <item x="2097"/>
        <item x="1993"/>
        <item x="760"/>
        <item x="1095"/>
        <item x="1615"/>
        <item x="504"/>
        <item x="1094"/>
        <item x="1182"/>
        <item x="2145"/>
        <item x="762"/>
        <item x="1876"/>
        <item x="715"/>
        <item x="1204"/>
        <item x="308"/>
        <item x="1896"/>
        <item x="863"/>
        <item x="945"/>
        <item x="93"/>
        <item x="2028"/>
        <item sd="0" x="9"/>
        <item x="1793"/>
        <item x="897"/>
        <item x="49"/>
        <item x="1014"/>
        <item x="146"/>
        <item x="802"/>
        <item x="1333"/>
        <item x="1941"/>
        <item x="751"/>
        <item x="996"/>
        <item x="1581"/>
        <item x="397"/>
        <item x="2410"/>
        <item x="623"/>
        <item x="2227"/>
        <item x="1351"/>
        <item x="2569"/>
        <item x="1458"/>
        <item x="246"/>
        <item x="1450"/>
        <item x="1213"/>
        <item x="871"/>
        <item x="1353"/>
        <item x="494"/>
        <item x="58"/>
        <item x="1861"/>
        <item x="103"/>
        <item x="1969"/>
        <item x="409"/>
        <item x="2605"/>
        <item x="138"/>
        <item x="1837"/>
        <item x="398"/>
        <item x="305"/>
        <item x="1949"/>
        <item x="731"/>
        <item x="1610"/>
        <item x="852"/>
        <item x="1392"/>
        <item x="1589"/>
        <item x="2481"/>
        <item x="367"/>
        <item x="2132"/>
        <item x="1072"/>
        <item x="167"/>
        <item x="2486"/>
        <item x="2167"/>
        <item x="394"/>
        <item x="1617"/>
        <item x="352"/>
        <item x="1946"/>
        <item x="698"/>
        <item x="2144"/>
        <item x="2111"/>
        <item x="1494"/>
        <item x="1383"/>
        <item x="1536"/>
        <item x="2431"/>
        <item x="54"/>
        <item x="1904"/>
        <item x="2304"/>
        <item x="1569"/>
        <item x="777"/>
        <item x="2621"/>
        <item x="1492"/>
        <item x="1629"/>
        <item x="1982"/>
        <item x="1702"/>
        <item x="937"/>
        <item x="963"/>
        <item x="1108"/>
        <item x="714"/>
        <item x="2266"/>
        <item x="658"/>
        <item x="339"/>
        <item x="1626"/>
        <item x="1869"/>
        <item x="1421"/>
        <item x="143"/>
        <item x="1370"/>
        <item x="2184"/>
        <item x="481"/>
        <item x="1195"/>
        <item x="1474"/>
        <item x="1232"/>
        <item x="13"/>
        <item x="2615"/>
        <item x="1992"/>
        <item x="972"/>
        <item x="2052"/>
        <item x="1841"/>
        <item x="956"/>
        <item x="917"/>
        <item x="1236"/>
        <item x="463"/>
        <item x="918"/>
        <item x="982"/>
        <item x="1880"/>
        <item x="2222"/>
        <item x="2504"/>
        <item x="2281"/>
        <item x="1055"/>
        <item x="2054"/>
        <item x="1076"/>
        <item x="1093"/>
        <item x="1884"/>
        <item x="2612"/>
        <item x="843"/>
        <item x="2333"/>
        <item x="1957"/>
        <item x="1606"/>
        <item x="178"/>
        <item x="354"/>
        <item x="683"/>
        <item x="95"/>
        <item x="1690"/>
        <item x="2219"/>
        <item x="1868"/>
        <item x="2031"/>
        <item x="2294"/>
        <item x="140"/>
        <item x="1614"/>
        <item x="2407"/>
        <item x="1456"/>
        <item x="787"/>
        <item x="1314"/>
        <item x="1652"/>
        <item x="2257"/>
        <item x="2374"/>
        <item x="349"/>
        <item x="1921"/>
        <item x="1234"/>
        <item x="1126"/>
        <item x="621"/>
        <item x="800"/>
        <item x="1318"/>
        <item x="926"/>
        <item x="526"/>
        <item x="521"/>
        <item x="2369"/>
        <item x="2302"/>
        <item x="999"/>
        <item x="1153"/>
        <item x="1916"/>
        <item x="2447"/>
        <item x="1918"/>
        <item x="2138"/>
        <item x="1651"/>
        <item x="1242"/>
        <item x="1703"/>
        <item x="1216"/>
        <item x="571"/>
        <item x="2539"/>
        <item x="1872"/>
        <item x="950"/>
        <item x="2412"/>
        <item x="2237"/>
        <item x="608"/>
        <item x="98"/>
        <item x="663"/>
        <item x="2550"/>
        <item x="718"/>
        <item x="559"/>
        <item x="1970"/>
        <item x="2373"/>
        <item x="2435"/>
        <item x="415"/>
        <item x="1781"/>
        <item x="414"/>
        <item x="740"/>
        <item x="1029"/>
        <item x="350"/>
        <item x="507"/>
        <item x="1695"/>
        <item x="1049"/>
        <item x="597"/>
        <item x="1985"/>
        <item x="908"/>
        <item x="533"/>
        <item x="530"/>
        <item x="1963"/>
        <item x="940"/>
        <item x="2136"/>
        <item x="207"/>
        <item x="1740"/>
        <item x="338"/>
        <item x="1266"/>
        <item x="930"/>
        <item x="186"/>
        <item x="1059"/>
        <item x="892"/>
        <item x="275"/>
        <item x="817"/>
        <item x="37"/>
        <item x="284"/>
        <item x="1683"/>
        <item x="1601"/>
        <item x="1574"/>
        <item x="453"/>
        <item x="2239"/>
        <item x="1015"/>
        <item x="461"/>
        <item x="517"/>
        <item x="112"/>
        <item x="307"/>
        <item x="1966"/>
        <item x="1616"/>
        <item x="1847"/>
        <item x="145"/>
        <item x="164"/>
        <item x="862"/>
        <item x="538"/>
        <item x="1685"/>
        <item x="1121"/>
        <item x="2438"/>
        <item x="512"/>
        <item x="264"/>
        <item x="1663"/>
        <item x="1818"/>
        <item x="534"/>
        <item x="19"/>
        <item x="977"/>
        <item x="1086"/>
        <item x="444"/>
        <item x="1220"/>
        <item x="2095"/>
        <item x="194"/>
        <item x="497"/>
        <item x="2634"/>
        <item x="483"/>
        <item x="764"/>
        <item x="653"/>
        <item x="783"/>
        <item x="1350"/>
        <item x="1491"/>
        <item x="1146"/>
        <item x="647"/>
        <item x="224"/>
        <item x="600"/>
        <item x="774"/>
        <item x="2592"/>
        <item x="320"/>
        <item x="1607"/>
        <item x="2297"/>
        <item x="1828"/>
        <item x="2279"/>
        <item x="2149"/>
        <item x="1172"/>
        <item x="857"/>
        <item x="162"/>
        <item x="1710"/>
        <item x="975"/>
        <item x="2483"/>
        <item x="425"/>
        <item x="495"/>
        <item x="101"/>
        <item x="1623"/>
        <item x="840"/>
        <item x="523"/>
        <item x="2035"/>
        <item x="45"/>
        <item x="287"/>
        <item x="1863"/>
        <item x="1602"/>
        <item x="1951"/>
        <item x="958"/>
        <item x="2607"/>
        <item x="2061"/>
        <item x="455"/>
        <item x="1175"/>
        <item x="82"/>
        <item x="931"/>
        <item x="967"/>
        <item x="233"/>
        <item x="1489"/>
        <item x="2492"/>
        <item x="1091"/>
        <item x="2475"/>
        <item x="2209"/>
        <item x="1843"/>
        <item x="363"/>
        <item x="271"/>
        <item x="854"/>
        <item x="2048"/>
        <item x="1943"/>
        <item x="336"/>
        <item x="1445"/>
        <item x="711"/>
        <item x="752"/>
        <item x="1785"/>
        <item x="1533"/>
        <item x="786"/>
        <item x="2039"/>
        <item x="2496"/>
        <item x="2133"/>
        <item x="1942"/>
        <item x="1297"/>
        <item x="710"/>
        <item x="1151"/>
        <item x="1948"/>
        <item x="2442"/>
        <item x="747"/>
        <item x="382"/>
        <item x="1478"/>
        <item x="43"/>
        <item x="627"/>
        <item x="395"/>
        <item x="2102"/>
        <item x="113"/>
        <item x="1422"/>
        <item x="1655"/>
        <item x="2153"/>
        <item x="60"/>
        <item x="179"/>
        <item x="2215"/>
        <item x="1255"/>
        <item x="1296"/>
        <item x="1627"/>
        <item x="86"/>
        <item x="2092"/>
        <item x="2343"/>
        <item x="2091"/>
        <item x="633"/>
        <item x="1403"/>
        <item x="278"/>
        <item x="1845"/>
        <item x="659"/>
        <item x="2491"/>
        <item x="2404"/>
        <item x="1248"/>
        <item x="1587"/>
        <item x="1405"/>
        <item x="836"/>
        <item x="501"/>
        <item x="2415"/>
        <item x="1998"/>
        <item x="2241"/>
        <item x="2448"/>
        <item x="2557"/>
        <item x="1711"/>
        <item x="226"/>
        <item x="1694"/>
        <item x="467"/>
        <item x="471"/>
        <item x="1523"/>
        <item x="1404"/>
        <item x="1665"/>
        <item x="346"/>
        <item x="1929"/>
        <item x="1087"/>
        <item x="293"/>
        <item x="2446"/>
        <item x="2165"/>
        <item x="160"/>
        <item x="893"/>
        <item x="24"/>
        <item x="650"/>
        <item x="2613"/>
        <item x="2512"/>
        <item x="110"/>
        <item x="1265"/>
        <item x="677"/>
        <item x="693"/>
        <item x="1874"/>
        <item x="1630"/>
        <item x="1193"/>
        <item x="1950"/>
        <item x="797"/>
        <item x="2461"/>
        <item x="1940"/>
        <item x="1285"/>
        <item x="628"/>
        <item x="886"/>
        <item x="830"/>
        <item x="973"/>
        <item x="2253"/>
        <item x="227"/>
        <item x="1227"/>
        <item x="735"/>
        <item x="2482"/>
        <item x="265"/>
        <item x="2444"/>
        <item x="147"/>
        <item x="1519"/>
        <item x="1750"/>
        <item x="345"/>
        <item x="1362"/>
        <item x="301"/>
        <item x="480"/>
        <item x="2495"/>
        <item x="1782"/>
        <item x="707"/>
        <item x="1283"/>
        <item x="1449"/>
        <item x="2437"/>
        <item x="485"/>
        <item x="443"/>
        <item x="263"/>
        <item x="832"/>
        <item x="1933"/>
        <item x="635"/>
        <item x="469"/>
        <item x="1910"/>
        <item x="1139"/>
        <item x="939"/>
        <item x="1657"/>
        <item x="1148"/>
        <item x="1915"/>
        <item x="827"/>
        <item x="794"/>
        <item x="576"/>
        <item x="106"/>
        <item x="2088"/>
        <item x="2087"/>
        <item x="1292"/>
        <item x="1144"/>
        <item x="198"/>
        <item x="1768"/>
        <item x="888"/>
        <item x="2218"/>
        <item x="1553"/>
        <item x="1490"/>
        <item x="1858"/>
        <item x="1561"/>
        <item x="1275"/>
        <item x="1038"/>
        <item x="2142"/>
        <item x="1752"/>
        <item x="267"/>
        <item x="2299"/>
        <item x="1430"/>
        <item x="970"/>
        <item x="1267"/>
        <item x="1696"/>
        <item x="1436"/>
        <item x="1231"/>
        <item x="2411"/>
        <item x="1549"/>
        <item x="616"/>
        <item x="1653"/>
        <item x="743"/>
        <item x="1803"/>
        <item x="985"/>
        <item x="2474"/>
        <item x="1822"/>
        <item x="2103"/>
        <item x="2224"/>
        <item x="1380"/>
        <item x="2085"/>
        <item x="1125"/>
        <item x="1481"/>
        <item x="1937"/>
        <item x="1107"/>
        <item x="2399"/>
        <item x="1883"/>
        <item x="1578"/>
        <item x="1713"/>
        <item x="2458"/>
        <item x="898"/>
        <item x="1692"/>
        <item x="2021"/>
        <item x="442"/>
        <item x="849"/>
        <item x="184"/>
        <item x="790"/>
        <item x="983"/>
        <item x="1952"/>
        <item x="1579"/>
        <item x="242"/>
        <item x="681"/>
        <item x="1202"/>
        <item x="1401"/>
        <item x="2210"/>
        <item x="1907"/>
        <item x="1973"/>
        <item x="895"/>
        <item x="426"/>
        <item x="2332"/>
        <item x="2611"/>
        <item x="625"/>
        <item x="391"/>
        <item x="260"/>
        <item x="309"/>
        <item x="1620"/>
        <item x="2265"/>
        <item x="1088"/>
        <item x="269"/>
        <item x="2473"/>
        <item x="1083"/>
        <item x="894"/>
        <item x="1123"/>
        <item x="388"/>
        <item x="615"/>
        <item x="1116"/>
        <item x="2246"/>
        <item x="1128"/>
        <item x="1756"/>
        <item x="2341"/>
        <item x="2620"/>
        <item x="548"/>
        <item x="552"/>
        <item sd="0" x="8"/>
        <item x="2586"/>
        <item x="1482"/>
        <item x="1774"/>
        <item x="1310"/>
        <item x="2581"/>
        <item x="1316"/>
        <item x="1911"/>
        <item x="725"/>
        <item x="877"/>
        <item x="2303"/>
        <item x="1925"/>
        <item x="803"/>
        <item x="1516"/>
        <item x="1688"/>
        <item x="2094"/>
        <item x="491"/>
        <item x="477"/>
        <item x="2174"/>
        <item x="1284"/>
        <item x="1170"/>
        <item x="34"/>
        <item x="2505"/>
        <item x="665"/>
        <item x="355"/>
        <item x="634"/>
        <item x="155"/>
        <item x="775"/>
        <item x="831"/>
        <item x="139"/>
        <item x="2360"/>
        <item x="1976"/>
        <item x="170"/>
        <item x="417"/>
        <item x="1575"/>
        <item x="960"/>
        <item x="1120"/>
        <item x="514"/>
        <item x="465"/>
        <item x="2594"/>
        <item x="542"/>
        <item x="1559"/>
        <item x="416"/>
        <item x="2451"/>
        <item x="1510"/>
        <item x="847"/>
        <item x="1877"/>
        <item x="2363"/>
        <item x="2498"/>
        <item x="1208"/>
        <item x="151"/>
        <item x="1864"/>
        <item x="105"/>
        <item x="490"/>
        <item x="230"/>
        <item x="670"/>
        <item x="2014"/>
        <item x="433"/>
        <item x="2063"/>
        <item x="2591"/>
        <item x="2186"/>
        <item x="190"/>
        <item x="421"/>
        <item x="1534"/>
        <item x="920"/>
        <item x="419"/>
        <item x="2298"/>
        <item x="65"/>
        <item x="1035"/>
        <item x="22"/>
        <item sd="0" x="6"/>
        <item x="566"/>
        <item x="1518"/>
        <item x="2261"/>
        <item x="2080"/>
        <item x="2079"/>
        <item x="489"/>
        <item x="1340"/>
        <item x="1772"/>
        <item x="188"/>
        <item x="1476"/>
        <item x="390"/>
        <item x="807"/>
        <item x="1634"/>
        <item x="2263"/>
        <item x="1099"/>
        <item x="607"/>
        <item x="1395"/>
        <item x="818"/>
        <item x="1298"/>
        <item x="493"/>
        <item x="2494"/>
        <item x="1551"/>
        <item x="2460"/>
        <item x="2282"/>
        <item x="2395"/>
        <item x="487"/>
        <item x="1859"/>
        <item x="2160"/>
        <item x="369"/>
        <item x="2456"/>
        <item x="68"/>
        <item x="1635"/>
        <item x="2624"/>
        <item x="805"/>
        <item x="804"/>
        <item x="1650"/>
        <item x="689"/>
        <item x="2166"/>
        <item x="1018"/>
        <item x="1712"/>
        <item x="2100"/>
        <item x="2207"/>
        <item x="1048"/>
        <item x="1538"/>
        <item x="537"/>
        <item x="954"/>
        <item x="1435"/>
        <item x="2323"/>
        <item x="754"/>
        <item x="2339"/>
        <item x="856"/>
        <item x="15"/>
        <item x="506"/>
        <item x="741"/>
        <item x="561"/>
        <item x="518"/>
        <item x="2340"/>
        <item x="603"/>
        <item x="36"/>
        <item x="1190"/>
        <item x="2560"/>
        <item x="1590"/>
        <item x="591"/>
        <item x="1659"/>
        <item x="2082"/>
        <item x="1134"/>
        <item x="826"/>
        <item x="1965"/>
        <item x="1527"/>
        <item x="1739"/>
        <item x="1348"/>
        <item x="2419"/>
        <item x="2414"/>
        <item x="197"/>
        <item x="258"/>
        <item x="282"/>
        <item x="732"/>
        <item x="1849"/>
        <item x="641"/>
        <item x="1205"/>
        <item x="1525"/>
        <item x="579"/>
        <item x="1176"/>
        <item x="410"/>
        <item x="454"/>
        <item x="624"/>
        <item x="835"/>
        <item x="482"/>
        <item x="1090"/>
        <item x="1734"/>
        <item x="554"/>
        <item x="2361"/>
        <item x="2583"/>
        <item x="165"/>
        <item x="1278"/>
        <item x="617"/>
        <item x="1469"/>
        <item x="666"/>
        <item x="331"/>
        <item x="1725"/>
        <item x="2326"/>
        <item x="2076"/>
        <item x="236"/>
        <item x="2471"/>
        <item x="2537"/>
        <item x="2501"/>
        <item x="630"/>
        <item x="991"/>
        <item x="2064"/>
        <item x="1586"/>
        <item x="1010"/>
        <item x="1691"/>
        <item x="486"/>
        <item x="1124"/>
        <item x="372"/>
        <item x="1106"/>
        <item x="1092"/>
        <item x="59"/>
        <item x="2599"/>
        <item x="306"/>
        <item x="33"/>
        <item x="2093"/>
        <item x="509"/>
        <item x="2480"/>
        <item x="674"/>
        <item x="935"/>
        <item x="503"/>
        <item x="2199"/>
        <item x="1385"/>
        <item x="1680"/>
        <item x="196"/>
        <item x="73"/>
        <item x="402"/>
        <item x="128"/>
        <item x="2543"/>
        <item x="476"/>
        <item x="1631"/>
        <item x="1302"/>
        <item x="919"/>
        <item x="906"/>
        <item x="2074"/>
        <item x="684"/>
        <item x="825"/>
        <item x="2366"/>
        <item x="1960"/>
        <item x="1959"/>
        <item x="2598"/>
        <item x="1247"/>
        <item x="135"/>
        <item x="1194"/>
        <item x="2479"/>
        <item x="2198"/>
        <item x="1767"/>
        <item x="55"/>
        <item x="1679"/>
        <item x="1189"/>
        <item x="1808"/>
        <item x="1420"/>
        <item x="2328"/>
        <item x="1075"/>
        <item x="2597"/>
        <item x="1328"/>
        <item x="2408"/>
        <item x="2423"/>
        <item x="182"/>
        <item x="285"/>
        <item x="1958"/>
        <item x="1047"/>
        <item x="2319"/>
        <item x="2071"/>
        <item x="347"/>
        <item x="150"/>
        <item x="2196"/>
        <item x="2069"/>
        <item x="1473"/>
        <item x="2596"/>
        <item x="1344"/>
        <item x="1860"/>
        <item x="916"/>
        <item x="1552"/>
        <item x="2370"/>
        <item x="2477"/>
        <item x="2476"/>
        <item x="1007"/>
        <item x="277"/>
        <item x="413"/>
        <item x="1006"/>
        <item x="669"/>
        <item x="1766"/>
        <item x="371"/>
        <item x="1542"/>
        <item x="1613"/>
        <item x="1246"/>
        <item x="1472"/>
        <item x="668"/>
        <item x="1337"/>
        <item x="558"/>
        <item x="2172"/>
        <item x="2206"/>
        <item x="697"/>
        <item x="1541"/>
        <item x="1137"/>
        <item x="1393"/>
        <item x="327"/>
        <item x="1540"/>
        <item x="1854"/>
        <item x="925"/>
        <item x="1136"/>
        <item x="2195"/>
        <item x="240"/>
        <item x="1192"/>
        <item x="2194"/>
        <item x="102"/>
        <item x="1046"/>
        <item x="755"/>
        <item x="1853"/>
        <item x="1080"/>
        <item x="2595"/>
        <item x="1852"/>
        <item x="1851"/>
        <item x="276"/>
        <item x="1956"/>
        <item x="2316"/>
        <item x="1955"/>
        <item x="370"/>
        <item x="1539"/>
        <item x="924"/>
        <item x="1045"/>
        <item x="32"/>
        <item x="2066"/>
        <item x="1954"/>
        <item x="1044"/>
        <item x="1953"/>
        <item x="1245"/>
        <item x="1335"/>
        <item x="2315"/>
        <item x="1191"/>
        <item x="459"/>
        <item x="586"/>
        <item x="2192"/>
        <item x="598"/>
        <item x="2593"/>
        <item x="1649"/>
        <item x="1727"/>
        <item x="435"/>
        <item x="1986"/>
        <item x="1488"/>
        <item x="72"/>
        <item x="261"/>
        <item x="788"/>
        <item x="824"/>
        <item x="295"/>
        <item x="1206"/>
        <item x="76"/>
        <item x="1228"/>
        <item x="231"/>
        <item x="488"/>
        <item x="833"/>
        <item x="39"/>
        <item x="1024"/>
        <item x="191"/>
        <item x="1762"/>
        <item x="1672"/>
        <item x="870"/>
        <item x="1850"/>
        <item x="1079"/>
        <item x="2314"/>
        <item x="46"/>
        <item x="1043"/>
        <item x="2472"/>
        <item x="2062"/>
        <item x="2190"/>
        <item x="923"/>
        <item x="1312"/>
        <item x="2579"/>
        <item x="811"/>
        <item x="2300"/>
        <item x="2293"/>
        <item x="337"/>
        <item x="1875"/>
        <item x="2180"/>
        <item x="255"/>
        <item x="144"/>
        <item x="860"/>
        <item x="1760"/>
        <item x="2515"/>
        <item x="1562"/>
        <item x="1624"/>
        <item x="11"/>
        <item sd="0" x="3"/>
        <item x="1359"/>
        <item x="2037"/>
        <item x="1468"/>
        <item x="1332"/>
        <item x="92"/>
        <item x="1390"/>
        <item x="456"/>
        <item x="1759"/>
        <item x="1250"/>
        <item x="125"/>
        <item x="525"/>
        <item x="2060"/>
        <item x="2059"/>
        <item x="1287"/>
        <item x="887"/>
        <item x="2058"/>
        <item x="2057"/>
        <item x="2056"/>
        <item x="2055"/>
        <item x="252"/>
        <item x="961"/>
        <item x="123"/>
        <item x="953"/>
        <item x="1697"/>
        <item x="2188"/>
        <item x="2255"/>
        <item x="1274"/>
        <item x="705"/>
        <item x="1675"/>
        <item x="2467"/>
        <item x="2590"/>
        <item x="2236"/>
        <item x="2357"/>
        <item x="2589"/>
        <item x="1732"/>
        <item x="2051"/>
        <item x="2555"/>
        <item x="934"/>
        <item x="28"/>
        <item x="527"/>
        <item x="366"/>
        <item x="1338"/>
        <item x="1978"/>
        <item x="221"/>
        <item x="1447"/>
        <item x="1480"/>
        <item x="2050"/>
        <item x="2306"/>
        <item x="1945"/>
        <item x="1755"/>
        <item x="2587"/>
        <item x="1754"/>
        <item x="1842"/>
        <item x="1753"/>
        <item x="540"/>
        <item x="2139"/>
        <item x="1716"/>
        <item x="1994"/>
        <item x="2489"/>
        <item x="1334"/>
        <item x="2325"/>
        <item x="695"/>
        <item x="2619"/>
        <item x="1618"/>
        <item x="2004"/>
        <item x="1789"/>
        <item x="1934"/>
        <item x="1036"/>
        <item x="726"/>
        <item x="696"/>
        <item x="458"/>
        <item x="2584"/>
        <item x="35"/>
        <item x="364"/>
        <item x="564"/>
        <item x="1735"/>
        <item x="2163"/>
        <item x="1784"/>
        <item x="1127"/>
        <item x="1751"/>
        <item x="2049"/>
        <item x="2308"/>
        <item x="1944"/>
        <item x="2307"/>
        <item x="2211"/>
        <item x="1411"/>
        <item x="1417"/>
        <item x="478"/>
        <item x="971"/>
        <item x="1909"/>
        <item x="1479"/>
        <item x="1060"/>
        <item x="1145"/>
        <item x="1975"/>
        <item x="1408"/>
        <item x="2311"/>
        <item x="2542"/>
        <item x="107"/>
        <item x="1699"/>
        <item x="841"/>
        <item x="904"/>
        <item x="460"/>
        <item x="259"/>
        <item x="2531"/>
        <item x="2465"/>
        <item x="1067"/>
        <item x="1453"/>
        <item x="1289"/>
        <item x="2334"/>
        <item x="1426"/>
        <item x="2185"/>
        <item x="2070"/>
        <item x="1320"/>
        <item x="2015"/>
        <item x="1327"/>
        <item x="1212"/>
        <item x="2216"/>
        <item x="2243"/>
        <item x="891"/>
        <item x="1577"/>
        <item x="1165"/>
        <item x="1209"/>
        <item x="739"/>
        <item x="17"/>
        <item x="720"/>
        <item x="161"/>
        <item x="324"/>
        <item x="341"/>
        <item x="809"/>
        <item x="1866"/>
        <item x="610"/>
        <item x="637"/>
        <item x="1104"/>
        <item x="1066"/>
        <item x="799"/>
        <item x="441"/>
        <item x="296"/>
        <item x="2499"/>
        <item x="613"/>
        <item x="134"/>
        <item x="753"/>
        <item x="1233"/>
        <item x="2405"/>
        <item x="1812"/>
        <item x="1682"/>
        <item x="2284"/>
        <item x="2260"/>
        <item x="1103"/>
        <item x="2338"/>
        <item x="2285"/>
        <item x="638"/>
        <item x="220"/>
        <item x="1776"/>
        <item x="109"/>
        <item x="733"/>
        <item x="2327"/>
        <item x="2372"/>
        <item x="1788"/>
        <item x="2336"/>
        <item x="969"/>
        <item x="1131"/>
        <item x="556"/>
        <item x="2459"/>
        <item x="946"/>
        <item x="651"/>
        <item x="640"/>
        <item x="1888"/>
        <item x="2240"/>
        <item x="1210"/>
        <item x="380"/>
        <item x="781"/>
        <item x="1981"/>
        <item x="294"/>
        <item x="1254"/>
        <item x="1011"/>
        <item x="1033"/>
        <item x="2212"/>
        <item x="359"/>
        <item x="1968"/>
        <item x="245"/>
        <item x="865"/>
        <item x="97"/>
        <item x="31"/>
        <item x="210"/>
        <item x="2322"/>
        <item x="703"/>
        <item x="1529"/>
        <item x="406"/>
        <item x="1741"/>
        <item x="885"/>
        <item x="129"/>
        <item x="1324"/>
        <item x="2033"/>
        <item x="1736"/>
        <item x="1178"/>
        <item x="223"/>
        <item x="1660"/>
        <item x="468"/>
        <item x="949"/>
        <item x="2556"/>
        <item x="1030"/>
        <item x="682"/>
        <item x="445"/>
        <item x="2024"/>
        <item x="1313"/>
        <item x="878"/>
        <item x="1311"/>
        <item x="376"/>
        <item x="2541"/>
        <item x="157"/>
        <item x="325"/>
        <item x="2580"/>
        <item x="1167"/>
        <item x="2168"/>
        <item x="1780"/>
        <item x="632"/>
        <item x="431"/>
        <item x="1678"/>
        <item x="1677"/>
        <item x="2183"/>
        <item x="292"/>
        <item x="1681"/>
        <item x="690"/>
        <item x="2259"/>
        <item x="1637"/>
        <item x="1295"/>
        <item x="1778"/>
        <item x="2177"/>
        <item x="1673"/>
        <item x="195"/>
        <item x="2344"/>
        <item x="1765"/>
        <item x="569"/>
        <item x="2545"/>
        <item x="18"/>
        <item x="1707"/>
        <item x="48"/>
        <item x="202"/>
        <item x="1857"/>
        <item x="1947"/>
        <item x="241"/>
        <item x="773"/>
        <item x="551"/>
        <item x="626"/>
        <item x="1821"/>
        <item x="789"/>
        <item x="1730"/>
        <item x="2109"/>
        <item x="1582"/>
        <item x="1331"/>
        <item x="2566"/>
        <item x="474"/>
        <item x="142"/>
        <item x="2176"/>
        <item x="612"/>
        <item x="399"/>
        <item x="771"/>
        <item x="2234"/>
        <item x="716"/>
        <item x="1307"/>
        <item x="810"/>
        <item x="1406"/>
        <item x="1967"/>
        <item x="132"/>
        <item x="687"/>
        <item x="75"/>
        <item x="2005"/>
        <item x="2068"/>
        <item x="2235"/>
        <item x="1621"/>
        <item x="899"/>
        <item x="1412"/>
        <item x="2329"/>
        <item x="631"/>
        <item x="2478"/>
        <item x="1381"/>
        <item x="2272"/>
        <item x="173"/>
        <item x="47"/>
        <item x="1999"/>
        <item x="957"/>
        <item x="1259"/>
        <item x="673"/>
        <item x="1150"/>
        <item x="318"/>
        <item sd="0" x="2"/>
        <item x="1290"/>
        <item x="988"/>
        <item x="281"/>
        <item x="479"/>
        <item x="993"/>
        <item x="671"/>
        <item x="1240"/>
        <item x="1357"/>
        <item x="1666"/>
        <item x="270"/>
        <item x="649"/>
        <item x="1746"/>
        <item x="428"/>
        <item x="772"/>
        <item x="581"/>
        <item x="1935"/>
        <item x="2104"/>
        <item x="1463"/>
        <item x="437"/>
        <item x="544"/>
        <item x="541"/>
        <item x="1457"/>
        <item x="131"/>
        <item x="1078"/>
        <item x="1823"/>
        <item x="2226"/>
        <item x="66"/>
        <item x="1200"/>
        <item x="1611"/>
        <item x="1763"/>
        <item x="1388"/>
        <item x="473"/>
        <item x="730"/>
        <item x="304"/>
        <item x="1664"/>
        <item x="206"/>
        <item x="1321"/>
        <item x="1591"/>
        <item x="1031"/>
        <item x="466"/>
        <item x="722"/>
        <item x="793"/>
        <item x="2208"/>
        <item x="185"/>
        <item x="1032"/>
        <item x="30"/>
        <item x="62"/>
        <item x="593"/>
        <item x="334"/>
        <item x="1114"/>
        <item x="1819"/>
        <item x="808"/>
        <item x="2380"/>
        <item x="1239"/>
        <item x="868"/>
        <item x="1373"/>
        <item x="340"/>
        <item x="2034"/>
        <item x="288"/>
        <item x="2614"/>
        <item x="1783"/>
        <item x="215"/>
        <item x="1817"/>
        <item x="2197"/>
        <item x="604"/>
        <item x="152"/>
        <item x="312"/>
        <item x="1026"/>
        <item x="936"/>
        <item x="712"/>
        <item x="1833"/>
        <item x="64"/>
        <item x="837"/>
        <item x="1042"/>
        <item x="1564"/>
        <item x="2364"/>
        <item x="2637"/>
        <item x="2578"/>
        <item x="1771"/>
        <item x="1835"/>
        <item x="1747"/>
        <item x="2588"/>
        <item x="2098"/>
        <item x="2221"/>
        <item x="348"/>
        <item x="1396"/>
        <item x="688"/>
        <item x="333"/>
        <item x="853"/>
        <item x="126"/>
        <item x="498"/>
        <item x="1794"/>
        <item x="646"/>
        <item x="1583"/>
        <item x="1522"/>
        <item x="618"/>
        <item x="1429"/>
        <item x="1605"/>
        <item x="1838"/>
        <item x="1002"/>
        <item x="2346"/>
        <item x="680"/>
        <item x="796"/>
        <item x="2454"/>
        <item x="114"/>
        <item x="2453"/>
        <item x="1532"/>
        <item x="1462"/>
        <item x="769"/>
        <item x="2047"/>
        <item x="2301"/>
        <item x="1531"/>
        <item x="1628"/>
        <item x="1336"/>
        <item x="1530"/>
        <item x="1603"/>
        <item x="639"/>
        <item x="2575"/>
        <item x="921"/>
        <item x="782"/>
        <item x="1397"/>
        <item x="1580"/>
        <item x="1183"/>
        <item x="1460"/>
        <item x="2518"/>
        <item x="779"/>
        <item x="577"/>
        <item x="1565"/>
        <item x="1215"/>
        <item x="1571"/>
        <item x="2574"/>
        <item x="585"/>
        <item x="686"/>
        <item x="2573"/>
        <item x="2171"/>
        <item x="1938"/>
        <item x="866"/>
        <item x="2455"/>
        <item x="933"/>
        <item x="2546"/>
        <item x="1633"/>
        <item x="657"/>
        <item x="1301"/>
        <item x="1805"/>
        <item x="869"/>
        <item x="1224"/>
        <item x="1260"/>
        <item x="1414"/>
        <item x="286"/>
        <item x="387"/>
        <item x="1188"/>
        <item x="302"/>
        <item x="2432"/>
        <item x="1230"/>
        <item x="1112"/>
        <item x="2409"/>
        <item x="2053"/>
        <item x="1402"/>
        <item x="450"/>
        <item x="2493"/>
        <item x="572"/>
        <item x="1537"/>
        <item x="2170"/>
        <item x="2577"/>
        <item x="2449"/>
        <item x="2169"/>
        <item x="1936"/>
        <item x="1744"/>
        <item x="2571"/>
        <item x="2043"/>
        <item x="63"/>
        <item x="765"/>
        <item x="234"/>
        <item x="290"/>
        <item x="2617"/>
        <item x="1008"/>
        <item x="1455"/>
        <item x="136"/>
        <item x="310"/>
        <item x="88"/>
        <item x="1415"/>
        <item x="1109"/>
        <item x="2402"/>
        <item x="2143"/>
        <item x="941"/>
        <item x="1394"/>
        <item x="1382"/>
        <item x="1384"/>
        <item x="531"/>
        <item x="1300"/>
        <item x="872"/>
        <item x="1196"/>
        <item x="1132"/>
        <item x="1198"/>
        <item x="602"/>
        <item x="2570"/>
        <item x="922"/>
        <item x="1502"/>
        <item x="1906"/>
        <item x="2258"/>
        <item x="2233"/>
        <item x="1749"/>
        <item x="2225"/>
        <item x="1058"/>
        <item x="756"/>
        <item x="570"/>
        <item x="648"/>
        <item x="2313"/>
        <item x="912"/>
        <item x="1159"/>
        <item x="411"/>
        <item x="952"/>
        <item x="1598"/>
        <item x="321"/>
        <item x="728"/>
        <item x="1039"/>
        <item x="1019"/>
        <item x="2318"/>
        <item x="1161"/>
        <item x="1013"/>
        <item x="701"/>
        <item x="2038"/>
        <item x="1037"/>
        <item x="2086"/>
        <item x="1054"/>
        <item x="2173"/>
        <item x="1964"/>
        <item x="232"/>
        <item x="2009"/>
        <item x="358"/>
        <item x="1452"/>
        <item x="429"/>
        <item x="158"/>
        <item x="122"/>
        <item x="1052"/>
        <item x="1115"/>
        <item x="1156"/>
        <item x="2436"/>
        <item x="727"/>
        <item x="820"/>
        <item x="2418"/>
        <item x="905"/>
        <item x="2023"/>
        <item x="29"/>
        <item x="1726"/>
        <item x="1346"/>
        <item x="156"/>
        <item x="1555"/>
        <item x="51"/>
        <item x="1009"/>
        <item x="896"/>
        <item x="42"/>
        <item x="1147"/>
        <item x="1830"/>
        <item x="2572"/>
        <item x="1743"/>
        <item x="53"/>
        <item x="249"/>
        <item x="41"/>
        <item x="2352"/>
        <item x="1280"/>
        <item x="1446"/>
        <item x="1895"/>
        <item x="377"/>
        <item x="2609"/>
        <item x="251"/>
        <item x="2214"/>
        <item x="1972"/>
        <item x="2203"/>
        <item x="543"/>
        <item x="1676"/>
        <item x="133"/>
        <item x="2179"/>
        <item x="984"/>
        <item x="1367"/>
        <item x="1358"/>
        <item x="274"/>
        <item x="176"/>
        <item x="1051"/>
        <item x="1325"/>
        <item x="929"/>
        <item x="1130"/>
        <item x="90"/>
        <item x="1701"/>
        <item x="580"/>
        <item x="1643"/>
        <item x="23"/>
        <item x="505"/>
        <item x="1684"/>
        <item x="2075"/>
        <item x="2189"/>
        <item x="2290"/>
        <item x="1826"/>
        <item x="1068"/>
        <item x="2565"/>
        <item x="1829"/>
        <item x="405"/>
        <item x="513"/>
        <item x="1022"/>
        <item x="2422"/>
        <item x="2441"/>
        <item x="709"/>
        <item x="2601"/>
        <item x="2433"/>
        <item x="736"/>
        <item x="2490"/>
        <item x="1622"/>
        <item x="2217"/>
        <item x="1930"/>
        <item x="2462"/>
        <item x="2604"/>
        <item x="1927"/>
        <item x="884"/>
        <item x="1379"/>
        <item x="1593"/>
        <item x="412"/>
        <item x="1004"/>
        <item x="192"/>
        <item x="2271"/>
        <item x="976"/>
        <item x="1903"/>
        <item x="448"/>
        <item x="328"/>
        <item x="2320"/>
        <item x="605"/>
        <item x="2628"/>
        <item x="654"/>
        <item x="979"/>
        <item x="1988"/>
        <item x="432"/>
        <item x="1133"/>
        <item x="1117"/>
        <item x="10"/>
        <item x="27"/>
        <item x="1737"/>
        <item x="1865"/>
        <item x="248"/>
        <item x="247"/>
        <item x="2350"/>
        <item x="748"/>
        <item x="2342"/>
        <item x="599"/>
        <item x="1486"/>
        <item x="1181"/>
        <item x="219"/>
        <item x="1349"/>
        <item x="2220"/>
        <item x="734"/>
        <item x="1174"/>
        <item x="1256"/>
        <item x="2193"/>
        <item x="2562"/>
        <item x="997"/>
        <item x="1164"/>
        <item x="2232"/>
        <item x="1923"/>
        <item x="1291"/>
        <item x="819"/>
        <item x="1595"/>
        <item x="2008"/>
        <item x="2403"/>
        <item x="968"/>
        <item x="2283"/>
        <item x="522"/>
        <item x="2286"/>
        <item x="594"/>
        <item x="829"/>
        <item x="1199"/>
        <item x="1648"/>
        <item x="2296"/>
        <item x="1689"/>
        <item x="85"/>
        <item x="1871"/>
        <item x="1715"/>
        <item x="1155"/>
        <item x="986"/>
        <item x="2270"/>
        <item x="1071"/>
        <item x="2385"/>
        <item x="1483"/>
        <item x="1464"/>
        <item x="1931"/>
        <item x="1050"/>
        <item x="203"/>
        <item x="998"/>
        <item x="1326"/>
        <item x="1016"/>
        <item x="508"/>
        <item x="875"/>
        <item x="2354"/>
        <item x="266"/>
        <item x="213"/>
        <item x="104"/>
        <item x="83"/>
        <item x="667"/>
        <item x="1180"/>
        <item x="1253"/>
        <item x="314"/>
        <item x="70"/>
        <item x="560"/>
        <item sd="0" x="1"/>
        <item x="763"/>
        <item x="1632"/>
        <item x="499"/>
        <item x="700"/>
        <item x="2140"/>
        <item x="1073"/>
        <item x="1508"/>
        <item x="1846"/>
        <item x="1005"/>
        <item x="1926"/>
        <item x="344"/>
        <item x="2358"/>
        <item x="801"/>
        <item x="1497"/>
        <item x="375"/>
        <item x="1609"/>
        <item x="1758"/>
        <item x="356"/>
        <item x="995"/>
        <item x="1273"/>
        <item x="175"/>
        <item x="1596"/>
        <item x="2155"/>
        <item x="2187"/>
        <item x="2547"/>
        <item x="2365"/>
        <item x="2610"/>
        <item x="672"/>
        <item x="1625"/>
        <item x="225"/>
        <item x="1769"/>
        <item x="1977"/>
        <item x="2561"/>
        <item x="1074"/>
        <item x="2381"/>
        <item x="2046"/>
        <item x="1082"/>
        <item x="1775"/>
        <item x="500"/>
        <item x="1461"/>
        <item x="601"/>
        <item x="1524"/>
        <item x="1279"/>
        <item x="1377"/>
        <item x="913"/>
        <item x="1592"/>
        <item x="1264"/>
        <item x="694"/>
        <item x="163"/>
        <item x="1040"/>
        <item x="2440"/>
        <item x="96"/>
        <item x="535"/>
        <item x="342"/>
        <item x="319"/>
        <item x="1608"/>
        <item x="1444"/>
        <item x="401"/>
        <item x="1777"/>
        <item x="2485"/>
        <item x="1081"/>
        <item x="1185"/>
        <item x="332"/>
        <item x="675"/>
        <item x="452"/>
        <item x="838"/>
        <item x="2280"/>
        <item x="268"/>
        <item x="300"/>
        <item x="645"/>
        <item x="2107"/>
        <item x="111"/>
        <item x="611"/>
        <item x="26"/>
        <item x="1207"/>
        <item x="2277"/>
        <item x="1662"/>
        <item x="1535"/>
        <item x="130"/>
        <item x="2230"/>
        <item x="2351"/>
        <item x="115"/>
        <item x="664"/>
        <item x="2228"/>
        <item x="1376"/>
        <item x="403"/>
        <item x="1454"/>
        <item x="2223"/>
        <item x="532"/>
        <item x="353"/>
        <item x="2231"/>
        <item x="1140"/>
        <item x="2430"/>
        <item x="951"/>
        <item x="1177"/>
        <item x="2078"/>
        <item x="2497"/>
        <item x="1799"/>
        <item x="1425"/>
        <item x="1305"/>
        <item x="619"/>
        <item x="2618"/>
        <item x="21"/>
        <item x="89"/>
        <item x="2001"/>
        <item x="378"/>
        <item x="434"/>
        <item x="360"/>
        <item x="272"/>
        <item x="932"/>
        <item x="393"/>
        <item x="1974"/>
        <item x="2089"/>
        <item x="1343"/>
        <item x="1342"/>
        <item x="1686"/>
        <item x="2077"/>
        <item x="1612"/>
        <item x="2305"/>
        <item x="1836"/>
        <item x="2452"/>
        <item x="116"/>
        <item x="2443"/>
        <item x="283"/>
        <item x="1597"/>
        <item x="915"/>
        <item x="2287"/>
        <item x="172"/>
        <item x="214"/>
        <item x="1729"/>
        <item x="389"/>
        <item x="1576"/>
        <item x="1166"/>
        <item x="642"/>
        <item x="2276"/>
        <item x="351"/>
        <item x="2264"/>
        <item x="2576"/>
        <item x="679"/>
        <item x="451"/>
        <item x="652"/>
        <item x="1062"/>
        <item x="1294"/>
        <item x="778"/>
        <item x="966"/>
        <item x="1475"/>
        <item x="834"/>
        <item x="209"/>
        <item x="2045"/>
        <item x="91"/>
        <item x="2434"/>
        <item x="1323"/>
        <item x="1824"/>
        <item x="821"/>
        <item x="1442"/>
        <item x="141"/>
        <item x="1885"/>
        <item x="562"/>
        <item x="1142"/>
        <item x="706"/>
        <item x="2291"/>
        <item x="472"/>
        <item x="384"/>
        <item x="553"/>
        <item x="1661"/>
        <item x="67"/>
        <item x="1547"/>
        <item x="2445"/>
        <item x="1546"/>
        <item x="2178"/>
        <item x="44"/>
        <item x="1550"/>
        <item x="446"/>
        <item x="1807"/>
        <item x="806"/>
        <item x="823"/>
        <item x="2238"/>
        <item x="2568"/>
        <item x="1431"/>
        <item x="1339"/>
        <item x="822"/>
        <item x="2275"/>
        <item x="1386"/>
        <item x="1642"/>
        <item x="2030"/>
        <item x="1319"/>
        <item x="1920"/>
        <item x="177"/>
        <item x="1980"/>
        <item x="1757"/>
        <item x="365"/>
        <item x="1667"/>
        <item x="1365"/>
        <item x="2044"/>
        <item x="2310"/>
        <item x="1152"/>
        <item x="1470"/>
        <item x="2450"/>
        <item x="629"/>
        <item x="1811"/>
        <item x="2538"/>
        <item x="1881"/>
        <item x="1391"/>
        <item x="2032"/>
        <item x="1070"/>
        <item x="948"/>
        <item x="2427"/>
        <item x="858"/>
        <item x="2134"/>
        <item x="549"/>
        <item x="2371"/>
        <item x="2152"/>
        <item x="1441"/>
        <item x="1816"/>
        <item x="1101"/>
        <item x="1225"/>
        <item x="511"/>
        <item x="2274"/>
        <item x="2426"/>
        <item x="2554"/>
        <item x="1585"/>
        <item x="1173"/>
        <item x="1815"/>
        <item x="2151"/>
        <item x="2425"/>
        <item x="1375"/>
        <item x="2150"/>
        <item x="2273"/>
        <item x="2029"/>
        <item x="1814"/>
        <item x="1276"/>
        <item x="2551"/>
        <item x="880"/>
        <item x="1584"/>
        <item x="1069"/>
        <item x="909"/>
        <item x="1731"/>
        <item x="1374"/>
        <item x="229"/>
        <item x="2549"/>
        <item x="661"/>
        <item x="724"/>
        <item x="2421"/>
        <item x="127"/>
        <item x="2457"/>
        <item x="238"/>
        <item x="117"/>
        <item x="2202"/>
        <item x="2105"/>
        <item x="1640"/>
        <item x="876"/>
        <item x="519"/>
        <item x="212"/>
        <item x="1398"/>
        <item x="16"/>
        <item x="914"/>
        <item x="955"/>
        <item x="592"/>
        <item x="767"/>
        <item x="299"/>
        <item x="1222"/>
        <item x="524"/>
        <item x="118"/>
        <item x="1317"/>
        <item x="168"/>
        <item x="2548"/>
        <item x="1919"/>
        <item x="2420"/>
        <item x="2148"/>
        <item x="757"/>
        <item x="989"/>
        <item x="660"/>
        <item x="563"/>
        <item x="1407"/>
        <item x="1171"/>
        <item x="1288"/>
        <item x="994"/>
        <item x="2205"/>
        <item x="2466"/>
        <item x="228"/>
        <item x="1600"/>
        <item x="2002"/>
        <item x="2429"/>
        <item sd="0" x="7"/>
        <item x="2099"/>
        <item x="1979"/>
        <item x="1000"/>
        <item x="235"/>
        <item x="584"/>
        <item x="900"/>
        <item x="94"/>
        <item x="738"/>
        <item x="1179"/>
        <item x="1733"/>
        <item x="171"/>
        <item x="396"/>
        <item x="2321"/>
        <item x="289"/>
        <item x="1028"/>
        <item x="2417"/>
        <item x="1521"/>
        <item x="1439"/>
        <item x="2382"/>
        <item x="1646"/>
        <item x="2146"/>
        <item x="436"/>
        <item x="2027"/>
        <item x="1813"/>
        <item x="2416"/>
        <item x="987"/>
        <item x="1197"/>
        <item x="1263"/>
        <item x="1594"/>
        <item x="1158"/>
        <item x="383"/>
        <item x="910"/>
        <item x="1887"/>
        <item x="1962"/>
        <item x="386"/>
        <item x="1329"/>
        <item x="1119"/>
        <item x="1440"/>
        <item x="1779"/>
        <item x="1669"/>
        <item x="205"/>
        <item x="1368"/>
        <item x="1271"/>
        <item x="1372"/>
        <item x="2073"/>
        <item x="2585"/>
        <item x="1243"/>
        <item x="770"/>
        <item x="2130"/>
        <item x="2096"/>
        <item x="1330"/>
        <item x="1251"/>
        <item x="867"/>
        <item x="792"/>
        <item x="1448"/>
        <item x="2116"/>
        <item x="2200"/>
        <item x="243"/>
        <item x="1656"/>
        <item x="2022"/>
        <item x="1544"/>
        <item x="1238"/>
        <item x="1831"/>
        <item sd="0" x="5"/>
        <item x="879"/>
        <item x="1217"/>
        <item x="557"/>
        <item x="1554"/>
        <item x="1924"/>
        <item x="1557"/>
        <item x="959"/>
        <item x="590"/>
        <item x="2269"/>
        <item x="2439"/>
        <item x="713"/>
        <item x="262"/>
        <item x="2065"/>
        <item x="1281"/>
        <item x="1034"/>
        <item x="568"/>
        <item sd="0" x="0"/>
        <item x="311"/>
        <item x="2559"/>
        <item x="2347"/>
        <item x="881"/>
        <item x="1693"/>
        <item x="1089"/>
        <item x="2563"/>
        <item x="1984"/>
        <item x="2289"/>
        <item x="699"/>
        <item x="1163"/>
        <item x="636"/>
        <item x="1443"/>
        <item x="791"/>
        <item x="108"/>
        <item x="1987"/>
        <item x="850"/>
        <item x="606"/>
        <item x="516"/>
        <item x="749"/>
        <item x="1501"/>
        <item x="1912"/>
        <item x="2141"/>
        <item x="1728"/>
        <item x="1705"/>
        <item x="2292"/>
        <item x="2267"/>
        <item x="1809"/>
        <item x="1459"/>
        <item x="1241"/>
        <item x="1604"/>
        <item x="1905"/>
        <item x="211"/>
        <item x="2041"/>
        <item x="2158"/>
        <item x="1990"/>
        <item x="2335"/>
        <item x="181"/>
        <item x="721"/>
        <item x="1345"/>
        <item x="1878"/>
        <item x="2348"/>
        <item x="1748"/>
        <item x="2278"/>
        <item x="335"/>
        <item x="2582"/>
        <item x="1262"/>
        <item x="1056"/>
        <item x="2470"/>
        <item x="907"/>
        <item x="692"/>
        <item x="447"/>
        <item x="316"/>
        <item x="298"/>
        <item x="1465"/>
        <item x="2191"/>
        <item x="1299"/>
        <item x="889"/>
        <item x="2511"/>
        <item x="839"/>
        <item x="928"/>
        <item x="1939"/>
        <item x="470"/>
        <item x="2600"/>
        <item x="2175"/>
        <item x="1515"/>
        <item x="685"/>
        <item x="2019"/>
        <item x="439"/>
        <item x="2488"/>
        <item x="2353"/>
        <item x="911"/>
        <item x="208"/>
        <item x="1889"/>
        <item x="217"/>
        <item x="780"/>
        <item x="154"/>
        <item x="1848"/>
        <item x="2295"/>
        <item x="2147"/>
        <item x="404"/>
        <item x="392"/>
        <item x="2114"/>
        <item x="1971"/>
        <item x="1111"/>
        <item x="2159"/>
        <item x="2540"/>
        <item x="1211"/>
        <item x="239"/>
        <item x="1645"/>
        <item x="1135"/>
        <item x="1913"/>
        <item x="1371"/>
        <item x="57"/>
        <item x="1517"/>
        <item x="1261"/>
        <item x="81"/>
        <item x="291"/>
        <item x="1226"/>
        <item x="169"/>
        <item x="1867"/>
        <item x="678"/>
        <item x="273"/>
        <item x="2345"/>
        <item x="2603"/>
        <item x="1466"/>
        <item x="643"/>
        <item x="2468"/>
        <item x="189"/>
        <item x="1113"/>
        <item x="237"/>
        <item x="148"/>
        <item x="1862"/>
        <item x="438"/>
        <item x="596"/>
        <item x="583"/>
        <item x="313"/>
        <item x="1700"/>
        <item x="2072"/>
        <item x="2135"/>
        <item x="515"/>
        <item x="2106"/>
        <item x="1477"/>
        <item x="2157"/>
        <item x="1438"/>
        <item x="2544"/>
        <item x="1922"/>
        <item x="1719"/>
        <item x="1528"/>
        <item x="1724"/>
        <item x="861"/>
        <item x="1983"/>
        <item x="2026"/>
        <item x="12"/>
        <item x="1543"/>
        <item x="2516"/>
        <item x="121"/>
        <item x="124"/>
        <item x="1186"/>
        <item x="20"/>
        <item x="1409"/>
        <item x="2464"/>
        <item x="2036"/>
        <item x="582"/>
        <item x="2042"/>
        <item x="1825"/>
        <item x="2115"/>
        <item x="737"/>
        <item x="1282"/>
        <item x="1761"/>
        <item x="1057"/>
        <item x="78"/>
        <item x="400"/>
        <item x="1742"/>
        <item x="510"/>
        <item x="546"/>
        <item x="1588"/>
        <item x="1908"/>
        <item x="1499"/>
        <item x="1154"/>
        <item x="2356"/>
        <item x="1201"/>
        <item x="216"/>
        <item x="1484"/>
        <item x="1545"/>
        <item x="2309"/>
        <item x="2182"/>
        <item x="536"/>
        <item x="1122"/>
        <item x="424"/>
        <item x="1410"/>
        <item x="1810"/>
        <item x="1433"/>
        <item x="859"/>
        <item x="1567"/>
        <item x="1203"/>
        <item x="1654"/>
        <item x="343"/>
        <item x="1237"/>
        <item x="1235"/>
        <item x="1352"/>
        <item x="1347"/>
        <item x="1773"/>
        <item x="2154"/>
        <item x="1027"/>
        <item x="2020"/>
        <item x="2229"/>
        <item x="1369"/>
        <item x="1722"/>
        <item x="1886"/>
        <item x="1709"/>
        <item x="2330"/>
        <item x="795"/>
        <item x="1928"/>
        <item x="40"/>
        <item x="1787"/>
        <item x="407"/>
        <item x="427"/>
        <item x="1085"/>
        <item x="890"/>
        <item x="1012"/>
        <item x="1619"/>
        <item x="2101"/>
        <item x="1917"/>
        <item x="379"/>
        <item x="962"/>
        <item x="2487"/>
        <item x="1687"/>
        <item x="1077"/>
        <item x="1399"/>
        <item x="1187"/>
        <item x="855"/>
        <item x="1277"/>
        <item x="71"/>
        <item x="2406"/>
        <item x="2359"/>
        <item x="1118"/>
        <item x="250"/>
        <item x="981"/>
        <item x="1272"/>
        <item x="2131"/>
        <item t="default"/>
      </items>
      <autoSortScope>
        <pivotArea dataOnly="0" outline="0" fieldPosition="0">
          <references count="1">
            <reference field="4294967294" count="1" selected="0">
              <x v="0"/>
            </reference>
          </references>
        </pivotArea>
      </autoSortScope>
    </pivotField>
    <pivotField showAll="0" sortType="descending">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autoSortScope>
        <pivotArea dataOnly="0" outline="0" fieldPosition="0">
          <references count="1">
            <reference field="4294967294" count="1" selected="0">
              <x v="0"/>
            </reference>
          </references>
        </pivotArea>
      </autoSortScope>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1">
    <field x="3"/>
  </rowFields>
  <rowItems count="11">
    <i>
      <x v="502"/>
    </i>
    <i>
      <x v="1004"/>
    </i>
    <i>
      <x v="2335"/>
    </i>
    <i>
      <x v="1074"/>
    </i>
    <i>
      <x v="2399"/>
    </i>
    <i>
      <x v="246"/>
    </i>
    <i>
      <x v="1364"/>
    </i>
    <i>
      <x v="1650"/>
    </i>
    <i>
      <x v="2051"/>
    </i>
    <i>
      <x v="2416"/>
    </i>
    <i t="grand">
      <x/>
    </i>
  </rowItems>
  <colItems count="1">
    <i/>
  </colItems>
  <dataFields count="1">
    <dataField name="Sum of Net Worth" fld="1" baseField="3" baseItem="502" numFmtId="170"/>
  </dataFields>
  <formats count="3">
    <format dxfId="16">
      <pivotArea outline="0" collapsedLevelsAreSubtotals="1" fieldPosition="0"/>
    </format>
    <format dxfId="15">
      <pivotArea dataOnly="0" labelOnly="1" outline="0" axis="axisValues" fieldPosition="0"/>
    </format>
    <format dxfId="14">
      <pivotArea outline="0" fieldPosition="0">
        <references count="1">
          <reference field="4294967294" count="1">
            <x v="0"/>
          </reference>
        </references>
      </pivotArea>
    </format>
  </formats>
  <chartFormats count="22">
    <chartFormat chart="6" format="6"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2416"/>
          </reference>
        </references>
      </pivotArea>
    </chartFormat>
    <chartFormat chart="6" format="10">
      <pivotArea type="data" outline="0" fieldPosition="0">
        <references count="2">
          <reference field="4294967294" count="1" selected="0">
            <x v="0"/>
          </reference>
          <reference field="3" count="1" selected="0">
            <x v="2051"/>
          </reference>
        </references>
      </pivotArea>
    </chartFormat>
    <chartFormat chart="6" format="11">
      <pivotArea type="data" outline="0" fieldPosition="0">
        <references count="2">
          <reference field="4294967294" count="1" selected="0">
            <x v="0"/>
          </reference>
          <reference field="3" count="1" selected="0">
            <x v="1650"/>
          </reference>
        </references>
      </pivotArea>
    </chartFormat>
    <chartFormat chart="6" format="12">
      <pivotArea type="data" outline="0" fieldPosition="0">
        <references count="2">
          <reference field="4294967294" count="1" selected="0">
            <x v="0"/>
          </reference>
          <reference field="3" count="1" selected="0">
            <x v="1364"/>
          </reference>
        </references>
      </pivotArea>
    </chartFormat>
    <chartFormat chart="6" format="13">
      <pivotArea type="data" outline="0" fieldPosition="0">
        <references count="2">
          <reference field="4294967294" count="1" selected="0">
            <x v="0"/>
          </reference>
          <reference field="3" count="1" selected="0">
            <x v="246"/>
          </reference>
        </references>
      </pivotArea>
    </chartFormat>
    <chartFormat chart="6" format="14">
      <pivotArea type="data" outline="0" fieldPosition="0">
        <references count="2">
          <reference field="4294967294" count="1" selected="0">
            <x v="0"/>
          </reference>
          <reference field="3" count="1" selected="0">
            <x v="2399"/>
          </reference>
        </references>
      </pivotArea>
    </chartFormat>
    <chartFormat chart="6" format="15">
      <pivotArea type="data" outline="0" fieldPosition="0">
        <references count="2">
          <reference field="4294967294" count="1" selected="0">
            <x v="0"/>
          </reference>
          <reference field="3" count="1" selected="0">
            <x v="1074"/>
          </reference>
        </references>
      </pivotArea>
    </chartFormat>
    <chartFormat chart="6" format="16">
      <pivotArea type="data" outline="0" fieldPosition="0">
        <references count="2">
          <reference field="4294967294" count="1" selected="0">
            <x v="0"/>
          </reference>
          <reference field="3" count="1" selected="0">
            <x v="2335"/>
          </reference>
        </references>
      </pivotArea>
    </chartFormat>
    <chartFormat chart="6" format="17">
      <pivotArea type="data" outline="0" fieldPosition="0">
        <references count="2">
          <reference field="4294967294" count="1" selected="0">
            <x v="0"/>
          </reference>
          <reference field="3" count="1" selected="0">
            <x v="1004"/>
          </reference>
        </references>
      </pivotArea>
    </chartFormat>
    <chartFormat chart="6" format="18">
      <pivotArea type="data" outline="0" fieldPosition="0">
        <references count="2">
          <reference field="4294967294" count="1" selected="0">
            <x v="0"/>
          </reference>
          <reference field="3" count="1" selected="0">
            <x v="502"/>
          </reference>
        </references>
      </pivotArea>
    </chartFormat>
    <chartFormat chart="18" format="30" series="1">
      <pivotArea type="data" outline="0" fieldPosition="0">
        <references count="1">
          <reference field="4294967294" count="1" selected="0">
            <x v="0"/>
          </reference>
        </references>
      </pivotArea>
    </chartFormat>
    <chartFormat chart="18" format="31">
      <pivotArea type="data" outline="0" fieldPosition="0">
        <references count="2">
          <reference field="4294967294" count="1" selected="0">
            <x v="0"/>
          </reference>
          <reference field="3" count="1" selected="0">
            <x v="502"/>
          </reference>
        </references>
      </pivotArea>
    </chartFormat>
    <chartFormat chart="18" format="32">
      <pivotArea type="data" outline="0" fieldPosition="0">
        <references count="2">
          <reference field="4294967294" count="1" selected="0">
            <x v="0"/>
          </reference>
          <reference field="3" count="1" selected="0">
            <x v="1004"/>
          </reference>
        </references>
      </pivotArea>
    </chartFormat>
    <chartFormat chart="18" format="33">
      <pivotArea type="data" outline="0" fieldPosition="0">
        <references count="2">
          <reference field="4294967294" count="1" selected="0">
            <x v="0"/>
          </reference>
          <reference field="3" count="1" selected="0">
            <x v="2335"/>
          </reference>
        </references>
      </pivotArea>
    </chartFormat>
    <chartFormat chart="18" format="34">
      <pivotArea type="data" outline="0" fieldPosition="0">
        <references count="2">
          <reference field="4294967294" count="1" selected="0">
            <x v="0"/>
          </reference>
          <reference field="3" count="1" selected="0">
            <x v="1074"/>
          </reference>
        </references>
      </pivotArea>
    </chartFormat>
    <chartFormat chart="18" format="35">
      <pivotArea type="data" outline="0" fieldPosition="0">
        <references count="2">
          <reference field="4294967294" count="1" selected="0">
            <x v="0"/>
          </reference>
          <reference field="3" count="1" selected="0">
            <x v="2399"/>
          </reference>
        </references>
      </pivotArea>
    </chartFormat>
    <chartFormat chart="18" format="36">
      <pivotArea type="data" outline="0" fieldPosition="0">
        <references count="2">
          <reference field="4294967294" count="1" selected="0">
            <x v="0"/>
          </reference>
          <reference field="3" count="1" selected="0">
            <x v="246"/>
          </reference>
        </references>
      </pivotArea>
    </chartFormat>
    <chartFormat chart="18" format="37">
      <pivotArea type="data" outline="0" fieldPosition="0">
        <references count="2">
          <reference field="4294967294" count="1" selected="0">
            <x v="0"/>
          </reference>
          <reference field="3" count="1" selected="0">
            <x v="1364"/>
          </reference>
        </references>
      </pivotArea>
    </chartFormat>
    <chartFormat chart="18" format="38">
      <pivotArea type="data" outline="0" fieldPosition="0">
        <references count="2">
          <reference field="4294967294" count="1" selected="0">
            <x v="0"/>
          </reference>
          <reference field="3" count="1" selected="0">
            <x v="1650"/>
          </reference>
        </references>
      </pivotArea>
    </chartFormat>
    <chartFormat chart="18" format="39">
      <pivotArea type="data" outline="0" fieldPosition="0">
        <references count="2">
          <reference field="4294967294" count="1" selected="0">
            <x v="0"/>
          </reference>
          <reference field="3" count="1" selected="0">
            <x v="2051"/>
          </reference>
        </references>
      </pivotArea>
    </chartFormat>
    <chartFormat chart="18" format="40">
      <pivotArea type="data" outline="0" fieldPosition="0">
        <references count="2">
          <reference field="4294967294" count="1" selected="0">
            <x v="0"/>
          </reference>
          <reference field="3" count="1" selected="0">
            <x v="2416"/>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692F5E-E48E-4D29-B9C3-524FF5700FC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ountry">
  <location ref="L1:M12" firstHeaderRow="1" firstDataRow="1" firstDataCol="1"/>
  <pivotFields count="31">
    <pivotField showAll="0"/>
    <pivotField dataField="1" showAll="0" sortType="ascending"/>
    <pivotField showAll="0"/>
    <pivotField showAll="0"/>
    <pivotField showAll="0" sortType="descending">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autoSortScope>
        <pivotArea dataOnly="0" outline="0" fieldPosition="0">
          <references count="1">
            <reference field="4294967294" count="1" selected="0">
              <x v="0"/>
            </reference>
          </references>
        </pivotArea>
      </autoSortScope>
    </pivotField>
    <pivotField axis="axisRow" showAll="0" measureFilter="1" sortType="ascending">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autoSortScope>
        <pivotArea dataOnly="0" outline="0" fieldPosition="0">
          <references count="1">
            <reference field="4294967294" count="1" selected="0">
              <x v="0"/>
            </reference>
          </references>
        </pivotArea>
      </autoSortScope>
    </pivotField>
    <pivotField showAll="0">
      <items count="740">
        <item x="280"/>
        <item x="162"/>
        <item x="685"/>
        <item x="572"/>
        <item x="624"/>
        <item x="231"/>
        <item x="160"/>
        <item x="79"/>
        <item x="17"/>
        <item x="204"/>
        <item x="116"/>
        <item x="265"/>
        <item x="555"/>
        <item x="262"/>
        <item x="535"/>
        <item x="200"/>
        <item x="469"/>
        <item x="558"/>
        <item x="329"/>
        <item x="732"/>
        <item x="648"/>
        <item x="539"/>
        <item x="70"/>
        <item x="139"/>
        <item x="134"/>
        <item x="636"/>
        <item x="654"/>
        <item x="1"/>
        <item x="491"/>
        <item x="689"/>
        <item x="569"/>
        <item x="39"/>
        <item x="215"/>
        <item x="123"/>
        <item x="73"/>
        <item x="74"/>
        <item x="405"/>
        <item x="646"/>
        <item x="243"/>
        <item x="388"/>
        <item x="267"/>
        <item x="565"/>
        <item x="618"/>
        <item x="19"/>
        <item x="420"/>
        <item x="727"/>
        <item x="424"/>
        <item x="672"/>
        <item x="14"/>
        <item x="406"/>
        <item x="464"/>
        <item x="389"/>
        <item x="373"/>
        <item x="125"/>
        <item x="315"/>
        <item x="179"/>
        <item x="282"/>
        <item x="248"/>
        <item x="142"/>
        <item x="310"/>
        <item x="372"/>
        <item x="545"/>
        <item x="224"/>
        <item x="100"/>
        <item x="694"/>
        <item x="673"/>
        <item x="182"/>
        <item x="195"/>
        <item x="375"/>
        <item x="176"/>
        <item x="579"/>
        <item x="676"/>
        <item x="314"/>
        <item x="214"/>
        <item x="578"/>
        <item x="374"/>
        <item x="515"/>
        <item x="460"/>
        <item x="98"/>
        <item x="471"/>
        <item x="358"/>
        <item x="308"/>
        <item x="400"/>
        <item x="370"/>
        <item x="22"/>
        <item x="91"/>
        <item x="520"/>
        <item x="601"/>
        <item x="246"/>
        <item x="449"/>
        <item x="289"/>
        <item x="629"/>
        <item x="159"/>
        <item x="599"/>
        <item x="622"/>
        <item x="96"/>
        <item x="705"/>
        <item x="313"/>
        <item x="157"/>
        <item x="596"/>
        <item x="335"/>
        <item x="597"/>
        <item x="695"/>
        <item x="547"/>
        <item x="78"/>
        <item x="233"/>
        <item x="128"/>
        <item x="522"/>
        <item x="232"/>
        <item x="710"/>
        <item x="661"/>
        <item x="90"/>
        <item x="463"/>
        <item x="505"/>
        <item x="191"/>
        <item x="567"/>
        <item x="54"/>
        <item x="630"/>
        <item x="86"/>
        <item x="657"/>
        <item x="589"/>
        <item x="591"/>
        <item x="394"/>
        <item x="684"/>
        <item x="297"/>
        <item x="415"/>
        <item x="275"/>
        <item x="323"/>
        <item x="343"/>
        <item x="726"/>
        <item x="287"/>
        <item x="193"/>
        <item x="66"/>
        <item x="556"/>
        <item x="615"/>
        <item x="259"/>
        <item x="660"/>
        <item x="544"/>
        <item x="445"/>
        <item x="80"/>
        <item x="432"/>
        <item x="603"/>
        <item x="206"/>
        <item x="519"/>
        <item x="341"/>
        <item x="379"/>
        <item x="546"/>
        <item x="687"/>
        <item x="41"/>
        <item x="268"/>
        <item x="97"/>
        <item x="720"/>
        <item x="655"/>
        <item x="699"/>
        <item x="541"/>
        <item x="208"/>
        <item x="574"/>
        <item x="88"/>
        <item x="426"/>
        <item x="438"/>
        <item x="498"/>
        <item x="338"/>
        <item x="296"/>
        <item x="221"/>
        <item x="492"/>
        <item x="38"/>
        <item x="499"/>
        <item x="65"/>
        <item x="488"/>
        <item x="283"/>
        <item x="345"/>
        <item x="489"/>
        <item x="496"/>
        <item x="84"/>
        <item x="122"/>
        <item x="679"/>
        <item x="690"/>
        <item x="288"/>
        <item x="458"/>
        <item x="423"/>
        <item x="190"/>
        <item x="281"/>
        <item x="680"/>
        <item x="181"/>
        <item x="180"/>
        <item x="602"/>
        <item x="328"/>
        <item x="377"/>
        <item x="462"/>
        <item x="15"/>
        <item x="49"/>
        <item x="45"/>
        <item x="61"/>
        <item x="94"/>
        <item x="538"/>
        <item x="380"/>
        <item x="263"/>
        <item x="656"/>
        <item x="334"/>
        <item x="552"/>
        <item x="713"/>
        <item x="737"/>
        <item x="33"/>
        <item x="311"/>
        <item x="163"/>
        <item x="291"/>
        <item x="292"/>
        <item x="121"/>
        <item x="613"/>
        <item x="557"/>
        <item x="403"/>
        <item x="194"/>
        <item x="427"/>
        <item x="425"/>
        <item x="209"/>
        <item x="264"/>
        <item x="493"/>
        <item x="447"/>
        <item x="484"/>
        <item x="408"/>
        <item x="57"/>
        <item x="257"/>
        <item x="401"/>
        <item x="119"/>
        <item x="82"/>
        <item x="502"/>
        <item x="110"/>
        <item x="127"/>
        <item x="187"/>
        <item x="12"/>
        <item x="286"/>
        <item x="349"/>
        <item x="468"/>
        <item x="37"/>
        <item x="155"/>
        <item x="135"/>
        <item x="631"/>
        <item x="513"/>
        <item x="149"/>
        <item x="644"/>
        <item x="250"/>
        <item x="92"/>
        <item x="598"/>
        <item x="104"/>
        <item x="674"/>
        <item x="385"/>
        <item x="18"/>
        <item x="606"/>
        <item x="63"/>
        <item x="486"/>
        <item x="169"/>
        <item x="363"/>
        <item x="36"/>
        <item x="132"/>
        <item x="102"/>
        <item x="466"/>
        <item x="696"/>
        <item x="172"/>
        <item x="207"/>
        <item x="8"/>
        <item x="474"/>
        <item x="497"/>
        <item x="245"/>
        <item x="390"/>
        <item x="101"/>
        <item x="62"/>
        <item x="532"/>
        <item x="353"/>
        <item x="675"/>
        <item x="523"/>
        <item x="184"/>
        <item x="234"/>
        <item x="235"/>
        <item x="228"/>
        <item x="24"/>
        <item x="693"/>
        <item x="665"/>
        <item x="42"/>
        <item x="391"/>
        <item x="414"/>
        <item x="640"/>
        <item x="316"/>
        <item x="664"/>
        <item x="530"/>
        <item x="554"/>
        <item x="577"/>
        <item x="140"/>
        <item x="641"/>
        <item x="211"/>
        <item x="512"/>
        <item x="719"/>
        <item x="386"/>
        <item x="721"/>
        <item x="718"/>
        <item x="543"/>
        <item x="183"/>
        <item x="638"/>
        <item x="627"/>
        <item x="112"/>
        <item x="711"/>
        <item x="564"/>
        <item x="621"/>
        <item x="201"/>
        <item x="504"/>
        <item x="503"/>
        <item x="294"/>
        <item x="575"/>
        <item x="253"/>
        <item x="635"/>
        <item x="724"/>
        <item x="252"/>
        <item x="161"/>
        <item x="306"/>
        <item x="369"/>
        <item x="508"/>
        <item x="251"/>
        <item x="105"/>
        <item x="47"/>
        <item x="35"/>
        <item x="528"/>
        <item x="610"/>
        <item x="360"/>
        <item x="431"/>
        <item x="325"/>
        <item x="10"/>
        <item x="561"/>
        <item x="77"/>
        <item x="412"/>
        <item x="658"/>
        <item x="322"/>
        <item x="435"/>
        <item x="3"/>
        <item x="730"/>
        <item x="729"/>
        <item x="527"/>
        <item x="198"/>
        <item x="563"/>
        <item x="364"/>
        <item x="27"/>
        <item x="167"/>
        <item x="52"/>
        <item x="290"/>
        <item x="413"/>
        <item x="700"/>
        <item x="722"/>
        <item x="607"/>
        <item x="166"/>
        <item x="111"/>
        <item x="594"/>
        <item x="604"/>
        <item x="277"/>
        <item x="173"/>
        <item x="240"/>
        <item x="620"/>
        <item x="500"/>
        <item x="704"/>
        <item x="514"/>
        <item x="701"/>
        <item x="352"/>
        <item x="376"/>
        <item x="487"/>
        <item x="309"/>
        <item x="653"/>
        <item x="590"/>
        <item x="32"/>
        <item x="714"/>
        <item x="260"/>
        <item x="11"/>
        <item x="300"/>
        <item x="115"/>
        <item x="682"/>
        <item x="342"/>
        <item x="393"/>
        <item x="226"/>
        <item x="626"/>
        <item x="436"/>
        <item x="717"/>
        <item x="712"/>
        <item x="337"/>
        <item x="410"/>
        <item x="197"/>
        <item x="165"/>
        <item x="276"/>
        <item x="103"/>
        <item x="242"/>
        <item x="738"/>
        <item x="164"/>
        <item x="582"/>
        <item x="616"/>
        <item x="542"/>
        <item x="473"/>
        <item x="137"/>
        <item x="428"/>
        <item x="450"/>
        <item x="587"/>
        <item x="465"/>
        <item x="108"/>
        <item x="107"/>
        <item x="709"/>
        <item x="395"/>
        <item x="2"/>
        <item x="643"/>
        <item x="93"/>
        <item x="457"/>
        <item x="266"/>
        <item x="490"/>
        <item x="324"/>
        <item x="647"/>
        <item x="6"/>
        <item x="28"/>
        <item x="147"/>
        <item x="106"/>
        <item x="95"/>
        <item x="177"/>
        <item x="53"/>
        <item x="681"/>
        <item x="196"/>
        <item x="218"/>
        <item x="192"/>
        <item x="649"/>
        <item x="533"/>
        <item x="494"/>
        <item x="580"/>
        <item x="58"/>
        <item x="455"/>
        <item x="357"/>
        <item x="202"/>
        <item x="48"/>
        <item x="131"/>
        <item x="686"/>
        <item x="67"/>
        <item x="7"/>
        <item x="189"/>
        <item x="683"/>
        <item x="422"/>
        <item x="336"/>
        <item x="551"/>
        <item x="733"/>
        <item x="454"/>
        <item x="482"/>
        <item x="402"/>
        <item x="697"/>
        <item x="59"/>
        <item x="87"/>
        <item x="56"/>
        <item x="20"/>
        <item x="350"/>
        <item x="326"/>
        <item x="453"/>
        <item x="205"/>
        <item x="258"/>
        <item x="141"/>
        <item x="5"/>
        <item x="331"/>
        <item x="382"/>
        <item x="130"/>
        <item x="64"/>
        <item x="188"/>
        <item x="244"/>
        <item x="439"/>
        <item x="114"/>
        <item x="30"/>
        <item x="212"/>
        <item x="525"/>
        <item x="459"/>
        <item x="344"/>
        <item x="509"/>
        <item x="584"/>
        <item x="430"/>
        <item x="667"/>
        <item x="236"/>
        <item x="361"/>
        <item x="411"/>
        <item x="60"/>
        <item x="524"/>
        <item x="4"/>
        <item x="480"/>
        <item x="678"/>
        <item x="55"/>
        <item x="154"/>
        <item x="303"/>
        <item x="261"/>
        <item x="305"/>
        <item x="216"/>
        <item x="43"/>
        <item x="706"/>
        <item x="9"/>
        <item x="550"/>
        <item x="642"/>
        <item x="501"/>
        <item x="479"/>
        <item x="359"/>
        <item x="444"/>
        <item x="0"/>
        <item x="516"/>
        <item x="227"/>
        <item x="40"/>
        <item x="301"/>
        <item x="548"/>
        <item x="117"/>
        <item x="417"/>
        <item x="249"/>
        <item x="429"/>
        <item x="293"/>
        <item x="340"/>
        <item x="677"/>
        <item x="366"/>
        <item x="170"/>
        <item x="174"/>
        <item x="467"/>
        <item x="560"/>
        <item x="255"/>
        <item x="220"/>
        <item x="670"/>
        <item x="736"/>
        <item x="68"/>
        <item x="566"/>
        <item x="387"/>
        <item x="588"/>
        <item x="605"/>
        <item x="51"/>
        <item x="295"/>
        <item x="346"/>
        <item x="148"/>
        <item x="703"/>
        <item x="254"/>
        <item x="285"/>
        <item x="44"/>
        <item x="477"/>
        <item x="217"/>
        <item x="168"/>
        <item x="600"/>
        <item x="731"/>
        <item x="203"/>
        <item x="662"/>
        <item x="433"/>
        <item x="511"/>
        <item x="298"/>
        <item x="698"/>
        <item x="185"/>
        <item x="319"/>
        <item x="632"/>
        <item x="570"/>
        <item x="707"/>
        <item x="126"/>
        <item x="659"/>
        <item x="151"/>
        <item x="362"/>
        <item x="623"/>
        <item x="210"/>
        <item x="229"/>
        <item x="639"/>
        <item x="304"/>
        <item x="29"/>
        <item x="241"/>
        <item x="156"/>
        <item x="725"/>
        <item x="274"/>
        <item x="120"/>
        <item x="72"/>
        <item x="485"/>
        <item x="418"/>
        <item x="213"/>
        <item x="668"/>
        <item x="158"/>
        <item x="356"/>
        <item x="383"/>
        <item x="531"/>
        <item x="50"/>
        <item x="637"/>
        <item x="384"/>
        <item x="568"/>
        <item x="99"/>
        <item x="666"/>
        <item x="409"/>
        <item x="475"/>
        <item x="442"/>
        <item x="178"/>
        <item x="21"/>
        <item x="609"/>
        <item x="351"/>
        <item x="46"/>
        <item x="651"/>
        <item x="715"/>
        <item x="109"/>
        <item x="506"/>
        <item x="34"/>
        <item x="451"/>
        <item x="434"/>
        <item x="307"/>
        <item x="456"/>
        <item x="26"/>
        <item x="318"/>
        <item x="330"/>
        <item x="671"/>
        <item x="76"/>
        <item x="517"/>
        <item x="367"/>
        <item x="223"/>
        <item x="614"/>
        <item x="441"/>
        <item x="143"/>
        <item x="534"/>
        <item x="136"/>
        <item x="397"/>
        <item x="171"/>
        <item x="581"/>
        <item x="470"/>
        <item x="365"/>
        <item x="702"/>
        <item x="549"/>
        <item x="716"/>
        <item x="317"/>
        <item x="728"/>
        <item x="69"/>
        <item x="175"/>
        <item x="576"/>
        <item x="354"/>
        <item x="595"/>
        <item x="537"/>
        <item x="669"/>
        <item x="495"/>
        <item x="625"/>
        <item x="129"/>
        <item x="225"/>
        <item x="83"/>
        <item x="735"/>
        <item x="611"/>
        <item x="536"/>
        <item x="152"/>
        <item x="407"/>
        <item x="461"/>
        <item x="396"/>
        <item x="153"/>
        <item x="440"/>
        <item x="75"/>
        <item x="562"/>
        <item x="247"/>
        <item x="89"/>
        <item x="199"/>
        <item x="399"/>
        <item x="419"/>
        <item x="708"/>
        <item x="23"/>
        <item x="392"/>
        <item x="144"/>
        <item x="333"/>
        <item x="31"/>
        <item x="617"/>
        <item x="688"/>
        <item x="612"/>
        <item x="650"/>
        <item x="368"/>
        <item x="16"/>
        <item x="312"/>
        <item x="272"/>
        <item x="81"/>
        <item x="559"/>
        <item x="510"/>
        <item x="219"/>
        <item x="692"/>
        <item x="404"/>
        <item x="634"/>
        <item x="478"/>
        <item x="332"/>
        <item x="118"/>
        <item x="222"/>
        <item x="472"/>
        <item x="145"/>
        <item x="284"/>
        <item x="237"/>
        <item x="150"/>
        <item x="256"/>
        <item x="230"/>
        <item x="437"/>
        <item x="270"/>
        <item x="518"/>
        <item x="271"/>
        <item x="481"/>
        <item x="483"/>
        <item x="299"/>
        <item x="608"/>
        <item x="586"/>
        <item x="273"/>
        <item x="321"/>
        <item x="446"/>
        <item x="443"/>
        <item x="13"/>
        <item x="583"/>
        <item x="378"/>
        <item x="381"/>
        <item x="186"/>
        <item x="238"/>
        <item x="619"/>
        <item x="347"/>
        <item x="146"/>
        <item x="529"/>
        <item x="124"/>
        <item x="633"/>
        <item x="269"/>
        <item x="663"/>
        <item x="133"/>
        <item x="327"/>
        <item x="278"/>
        <item x="320"/>
        <item x="339"/>
        <item x="138"/>
        <item x="592"/>
        <item x="113"/>
        <item x="416"/>
        <item x="371"/>
        <item x="628"/>
        <item x="585"/>
        <item x="507"/>
        <item x="448"/>
        <item x="348"/>
        <item x="85"/>
        <item x="421"/>
        <item x="553"/>
        <item x="652"/>
        <item x="723"/>
        <item x="593"/>
        <item x="239"/>
        <item x="521"/>
        <item x="734"/>
        <item x="571"/>
        <item x="302"/>
        <item x="279"/>
        <item x="452"/>
        <item x="691"/>
        <item x="476"/>
        <item x="540"/>
        <item x="645"/>
        <item x="526"/>
        <item x="398"/>
        <item x="573"/>
        <item x="355"/>
        <item x="71"/>
        <item x="25"/>
        <item t="default"/>
      </items>
    </pivotField>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1">
    <field x="5"/>
  </rowFields>
  <rowItems count="11">
    <i>
      <x v="13"/>
    </i>
    <i>
      <x v="29"/>
    </i>
    <i>
      <x v="58"/>
    </i>
    <i>
      <x v="73"/>
    </i>
    <i>
      <x v="65"/>
    </i>
    <i>
      <x v="26"/>
    </i>
    <i>
      <x v="24"/>
    </i>
    <i>
      <x v="31"/>
    </i>
    <i>
      <x v="16"/>
    </i>
    <i>
      <x v="74"/>
    </i>
    <i t="grand">
      <x/>
    </i>
  </rowItems>
  <colItems count="1">
    <i/>
  </colItems>
  <dataFields count="1">
    <dataField name="Sum of Net Worth" fld="1" baseField="5" baseItem="13" numFmtId="170"/>
  </dataFields>
  <formats count="6">
    <format dxfId="22">
      <pivotArea outline="0" collapsedLevelsAreSubtotals="1" fieldPosition="0"/>
    </format>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91">
    <chartFormat chart="4" format="81" series="1">
      <pivotArea type="data" outline="0" fieldPosition="0">
        <references count="1">
          <reference field="4294967294" count="1" selected="0">
            <x v="0"/>
          </reference>
        </references>
      </pivotArea>
    </chartFormat>
    <chartFormat chart="4" format="82">
      <pivotArea type="data" outline="0" fieldPosition="0">
        <references count="2">
          <reference field="4294967294" count="1" selected="0">
            <x v="0"/>
          </reference>
          <reference field="5" count="1" selected="0">
            <x v="74"/>
          </reference>
        </references>
      </pivotArea>
    </chartFormat>
    <chartFormat chart="4" format="83">
      <pivotArea type="data" outline="0" fieldPosition="0">
        <references count="2">
          <reference field="4294967294" count="1" selected="0">
            <x v="0"/>
          </reference>
          <reference field="5" count="1" selected="0">
            <x v="16"/>
          </reference>
        </references>
      </pivotArea>
    </chartFormat>
    <chartFormat chart="4" format="84">
      <pivotArea type="data" outline="0" fieldPosition="0">
        <references count="2">
          <reference field="4294967294" count="1" selected="0">
            <x v="0"/>
          </reference>
          <reference field="5" count="1" selected="0">
            <x v="31"/>
          </reference>
        </references>
      </pivotArea>
    </chartFormat>
    <chartFormat chart="4" format="85">
      <pivotArea type="data" outline="0" fieldPosition="0">
        <references count="2">
          <reference field="4294967294" count="1" selected="0">
            <x v="0"/>
          </reference>
          <reference field="5" count="1" selected="0">
            <x v="24"/>
          </reference>
        </references>
      </pivotArea>
    </chartFormat>
    <chartFormat chart="4" format="86">
      <pivotArea type="data" outline="0" fieldPosition="0">
        <references count="2">
          <reference field="4294967294" count="1" selected="0">
            <x v="0"/>
          </reference>
          <reference field="5" count="1" selected="0">
            <x v="26"/>
          </reference>
        </references>
      </pivotArea>
    </chartFormat>
    <chartFormat chart="4" format="87">
      <pivotArea type="data" outline="0" fieldPosition="0">
        <references count="2">
          <reference field="4294967294" count="1" selected="0">
            <x v="0"/>
          </reference>
          <reference field="5" count="1" selected="0">
            <x v="65"/>
          </reference>
        </references>
      </pivotArea>
    </chartFormat>
    <chartFormat chart="4" format="88">
      <pivotArea type="data" outline="0" fieldPosition="0">
        <references count="2">
          <reference field="4294967294" count="1" selected="0">
            <x v="0"/>
          </reference>
          <reference field="5" count="1" selected="0">
            <x v="73"/>
          </reference>
        </references>
      </pivotArea>
    </chartFormat>
    <chartFormat chart="4" format="89">
      <pivotArea type="data" outline="0" fieldPosition="0">
        <references count="2">
          <reference field="4294967294" count="1" selected="0">
            <x v="0"/>
          </reference>
          <reference field="5" count="1" selected="0">
            <x v="58"/>
          </reference>
        </references>
      </pivotArea>
    </chartFormat>
    <chartFormat chart="4" format="90">
      <pivotArea type="data" outline="0" fieldPosition="0">
        <references count="2">
          <reference field="4294967294" count="1" selected="0">
            <x v="0"/>
          </reference>
          <reference field="5" count="1" selected="0">
            <x v="29"/>
          </reference>
        </references>
      </pivotArea>
    </chartFormat>
    <chartFormat chart="4" format="91">
      <pivotArea type="data" outline="0" fieldPosition="0">
        <references count="2">
          <reference field="4294967294" count="1" selected="0">
            <x v="0"/>
          </reference>
          <reference field="5" count="1" selected="0">
            <x v="13"/>
          </reference>
        </references>
      </pivotArea>
    </chartFormat>
    <chartFormat chart="4" format="92">
      <pivotArea type="data" outline="0" fieldPosition="0">
        <references count="2">
          <reference field="4294967294" count="1" selected="0">
            <x v="0"/>
          </reference>
          <reference field="5" count="1" selected="0">
            <x v="4"/>
          </reference>
        </references>
      </pivotArea>
    </chartFormat>
    <chartFormat chart="4" format="93">
      <pivotArea type="data" outline="0" fieldPosition="0">
        <references count="2">
          <reference field="4294967294" count="1" selected="0">
            <x v="0"/>
          </reference>
          <reference field="5" count="1" selected="0">
            <x v="43"/>
          </reference>
        </references>
      </pivotArea>
    </chartFormat>
    <chartFormat chart="4" format="94">
      <pivotArea type="data" outline="0" fieldPosition="0">
        <references count="2">
          <reference field="4294967294" count="1" selected="0">
            <x v="0"/>
          </reference>
          <reference field="5" count="1" selected="0">
            <x v="35"/>
          </reference>
        </references>
      </pivotArea>
    </chartFormat>
    <chartFormat chart="4" format="95">
      <pivotArea type="data" outline="0" fieldPosition="0">
        <references count="2">
          <reference field="4294967294" count="1" selected="0">
            <x v="0"/>
          </reference>
          <reference field="5" count="1" selected="0">
            <x v="36"/>
          </reference>
        </references>
      </pivotArea>
    </chartFormat>
    <chartFormat chart="4" format="96">
      <pivotArea type="data" outline="0" fieldPosition="0">
        <references count="2">
          <reference field="4294967294" count="1" selected="0">
            <x v="0"/>
          </reference>
          <reference field="5" count="1" selected="0">
            <x v="59"/>
          </reference>
        </references>
      </pivotArea>
    </chartFormat>
    <chartFormat chart="4" format="97">
      <pivotArea type="data" outline="0" fieldPosition="0">
        <references count="2">
          <reference field="4294967294" count="1" selected="0">
            <x v="0"/>
          </reference>
          <reference field="5" count="1" selected="0">
            <x v="63"/>
          </reference>
        </references>
      </pivotArea>
    </chartFormat>
    <chartFormat chart="4" format="98">
      <pivotArea type="data" outline="0" fieldPosition="0">
        <references count="2">
          <reference field="4294967294" count="1" selected="0">
            <x v="0"/>
          </reference>
          <reference field="5" count="1" selected="0">
            <x v="32"/>
          </reference>
        </references>
      </pivotArea>
    </chartFormat>
    <chartFormat chart="4" format="99">
      <pivotArea type="data" outline="0" fieldPosition="0">
        <references count="2">
          <reference field="4294967294" count="1" selected="0">
            <x v="0"/>
          </reference>
          <reference field="5" count="1" selected="0">
            <x v="66"/>
          </reference>
        </references>
      </pivotArea>
    </chartFormat>
    <chartFormat chart="4" format="100">
      <pivotArea type="data" outline="0" fieldPosition="0">
        <references count="2">
          <reference field="4294967294" count="1" selected="0">
            <x v="0"/>
          </reference>
          <reference field="5" count="1" selected="0">
            <x v="10"/>
          </reference>
        </references>
      </pivotArea>
    </chartFormat>
    <chartFormat chart="4" format="101">
      <pivotArea type="data" outline="0" fieldPosition="0">
        <references count="2">
          <reference field="4294967294" count="1" selected="0">
            <x v="0"/>
          </reference>
          <reference field="5" count="1" selected="0">
            <x v="68"/>
          </reference>
        </references>
      </pivotArea>
    </chartFormat>
    <chartFormat chart="4" format="102">
      <pivotArea type="data" outline="0" fieldPosition="0">
        <references count="2">
          <reference field="4294967294" count="1" selected="0">
            <x v="0"/>
          </reference>
          <reference field="5" count="1" selected="0">
            <x v="72"/>
          </reference>
        </references>
      </pivotArea>
    </chartFormat>
    <chartFormat chart="4" format="103">
      <pivotArea type="data" outline="0" fieldPosition="0">
        <references count="2">
          <reference field="4294967294" count="1" selected="0">
            <x v="0"/>
          </reference>
          <reference field="5" count="1" selected="0">
            <x v="78"/>
          </reference>
        </references>
      </pivotArea>
    </chartFormat>
    <chartFormat chart="4" format="104">
      <pivotArea type="data" outline="0" fieldPosition="0">
        <references count="2">
          <reference field="4294967294" count="1" selected="0">
            <x v="0"/>
          </reference>
          <reference field="5" count="1" selected="0">
            <x v="64"/>
          </reference>
        </references>
      </pivotArea>
    </chartFormat>
    <chartFormat chart="4" format="105">
      <pivotArea type="data" outline="0" fieldPosition="0">
        <references count="2">
          <reference field="4294967294" count="1" selected="0">
            <x v="0"/>
          </reference>
          <reference field="5" count="1" selected="0">
            <x v="62"/>
          </reference>
        </references>
      </pivotArea>
    </chartFormat>
    <chartFormat chart="4" format="106">
      <pivotArea type="data" outline="0" fieldPosition="0">
        <references count="2">
          <reference field="4294967294" count="1" selected="0">
            <x v="0"/>
          </reference>
          <reference field="5" count="1" selected="0">
            <x v="5"/>
          </reference>
        </references>
      </pivotArea>
    </chartFormat>
    <chartFormat chart="4" format="107">
      <pivotArea type="data" outline="0" fieldPosition="0">
        <references count="2">
          <reference field="4294967294" count="1" selected="0">
            <x v="0"/>
          </reference>
          <reference field="5" count="1" selected="0">
            <x v="34"/>
          </reference>
        </references>
      </pivotArea>
    </chartFormat>
    <chartFormat chart="4" format="108">
      <pivotArea type="data" outline="0" fieldPosition="0">
        <references count="2">
          <reference field="4294967294" count="1" selected="0">
            <x v="0"/>
          </reference>
          <reference field="5" count="1" selected="0">
            <x v="44"/>
          </reference>
        </references>
      </pivotArea>
    </chartFormat>
    <chartFormat chart="4" format="109">
      <pivotArea type="data" outline="0" fieldPosition="0">
        <references count="2">
          <reference field="4294967294" count="1" selected="0">
            <x v="0"/>
          </reference>
          <reference field="5" count="1" selected="0">
            <x v="69"/>
          </reference>
        </references>
      </pivotArea>
    </chartFormat>
    <chartFormat chart="4" format="110">
      <pivotArea type="data" outline="0" fieldPosition="0">
        <references count="2">
          <reference field="4294967294" count="1" selected="0">
            <x v="0"/>
          </reference>
          <reference field="5" count="1" selected="0">
            <x v="19"/>
          </reference>
        </references>
      </pivotArea>
    </chartFormat>
    <chartFormat chart="4" format="111">
      <pivotArea type="data" outline="0" fieldPosition="0">
        <references count="2">
          <reference field="4294967294" count="1" selected="0">
            <x v="0"/>
          </reference>
          <reference field="5" count="1" selected="0">
            <x v="53"/>
          </reference>
        </references>
      </pivotArea>
    </chartFormat>
    <chartFormat chart="4" format="112">
      <pivotArea type="data" outline="0" fieldPosition="0">
        <references count="2">
          <reference field="4294967294" count="1" selected="0">
            <x v="0"/>
          </reference>
          <reference field="5" count="1" selected="0">
            <x v="8"/>
          </reference>
        </references>
      </pivotArea>
    </chartFormat>
    <chartFormat chart="4" format="113">
      <pivotArea type="data" outline="0" fieldPosition="0">
        <references count="2">
          <reference field="4294967294" count="1" selected="0">
            <x v="0"/>
          </reference>
          <reference field="5" count="1" selected="0">
            <x v="20"/>
          </reference>
        </references>
      </pivotArea>
    </chartFormat>
    <chartFormat chart="4" format="114">
      <pivotArea type="data" outline="0" fieldPosition="0">
        <references count="2">
          <reference field="4294967294" count="1" selected="0">
            <x v="0"/>
          </reference>
          <reference field="5" count="1" selected="0">
            <x v="15"/>
          </reference>
        </references>
      </pivotArea>
    </chartFormat>
    <chartFormat chart="4" format="115">
      <pivotArea type="data" outline="0" fieldPosition="0">
        <references count="2">
          <reference field="4294967294" count="1" selected="0">
            <x v="0"/>
          </reference>
          <reference field="5" count="1" selected="0">
            <x v="42"/>
          </reference>
        </references>
      </pivotArea>
    </chartFormat>
    <chartFormat chart="4" format="116">
      <pivotArea type="data" outline="0" fieldPosition="0">
        <references count="2">
          <reference field="4294967294" count="1" selected="0">
            <x v="0"/>
          </reference>
          <reference field="5" count="1" selected="0">
            <x v="49"/>
          </reference>
        </references>
      </pivotArea>
    </chartFormat>
    <chartFormat chart="4" format="117">
      <pivotArea type="data" outline="0" fieldPosition="0">
        <references count="2">
          <reference field="4294967294" count="1" selected="0">
            <x v="0"/>
          </reference>
          <reference field="5" count="1" selected="0">
            <x v="50"/>
          </reference>
        </references>
      </pivotArea>
    </chartFormat>
    <chartFormat chart="4" format="118">
      <pivotArea type="data" outline="0" fieldPosition="0">
        <references count="2">
          <reference field="4294967294" count="1" selected="0">
            <x v="0"/>
          </reference>
          <reference field="5" count="1" selected="0">
            <x v="37"/>
          </reference>
        </references>
      </pivotArea>
    </chartFormat>
    <chartFormat chart="4" format="119">
      <pivotArea type="data" outline="0" fieldPosition="0">
        <references count="2">
          <reference field="4294967294" count="1" selected="0">
            <x v="0"/>
          </reference>
          <reference field="5" count="1" selected="0">
            <x v="61"/>
          </reference>
        </references>
      </pivotArea>
    </chartFormat>
    <chartFormat chart="4" format="120">
      <pivotArea type="data" outline="0" fieldPosition="0">
        <references count="2">
          <reference field="4294967294" count="1" selected="0">
            <x v="0"/>
          </reference>
          <reference field="5" count="1" selected="0">
            <x v="47"/>
          </reference>
        </references>
      </pivotArea>
    </chartFormat>
    <chartFormat chart="4" format="121">
      <pivotArea type="data" outline="0" fieldPosition="0">
        <references count="2">
          <reference field="4294967294" count="1" selected="0">
            <x v="0"/>
          </reference>
          <reference field="5" count="1" selected="0">
            <x v="54"/>
          </reference>
        </references>
      </pivotArea>
    </chartFormat>
    <chartFormat chart="4" format="122">
      <pivotArea type="data" outline="0" fieldPosition="0">
        <references count="2">
          <reference field="4294967294" count="1" selected="0">
            <x v="0"/>
          </reference>
          <reference field="5" count="1" selected="0">
            <x v="76"/>
          </reference>
        </references>
      </pivotArea>
    </chartFormat>
    <chartFormat chart="4" format="123">
      <pivotArea type="data" outline="0" fieldPosition="0">
        <references count="2">
          <reference field="4294967294" count="1" selected="0">
            <x v="0"/>
          </reference>
          <reference field="5" count="1" selected="0">
            <x v="23"/>
          </reference>
        </references>
      </pivotArea>
    </chartFormat>
    <chartFormat chart="4" format="124">
      <pivotArea type="data" outline="0" fieldPosition="0">
        <references count="2">
          <reference field="4294967294" count="1" selected="0">
            <x v="0"/>
          </reference>
          <reference field="5" count="1" selected="0">
            <x v="21"/>
          </reference>
        </references>
      </pivotArea>
    </chartFormat>
    <chartFormat chart="4" format="125">
      <pivotArea type="data" outline="0" fieldPosition="0">
        <references count="2">
          <reference field="4294967294" count="1" selected="0">
            <x v="0"/>
          </reference>
          <reference field="5" count="1" selected="0">
            <x v="77"/>
          </reference>
        </references>
      </pivotArea>
    </chartFormat>
    <chartFormat chart="4" format="126">
      <pivotArea type="data" outline="0" fieldPosition="0">
        <references count="2">
          <reference field="4294967294" count="1" selected="0">
            <x v="0"/>
          </reference>
          <reference field="5" count="1" selected="0">
            <x v="71"/>
          </reference>
        </references>
      </pivotArea>
    </chartFormat>
    <chartFormat chart="4" format="127">
      <pivotArea type="data" outline="0" fieldPosition="0">
        <references count="2">
          <reference field="4294967294" count="1" selected="0">
            <x v="0"/>
          </reference>
          <reference field="5" count="1" selected="0">
            <x v="2"/>
          </reference>
        </references>
      </pivotArea>
    </chartFormat>
    <chartFormat chart="4" format="128">
      <pivotArea type="data" outline="0" fieldPosition="0">
        <references count="2">
          <reference field="4294967294" count="1" selected="0">
            <x v="0"/>
          </reference>
          <reference field="5" count="1" selected="0">
            <x v="14"/>
          </reference>
        </references>
      </pivotArea>
    </chartFormat>
    <chartFormat chart="4" format="129">
      <pivotArea type="data" outline="0" fieldPosition="0">
        <references count="2">
          <reference field="4294967294" count="1" selected="0">
            <x v="0"/>
          </reference>
          <reference field="5" count="1" selected="0">
            <x v="48"/>
          </reference>
        </references>
      </pivotArea>
    </chartFormat>
    <chartFormat chart="4" format="130">
      <pivotArea type="data" outline="0" fieldPosition="0">
        <references count="2">
          <reference field="4294967294" count="1" selected="0">
            <x v="0"/>
          </reference>
          <reference field="5" count="1" selected="0">
            <x v="18"/>
          </reference>
        </references>
      </pivotArea>
    </chartFormat>
    <chartFormat chart="4" format="131">
      <pivotArea type="data" outline="0" fieldPosition="0">
        <references count="2">
          <reference field="4294967294" count="1" selected="0">
            <x v="0"/>
          </reference>
          <reference field="5" count="1" selected="0">
            <x v="33"/>
          </reference>
        </references>
      </pivotArea>
    </chartFormat>
    <chartFormat chart="4" format="132">
      <pivotArea type="data" outline="0" fieldPosition="0">
        <references count="2">
          <reference field="4294967294" count="1" selected="0">
            <x v="0"/>
          </reference>
          <reference field="5" count="1" selected="0">
            <x v="27"/>
          </reference>
        </references>
      </pivotArea>
    </chartFormat>
    <chartFormat chart="4" format="133">
      <pivotArea type="data" outline="0" fieldPosition="0">
        <references count="2">
          <reference field="4294967294" count="1" selected="0">
            <x v="0"/>
          </reference>
          <reference field="5" count="1" selected="0">
            <x v="6"/>
          </reference>
        </references>
      </pivotArea>
    </chartFormat>
    <chartFormat chart="4" format="134">
      <pivotArea type="data" outline="0" fieldPosition="0">
        <references count="2">
          <reference field="4294967294" count="1" selected="0">
            <x v="0"/>
          </reference>
          <reference field="5" count="1" selected="0">
            <x v="22"/>
          </reference>
        </references>
      </pivotArea>
    </chartFormat>
    <chartFormat chart="4" format="135">
      <pivotArea type="data" outline="0" fieldPosition="0">
        <references count="2">
          <reference field="4294967294" count="1" selected="0">
            <x v="0"/>
          </reference>
          <reference field="5" count="1" selected="0">
            <x v="17"/>
          </reference>
        </references>
      </pivotArea>
    </chartFormat>
    <chartFormat chart="4" format="136">
      <pivotArea type="data" outline="0" fieldPosition="0">
        <references count="2">
          <reference field="4294967294" count="1" selected="0">
            <x v="0"/>
          </reference>
          <reference field="5" count="1" selected="0">
            <x v="39"/>
          </reference>
        </references>
      </pivotArea>
    </chartFormat>
    <chartFormat chart="4" format="137">
      <pivotArea type="data" outline="0" fieldPosition="0">
        <references count="2">
          <reference field="4294967294" count="1" selected="0">
            <x v="0"/>
          </reference>
          <reference field="5" count="1" selected="0">
            <x v="25"/>
          </reference>
        </references>
      </pivotArea>
    </chartFormat>
    <chartFormat chart="4" format="138">
      <pivotArea type="data" outline="0" fieldPosition="0">
        <references count="2">
          <reference field="4294967294" count="1" selected="0">
            <x v="0"/>
          </reference>
          <reference field="5" count="1" selected="0">
            <x v="57"/>
          </reference>
        </references>
      </pivotArea>
    </chartFormat>
    <chartFormat chart="4" format="139">
      <pivotArea type="data" outline="0" fieldPosition="0">
        <references count="2">
          <reference field="4294967294" count="1" selected="0">
            <x v="0"/>
          </reference>
          <reference field="5" count="1" selected="0">
            <x v="55"/>
          </reference>
        </references>
      </pivotArea>
    </chartFormat>
    <chartFormat chart="4" format="140">
      <pivotArea type="data" outline="0" fieldPosition="0">
        <references count="2">
          <reference field="4294967294" count="1" selected="0">
            <x v="0"/>
          </reference>
          <reference field="5" count="1" selected="0">
            <x v="0"/>
          </reference>
        </references>
      </pivotArea>
    </chartFormat>
    <chartFormat chart="4" format="141">
      <pivotArea type="data" outline="0" fieldPosition="0">
        <references count="2">
          <reference field="4294967294" count="1" selected="0">
            <x v="0"/>
          </reference>
          <reference field="5" count="1" selected="0">
            <x v="9"/>
          </reference>
        </references>
      </pivotArea>
    </chartFormat>
    <chartFormat chart="4" format="142">
      <pivotArea type="data" outline="0" fieldPosition="0">
        <references count="2">
          <reference field="4294967294" count="1" selected="0">
            <x v="0"/>
          </reference>
          <reference field="5" count="1" selected="0">
            <x v="38"/>
          </reference>
        </references>
      </pivotArea>
    </chartFormat>
    <chartFormat chart="4" format="143">
      <pivotArea type="data" outline="0" fieldPosition="0">
        <references count="2">
          <reference field="4294967294" count="1" selected="0">
            <x v="0"/>
          </reference>
          <reference field="5" count="1" selected="0">
            <x v="30"/>
          </reference>
        </references>
      </pivotArea>
    </chartFormat>
    <chartFormat chart="4" format="144">
      <pivotArea type="data" outline="0" fieldPosition="0">
        <references count="2">
          <reference field="4294967294" count="1" selected="0">
            <x v="0"/>
          </reference>
          <reference field="5" count="1" selected="0">
            <x v="41"/>
          </reference>
        </references>
      </pivotArea>
    </chartFormat>
    <chartFormat chart="4" format="145">
      <pivotArea type="data" outline="0" fieldPosition="0">
        <references count="2">
          <reference field="4294967294" count="1" selected="0">
            <x v="0"/>
          </reference>
          <reference field="5" count="1" selected="0">
            <x v="11"/>
          </reference>
        </references>
      </pivotArea>
    </chartFormat>
    <chartFormat chart="4" format="146">
      <pivotArea type="data" outline="0" fieldPosition="0">
        <references count="2">
          <reference field="4294967294" count="1" selected="0">
            <x v="0"/>
          </reference>
          <reference field="5" count="1" selected="0">
            <x v="60"/>
          </reference>
        </references>
      </pivotArea>
    </chartFormat>
    <chartFormat chart="4" format="147">
      <pivotArea type="data" outline="0" fieldPosition="0">
        <references count="2">
          <reference field="4294967294" count="1" selected="0">
            <x v="0"/>
          </reference>
          <reference field="5" count="1" selected="0">
            <x v="56"/>
          </reference>
        </references>
      </pivotArea>
    </chartFormat>
    <chartFormat chart="4" format="148">
      <pivotArea type="data" outline="0" fieldPosition="0">
        <references count="2">
          <reference field="4294967294" count="1" selected="0">
            <x v="0"/>
          </reference>
          <reference field="5" count="1" selected="0">
            <x v="12"/>
          </reference>
        </references>
      </pivotArea>
    </chartFormat>
    <chartFormat chart="4" format="149">
      <pivotArea type="data" outline="0" fieldPosition="0">
        <references count="2">
          <reference field="4294967294" count="1" selected="0">
            <x v="0"/>
          </reference>
          <reference field="5" count="1" selected="0">
            <x v="45"/>
          </reference>
        </references>
      </pivotArea>
    </chartFormat>
    <chartFormat chart="4" format="150">
      <pivotArea type="data" outline="0" fieldPosition="0">
        <references count="2">
          <reference field="4294967294" count="1" selected="0">
            <x v="0"/>
          </reference>
          <reference field="5" count="1" selected="0">
            <x v="51"/>
          </reference>
        </references>
      </pivotArea>
    </chartFormat>
    <chartFormat chart="4" format="151">
      <pivotArea type="data" outline="0" fieldPosition="0">
        <references count="2">
          <reference field="4294967294" count="1" selected="0">
            <x v="0"/>
          </reference>
          <reference field="5" count="1" selected="0">
            <x v="52"/>
          </reference>
        </references>
      </pivotArea>
    </chartFormat>
    <chartFormat chart="4" format="152">
      <pivotArea type="data" outline="0" fieldPosition="0">
        <references count="2">
          <reference field="4294967294" count="1" selected="0">
            <x v="0"/>
          </reference>
          <reference field="5" count="1" selected="0">
            <x v="28"/>
          </reference>
        </references>
      </pivotArea>
    </chartFormat>
    <chartFormat chart="4" format="153">
      <pivotArea type="data" outline="0" fieldPosition="0">
        <references count="2">
          <reference field="4294967294" count="1" selected="0">
            <x v="0"/>
          </reference>
          <reference field="5" count="1" selected="0">
            <x v="40"/>
          </reference>
        </references>
      </pivotArea>
    </chartFormat>
    <chartFormat chart="4" format="154">
      <pivotArea type="data" outline="0" fieldPosition="0">
        <references count="2">
          <reference field="4294967294" count="1" selected="0">
            <x v="0"/>
          </reference>
          <reference field="5" count="1" selected="0">
            <x v="70"/>
          </reference>
        </references>
      </pivotArea>
    </chartFormat>
    <chartFormat chart="4" format="155">
      <pivotArea type="data" outline="0" fieldPosition="0">
        <references count="2">
          <reference field="4294967294" count="1" selected="0">
            <x v="0"/>
          </reference>
          <reference field="5" count="1" selected="0">
            <x v="75"/>
          </reference>
        </references>
      </pivotArea>
    </chartFormat>
    <chartFormat chart="4" format="156">
      <pivotArea type="data" outline="0" fieldPosition="0">
        <references count="2">
          <reference field="4294967294" count="1" selected="0">
            <x v="0"/>
          </reference>
          <reference field="5" count="1" selected="0">
            <x v="46"/>
          </reference>
        </references>
      </pivotArea>
    </chartFormat>
    <chartFormat chart="4" format="157">
      <pivotArea type="data" outline="0" fieldPosition="0">
        <references count="2">
          <reference field="4294967294" count="1" selected="0">
            <x v="0"/>
          </reference>
          <reference field="5" count="1" selected="0">
            <x v="1"/>
          </reference>
        </references>
      </pivotArea>
    </chartFormat>
    <chartFormat chart="4" format="158">
      <pivotArea type="data" outline="0" fieldPosition="0">
        <references count="2">
          <reference field="4294967294" count="1" selected="0">
            <x v="0"/>
          </reference>
          <reference field="5" count="1" selected="0">
            <x v="67"/>
          </reference>
        </references>
      </pivotArea>
    </chartFormat>
    <chartFormat chart="4" format="159">
      <pivotArea type="data" outline="0" fieldPosition="0">
        <references count="2">
          <reference field="4294967294" count="1" selected="0">
            <x v="0"/>
          </reference>
          <reference field="5" count="1" selected="0">
            <x v="7"/>
          </reference>
        </references>
      </pivotArea>
    </chartFormat>
    <chartFormat chart="4" format="160">
      <pivotArea type="data" outline="0" fieldPosition="0">
        <references count="2">
          <reference field="4294967294" count="1" selected="0">
            <x v="0"/>
          </reference>
          <reference field="5" count="1" selected="0">
            <x v="3"/>
          </reference>
        </references>
      </pivotArea>
    </chartFormat>
    <chartFormat chart="17" format="172" series="1">
      <pivotArea type="data" outline="0" fieldPosition="0">
        <references count="1">
          <reference field="4294967294" count="1" selected="0">
            <x v="0"/>
          </reference>
        </references>
      </pivotArea>
    </chartFormat>
    <chartFormat chart="17" format="173">
      <pivotArea type="data" outline="0" fieldPosition="0">
        <references count="2">
          <reference field="4294967294" count="1" selected="0">
            <x v="0"/>
          </reference>
          <reference field="5" count="1" selected="0">
            <x v="13"/>
          </reference>
        </references>
      </pivotArea>
    </chartFormat>
    <chartFormat chart="17" format="174">
      <pivotArea type="data" outline="0" fieldPosition="0">
        <references count="2">
          <reference field="4294967294" count="1" selected="0">
            <x v="0"/>
          </reference>
          <reference field="5" count="1" selected="0">
            <x v="29"/>
          </reference>
        </references>
      </pivotArea>
    </chartFormat>
    <chartFormat chart="17" format="175">
      <pivotArea type="data" outline="0" fieldPosition="0">
        <references count="2">
          <reference field="4294967294" count="1" selected="0">
            <x v="0"/>
          </reference>
          <reference field="5" count="1" selected="0">
            <x v="58"/>
          </reference>
        </references>
      </pivotArea>
    </chartFormat>
    <chartFormat chart="17" format="176">
      <pivotArea type="data" outline="0" fieldPosition="0">
        <references count="2">
          <reference field="4294967294" count="1" selected="0">
            <x v="0"/>
          </reference>
          <reference field="5" count="1" selected="0">
            <x v="73"/>
          </reference>
        </references>
      </pivotArea>
    </chartFormat>
    <chartFormat chart="17" format="177">
      <pivotArea type="data" outline="0" fieldPosition="0">
        <references count="2">
          <reference field="4294967294" count="1" selected="0">
            <x v="0"/>
          </reference>
          <reference field="5" count="1" selected="0">
            <x v="65"/>
          </reference>
        </references>
      </pivotArea>
    </chartFormat>
    <chartFormat chart="17" format="178">
      <pivotArea type="data" outline="0" fieldPosition="0">
        <references count="2">
          <reference field="4294967294" count="1" selected="0">
            <x v="0"/>
          </reference>
          <reference field="5" count="1" selected="0">
            <x v="26"/>
          </reference>
        </references>
      </pivotArea>
    </chartFormat>
    <chartFormat chart="17" format="179">
      <pivotArea type="data" outline="0" fieldPosition="0">
        <references count="2">
          <reference field="4294967294" count="1" selected="0">
            <x v="0"/>
          </reference>
          <reference field="5" count="1" selected="0">
            <x v="24"/>
          </reference>
        </references>
      </pivotArea>
    </chartFormat>
    <chartFormat chart="17" format="180">
      <pivotArea type="data" outline="0" fieldPosition="0">
        <references count="2">
          <reference field="4294967294" count="1" selected="0">
            <x v="0"/>
          </reference>
          <reference field="5" count="1" selected="0">
            <x v="31"/>
          </reference>
        </references>
      </pivotArea>
    </chartFormat>
    <chartFormat chart="17" format="181">
      <pivotArea type="data" outline="0" fieldPosition="0">
        <references count="2">
          <reference field="4294967294" count="1" selected="0">
            <x v="0"/>
          </reference>
          <reference field="5" count="1" selected="0">
            <x v="16"/>
          </reference>
        </references>
      </pivotArea>
    </chartFormat>
    <chartFormat chart="17" format="182">
      <pivotArea type="data" outline="0" fieldPosition="0">
        <references count="2">
          <reference field="4294967294" count="1" selected="0">
            <x v="0"/>
          </reference>
          <reference field="5" count="1" selected="0">
            <x v="74"/>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C6F85E-6DEC-415C-85A3-DC99A3F1C12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Industries">
  <location ref="O1:P12" firstHeaderRow="1" firstDataRow="1" firstDataCol="1"/>
  <pivotFields count="31">
    <pivotField showAll="0"/>
    <pivotField dataField="1" showAll="0" sortType="ascending"/>
    <pivotField showAll="0"/>
    <pivotField showAll="0">
      <items count="2639">
        <item x="2131"/>
        <item x="1272"/>
        <item x="981"/>
        <item x="250"/>
        <item x="1118"/>
        <item x="2359"/>
        <item x="2406"/>
        <item x="71"/>
        <item x="1277"/>
        <item x="855"/>
        <item x="1187"/>
        <item x="1399"/>
        <item x="1077"/>
        <item x="1687"/>
        <item x="2487"/>
        <item x="962"/>
        <item x="379"/>
        <item x="1917"/>
        <item x="2101"/>
        <item x="1619"/>
        <item x="1012"/>
        <item x="890"/>
        <item x="1085"/>
        <item x="427"/>
        <item x="407"/>
        <item x="1787"/>
        <item x="40"/>
        <item x="1928"/>
        <item x="795"/>
        <item x="2330"/>
        <item x="1709"/>
        <item x="1886"/>
        <item x="1722"/>
        <item x="1369"/>
        <item x="2229"/>
        <item x="2020"/>
        <item x="1027"/>
        <item x="2154"/>
        <item x="1773"/>
        <item x="1347"/>
        <item x="1352"/>
        <item x="1235"/>
        <item x="1237"/>
        <item x="343"/>
        <item x="1654"/>
        <item x="1203"/>
        <item x="1567"/>
        <item x="859"/>
        <item x="1433"/>
        <item x="1810"/>
        <item x="1410"/>
        <item x="424"/>
        <item x="1122"/>
        <item x="536"/>
        <item x="2182"/>
        <item x="2309"/>
        <item x="1545"/>
        <item x="1484"/>
        <item x="216"/>
        <item x="1201"/>
        <item x="2356"/>
        <item x="1154"/>
        <item x="1499"/>
        <item x="1908"/>
        <item x="1588"/>
        <item x="546"/>
        <item x="510"/>
        <item x="1742"/>
        <item x="400"/>
        <item x="78"/>
        <item x="1057"/>
        <item x="1761"/>
        <item x="1282"/>
        <item x="737"/>
        <item x="2115"/>
        <item x="1825"/>
        <item x="2042"/>
        <item x="582"/>
        <item x="2036"/>
        <item x="2464"/>
        <item x="1409"/>
        <item x="20"/>
        <item x="1186"/>
        <item x="124"/>
        <item x="121"/>
        <item x="2516"/>
        <item x="1543"/>
        <item x="12"/>
        <item x="2026"/>
        <item x="1983"/>
        <item x="861"/>
        <item x="1724"/>
        <item x="1528"/>
        <item x="1719"/>
        <item x="1922"/>
        <item x="2544"/>
        <item x="1438"/>
        <item x="2157"/>
        <item x="1477"/>
        <item x="2106"/>
        <item x="515"/>
        <item x="2135"/>
        <item x="2072"/>
        <item x="1700"/>
        <item x="313"/>
        <item x="583"/>
        <item x="596"/>
        <item x="438"/>
        <item x="1862"/>
        <item x="148"/>
        <item x="237"/>
        <item x="1113"/>
        <item x="189"/>
        <item x="2468"/>
        <item x="643"/>
        <item x="1466"/>
        <item x="2603"/>
        <item x="2345"/>
        <item x="273"/>
        <item x="678"/>
        <item x="1867"/>
        <item x="169"/>
        <item x="1226"/>
        <item x="291"/>
        <item x="81"/>
        <item x="1261"/>
        <item x="1517"/>
        <item x="57"/>
        <item x="1371"/>
        <item x="1913"/>
        <item x="1135"/>
        <item x="1645"/>
        <item x="239"/>
        <item x="1211"/>
        <item x="2540"/>
        <item x="2159"/>
        <item x="1111"/>
        <item x="1971"/>
        <item x="2114"/>
        <item x="392"/>
        <item x="404"/>
        <item x="2147"/>
        <item x="2295"/>
        <item x="1848"/>
        <item x="154"/>
        <item x="780"/>
        <item x="217"/>
        <item x="1889"/>
        <item x="208"/>
        <item x="911"/>
        <item x="2353"/>
        <item x="2488"/>
        <item x="439"/>
        <item x="2019"/>
        <item x="685"/>
        <item x="1515"/>
        <item x="2175"/>
        <item x="2600"/>
        <item x="470"/>
        <item x="1939"/>
        <item x="928"/>
        <item x="839"/>
        <item x="2511"/>
        <item x="889"/>
        <item x="1299"/>
        <item x="2191"/>
        <item x="1465"/>
        <item x="298"/>
        <item x="316"/>
        <item x="447"/>
        <item x="692"/>
        <item x="907"/>
        <item x="2470"/>
        <item x="1056"/>
        <item x="1262"/>
        <item x="2582"/>
        <item x="335"/>
        <item x="2278"/>
        <item x="1748"/>
        <item x="2348"/>
        <item x="1878"/>
        <item x="1345"/>
        <item x="721"/>
        <item x="181"/>
        <item x="2335"/>
        <item x="1990"/>
        <item x="2158"/>
        <item x="2041"/>
        <item x="211"/>
        <item x="1905"/>
        <item x="1604"/>
        <item x="1241"/>
        <item x="1459"/>
        <item x="1809"/>
        <item x="2267"/>
        <item x="2292"/>
        <item x="1705"/>
        <item x="1728"/>
        <item x="2141"/>
        <item x="1912"/>
        <item x="1501"/>
        <item x="749"/>
        <item x="516"/>
        <item x="606"/>
        <item x="850"/>
        <item x="1987"/>
        <item x="108"/>
        <item x="791"/>
        <item x="1443"/>
        <item x="636"/>
        <item x="1163"/>
        <item x="699"/>
        <item x="2289"/>
        <item x="1984"/>
        <item x="2563"/>
        <item x="1089"/>
        <item x="1693"/>
        <item x="881"/>
        <item x="2347"/>
        <item x="2559"/>
        <item x="311"/>
        <item x="0"/>
        <item x="568"/>
        <item x="1034"/>
        <item x="1281"/>
        <item x="2065"/>
        <item x="262"/>
        <item x="713"/>
        <item x="2439"/>
        <item x="2269"/>
        <item x="590"/>
        <item x="959"/>
        <item x="1557"/>
        <item x="1924"/>
        <item x="1554"/>
        <item x="557"/>
        <item x="1217"/>
        <item x="879"/>
        <item x="5"/>
        <item x="1831"/>
        <item x="1238"/>
        <item x="1544"/>
        <item x="2022"/>
        <item x="1656"/>
        <item x="243"/>
        <item x="2200"/>
        <item x="2116"/>
        <item x="1448"/>
        <item x="792"/>
        <item x="867"/>
        <item x="1251"/>
        <item x="1330"/>
        <item x="2096"/>
        <item x="2130"/>
        <item x="770"/>
        <item x="1243"/>
        <item x="2585"/>
        <item x="2073"/>
        <item x="1372"/>
        <item x="1271"/>
        <item x="1368"/>
        <item x="205"/>
        <item x="1669"/>
        <item x="1779"/>
        <item x="1440"/>
        <item x="1119"/>
        <item x="1329"/>
        <item x="386"/>
        <item x="1962"/>
        <item x="1887"/>
        <item x="910"/>
        <item x="383"/>
        <item x="1158"/>
        <item x="1594"/>
        <item x="1263"/>
        <item x="1197"/>
        <item x="987"/>
        <item x="2416"/>
        <item x="1813"/>
        <item x="2027"/>
        <item x="436"/>
        <item x="2146"/>
        <item x="1646"/>
        <item x="2382"/>
        <item x="1439"/>
        <item x="1521"/>
        <item x="2417"/>
        <item x="1028"/>
        <item x="289"/>
        <item x="2321"/>
        <item x="396"/>
        <item x="171"/>
        <item x="1733"/>
        <item x="1179"/>
        <item x="738"/>
        <item x="94"/>
        <item x="900"/>
        <item x="584"/>
        <item x="235"/>
        <item x="1000"/>
        <item x="1979"/>
        <item x="2099"/>
        <item x="7"/>
        <item x="2429"/>
        <item x="2002"/>
        <item x="1600"/>
        <item x="228"/>
        <item x="2466"/>
        <item x="2205"/>
        <item x="994"/>
        <item x="1288"/>
        <item x="1171"/>
        <item x="1407"/>
        <item x="563"/>
        <item x="660"/>
        <item x="989"/>
        <item x="757"/>
        <item x="2148"/>
        <item x="2420"/>
        <item x="1919"/>
        <item x="2548"/>
        <item x="168"/>
        <item x="1317"/>
        <item x="118"/>
        <item x="524"/>
        <item x="1222"/>
        <item x="299"/>
        <item x="767"/>
        <item x="592"/>
        <item x="955"/>
        <item x="914"/>
        <item x="16"/>
        <item x="1398"/>
        <item x="212"/>
        <item x="519"/>
        <item x="876"/>
        <item x="1640"/>
        <item x="2105"/>
        <item x="2202"/>
        <item x="117"/>
        <item x="238"/>
        <item x="2457"/>
        <item x="127"/>
        <item x="2421"/>
        <item x="724"/>
        <item x="661"/>
        <item x="2549"/>
        <item x="229"/>
        <item x="1374"/>
        <item x="1731"/>
        <item x="909"/>
        <item x="1069"/>
        <item x="1584"/>
        <item x="880"/>
        <item x="2551"/>
        <item x="1276"/>
        <item x="1814"/>
        <item x="2029"/>
        <item x="2273"/>
        <item x="2150"/>
        <item x="1375"/>
        <item x="2425"/>
        <item x="2151"/>
        <item x="1815"/>
        <item x="1173"/>
        <item x="1585"/>
        <item x="2554"/>
        <item x="2426"/>
        <item x="2274"/>
        <item x="511"/>
        <item x="1225"/>
        <item x="1101"/>
        <item x="1816"/>
        <item x="1441"/>
        <item x="2152"/>
        <item x="2371"/>
        <item x="549"/>
        <item x="2134"/>
        <item x="858"/>
        <item x="2427"/>
        <item x="948"/>
        <item x="1070"/>
        <item x="2032"/>
        <item x="1391"/>
        <item x="1881"/>
        <item x="2538"/>
        <item x="1811"/>
        <item x="629"/>
        <item x="2450"/>
        <item x="1470"/>
        <item x="1152"/>
        <item x="2310"/>
        <item x="2044"/>
        <item x="1365"/>
        <item x="1667"/>
        <item x="365"/>
        <item x="1757"/>
        <item x="1980"/>
        <item x="177"/>
        <item x="1920"/>
        <item x="1319"/>
        <item x="2030"/>
        <item x="1642"/>
        <item x="1386"/>
        <item x="2275"/>
        <item x="822"/>
        <item x="1339"/>
        <item x="1431"/>
        <item x="2568"/>
        <item x="2238"/>
        <item x="823"/>
        <item x="806"/>
        <item x="1807"/>
        <item x="446"/>
        <item x="1550"/>
        <item x="44"/>
        <item x="2178"/>
        <item x="1546"/>
        <item x="2445"/>
        <item x="1547"/>
        <item x="67"/>
        <item x="1661"/>
        <item x="553"/>
        <item x="384"/>
        <item x="472"/>
        <item x="2291"/>
        <item x="706"/>
        <item x="1142"/>
        <item x="562"/>
        <item x="1885"/>
        <item x="141"/>
        <item x="1442"/>
        <item x="821"/>
        <item x="1824"/>
        <item x="1323"/>
        <item x="2434"/>
        <item x="91"/>
        <item x="2045"/>
        <item x="209"/>
        <item x="834"/>
        <item x="1475"/>
        <item x="966"/>
        <item x="778"/>
        <item x="1294"/>
        <item x="1062"/>
        <item x="652"/>
        <item x="451"/>
        <item x="679"/>
        <item x="2576"/>
        <item x="2264"/>
        <item x="351"/>
        <item x="2276"/>
        <item x="642"/>
        <item x="1166"/>
        <item x="1576"/>
        <item x="389"/>
        <item x="1729"/>
        <item x="214"/>
        <item x="172"/>
        <item x="2287"/>
        <item x="915"/>
        <item x="1597"/>
        <item x="283"/>
        <item x="2443"/>
        <item x="116"/>
        <item x="2452"/>
        <item x="1836"/>
        <item x="2305"/>
        <item x="1612"/>
        <item x="2077"/>
        <item x="1686"/>
        <item x="1342"/>
        <item x="1343"/>
        <item x="2089"/>
        <item x="1974"/>
        <item x="393"/>
        <item x="932"/>
        <item x="272"/>
        <item x="360"/>
        <item x="434"/>
        <item x="378"/>
        <item x="2001"/>
        <item x="89"/>
        <item x="21"/>
        <item x="2618"/>
        <item x="619"/>
        <item x="1305"/>
        <item x="1425"/>
        <item x="1799"/>
        <item x="2497"/>
        <item x="2078"/>
        <item x="1177"/>
        <item x="951"/>
        <item x="2430"/>
        <item x="1140"/>
        <item x="2231"/>
        <item x="353"/>
        <item x="532"/>
        <item x="2223"/>
        <item x="1454"/>
        <item x="403"/>
        <item x="1376"/>
        <item x="2228"/>
        <item x="664"/>
        <item x="115"/>
        <item x="2351"/>
        <item x="2230"/>
        <item x="130"/>
        <item x="1535"/>
        <item x="1662"/>
        <item x="2277"/>
        <item x="1207"/>
        <item x="26"/>
        <item x="611"/>
        <item x="111"/>
        <item x="2107"/>
        <item x="645"/>
        <item x="300"/>
        <item x="268"/>
        <item x="2280"/>
        <item x="838"/>
        <item x="452"/>
        <item x="675"/>
        <item x="332"/>
        <item x="1185"/>
        <item x="1081"/>
        <item x="2485"/>
        <item x="1777"/>
        <item x="401"/>
        <item x="1444"/>
        <item x="1608"/>
        <item x="319"/>
        <item x="342"/>
        <item x="535"/>
        <item x="96"/>
        <item x="2440"/>
        <item x="1040"/>
        <item x="163"/>
        <item x="694"/>
        <item x="1264"/>
        <item x="1592"/>
        <item x="913"/>
        <item x="1377"/>
        <item x="1279"/>
        <item x="1524"/>
        <item x="601"/>
        <item x="1461"/>
        <item x="500"/>
        <item x="1775"/>
        <item x="1082"/>
        <item x="2046"/>
        <item x="2381"/>
        <item x="1074"/>
        <item x="2561"/>
        <item x="1977"/>
        <item x="1769"/>
        <item x="225"/>
        <item x="1625"/>
        <item x="672"/>
        <item x="2610"/>
        <item x="2365"/>
        <item x="2547"/>
        <item x="2187"/>
        <item x="2155"/>
        <item x="1596"/>
        <item x="175"/>
        <item x="1273"/>
        <item x="995"/>
        <item x="356"/>
        <item x="1758"/>
        <item x="1609"/>
        <item x="375"/>
        <item x="1497"/>
        <item x="801"/>
        <item x="2358"/>
        <item x="344"/>
        <item x="1926"/>
        <item x="1005"/>
        <item x="1846"/>
        <item x="1508"/>
        <item x="1073"/>
        <item x="2140"/>
        <item x="700"/>
        <item x="499"/>
        <item x="1632"/>
        <item x="763"/>
        <item x="1"/>
        <item x="560"/>
        <item x="70"/>
        <item x="314"/>
        <item x="1253"/>
        <item x="1180"/>
        <item x="667"/>
        <item x="83"/>
        <item x="104"/>
        <item x="213"/>
        <item x="266"/>
        <item x="2354"/>
        <item x="875"/>
        <item x="508"/>
        <item x="1016"/>
        <item x="1326"/>
        <item x="998"/>
        <item x="203"/>
        <item x="1050"/>
        <item x="1931"/>
        <item x="1464"/>
        <item x="1483"/>
        <item x="2385"/>
        <item x="1071"/>
        <item x="2270"/>
        <item x="986"/>
        <item x="1155"/>
        <item x="1715"/>
        <item x="1871"/>
        <item x="85"/>
        <item x="1689"/>
        <item x="2296"/>
        <item x="1648"/>
        <item x="1199"/>
        <item x="829"/>
        <item x="594"/>
        <item x="2286"/>
        <item x="522"/>
        <item x="2283"/>
        <item x="968"/>
        <item x="2403"/>
        <item x="2008"/>
        <item x="1595"/>
        <item x="819"/>
        <item x="1291"/>
        <item x="1923"/>
        <item x="2232"/>
        <item x="1164"/>
        <item x="997"/>
        <item x="2562"/>
        <item x="2193"/>
        <item x="1256"/>
        <item x="1174"/>
        <item x="734"/>
        <item x="2220"/>
        <item x="1349"/>
        <item x="219"/>
        <item x="1181"/>
        <item x="1486"/>
        <item x="599"/>
        <item x="2342"/>
        <item x="748"/>
        <item x="2350"/>
        <item x="247"/>
        <item x="248"/>
        <item x="1865"/>
        <item x="1737"/>
        <item x="27"/>
        <item x="10"/>
        <item x="1117"/>
        <item x="1133"/>
        <item x="432"/>
        <item x="1988"/>
        <item x="979"/>
        <item x="654"/>
        <item x="2628"/>
        <item x="605"/>
        <item x="2320"/>
        <item x="328"/>
        <item x="448"/>
        <item x="1903"/>
        <item x="976"/>
        <item x="2271"/>
        <item x="192"/>
        <item x="1004"/>
        <item x="412"/>
        <item x="1593"/>
        <item x="1379"/>
        <item x="884"/>
        <item x="1927"/>
        <item x="2604"/>
        <item x="2462"/>
        <item x="1930"/>
        <item x="2217"/>
        <item x="1622"/>
        <item x="2490"/>
        <item x="736"/>
        <item x="2433"/>
        <item x="2601"/>
        <item x="709"/>
        <item x="2441"/>
        <item x="2422"/>
        <item x="1022"/>
        <item x="513"/>
        <item x="405"/>
        <item x="1829"/>
        <item x="2565"/>
        <item x="1068"/>
        <item x="1826"/>
        <item x="2290"/>
        <item x="2189"/>
        <item x="2075"/>
        <item x="1684"/>
        <item x="505"/>
        <item x="23"/>
        <item x="1643"/>
        <item x="580"/>
        <item x="1701"/>
        <item x="90"/>
        <item x="1130"/>
        <item x="929"/>
        <item x="1325"/>
        <item x="1051"/>
        <item x="176"/>
        <item x="274"/>
        <item x="1358"/>
        <item x="1367"/>
        <item x="984"/>
        <item x="2179"/>
        <item x="133"/>
        <item x="1676"/>
        <item x="543"/>
        <item x="2203"/>
        <item x="1972"/>
        <item x="2214"/>
        <item x="251"/>
        <item x="2609"/>
        <item x="377"/>
        <item x="1895"/>
        <item x="1446"/>
        <item x="1280"/>
        <item x="2352"/>
        <item x="41"/>
        <item x="249"/>
        <item x="53"/>
        <item x="1743"/>
        <item x="2572"/>
        <item x="1830"/>
        <item x="1147"/>
        <item x="42"/>
        <item x="896"/>
        <item x="1009"/>
        <item x="51"/>
        <item x="1555"/>
        <item x="156"/>
        <item x="1346"/>
        <item x="1726"/>
        <item x="29"/>
        <item x="2023"/>
        <item x="905"/>
        <item x="2418"/>
        <item x="820"/>
        <item x="727"/>
        <item x="2436"/>
        <item x="1156"/>
        <item x="1115"/>
        <item x="1052"/>
        <item x="122"/>
        <item x="158"/>
        <item x="429"/>
        <item x="1452"/>
        <item x="358"/>
        <item x="2009"/>
        <item x="232"/>
        <item x="1964"/>
        <item x="2173"/>
        <item x="1054"/>
        <item x="2086"/>
        <item x="1037"/>
        <item x="2038"/>
        <item x="701"/>
        <item x="1013"/>
        <item x="1161"/>
        <item x="2318"/>
        <item x="1019"/>
        <item x="1039"/>
        <item x="728"/>
        <item x="321"/>
        <item x="1598"/>
        <item x="952"/>
        <item x="411"/>
        <item x="1159"/>
        <item x="912"/>
        <item x="2313"/>
        <item x="648"/>
        <item x="570"/>
        <item x="756"/>
        <item x="1058"/>
        <item x="2225"/>
        <item x="1749"/>
        <item x="2233"/>
        <item x="2258"/>
        <item x="1906"/>
        <item x="1502"/>
        <item x="922"/>
        <item x="2570"/>
        <item x="602"/>
        <item x="1198"/>
        <item x="1132"/>
        <item x="1196"/>
        <item x="872"/>
        <item x="1300"/>
        <item x="531"/>
        <item x="1384"/>
        <item x="1382"/>
        <item x="1394"/>
        <item x="941"/>
        <item x="2143"/>
        <item x="2402"/>
        <item x="1109"/>
        <item x="1415"/>
        <item x="88"/>
        <item x="310"/>
        <item x="136"/>
        <item x="1455"/>
        <item x="1008"/>
        <item x="2617"/>
        <item x="290"/>
        <item x="234"/>
        <item x="765"/>
        <item x="63"/>
        <item x="2043"/>
        <item x="2571"/>
        <item x="1744"/>
        <item x="1936"/>
        <item x="2169"/>
        <item x="2449"/>
        <item x="2577"/>
        <item x="2170"/>
        <item x="1537"/>
        <item x="572"/>
        <item x="2493"/>
        <item x="450"/>
        <item x="1402"/>
        <item x="2053"/>
        <item x="2409"/>
        <item x="1112"/>
        <item x="1230"/>
        <item x="2432"/>
        <item x="302"/>
        <item x="1188"/>
        <item x="387"/>
        <item x="286"/>
        <item x="1414"/>
        <item x="1260"/>
        <item x="1224"/>
        <item x="869"/>
        <item x="1805"/>
        <item x="1301"/>
        <item x="657"/>
        <item x="1633"/>
        <item x="2546"/>
        <item x="933"/>
        <item x="2455"/>
        <item x="866"/>
        <item x="1938"/>
        <item x="2171"/>
        <item x="2573"/>
        <item x="686"/>
        <item x="585"/>
        <item x="2574"/>
        <item x="1571"/>
        <item x="1215"/>
        <item x="1565"/>
        <item x="577"/>
        <item x="779"/>
        <item x="2518"/>
        <item x="1460"/>
        <item x="1183"/>
        <item x="1580"/>
        <item x="1397"/>
        <item x="782"/>
        <item x="921"/>
        <item x="2575"/>
        <item x="639"/>
        <item x="1603"/>
        <item x="1530"/>
        <item x="1336"/>
        <item x="1628"/>
        <item x="1531"/>
        <item x="2301"/>
        <item x="2047"/>
        <item x="769"/>
        <item x="1462"/>
        <item x="1532"/>
        <item x="2453"/>
        <item x="114"/>
        <item x="2454"/>
        <item x="796"/>
        <item x="680"/>
        <item x="2346"/>
        <item x="1002"/>
        <item x="1838"/>
        <item x="1605"/>
        <item x="1429"/>
        <item x="618"/>
        <item x="1522"/>
        <item x="1583"/>
        <item x="646"/>
        <item x="1794"/>
        <item x="498"/>
        <item x="126"/>
        <item x="853"/>
        <item x="333"/>
        <item x="688"/>
        <item x="1396"/>
        <item x="348"/>
        <item x="2221"/>
        <item x="2098"/>
        <item x="2588"/>
        <item x="1747"/>
        <item x="1835"/>
        <item x="1771"/>
        <item x="2578"/>
        <item x="2637"/>
        <item x="2364"/>
        <item x="1564"/>
        <item x="1042"/>
        <item x="837"/>
        <item x="64"/>
        <item x="1833"/>
        <item x="712"/>
        <item x="936"/>
        <item x="1026"/>
        <item x="312"/>
        <item x="152"/>
        <item x="604"/>
        <item x="2197"/>
        <item x="1817"/>
        <item x="215"/>
        <item x="1783"/>
        <item x="2614"/>
        <item x="288"/>
        <item x="2034"/>
        <item x="340"/>
        <item x="1373"/>
        <item x="868"/>
        <item x="1239"/>
        <item x="2380"/>
        <item x="808"/>
        <item x="1819"/>
        <item x="1114"/>
        <item x="334"/>
        <item x="593"/>
        <item x="62"/>
        <item x="30"/>
        <item x="1032"/>
        <item x="185"/>
        <item x="2208"/>
        <item x="793"/>
        <item x="722"/>
        <item x="466"/>
        <item x="1031"/>
        <item x="1591"/>
        <item x="1321"/>
        <item x="206"/>
        <item x="1664"/>
        <item x="304"/>
        <item x="730"/>
        <item x="473"/>
        <item x="1388"/>
        <item x="1763"/>
        <item x="1611"/>
        <item x="1200"/>
        <item x="66"/>
        <item x="2226"/>
        <item x="1823"/>
        <item x="1078"/>
        <item x="131"/>
        <item x="1457"/>
        <item x="541"/>
        <item x="544"/>
        <item x="437"/>
        <item x="1463"/>
        <item x="2104"/>
        <item x="1935"/>
        <item x="581"/>
        <item x="772"/>
        <item x="428"/>
        <item x="1746"/>
        <item x="649"/>
        <item x="270"/>
        <item x="1666"/>
        <item x="1357"/>
        <item x="1240"/>
        <item x="671"/>
        <item x="993"/>
        <item x="479"/>
        <item x="281"/>
        <item x="988"/>
        <item x="1290"/>
        <item x="2"/>
        <item x="318"/>
        <item x="1150"/>
        <item x="673"/>
        <item x="1259"/>
        <item x="957"/>
        <item x="1999"/>
        <item x="47"/>
        <item x="173"/>
        <item x="2272"/>
        <item x="1381"/>
        <item x="2478"/>
        <item x="631"/>
        <item x="2329"/>
        <item x="1412"/>
        <item x="899"/>
        <item x="1621"/>
        <item x="2235"/>
        <item x="2068"/>
        <item x="2005"/>
        <item x="75"/>
        <item x="687"/>
        <item x="132"/>
        <item x="1967"/>
        <item x="1406"/>
        <item x="810"/>
        <item x="1307"/>
        <item x="716"/>
        <item x="2234"/>
        <item x="771"/>
        <item x="399"/>
        <item x="612"/>
        <item x="2176"/>
        <item x="142"/>
        <item x="474"/>
        <item x="2566"/>
        <item x="1331"/>
        <item x="1582"/>
        <item x="2109"/>
        <item x="1730"/>
        <item x="789"/>
        <item x="1821"/>
        <item x="626"/>
        <item x="551"/>
        <item x="773"/>
        <item x="241"/>
        <item x="1947"/>
        <item x="1857"/>
        <item x="202"/>
        <item x="48"/>
        <item x="1707"/>
        <item x="18"/>
        <item x="2545"/>
        <item x="569"/>
        <item x="1765"/>
        <item x="2344"/>
        <item x="195"/>
        <item x="1673"/>
        <item x="2177"/>
        <item x="1778"/>
        <item x="1295"/>
        <item x="1637"/>
        <item x="2259"/>
        <item x="690"/>
        <item x="1681"/>
        <item x="292"/>
        <item x="2183"/>
        <item x="1677"/>
        <item x="1678"/>
        <item x="431"/>
        <item x="632"/>
        <item x="1780"/>
        <item x="2168"/>
        <item x="1167"/>
        <item x="2580"/>
        <item x="325"/>
        <item x="157"/>
        <item x="2541"/>
        <item x="376"/>
        <item x="1311"/>
        <item x="878"/>
        <item x="1313"/>
        <item x="2024"/>
        <item x="445"/>
        <item x="682"/>
        <item x="1030"/>
        <item x="2556"/>
        <item x="949"/>
        <item x="468"/>
        <item x="1660"/>
        <item x="223"/>
        <item x="1178"/>
        <item x="1736"/>
        <item x="2033"/>
        <item x="1324"/>
        <item x="129"/>
        <item x="885"/>
        <item x="1741"/>
        <item x="406"/>
        <item x="1529"/>
        <item x="703"/>
        <item x="2322"/>
        <item x="210"/>
        <item x="31"/>
        <item x="97"/>
        <item x="865"/>
        <item x="245"/>
        <item x="1968"/>
        <item x="359"/>
        <item x="2212"/>
        <item x="1033"/>
        <item x="1011"/>
        <item x="1254"/>
        <item x="294"/>
        <item x="1981"/>
        <item x="781"/>
        <item x="380"/>
        <item x="1210"/>
        <item x="2240"/>
        <item x="1888"/>
        <item x="640"/>
        <item x="651"/>
        <item x="946"/>
        <item x="2459"/>
        <item x="556"/>
        <item x="1131"/>
        <item x="969"/>
        <item x="2336"/>
        <item x="1788"/>
        <item x="2372"/>
        <item x="2327"/>
        <item x="733"/>
        <item x="109"/>
        <item x="1776"/>
        <item x="220"/>
        <item x="638"/>
        <item x="2285"/>
        <item x="2338"/>
        <item x="1103"/>
        <item x="2260"/>
        <item x="2284"/>
        <item x="1682"/>
        <item x="1812"/>
        <item x="2405"/>
        <item x="1233"/>
        <item x="753"/>
        <item x="134"/>
        <item x="613"/>
        <item x="2499"/>
        <item x="296"/>
        <item x="441"/>
        <item x="799"/>
        <item x="1066"/>
        <item x="1104"/>
        <item x="637"/>
        <item x="610"/>
        <item x="1866"/>
        <item x="809"/>
        <item x="341"/>
        <item x="324"/>
        <item x="161"/>
        <item x="720"/>
        <item x="17"/>
        <item x="739"/>
        <item x="1209"/>
        <item x="1165"/>
        <item x="1577"/>
        <item x="891"/>
        <item x="2243"/>
        <item x="2216"/>
        <item x="1212"/>
        <item x="1327"/>
        <item x="2015"/>
        <item x="1320"/>
        <item x="2070"/>
        <item x="2185"/>
        <item x="1426"/>
        <item x="2334"/>
        <item x="1289"/>
        <item x="1453"/>
        <item x="1067"/>
        <item x="2465"/>
        <item x="2531"/>
        <item x="259"/>
        <item x="460"/>
        <item x="904"/>
        <item x="841"/>
        <item x="1699"/>
        <item x="107"/>
        <item x="2542"/>
        <item x="2311"/>
        <item x="1408"/>
        <item x="1975"/>
        <item x="1145"/>
        <item x="1060"/>
        <item x="1479"/>
        <item x="1909"/>
        <item x="971"/>
        <item x="478"/>
        <item x="1417"/>
        <item x="1411"/>
        <item x="2211"/>
        <item x="2307"/>
        <item x="1944"/>
        <item x="2308"/>
        <item x="2049"/>
        <item x="1751"/>
        <item x="1127"/>
        <item x="1784"/>
        <item x="2163"/>
        <item x="1735"/>
        <item x="564"/>
        <item x="364"/>
        <item x="35"/>
        <item x="2584"/>
        <item x="458"/>
        <item x="696"/>
        <item x="726"/>
        <item x="1036"/>
        <item x="1934"/>
        <item x="1789"/>
        <item x="2004"/>
        <item x="1618"/>
        <item x="2619"/>
        <item x="695"/>
        <item x="2325"/>
        <item x="1334"/>
        <item x="2489"/>
        <item x="1994"/>
        <item x="1716"/>
        <item x="2139"/>
        <item x="540"/>
        <item x="1753"/>
        <item x="1842"/>
        <item x="1754"/>
        <item x="2587"/>
        <item x="1755"/>
        <item x="1945"/>
        <item x="2306"/>
        <item x="2050"/>
        <item x="1480"/>
        <item x="1447"/>
        <item x="221"/>
        <item x="1978"/>
        <item x="1338"/>
        <item x="366"/>
        <item x="527"/>
        <item x="28"/>
        <item x="934"/>
        <item x="2555"/>
        <item x="2051"/>
        <item x="1732"/>
        <item x="2589"/>
        <item x="2357"/>
        <item x="2236"/>
        <item x="2590"/>
        <item x="2467"/>
        <item x="1675"/>
        <item x="705"/>
        <item x="1274"/>
        <item x="2255"/>
        <item x="2188"/>
        <item x="1697"/>
        <item x="953"/>
        <item x="123"/>
        <item x="961"/>
        <item x="252"/>
        <item x="2055"/>
        <item x="2056"/>
        <item x="2057"/>
        <item x="2058"/>
        <item x="887"/>
        <item x="1287"/>
        <item x="2059"/>
        <item x="2060"/>
        <item x="525"/>
        <item x="125"/>
        <item x="1250"/>
        <item x="1759"/>
        <item x="456"/>
        <item x="1390"/>
        <item x="92"/>
        <item x="1332"/>
        <item x="1468"/>
        <item x="2037"/>
        <item x="1359"/>
        <item x="3"/>
        <item x="11"/>
        <item x="1624"/>
        <item x="1562"/>
        <item x="2515"/>
        <item x="1760"/>
        <item x="860"/>
        <item x="144"/>
        <item x="255"/>
        <item x="2180"/>
        <item x="1875"/>
        <item x="337"/>
        <item x="2293"/>
        <item x="2300"/>
        <item x="811"/>
        <item x="2579"/>
        <item x="1312"/>
        <item x="923"/>
        <item x="2190"/>
        <item x="2062"/>
        <item x="2472"/>
        <item x="1043"/>
        <item x="46"/>
        <item x="2314"/>
        <item x="1079"/>
        <item x="1850"/>
        <item x="870"/>
        <item x="1672"/>
        <item x="1762"/>
        <item x="191"/>
        <item x="1024"/>
        <item x="39"/>
        <item x="833"/>
        <item x="488"/>
        <item x="231"/>
        <item x="1228"/>
        <item x="76"/>
        <item x="1206"/>
        <item x="295"/>
        <item x="824"/>
        <item x="788"/>
        <item x="261"/>
        <item x="72"/>
        <item x="1488"/>
        <item x="1986"/>
        <item x="435"/>
        <item x="1727"/>
        <item x="1649"/>
        <item x="2593"/>
        <item x="598"/>
        <item x="2192"/>
        <item x="586"/>
        <item x="459"/>
        <item x="1191"/>
        <item x="2315"/>
        <item x="1335"/>
        <item x="1245"/>
        <item x="1953"/>
        <item x="1044"/>
        <item x="1954"/>
        <item x="2066"/>
        <item x="32"/>
        <item x="1045"/>
        <item x="924"/>
        <item x="1539"/>
        <item x="370"/>
        <item x="1955"/>
        <item x="2316"/>
        <item x="1956"/>
        <item x="276"/>
        <item x="1851"/>
        <item x="1852"/>
        <item x="2595"/>
        <item x="1080"/>
        <item x="1853"/>
        <item x="755"/>
        <item x="1046"/>
        <item x="102"/>
        <item x="2194"/>
        <item x="1192"/>
        <item x="240"/>
        <item x="2195"/>
        <item x="1136"/>
        <item x="925"/>
        <item x="1854"/>
        <item x="1540"/>
        <item x="327"/>
        <item x="1393"/>
        <item x="1137"/>
        <item x="1541"/>
        <item x="697"/>
        <item x="2206"/>
        <item x="2172"/>
        <item x="558"/>
        <item x="1337"/>
        <item x="668"/>
        <item x="1472"/>
        <item x="1246"/>
        <item x="1613"/>
        <item x="1542"/>
        <item x="371"/>
        <item x="1766"/>
        <item x="669"/>
        <item x="1006"/>
        <item x="413"/>
        <item x="277"/>
        <item x="1007"/>
        <item x="2476"/>
        <item x="2477"/>
        <item x="2370"/>
        <item x="1552"/>
        <item x="916"/>
        <item x="1860"/>
        <item x="1344"/>
        <item x="2596"/>
        <item x="1473"/>
        <item x="2069"/>
        <item x="2196"/>
        <item x="150"/>
        <item x="347"/>
        <item x="2071"/>
        <item x="2319"/>
        <item x="1047"/>
        <item x="1958"/>
        <item x="285"/>
        <item x="182"/>
        <item x="2423"/>
        <item x="2408"/>
        <item x="1328"/>
        <item x="2597"/>
        <item x="1075"/>
        <item x="2328"/>
        <item x="1420"/>
        <item x="1808"/>
        <item x="1189"/>
        <item x="1679"/>
        <item x="55"/>
        <item x="1767"/>
        <item x="2198"/>
        <item x="2479"/>
        <item x="1194"/>
        <item x="135"/>
        <item x="1247"/>
        <item x="2598"/>
        <item x="1959"/>
        <item x="1960"/>
        <item x="2366"/>
        <item x="825"/>
        <item x="684"/>
        <item x="2074"/>
        <item x="906"/>
        <item x="919"/>
        <item x="1302"/>
        <item x="1631"/>
        <item x="476"/>
        <item x="2543"/>
        <item x="128"/>
        <item x="402"/>
        <item x="73"/>
        <item x="196"/>
        <item x="1680"/>
        <item x="1385"/>
        <item x="2199"/>
        <item x="503"/>
        <item x="935"/>
        <item x="674"/>
        <item x="2480"/>
        <item x="509"/>
        <item x="2093"/>
        <item x="33"/>
        <item x="306"/>
        <item x="2599"/>
        <item x="59"/>
        <item x="1092"/>
        <item x="1106"/>
        <item x="372"/>
        <item x="1124"/>
        <item x="486"/>
        <item x="1691"/>
        <item x="1010"/>
        <item x="1586"/>
        <item x="2064"/>
        <item x="991"/>
        <item x="630"/>
        <item x="2501"/>
        <item x="2537"/>
        <item x="2471"/>
        <item x="236"/>
        <item x="2076"/>
        <item x="2326"/>
        <item x="1725"/>
        <item x="331"/>
        <item x="666"/>
        <item x="1469"/>
        <item x="617"/>
        <item x="1278"/>
        <item x="165"/>
        <item x="2583"/>
        <item x="2361"/>
        <item x="554"/>
        <item x="1734"/>
        <item x="1090"/>
        <item x="482"/>
        <item x="835"/>
        <item x="624"/>
        <item x="454"/>
        <item x="410"/>
        <item x="1176"/>
        <item x="579"/>
        <item x="1525"/>
        <item x="1205"/>
        <item x="641"/>
        <item x="1849"/>
        <item x="732"/>
        <item x="282"/>
        <item x="258"/>
        <item x="197"/>
        <item x="2414"/>
        <item x="2419"/>
        <item x="1348"/>
        <item x="1739"/>
        <item x="1527"/>
        <item x="1965"/>
        <item x="826"/>
        <item x="1134"/>
        <item x="2082"/>
        <item x="1659"/>
        <item x="591"/>
        <item x="1590"/>
        <item x="2560"/>
        <item x="1190"/>
        <item x="36"/>
        <item x="603"/>
        <item x="2340"/>
        <item x="518"/>
        <item x="561"/>
        <item x="741"/>
        <item x="506"/>
        <item x="15"/>
        <item x="856"/>
        <item x="2339"/>
        <item x="754"/>
        <item x="2323"/>
        <item x="1435"/>
        <item x="954"/>
        <item x="537"/>
        <item x="1538"/>
        <item x="1048"/>
        <item x="2207"/>
        <item x="2100"/>
        <item x="1712"/>
        <item x="1018"/>
        <item x="2166"/>
        <item x="689"/>
        <item x="1650"/>
        <item x="804"/>
        <item x="805"/>
        <item x="2624"/>
        <item x="1635"/>
        <item x="68"/>
        <item x="2456"/>
        <item x="369"/>
        <item x="2160"/>
        <item x="1859"/>
        <item x="487"/>
        <item x="2395"/>
        <item x="2282"/>
        <item x="2460"/>
        <item x="1551"/>
        <item x="2494"/>
        <item x="493"/>
        <item x="1298"/>
        <item x="818"/>
        <item x="1395"/>
        <item x="607"/>
        <item x="1099"/>
        <item x="2263"/>
        <item x="1634"/>
        <item x="807"/>
        <item x="390"/>
        <item x="1476"/>
        <item x="188"/>
        <item x="1772"/>
        <item x="1340"/>
        <item x="489"/>
        <item x="2079"/>
        <item x="2080"/>
        <item x="2261"/>
        <item x="1518"/>
        <item x="566"/>
        <item x="6"/>
        <item x="22"/>
        <item x="1035"/>
        <item x="65"/>
        <item x="2298"/>
        <item x="419"/>
        <item x="920"/>
        <item x="1534"/>
        <item x="421"/>
        <item x="190"/>
        <item x="2186"/>
        <item x="2591"/>
        <item x="2063"/>
        <item x="433"/>
        <item x="2014"/>
        <item x="670"/>
        <item x="230"/>
        <item x="490"/>
        <item x="105"/>
        <item x="1864"/>
        <item x="151"/>
        <item x="1208"/>
        <item x="2498"/>
        <item x="2363"/>
        <item x="1877"/>
        <item x="847"/>
        <item x="1510"/>
        <item x="2451"/>
        <item x="416"/>
        <item x="1559"/>
        <item x="542"/>
        <item x="2594"/>
        <item x="465"/>
        <item x="514"/>
        <item x="1120"/>
        <item x="960"/>
        <item x="1575"/>
        <item x="417"/>
        <item x="170"/>
        <item x="1976"/>
        <item x="2360"/>
        <item x="139"/>
        <item x="831"/>
        <item x="775"/>
        <item x="155"/>
        <item x="634"/>
        <item x="355"/>
        <item x="665"/>
        <item x="2505"/>
        <item x="34"/>
        <item x="1170"/>
        <item x="1284"/>
        <item x="2174"/>
        <item x="477"/>
        <item x="491"/>
        <item x="2094"/>
        <item x="1688"/>
        <item x="1516"/>
        <item x="803"/>
        <item x="1925"/>
        <item x="2303"/>
        <item x="877"/>
        <item x="725"/>
        <item x="1911"/>
        <item x="1316"/>
        <item x="2581"/>
        <item x="1310"/>
        <item x="1774"/>
        <item x="1482"/>
        <item x="2586"/>
        <item x="8"/>
        <item x="552"/>
        <item x="548"/>
        <item x="2620"/>
        <item x="2341"/>
        <item x="1756"/>
        <item x="1128"/>
        <item x="2246"/>
        <item x="1116"/>
        <item x="615"/>
        <item x="388"/>
        <item x="1123"/>
        <item x="894"/>
        <item x="1083"/>
        <item x="2473"/>
        <item x="269"/>
        <item x="1088"/>
        <item x="2265"/>
        <item x="1620"/>
        <item x="309"/>
        <item x="260"/>
        <item x="391"/>
        <item x="625"/>
        <item x="2611"/>
        <item x="2332"/>
        <item x="426"/>
        <item x="895"/>
        <item x="1973"/>
        <item x="1907"/>
        <item x="2210"/>
        <item x="1401"/>
        <item x="1202"/>
        <item x="681"/>
        <item x="242"/>
        <item x="1579"/>
        <item x="1952"/>
        <item x="983"/>
        <item x="790"/>
        <item x="184"/>
        <item x="849"/>
        <item x="442"/>
        <item x="2021"/>
        <item x="1692"/>
        <item x="898"/>
        <item x="2458"/>
        <item x="1713"/>
        <item x="1578"/>
        <item x="1883"/>
        <item x="2399"/>
        <item x="1107"/>
        <item x="1937"/>
        <item x="1481"/>
        <item x="1125"/>
        <item x="2085"/>
        <item x="1380"/>
        <item x="2224"/>
        <item x="2103"/>
        <item x="1822"/>
        <item x="2474"/>
        <item x="985"/>
        <item x="1803"/>
        <item x="743"/>
        <item x="1653"/>
        <item x="616"/>
        <item x="1549"/>
        <item x="2411"/>
        <item x="1231"/>
        <item x="1436"/>
        <item x="1696"/>
        <item x="1267"/>
        <item x="970"/>
        <item x="1430"/>
        <item x="2299"/>
        <item x="267"/>
        <item x="1752"/>
        <item x="2142"/>
        <item x="1038"/>
        <item x="1275"/>
        <item x="1561"/>
        <item x="1858"/>
        <item x="1490"/>
        <item x="1553"/>
        <item x="2218"/>
        <item x="888"/>
        <item x="1768"/>
        <item x="198"/>
        <item x="1144"/>
        <item x="1292"/>
        <item x="2087"/>
        <item x="2088"/>
        <item x="106"/>
        <item x="576"/>
        <item x="794"/>
        <item x="827"/>
        <item x="1915"/>
        <item x="1148"/>
        <item x="1657"/>
        <item x="939"/>
        <item x="1139"/>
        <item x="1910"/>
        <item x="469"/>
        <item x="635"/>
        <item x="1933"/>
        <item x="832"/>
        <item x="263"/>
        <item x="443"/>
        <item x="485"/>
        <item x="2437"/>
        <item x="1449"/>
        <item x="1283"/>
        <item x="707"/>
        <item x="1782"/>
        <item x="2495"/>
        <item x="480"/>
        <item x="301"/>
        <item x="1362"/>
        <item x="345"/>
        <item x="1750"/>
        <item x="1519"/>
        <item x="147"/>
        <item x="2444"/>
        <item x="265"/>
        <item x="2482"/>
        <item x="735"/>
        <item x="1227"/>
        <item x="227"/>
        <item x="2253"/>
        <item x="973"/>
        <item x="830"/>
        <item x="886"/>
        <item x="628"/>
        <item x="1285"/>
        <item x="1940"/>
        <item x="2461"/>
        <item x="797"/>
        <item x="1950"/>
        <item x="1193"/>
        <item x="1630"/>
        <item x="1874"/>
        <item x="693"/>
        <item x="677"/>
        <item x="1265"/>
        <item x="110"/>
        <item x="2512"/>
        <item x="2613"/>
        <item x="650"/>
        <item x="24"/>
        <item x="893"/>
        <item x="160"/>
        <item x="2165"/>
        <item x="2446"/>
        <item x="293"/>
        <item x="1087"/>
        <item x="1929"/>
        <item x="346"/>
        <item x="1665"/>
        <item x="1404"/>
        <item x="1523"/>
        <item x="471"/>
        <item x="467"/>
        <item x="1694"/>
        <item x="226"/>
        <item x="1711"/>
        <item x="2557"/>
        <item x="2448"/>
        <item x="2241"/>
        <item x="1998"/>
        <item x="2415"/>
        <item x="501"/>
        <item x="836"/>
        <item x="1405"/>
        <item x="1587"/>
        <item x="1248"/>
        <item x="2404"/>
        <item x="2491"/>
        <item x="659"/>
        <item x="1845"/>
        <item x="278"/>
        <item x="1403"/>
        <item x="633"/>
        <item x="2091"/>
        <item x="2343"/>
        <item x="2092"/>
        <item x="86"/>
        <item x="1627"/>
        <item x="1296"/>
        <item x="1255"/>
        <item x="2215"/>
        <item x="179"/>
        <item x="60"/>
        <item x="2153"/>
        <item x="1655"/>
        <item x="1422"/>
        <item x="113"/>
        <item x="2102"/>
        <item x="395"/>
        <item x="627"/>
        <item x="43"/>
        <item x="1478"/>
        <item x="382"/>
        <item x="747"/>
        <item x="2442"/>
        <item x="1948"/>
        <item x="1151"/>
        <item x="710"/>
        <item x="1297"/>
        <item x="1942"/>
        <item x="2133"/>
        <item x="2496"/>
        <item x="2039"/>
        <item x="786"/>
        <item x="1533"/>
        <item x="1785"/>
        <item x="752"/>
        <item x="711"/>
        <item x="1445"/>
        <item x="336"/>
        <item x="1943"/>
        <item x="2048"/>
        <item x="854"/>
        <item x="271"/>
        <item x="363"/>
        <item x="1843"/>
        <item x="2209"/>
        <item x="2475"/>
        <item x="1091"/>
        <item x="2492"/>
        <item x="1489"/>
        <item x="233"/>
        <item x="967"/>
        <item x="931"/>
        <item x="82"/>
        <item x="1175"/>
        <item x="455"/>
        <item x="2061"/>
        <item x="2607"/>
        <item x="958"/>
        <item x="1951"/>
        <item x="1602"/>
        <item x="1863"/>
        <item x="287"/>
        <item x="45"/>
        <item x="2035"/>
        <item x="523"/>
        <item x="840"/>
        <item x="1623"/>
        <item x="101"/>
        <item x="495"/>
        <item x="425"/>
        <item x="2483"/>
        <item x="975"/>
        <item x="1710"/>
        <item x="162"/>
        <item x="857"/>
        <item x="1172"/>
        <item x="2149"/>
        <item x="2279"/>
        <item x="1828"/>
        <item x="2297"/>
        <item x="1607"/>
        <item x="320"/>
        <item x="2592"/>
        <item x="774"/>
        <item x="600"/>
        <item x="224"/>
        <item x="647"/>
        <item x="1146"/>
        <item x="1491"/>
        <item x="1350"/>
        <item x="783"/>
        <item x="653"/>
        <item x="764"/>
        <item x="483"/>
        <item x="2634"/>
        <item x="497"/>
        <item x="194"/>
        <item x="2095"/>
        <item x="1220"/>
        <item x="444"/>
        <item x="1086"/>
        <item x="977"/>
        <item x="19"/>
        <item x="534"/>
        <item x="1818"/>
        <item x="1663"/>
        <item x="264"/>
        <item x="512"/>
        <item x="2438"/>
        <item x="1121"/>
        <item x="1685"/>
        <item x="538"/>
        <item x="862"/>
        <item x="164"/>
        <item x="145"/>
        <item x="1847"/>
        <item x="1616"/>
        <item x="1966"/>
        <item x="307"/>
        <item x="112"/>
        <item x="517"/>
        <item x="461"/>
        <item x="1015"/>
        <item x="2239"/>
        <item x="453"/>
        <item x="1574"/>
        <item x="1601"/>
        <item x="1683"/>
        <item x="284"/>
        <item x="37"/>
        <item x="817"/>
        <item x="275"/>
        <item x="892"/>
        <item x="1059"/>
        <item x="186"/>
        <item x="930"/>
        <item x="1266"/>
        <item x="338"/>
        <item x="1740"/>
        <item x="207"/>
        <item x="2136"/>
        <item x="940"/>
        <item x="1963"/>
        <item x="530"/>
        <item x="533"/>
        <item x="908"/>
        <item x="1985"/>
        <item x="597"/>
        <item x="1049"/>
        <item x="1695"/>
        <item x="507"/>
        <item x="350"/>
        <item x="1029"/>
        <item x="740"/>
        <item x="414"/>
        <item x="1781"/>
        <item x="415"/>
        <item x="2435"/>
        <item x="2373"/>
        <item x="1970"/>
        <item x="559"/>
        <item x="718"/>
        <item x="2550"/>
        <item x="663"/>
        <item x="98"/>
        <item x="608"/>
        <item x="2237"/>
        <item x="2412"/>
        <item x="950"/>
        <item x="1872"/>
        <item x="2539"/>
        <item x="571"/>
        <item x="1216"/>
        <item x="1703"/>
        <item x="1242"/>
        <item x="1651"/>
        <item x="2138"/>
        <item x="1918"/>
        <item x="2447"/>
        <item x="1916"/>
        <item x="1153"/>
        <item x="999"/>
        <item x="2302"/>
        <item x="2369"/>
        <item x="521"/>
        <item x="526"/>
        <item x="926"/>
        <item x="1318"/>
        <item x="800"/>
        <item x="621"/>
        <item x="1126"/>
        <item x="1234"/>
        <item x="1921"/>
        <item x="349"/>
        <item x="2374"/>
        <item x="2257"/>
        <item x="1652"/>
        <item x="1314"/>
        <item x="787"/>
        <item x="1456"/>
        <item x="2407"/>
        <item x="1614"/>
        <item x="140"/>
        <item x="2294"/>
        <item x="2031"/>
        <item x="1868"/>
        <item x="2219"/>
        <item x="1690"/>
        <item x="95"/>
        <item x="683"/>
        <item x="354"/>
        <item x="178"/>
        <item x="1606"/>
        <item x="1957"/>
        <item x="2333"/>
        <item x="843"/>
        <item x="2612"/>
        <item x="1884"/>
        <item x="1093"/>
        <item x="1076"/>
        <item x="2054"/>
        <item x="1055"/>
        <item x="2281"/>
        <item x="2504"/>
        <item x="2222"/>
        <item x="1880"/>
        <item x="982"/>
        <item x="918"/>
        <item x="463"/>
        <item x="1236"/>
        <item x="917"/>
        <item x="956"/>
        <item x="1841"/>
        <item x="2052"/>
        <item x="972"/>
        <item x="1992"/>
        <item x="2615"/>
        <item x="13"/>
        <item x="1232"/>
        <item x="1474"/>
        <item x="1195"/>
        <item x="481"/>
        <item x="2184"/>
        <item x="1370"/>
        <item x="143"/>
        <item x="1421"/>
        <item x="1869"/>
        <item x="1626"/>
        <item x="339"/>
        <item x="658"/>
        <item x="2266"/>
        <item x="714"/>
        <item x="1108"/>
        <item x="963"/>
        <item x="937"/>
        <item x="1702"/>
        <item x="1982"/>
        <item x="1629"/>
        <item x="1492"/>
        <item x="2621"/>
        <item x="777"/>
        <item x="1569"/>
        <item x="2304"/>
        <item x="1904"/>
        <item x="54"/>
        <item x="2431"/>
        <item x="1536"/>
        <item x="1383"/>
        <item x="1494"/>
        <item x="2111"/>
        <item x="2144"/>
        <item x="698"/>
        <item x="1946"/>
        <item x="352"/>
        <item x="1617"/>
        <item x="394"/>
        <item x="2167"/>
        <item x="2486"/>
        <item x="167"/>
        <item x="1072"/>
        <item x="2132"/>
        <item x="367"/>
        <item x="2481"/>
        <item x="1589"/>
        <item x="1392"/>
        <item x="852"/>
        <item x="1610"/>
        <item x="731"/>
        <item x="1949"/>
        <item x="305"/>
        <item x="398"/>
        <item x="1837"/>
        <item x="138"/>
        <item x="2605"/>
        <item x="409"/>
        <item x="1969"/>
        <item x="103"/>
        <item x="1861"/>
        <item x="58"/>
        <item x="494"/>
        <item x="1353"/>
        <item x="871"/>
        <item x="1213"/>
        <item x="1450"/>
        <item x="246"/>
        <item x="1458"/>
        <item x="2569"/>
        <item x="1351"/>
        <item x="2227"/>
        <item x="623"/>
        <item x="2410"/>
        <item x="397"/>
        <item x="1581"/>
        <item x="996"/>
        <item x="751"/>
        <item x="1941"/>
        <item x="1333"/>
        <item x="802"/>
        <item x="146"/>
        <item x="1014"/>
        <item x="49"/>
        <item x="897"/>
        <item x="1793"/>
        <item x="9"/>
        <item x="2028"/>
        <item x="93"/>
        <item x="945"/>
        <item x="863"/>
        <item x="1896"/>
        <item x="308"/>
        <item x="1204"/>
        <item x="715"/>
        <item x="1876"/>
        <item x="762"/>
        <item x="2145"/>
        <item x="1182"/>
        <item x="1094"/>
        <item x="504"/>
        <item x="1615"/>
        <item x="1095"/>
        <item x="760"/>
        <item x="1993"/>
        <item x="2097"/>
        <item x="927"/>
        <item x="1832"/>
        <item x="1704"/>
        <item x="1105"/>
        <item x="1020"/>
        <item x="166"/>
        <item x="2484"/>
        <item x="430"/>
        <item x="2502"/>
        <item x="1786"/>
        <item x="1498"/>
        <item x="193"/>
        <item x="1096"/>
        <item x="2503"/>
        <item x="422"/>
        <item x="2463"/>
        <item x="1021"/>
        <item x="2312"/>
        <item x="1599"/>
        <item x="1218"/>
        <item x="1001"/>
        <item x="50"/>
        <item x="2567"/>
        <item x="2118"/>
        <item x="1061"/>
        <item x="1804"/>
        <item x="1560"/>
        <item x="2355"/>
        <item x="1706"/>
        <item x="1556"/>
        <item x="1356"/>
        <item x="2083"/>
        <item x="38"/>
        <item x="1084"/>
        <item x="676"/>
        <item x="322"/>
        <item x="903"/>
        <item x="77"/>
        <item x="326"/>
        <item x="1995"/>
        <item x="2506"/>
        <item x="2507"/>
        <item x="1996"/>
        <item x="1418"/>
        <item x="1997"/>
        <item x="1419"/>
        <item x="1354"/>
        <item x="187"/>
        <item x="222"/>
        <item x="1219"/>
        <item x="1304"/>
        <item x="462"/>
        <item x="1820"/>
        <item x="1548"/>
        <item x="1856"/>
        <item x="1416"/>
        <item x="374"/>
        <item x="317"/>
        <item x="1989"/>
        <item x="574"/>
        <item x="1493"/>
        <item x="100"/>
        <item x="614"/>
        <item x="1471"/>
        <item x="974"/>
        <item x="1400"/>
        <item x="256"/>
        <item x="2268"/>
        <item x="2413"/>
        <item x="1322"/>
        <item x="80"/>
        <item x="662"/>
        <item x="1387"/>
        <item x="368"/>
        <item x="1467"/>
        <item x="56"/>
        <item x="502"/>
        <item x="2349"/>
        <item x="449"/>
        <item x="587"/>
        <item x="844"/>
        <item x="1991"/>
        <item x="547"/>
        <item x="149"/>
        <item x="1157"/>
        <item x="2376"/>
        <item x="1717"/>
        <item x="2375"/>
        <item x="1221"/>
        <item x="1355"/>
        <item x="1839"/>
        <item x="2552"/>
        <item x="2517"/>
        <item x="257"/>
        <item x="1658"/>
        <item x="589"/>
        <item x="1141"/>
        <item x="1315"/>
        <item x="2162"/>
        <item x="1834"/>
        <item x="1495"/>
        <item x="644"/>
        <item x="978"/>
        <item x="2013"/>
        <item x="708"/>
        <item x="496"/>
        <item x="990"/>
        <item x="1714"/>
        <item x="901"/>
        <item x="1378"/>
        <item x="555"/>
        <item x="418"/>
        <item x="776"/>
        <item x="2090"/>
        <item x="1792"/>
        <item x="1252"/>
        <item x="567"/>
        <item x="2424"/>
        <item x="528"/>
        <item x="2367"/>
        <item x="2262"/>
        <item x="1293"/>
        <item x="717"/>
        <item x="2040"/>
        <item x="1500"/>
        <item x="2627"/>
        <item x="2003"/>
        <item x="1708"/>
        <item x="1434"/>
        <item x="704"/>
        <item x="758"/>
        <item x="385"/>
        <item x="761"/>
        <item x="440"/>
        <item x="742"/>
        <item x="1303"/>
        <item x="2509"/>
        <item x="529"/>
        <item x="1097"/>
        <item x="1879"/>
        <item x="812"/>
        <item x="1098"/>
        <item x="2510"/>
        <item x="2558"/>
        <item x="520"/>
        <item x="2606"/>
        <item x="2383"/>
        <item x="137"/>
        <item x="942"/>
        <item x="545"/>
        <item x="2331"/>
        <item x="1110"/>
        <item x="2602"/>
        <item x="1306"/>
        <item x="2625"/>
        <item x="1341"/>
        <item x="2084"/>
        <item x="2393"/>
        <item x="79"/>
        <item x="1674"/>
        <item x="199"/>
        <item x="723"/>
        <item x="1636"/>
        <item x="1806"/>
        <item x="1496"/>
        <item x="2608"/>
        <item x="2362"/>
        <item x="153"/>
        <item x="99"/>
        <item x="1487"/>
        <item x="200"/>
        <item x="1053"/>
        <item x="457"/>
        <item x="539"/>
        <item x="174"/>
        <item x="361"/>
        <item x="201"/>
        <item x="1855"/>
        <item x="1138"/>
        <item x="943"/>
        <item x="183"/>
        <item x="573"/>
        <item x="702"/>
        <item x="1698"/>
        <item x="2337"/>
        <item x="842"/>
        <item x="1223"/>
        <item x="1003"/>
        <item x="2025"/>
        <item x="595"/>
        <item x="69"/>
        <item x="965"/>
        <item x="61"/>
        <item x="1798"/>
        <item x="2508"/>
        <item x="798"/>
        <item x="729"/>
        <item x="882"/>
        <item x="883"/>
        <item x="828"/>
        <item x="691"/>
        <item x="2622"/>
        <item x="2513"/>
        <item x="1882"/>
        <item x="1638"/>
        <item x="1790"/>
        <item x="87"/>
        <item x="2377"/>
        <item x="2514"/>
        <item x="2623"/>
        <item x="2242"/>
        <item x="253"/>
        <item x="2110"/>
        <item x="813"/>
        <item x="2006"/>
        <item x="655"/>
        <item x="315"/>
        <item x="362"/>
        <item x="1503"/>
        <item x="218"/>
        <item x="2244"/>
        <item x="1791"/>
        <item x="1639"/>
        <item x="2378"/>
        <item x="74"/>
        <item x="656"/>
        <item x="1423"/>
        <item x="84"/>
        <item x="2379"/>
        <item x="204"/>
        <item x="785"/>
        <item x="408"/>
        <item x="2112"/>
        <item x="1424"/>
        <item x="1361"/>
        <item x="2391"/>
        <item x="4"/>
        <item x="938"/>
        <item x="1149"/>
        <item x="329"/>
        <item x="1932"/>
        <item x="1670"/>
        <item x="1504"/>
        <item x="120"/>
        <item x="2245"/>
        <item x="1505"/>
        <item x="1507"/>
        <item x="1506"/>
        <item x="2428"/>
        <item x="2161"/>
        <item x="2626"/>
        <item x="2388"/>
        <item x="2007"/>
        <item x="2156"/>
        <item x="1257"/>
        <item x="2113"/>
        <item x="1168"/>
        <item x="750"/>
        <item x="1563"/>
        <item x="2616"/>
        <item x="1520"/>
        <item x="1647"/>
        <item x="851"/>
        <item x="766"/>
        <item x="1437"/>
        <item x="992"/>
        <item x="52"/>
        <item x="2564"/>
        <item x="1827"/>
        <item x="1526"/>
        <item x="1745"/>
        <item x="1844"/>
        <item x="864"/>
        <item x="2067"/>
        <item x="2324"/>
        <item x="1413"/>
        <item x="2213"/>
        <item x="1063"/>
        <item x="1566"/>
        <item x="1389"/>
        <item x="1249"/>
        <item x="2108"/>
        <item x="845"/>
        <item x="575"/>
        <item x="420"/>
        <item x="1244"/>
        <item x="475"/>
        <item x="492"/>
        <item x="1100"/>
        <item x="1160"/>
        <item x="2117"/>
        <item x="2384"/>
        <item x="873"/>
        <item x="464"/>
        <item x="2519"/>
        <item x="1795"/>
        <item x="2520"/>
        <item x="944"/>
        <item x="2521"/>
        <item x="2247"/>
        <item x="2248"/>
        <item x="180"/>
        <item x="744"/>
        <item x="1890"/>
        <item x="1718"/>
        <item x="2386"/>
        <item x="1891"/>
        <item x="1268"/>
        <item x="373"/>
        <item x="2387"/>
        <item x="814"/>
        <item x="1893"/>
        <item x="846"/>
        <item x="1360"/>
        <item x="1363"/>
        <item x="2629"/>
        <item x="1641"/>
        <item x="1269"/>
        <item x="2126"/>
        <item x="1451"/>
        <item x="2010"/>
        <item x="2249"/>
        <item x="2522"/>
        <item x="2368"/>
        <item x="1796"/>
        <item x="2630"/>
        <item x="2119"/>
        <item x="119"/>
        <item x="2523"/>
        <item x="2389"/>
        <item x="620"/>
        <item x="2250"/>
        <item x="381"/>
        <item x="2390"/>
        <item x="1364"/>
        <item x="1509"/>
        <item x="1427"/>
        <item x="2392"/>
        <item x="2011"/>
        <item x="2012"/>
        <item x="1286"/>
        <item x="902"/>
        <item x="2524"/>
        <item x="609"/>
        <item x="1894"/>
        <item x="1764"/>
        <item x="1229"/>
        <item x="768"/>
        <item x="2251"/>
        <item x="2631"/>
        <item x="1720"/>
        <item x="254"/>
        <item x="1308"/>
        <item x="848"/>
        <item x="1309"/>
        <item x="1797"/>
        <item x="2394"/>
        <item x="2527"/>
        <item x="2525"/>
        <item x="2120"/>
        <item x="279"/>
        <item x="2201"/>
        <item x="1738"/>
        <item x="759"/>
        <item x="1897"/>
        <item x="1270"/>
        <item x="2526"/>
        <item x="1023"/>
        <item x="2528"/>
        <item x="1428"/>
        <item x="1898"/>
        <item x="2632"/>
        <item x="874"/>
        <item x="964"/>
        <item x="1671"/>
        <item x="784"/>
        <item x="2469"/>
        <item x="2164"/>
        <item x="1017"/>
        <item x="980"/>
        <item x="1721"/>
        <item x="2081"/>
        <item x="622"/>
        <item x="1961"/>
        <item x="2529"/>
        <item x="1899"/>
        <item x="2121"/>
        <item x="1511"/>
        <item x="745"/>
        <item x="2633"/>
        <item x="578"/>
        <item x="1512"/>
        <item x="2122"/>
        <item x="2553"/>
        <item x="1902"/>
        <item x="2000"/>
        <item x="1143"/>
        <item x="1129"/>
        <item x="357"/>
        <item x="1870"/>
        <item x="1770"/>
        <item x="1668"/>
        <item x="1258"/>
        <item x="2204"/>
        <item x="1169"/>
        <item x="2500"/>
        <item x="1914"/>
        <item x="1873"/>
        <item x="2396"/>
        <item x="1041"/>
        <item x="2181"/>
        <item x="2530"/>
        <item x="2252"/>
        <item x="815"/>
        <item x="1900"/>
        <item x="2016"/>
        <item x="2123"/>
        <item x="280"/>
        <item x="719"/>
        <item x="1568"/>
        <item x="2635"/>
        <item x="2636"/>
        <item x="330"/>
        <item x="2017"/>
        <item x="1644"/>
        <item x="816"/>
        <item x="1366"/>
        <item x="2124"/>
        <item x="1723"/>
        <item x="1513"/>
        <item x="565"/>
        <item x="1570"/>
        <item x="1064"/>
        <item x="1800"/>
        <item x="2125"/>
        <item x="2532"/>
        <item x="2533"/>
        <item x="1901"/>
        <item x="2397"/>
        <item x="25"/>
        <item x="2398"/>
        <item x="303"/>
        <item x="159"/>
        <item x="1432"/>
        <item x="1214"/>
        <item x="1514"/>
        <item x="2254"/>
        <item x="484"/>
        <item x="1840"/>
        <item x="2317"/>
        <item x="1184"/>
        <item x="2127"/>
        <item x="244"/>
        <item x="1801"/>
        <item x="297"/>
        <item x="1802"/>
        <item x="14"/>
        <item x="2128"/>
        <item x="1892"/>
        <item x="947"/>
        <item x="2129"/>
        <item x="1572"/>
        <item x="1065"/>
        <item x="423"/>
        <item x="2400"/>
        <item x="2018"/>
        <item x="746"/>
        <item x="1025"/>
        <item x="2401"/>
        <item x="1102"/>
        <item x="550"/>
        <item x="1162"/>
        <item x="2534"/>
        <item x="1573"/>
        <item x="2535"/>
        <item x="2536"/>
        <item x="2137"/>
        <item x="323"/>
        <item x="2256"/>
        <item x="2288"/>
        <item x="1485"/>
        <item x="588"/>
        <item x="1558"/>
        <item t="default"/>
      </items>
    </pivotField>
    <pivotField showAll="0" sortType="descending">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autoSortScope>
        <pivotArea dataOnly="0" outline="0" fieldPosition="0">
          <references count="1">
            <reference field="4294967294" count="1" selected="0">
              <x v="0"/>
            </reference>
          </references>
        </pivotArea>
      </autoSortScope>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axis="axisRow" showAll="0" measureFilter="1" sortType="ascending">
      <items count="19">
        <item sd="0" x="5"/>
        <item x="2"/>
        <item sd="0" x="17"/>
        <item sd="0" x="15"/>
        <item sd="0" x="11"/>
        <item sd="0" x="12"/>
        <item sd="0" x="4"/>
        <item sd="0" x="10"/>
        <item sd="0" x="8"/>
        <item sd="0" x="14"/>
        <item sd="0" x="9"/>
        <item sd="0" x="7"/>
        <item sd="0" x="3"/>
        <item sd="0" x="0"/>
        <item sd="0" x="13"/>
        <item sd="0" x="6"/>
        <item sd="0" x="16"/>
        <item sd="0"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1">
    <field x="8"/>
  </rowFields>
  <rowItems count="11">
    <i>
      <x v="14"/>
    </i>
    <i>
      <x v="17"/>
    </i>
    <i>
      <x v="9"/>
    </i>
    <i>
      <x v="4"/>
    </i>
    <i>
      <x v="15"/>
    </i>
    <i>
      <x v="11"/>
    </i>
    <i>
      <x v="7"/>
    </i>
    <i>
      <x v="12"/>
    </i>
    <i>
      <x v="13"/>
    </i>
    <i>
      <x v="1"/>
    </i>
    <i t="grand">
      <x/>
    </i>
  </rowItems>
  <colItems count="1">
    <i/>
  </colItems>
  <dataFields count="1">
    <dataField name="Sum of Net Worth" fld="1" baseField="8" baseItem="14" numFmtId="170"/>
  </dataFields>
  <formats count="3">
    <format dxfId="25">
      <pivotArea dataOnly="0" labelOnly="1" outline="0" axis="axisValues" fieldPosition="0"/>
    </format>
    <format dxfId="24">
      <pivotArea outline="0" collapsedLevelsAreSubtotals="1" fieldPosition="0"/>
    </format>
    <format dxfId="23">
      <pivotArea outline="0" fieldPosition="0">
        <references count="1">
          <reference field="4294967294" count="1">
            <x v="0"/>
          </reference>
        </references>
      </pivotArea>
    </format>
  </formats>
  <chartFormats count="2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8" count="1" selected="0">
            <x v="1"/>
          </reference>
        </references>
      </pivotArea>
    </chartFormat>
    <chartFormat chart="5" format="4">
      <pivotArea type="data" outline="0" fieldPosition="0">
        <references count="2">
          <reference field="4294967294" count="1" selected="0">
            <x v="0"/>
          </reference>
          <reference field="8" count="1" selected="0">
            <x v="13"/>
          </reference>
        </references>
      </pivotArea>
    </chartFormat>
    <chartFormat chart="5" format="5">
      <pivotArea type="data" outline="0" fieldPosition="0">
        <references count="2">
          <reference field="4294967294" count="1" selected="0">
            <x v="0"/>
          </reference>
          <reference field="8" count="1" selected="0">
            <x v="12"/>
          </reference>
        </references>
      </pivotArea>
    </chartFormat>
    <chartFormat chart="5" format="6">
      <pivotArea type="data" outline="0" fieldPosition="0">
        <references count="2">
          <reference field="4294967294" count="1" selected="0">
            <x v="0"/>
          </reference>
          <reference field="8" count="1" selected="0">
            <x v="7"/>
          </reference>
        </references>
      </pivotArea>
    </chartFormat>
    <chartFormat chart="5" format="7">
      <pivotArea type="data" outline="0" fieldPosition="0">
        <references count="2">
          <reference field="4294967294" count="1" selected="0">
            <x v="0"/>
          </reference>
          <reference field="8" count="1" selected="0">
            <x v="11"/>
          </reference>
        </references>
      </pivotArea>
    </chartFormat>
    <chartFormat chart="5" format="8">
      <pivotArea type="data" outline="0" fieldPosition="0">
        <references count="2">
          <reference field="4294967294" count="1" selected="0">
            <x v="0"/>
          </reference>
          <reference field="8" count="1" selected="0">
            <x v="15"/>
          </reference>
        </references>
      </pivotArea>
    </chartFormat>
    <chartFormat chart="5" format="9">
      <pivotArea type="data" outline="0" fieldPosition="0">
        <references count="2">
          <reference field="4294967294" count="1" selected="0">
            <x v="0"/>
          </reference>
          <reference field="8" count="1" selected="0">
            <x v="4"/>
          </reference>
        </references>
      </pivotArea>
    </chartFormat>
    <chartFormat chart="5" format="10">
      <pivotArea type="data" outline="0" fieldPosition="0">
        <references count="2">
          <reference field="4294967294" count="1" selected="0">
            <x v="0"/>
          </reference>
          <reference field="8" count="1" selected="0">
            <x v="9"/>
          </reference>
        </references>
      </pivotArea>
    </chartFormat>
    <chartFormat chart="5" format="11">
      <pivotArea type="data" outline="0" fieldPosition="0">
        <references count="2">
          <reference field="4294967294" count="1" selected="0">
            <x v="0"/>
          </reference>
          <reference field="8" count="1" selected="0">
            <x v="17"/>
          </reference>
        </references>
      </pivotArea>
    </chartFormat>
    <chartFormat chart="5" format="12">
      <pivotArea type="data" outline="0" fieldPosition="0">
        <references count="2">
          <reference field="4294967294" count="1" selected="0">
            <x v="0"/>
          </reference>
          <reference field="8" count="1" selected="0">
            <x v="14"/>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8" count="1" selected="0">
            <x v="14"/>
          </reference>
        </references>
      </pivotArea>
    </chartFormat>
    <chartFormat chart="10" format="26">
      <pivotArea type="data" outline="0" fieldPosition="0">
        <references count="2">
          <reference field="4294967294" count="1" selected="0">
            <x v="0"/>
          </reference>
          <reference field="8" count="1" selected="0">
            <x v="17"/>
          </reference>
        </references>
      </pivotArea>
    </chartFormat>
    <chartFormat chart="10" format="27">
      <pivotArea type="data" outline="0" fieldPosition="0">
        <references count="2">
          <reference field="4294967294" count="1" selected="0">
            <x v="0"/>
          </reference>
          <reference field="8" count="1" selected="0">
            <x v="9"/>
          </reference>
        </references>
      </pivotArea>
    </chartFormat>
    <chartFormat chart="10" format="28">
      <pivotArea type="data" outline="0" fieldPosition="0">
        <references count="2">
          <reference field="4294967294" count="1" selected="0">
            <x v="0"/>
          </reference>
          <reference field="8" count="1" selected="0">
            <x v="4"/>
          </reference>
        </references>
      </pivotArea>
    </chartFormat>
    <chartFormat chart="10" format="29">
      <pivotArea type="data" outline="0" fieldPosition="0">
        <references count="2">
          <reference field="4294967294" count="1" selected="0">
            <x v="0"/>
          </reference>
          <reference field="8" count="1" selected="0">
            <x v="15"/>
          </reference>
        </references>
      </pivotArea>
    </chartFormat>
    <chartFormat chart="10" format="30">
      <pivotArea type="data" outline="0" fieldPosition="0">
        <references count="2">
          <reference field="4294967294" count="1" selected="0">
            <x v="0"/>
          </reference>
          <reference field="8" count="1" selected="0">
            <x v="11"/>
          </reference>
        </references>
      </pivotArea>
    </chartFormat>
    <chartFormat chart="10" format="31">
      <pivotArea type="data" outline="0" fieldPosition="0">
        <references count="2">
          <reference field="4294967294" count="1" selected="0">
            <x v="0"/>
          </reference>
          <reference field="8" count="1" selected="0">
            <x v="7"/>
          </reference>
        </references>
      </pivotArea>
    </chartFormat>
    <chartFormat chart="10" format="32">
      <pivotArea type="data" outline="0" fieldPosition="0">
        <references count="2">
          <reference field="4294967294" count="1" selected="0">
            <x v="0"/>
          </reference>
          <reference field="8" count="1" selected="0">
            <x v="12"/>
          </reference>
        </references>
      </pivotArea>
    </chartFormat>
    <chartFormat chart="10" format="33">
      <pivotArea type="data" outline="0" fieldPosition="0">
        <references count="2">
          <reference field="4294967294" count="1" selected="0">
            <x v="0"/>
          </reference>
          <reference field="8" count="1" selected="0">
            <x v="13"/>
          </reference>
        </references>
      </pivotArea>
    </chartFormat>
    <chartFormat chart="10" format="3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0C7BCD-D8D4-4A13-838F-E91B8BEA15D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ource">
  <location ref="R1:S12" firstHeaderRow="1" firstDataRow="1" firstDataCol="1"/>
  <pivotFields count="31">
    <pivotField showAll="0"/>
    <pivotField dataField="1" showAll="0" sortType="ascending"/>
    <pivotField showAll="0">
      <items count="19">
        <item x="1"/>
        <item x="16"/>
        <item x="6"/>
        <item x="13"/>
        <item x="0"/>
        <item x="3"/>
        <item x="7"/>
        <item x="9"/>
        <item x="14"/>
        <item x="8"/>
        <item x="10"/>
        <item x="4"/>
        <item x="12"/>
        <item x="11"/>
        <item x="15"/>
        <item x="17"/>
        <item x="2"/>
        <item x="5"/>
        <item t="default"/>
      </items>
    </pivotField>
    <pivotField showAll="0"/>
    <pivotField showAll="0" sortType="descending">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autoSortScope>
        <pivotArea dataOnly="0" outline="0" fieldPosition="0">
          <references count="1">
            <reference field="4294967294" count="1" selected="0">
              <x v="0"/>
            </reference>
          </references>
        </pivotArea>
      </autoSortScope>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axis="axisRow" showAll="0" measureFilter="1" sortType="ascending">
      <items count="899">
        <item x="392"/>
        <item sd="0" x="11"/>
        <item sd="0" x="409"/>
        <item sd="0" x="84"/>
        <item x="863"/>
        <item x="383"/>
        <item x="422"/>
        <item sd="0" x="94"/>
        <item x="556"/>
        <item x="669"/>
        <item x="389"/>
        <item x="847"/>
        <item x="709"/>
        <item x="274"/>
        <item x="124"/>
        <item x="461"/>
        <item sd="0" x="15"/>
        <item x="672"/>
        <item x="282"/>
        <item x="867"/>
        <item x="668"/>
        <item x="385"/>
        <item x="348"/>
        <item sd="0" x="109"/>
        <item x="509"/>
        <item x="465"/>
        <item x="797"/>
        <item sd="0" x="281"/>
        <item x="562"/>
        <item x="654"/>
        <item sd="0" x="137"/>
        <item x="342"/>
        <item x="529"/>
        <item x="129"/>
        <item sd="0" x="51"/>
        <item x="742"/>
        <item x="731"/>
        <item x="438"/>
        <item x="811"/>
        <item x="857"/>
        <item x="273"/>
        <item x="334"/>
        <item x="897"/>
        <item x="585"/>
        <item x="854"/>
        <item x="284"/>
        <item x="652"/>
        <item x="704"/>
        <item x="521"/>
        <item x="635"/>
        <item x="453"/>
        <item x="605"/>
        <item x="306"/>
        <item x="497"/>
        <item x="662"/>
        <item x="687"/>
        <item x="420"/>
        <item x="326"/>
        <item sd="0" x="37"/>
        <item x="258"/>
        <item x="516"/>
        <item x="705"/>
        <item sd="0" x="238"/>
        <item x="869"/>
        <item x="610"/>
        <item x="734"/>
        <item x="322"/>
        <item sd="0" x="388"/>
        <item x="305"/>
        <item x="855"/>
        <item x="536"/>
        <item x="452"/>
        <item x="769"/>
        <item sd="0" x="237"/>
        <item x="884"/>
        <item sd="0" x="20"/>
        <item x="417"/>
        <item x="241"/>
        <item x="758"/>
        <item x="164"/>
        <item x="761"/>
        <item x="829"/>
        <item x="754"/>
        <item sd="0" x="1"/>
        <item x="292"/>
        <item x="653"/>
        <item x="212"/>
        <item x="249"/>
        <item x="689"/>
        <item x="852"/>
        <item x="215"/>
        <item x="681"/>
        <item sd="0" x="7"/>
        <item x="480"/>
        <item x="596"/>
        <item x="193"/>
        <item x="390"/>
        <item x="396"/>
        <item x="404"/>
        <item sd="0" x="81"/>
        <item x="554"/>
        <item x="733"/>
        <item x="330"/>
        <item x="620"/>
        <item x="821"/>
        <item x="861"/>
        <item x="432"/>
        <item sd="0" x="53"/>
        <item sd="0" x="88"/>
        <item x="219"/>
        <item sd="0" x="61"/>
        <item x="792"/>
        <item sd="0" x="226"/>
        <item x="699"/>
        <item x="810"/>
        <item x="518"/>
        <item x="580"/>
        <item x="647"/>
        <item sd="0" x="72"/>
        <item x="593"/>
        <item x="365"/>
        <item x="263"/>
        <item x="729"/>
        <item x="204"/>
        <item x="299"/>
        <item x="451"/>
        <item sd="0" x="98"/>
        <item x="560"/>
        <item x="631"/>
        <item x="834"/>
        <item x="275"/>
        <item x="735"/>
        <item x="848"/>
        <item sd="0" x="152"/>
        <item sd="0" x="333"/>
        <item x="145"/>
        <item x="262"/>
        <item sd="0" x="318"/>
        <item x="805"/>
        <item x="835"/>
        <item x="571"/>
        <item sd="0" x="80"/>
        <item x="141"/>
        <item x="860"/>
        <item sd="0" x="125"/>
        <item x="440"/>
        <item x="198"/>
        <item x="310"/>
        <item x="208"/>
        <item x="611"/>
        <item x="838"/>
        <item x="749"/>
        <item sd="0" x="259"/>
        <item sd="0" x="42"/>
        <item x="788"/>
        <item sd="0" x="117"/>
        <item x="140"/>
        <item x="739"/>
        <item x="806"/>
        <item x="483"/>
        <item x="201"/>
        <item x="712"/>
        <item x="576"/>
        <item sd="0" x="123"/>
        <item x="218"/>
        <item x="371"/>
        <item x="507"/>
        <item x="378"/>
        <item x="597"/>
        <item x="397"/>
        <item sd="0" x="436"/>
        <item sd="0" x="159"/>
        <item x="254"/>
        <item x="717"/>
        <item sd="0" x="23"/>
        <item x="656"/>
        <item x="814"/>
        <item sd="0" x="60"/>
        <item x="458"/>
        <item x="534"/>
        <item sd="0" x="58"/>
        <item x="802"/>
        <item x="695"/>
        <item sd="0" x="601"/>
        <item x="181"/>
        <item x="791"/>
        <item sd="0" x="222"/>
        <item x="858"/>
        <item x="592"/>
        <item x="621"/>
        <item x="864"/>
        <item x="473"/>
        <item x="393"/>
        <item x="408"/>
        <item x="553"/>
        <item x="666"/>
        <item x="255"/>
        <item sd="0" x="153"/>
        <item x="637"/>
        <item x="707"/>
        <item x="500"/>
        <item x="693"/>
        <item sd="0" x="139"/>
        <item sd="0" x="112"/>
        <item sd="0" x="85"/>
        <item x="550"/>
        <item x="721"/>
        <item sd="0" x="21"/>
        <item sd="0" x="163"/>
        <item x="757"/>
        <item x="286"/>
        <item sd="0" x="772"/>
        <item x="840"/>
        <item sd="0" x="29"/>
        <item sd="0" x="227"/>
        <item sd="0" x="66"/>
        <item x="220"/>
        <item x="252"/>
        <item x="533"/>
        <item x="751"/>
        <item sd="0" x="173"/>
        <item x="726"/>
        <item x="541"/>
        <item x="787"/>
        <item x="780"/>
        <item x="856"/>
        <item x="155"/>
        <item x="482"/>
        <item x="677"/>
        <item x="248"/>
        <item x="660"/>
        <item x="674"/>
        <item sd="0" x="36"/>
        <item x="431"/>
        <item sd="0" x="71"/>
        <item x="395"/>
        <item x="701"/>
        <item x="807"/>
        <item sd="0" x="317"/>
        <item x="499"/>
        <item x="804"/>
        <item sd="0" x="122"/>
        <item x="484"/>
        <item x="844"/>
        <item x="622"/>
        <item x="548"/>
        <item x="628"/>
        <item x="782"/>
        <item x="575"/>
        <item x="213"/>
        <item x="214"/>
        <item x="603"/>
        <item x="886"/>
        <item x="763"/>
        <item x="354"/>
        <item x="247"/>
        <item x="839"/>
        <item x="551"/>
        <item x="170"/>
        <item x="874"/>
        <item x="830"/>
        <item x="251"/>
        <item x="609"/>
        <item x="511"/>
        <item sd="0" x="175"/>
        <item sd="0" x="478"/>
        <item x="859"/>
        <item sd="0" x="67"/>
        <item x="625"/>
        <item x="162"/>
        <item x="302"/>
        <item x="832"/>
        <item x="308"/>
        <item x="414"/>
        <item x="777"/>
        <item x="616"/>
        <item sd="0" x="83"/>
        <item x="703"/>
        <item sd="0" x="230"/>
        <item x="670"/>
        <item x="725"/>
        <item x="713"/>
        <item sd="0" x="156"/>
        <item x="793"/>
        <item x="817"/>
        <item x="538"/>
        <item x="245"/>
        <item x="177"/>
        <item x="545"/>
        <item x="501"/>
        <item x="271"/>
        <item x="561"/>
        <item x="789"/>
        <item x="235"/>
        <item sd="0" x="236"/>
        <item x="573"/>
        <item x="833"/>
        <item x="514"/>
        <item x="380"/>
        <item sd="0" x="103"/>
        <item x="459"/>
        <item x="272"/>
        <item x="428"/>
        <item sd="0" x="89"/>
        <item x="320"/>
        <item x="359"/>
        <item sd="0" x="135"/>
        <item sd="0" x="57"/>
        <item x="845"/>
        <item sd="0" x="3"/>
        <item x="346"/>
        <item x="730"/>
        <item x="880"/>
        <item x="260"/>
        <item x="537"/>
        <item sd="0" x="106"/>
        <item x="801"/>
        <item x="784"/>
        <item x="283"/>
        <item sd="0" x="352"/>
        <item x="663"/>
        <item x="519"/>
        <item sd="0" x="41"/>
        <item sd="0" x="192"/>
        <item x="873"/>
        <item x="591"/>
        <item x="826"/>
        <item x="862"/>
        <item x="685"/>
        <item sd="0" x="228"/>
        <item x="549"/>
        <item sd="0" x="256"/>
        <item sd="0" x="70"/>
        <item x="379"/>
        <item sd="0" x="99"/>
        <item x="629"/>
        <item x="341"/>
        <item x="569"/>
        <item x="697"/>
        <item x="148"/>
        <item x="626"/>
        <item x="418"/>
        <item sd="0" x="96"/>
        <item sd="0" x="69"/>
        <item sd="0" x="62"/>
        <item x="877"/>
        <item x="474"/>
        <item x="433"/>
        <item sd="0" x="24"/>
        <item x="692"/>
        <item sd="0" x="19"/>
        <item x="752"/>
        <item sd="0" x="74"/>
        <item x="278"/>
        <item x="269"/>
        <item x="443"/>
        <item x="425"/>
        <item x="311"/>
        <item x="209"/>
        <item sd="0" x="199"/>
        <item x="636"/>
        <item x="655"/>
        <item x="770"/>
        <item sd="0" x="32"/>
        <item x="513"/>
        <item x="890"/>
        <item x="160"/>
        <item x="485"/>
        <item x="724"/>
        <item x="340"/>
        <item x="399"/>
        <item x="364"/>
        <item x="659"/>
        <item x="229"/>
        <item sd="0" x="240"/>
        <item sd="0" x="196"/>
        <item x="442"/>
        <item x="357"/>
        <item x="696"/>
        <item x="470"/>
        <item x="169"/>
        <item sd="0" x="65"/>
        <item x="415"/>
        <item x="486"/>
        <item x="871"/>
        <item sd="0" x="40"/>
        <item x="781"/>
        <item sd="0" x="5"/>
        <item x="375"/>
        <item x="210"/>
        <item x="893"/>
        <item x="468"/>
        <item x="195"/>
        <item x="466"/>
        <item x="578"/>
        <item x="154"/>
        <item sd="0" x="48"/>
        <item x="590"/>
        <item x="778"/>
        <item sd="0" x="104"/>
        <item sd="0" x="526"/>
        <item x="818"/>
        <item x="665"/>
        <item x="641"/>
        <item sd="0" x="239"/>
        <item sd="0" x="191"/>
        <item x="849"/>
        <item x="767"/>
        <item sd="0" x="78"/>
        <item x="584"/>
        <item x="891"/>
        <item x="646"/>
        <item x="525"/>
        <item sd="0" x="142"/>
        <item sd="0" x="16"/>
        <item sd="0" x="429"/>
        <item x="542"/>
        <item x="841"/>
        <item x="708"/>
        <item x="338"/>
        <item x="184"/>
        <item sd="0" x="113"/>
        <item sd="0" x="165"/>
        <item x="558"/>
        <item sd="0" x="108"/>
        <item x="490"/>
        <item sd="0" x="532"/>
        <item x="727"/>
        <item sd="0" x="0"/>
        <item sd="0" x="22"/>
        <item x="824"/>
        <item x="268"/>
        <item x="595"/>
        <item sd="0" x="9"/>
        <item x="410"/>
        <item x="686"/>
        <item sd="0" x="361"/>
        <item x="448"/>
        <item x="307"/>
        <item x="728"/>
        <item x="803"/>
        <item x="190"/>
        <item x="413"/>
        <item x="741"/>
        <item sd="0" x="370"/>
        <item x="502"/>
        <item x="619"/>
        <item x="820"/>
        <item x="638"/>
        <item x="644"/>
        <item sd="0" x="197"/>
        <item x="887"/>
        <item x="615"/>
        <item x="439"/>
        <item sd="0" x="14"/>
        <item x="242"/>
        <item x="387"/>
        <item x="455"/>
        <item x="623"/>
        <item sd="0" x="223"/>
        <item x="892"/>
        <item x="720"/>
        <item x="667"/>
        <item x="203"/>
        <item x="795"/>
        <item x="747"/>
        <item sd="0" x="38"/>
        <item x="303"/>
        <item x="419"/>
        <item x="412"/>
        <item x="377"/>
        <item sd="0" x="52"/>
        <item x="567"/>
        <item sd="0" x="161"/>
        <item sd="0" x="26"/>
        <item x="853"/>
        <item x="633"/>
        <item x="194"/>
        <item x="675"/>
        <item x="661"/>
        <item x="343"/>
        <item sd="0" x="150"/>
        <item x="743"/>
        <item x="314"/>
        <item sd="0" x="18"/>
        <item sd="0" x="582"/>
        <item x="512"/>
        <item x="381"/>
        <item x="775"/>
        <item x="878"/>
        <item x="643"/>
        <item x="779"/>
        <item x="347"/>
        <item x="360"/>
        <item x="846"/>
        <item x="344"/>
        <item x="650"/>
        <item x="889"/>
        <item x="134"/>
        <item x="147"/>
        <item x="405"/>
        <item x="362"/>
        <item sd="0" x="231"/>
        <item x="217"/>
        <item x="630"/>
        <item sd="0" x="368"/>
        <item x="895"/>
        <item sd="0" x="63"/>
        <item x="816"/>
        <item x="304"/>
        <item x="624"/>
        <item x="187"/>
        <item x="398"/>
        <item x="673"/>
        <item x="632"/>
        <item sd="0" x="73"/>
        <item x="400"/>
        <item sd="0" x="149"/>
        <item sd="0" x="49"/>
        <item sd="0" x="120"/>
        <item x="527"/>
        <item sd="0" x="87"/>
        <item sd="0" x="28"/>
        <item sd="0" x="189"/>
        <item x="289"/>
        <item x="505"/>
        <item x="394"/>
        <item x="179"/>
        <item x="737"/>
        <item x="745"/>
        <item x="291"/>
        <item x="800"/>
        <item x="559"/>
        <item x="896"/>
        <item x="183"/>
        <item x="132"/>
        <item x="684"/>
        <item x="531"/>
        <item x="445"/>
        <item x="279"/>
        <item x="435"/>
        <item sd="0" x="79"/>
        <item x="714"/>
        <item x="312"/>
        <item x="883"/>
        <item x="888"/>
        <item x="588"/>
        <item sd="0" x="10"/>
        <item x="865"/>
        <item x="639"/>
        <item x="799"/>
        <item sd="0" x="114"/>
        <item x="349"/>
        <item x="570"/>
        <item x="374"/>
        <item x="790"/>
        <item sd="0" x="56"/>
        <item x="276"/>
        <item sd="0" x="111"/>
        <item x="528"/>
        <item x="287"/>
        <item sd="0" x="232"/>
        <item x="711"/>
        <item x="180"/>
        <item x="589"/>
        <item x="809"/>
        <item sd="0" x="158"/>
        <item sd="0" x="250"/>
        <item x="253"/>
        <item x="446"/>
        <item x="612"/>
        <item x="577"/>
        <item x="798"/>
        <item sd="0" x="225"/>
        <item x="316"/>
        <item x="321"/>
        <item x="504"/>
        <item sd="0" x="186"/>
        <item x="127"/>
        <item x="813"/>
        <item sd="0" x="267"/>
        <item x="851"/>
        <item x="750"/>
        <item sd="0" x="391"/>
        <item x="706"/>
        <item x="808"/>
        <item x="822"/>
        <item x="487"/>
        <item sd="0" x="176"/>
        <item x="732"/>
        <item x="682"/>
        <item x="876"/>
        <item sd="0" x="285"/>
        <item x="157"/>
        <item sd="0" x="77"/>
        <item x="718"/>
        <item x="894"/>
        <item x="246"/>
        <item x="794"/>
        <item x="402"/>
        <item sd="0" x="224"/>
        <item sd="0" x="55"/>
        <item x="773"/>
        <item x="658"/>
        <item sd="0" x="45"/>
        <item sd="0" x="121"/>
        <item sd="0" x="107"/>
        <item sd="0" x="206"/>
        <item x="744"/>
        <item x="288"/>
        <item sd="0" x="35"/>
        <item x="469"/>
        <item x="583"/>
        <item x="762"/>
        <item sd="0" x="403"/>
        <item sd="0" x="31"/>
        <item x="369"/>
        <item sd="0" x="406"/>
        <item x="315"/>
        <item sd="0" x="13"/>
        <item sd="0" x="373"/>
        <item x="376"/>
        <item x="664"/>
        <item x="690"/>
        <item x="261"/>
        <item sd="0" x="59"/>
        <item x="872"/>
        <item x="475"/>
        <item x="825"/>
        <item x="508"/>
        <item x="683"/>
        <item sd="0" x="449"/>
        <item sd="0" x="110"/>
        <item x="264"/>
        <item x="602"/>
        <item sd="0" x="130"/>
        <item x="594"/>
        <item x="716"/>
        <item x="678"/>
        <item x="768"/>
        <item sd="0" x="290"/>
        <item x="657"/>
        <item sd="0" x="100"/>
        <item x="329"/>
        <item x="319"/>
        <item sd="0" x="171"/>
        <item sd="0" x="172"/>
        <item x="421"/>
        <item sd="0" x="710"/>
        <item x="719"/>
        <item sd="0" x="332"/>
        <item x="875"/>
        <item x="356"/>
        <item x="407"/>
        <item x="698"/>
        <item x="372"/>
        <item x="581"/>
        <item sd="0" x="426"/>
        <item x="587"/>
        <item x="836"/>
        <item sd="0" x="34"/>
        <item x="136"/>
        <item x="491"/>
        <item x="138"/>
        <item x="313"/>
        <item x="843"/>
        <item sd="0" x="146"/>
        <item x="464"/>
        <item x="309"/>
        <item x="540"/>
        <item x="270"/>
        <item sd="0" x="8"/>
        <item sd="0" x="44"/>
        <item x="691"/>
        <item x="424"/>
        <item x="586"/>
        <item x="143"/>
        <item x="386"/>
        <item x="411"/>
        <item x="600"/>
        <item x="547"/>
        <item x="266"/>
        <item sd="0" x="17"/>
        <item x="447"/>
        <item x="796"/>
        <item x="606"/>
        <item x="298"/>
        <item x="819"/>
        <item x="607"/>
        <item x="756"/>
        <item x="555"/>
        <item sd="0" x="95"/>
        <item x="649"/>
        <item x="294"/>
        <item x="328"/>
        <item sd="0" x="115"/>
        <item sd="0" x="530"/>
        <item x="759"/>
        <item sd="0" x="427"/>
        <item x="477"/>
        <item x="437"/>
        <item x="765"/>
        <item x="221"/>
        <item x="444"/>
        <item x="746"/>
        <item x="723"/>
        <item x="450"/>
        <item sd="0" x="243"/>
        <item x="722"/>
        <item x="866"/>
        <item x="850"/>
        <item x="771"/>
        <item x="382"/>
        <item x="546"/>
        <item x="207"/>
        <item x="565"/>
        <item sd="0" x="166"/>
        <item x="506"/>
        <item x="460"/>
        <item x="327"/>
        <item sd="0" x="182"/>
        <item sd="0" x="300"/>
        <item sd="0" x="331"/>
        <item x="297"/>
        <item x="543"/>
        <item sd="0" x="200"/>
        <item x="823"/>
        <item x="812"/>
        <item x="613"/>
        <item x="688"/>
        <item sd="0" x="90"/>
        <item x="671"/>
        <item x="535"/>
        <item x="680"/>
        <item x="515"/>
        <item x="345"/>
        <item sd="0" x="216"/>
        <item x="564"/>
        <item x="614"/>
        <item x="831"/>
        <item x="523"/>
        <item x="828"/>
        <item x="151"/>
        <item sd="0" x="43"/>
        <item x="760"/>
        <item x="645"/>
        <item x="572"/>
        <item x="766"/>
        <item sd="0" x="277"/>
        <item x="815"/>
        <item sd="0" x="202"/>
        <item x="544"/>
        <item x="454"/>
        <item x="295"/>
        <item x="627"/>
        <item x="498"/>
        <item sd="0" x="50"/>
        <item x="785"/>
        <item x="430"/>
        <item x="648"/>
        <item sd="0" x="54"/>
        <item x="599"/>
        <item sd="0" x="33"/>
        <item sd="0" x="91"/>
        <item x="351"/>
        <item sd="0" x="168"/>
        <item x="783"/>
        <item sd="0" x="92"/>
        <item x="401"/>
        <item x="456"/>
        <item sd="0" x="457"/>
        <item x="423"/>
        <item x="566"/>
        <item sd="0" x="27"/>
        <item x="416"/>
        <item sd="0" x="244"/>
        <item sd="0" x="234"/>
        <item sd="0" x="188"/>
        <item x="774"/>
        <item x="827"/>
        <item sd="0" x="337"/>
        <item sd="0" x="25"/>
        <item sd="0" x="476"/>
        <item sd="0" x="323"/>
        <item x="676"/>
        <item x="881"/>
        <item x="764"/>
        <item sd="0" x="131"/>
        <item x="868"/>
        <item sd="0" x="118"/>
        <item x="842"/>
        <item sd="0" x="93"/>
        <item sd="0" x="467"/>
        <item x="563"/>
        <item x="748"/>
        <item x="503"/>
        <item x="355"/>
        <item sd="0" x="39"/>
        <item sd="0" x="46"/>
        <item sd="0" x="6"/>
        <item x="640"/>
        <item x="651"/>
        <item x="265"/>
        <item x="296"/>
        <item x="126"/>
        <item x="479"/>
        <item x="257"/>
        <item sd="0" x="233"/>
        <item x="384"/>
        <item x="879"/>
        <item x="205"/>
        <item x="301"/>
        <item x="325"/>
        <item sd="0" x="12"/>
        <item sd="0" x="178"/>
        <item x="366"/>
        <item sd="0" x="4"/>
        <item x="211"/>
        <item x="736"/>
        <item sd="0" x="82"/>
        <item x="488"/>
        <item x="489"/>
        <item x="755"/>
        <item x="336"/>
        <item x="493"/>
        <item x="702"/>
        <item sd="0" x="68"/>
        <item sd="0" x="30"/>
        <item x="882"/>
        <item x="679"/>
        <item sd="0" x="116"/>
        <item sd="0" x="47"/>
        <item x="885"/>
        <item x="694"/>
        <item x="339"/>
        <item sd="0" x="119"/>
        <item x="715"/>
        <item sd="0" x="324"/>
        <item sd="0" x="618"/>
        <item x="471"/>
        <item x="608"/>
        <item x="776"/>
        <item x="604"/>
        <item sd="0" x="75"/>
        <item x="522"/>
        <item x="495"/>
        <item x="350"/>
        <item x="738"/>
        <item x="441"/>
        <item x="552"/>
        <item sd="0" x="97"/>
        <item sd="0" x="64"/>
        <item x="520"/>
        <item x="367"/>
        <item sd="0" x="101"/>
        <item x="174"/>
        <item x="496"/>
        <item x="524"/>
        <item x="786"/>
        <item x="434"/>
        <item x="462"/>
        <item x="642"/>
        <item x="579"/>
        <item sd="0" x="102"/>
        <item x="634"/>
        <item sd="0" x="185"/>
        <item x="753"/>
        <item x="568"/>
        <item x="598"/>
        <item sd="0" x="2"/>
        <item x="510"/>
        <item x="280"/>
        <item sd="0" x="144"/>
        <item sd="0" x="335"/>
        <item x="870"/>
        <item sd="0" x="76"/>
        <item x="133"/>
        <item sd="0" x="86"/>
        <item x="700"/>
        <item x="740"/>
        <item x="617"/>
        <item x="492"/>
        <item x="494"/>
        <item x="557"/>
        <item x="353"/>
        <item x="358"/>
        <item sd="0" x="128"/>
        <item x="837"/>
        <item x="481"/>
        <item x="539"/>
        <item sd="0" x="167"/>
        <item sd="0" x="105"/>
        <item x="517"/>
        <item x="363"/>
        <item x="463"/>
        <item x="293"/>
        <item x="574"/>
        <item x="472"/>
        <item t="default"/>
      </items>
      <autoSortScope>
        <pivotArea dataOnly="0" outline="0" fieldPosition="0">
          <references count="1">
            <reference field="4294967294" count="1" selected="0">
              <x v="0"/>
            </reference>
          </references>
        </pivotArea>
      </autoSortScope>
    </pivotField>
    <pivotField showAll="0" sortType="descending">
      <items count="19">
        <item x="1"/>
        <item x="16"/>
        <item x="6"/>
        <item x="13"/>
        <item x="0"/>
        <item x="3"/>
        <item x="7"/>
        <item x="9"/>
        <item x="14"/>
        <item x="8"/>
        <item x="10"/>
        <item x="4"/>
        <item x="12"/>
        <item x="11"/>
        <item x="15"/>
        <item x="1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1">
    <field x="7"/>
  </rowFields>
  <rowItems count="11">
    <i>
      <x v="83"/>
    </i>
    <i>
      <x v="547"/>
    </i>
    <i>
      <x v="387"/>
    </i>
    <i>
      <x v="428"/>
    </i>
    <i>
      <x v="16"/>
    </i>
    <i>
      <x v="276"/>
    </i>
    <i>
      <x v="522"/>
    </i>
    <i>
      <x v="466"/>
    </i>
    <i>
      <x v="671"/>
    </i>
    <i>
      <x v="232"/>
    </i>
    <i t="grand">
      <x/>
    </i>
  </rowItems>
  <colItems count="1">
    <i/>
  </colItems>
  <dataFields count="1">
    <dataField name="Sum of Net Worth" fld="1" baseField="7" baseItem="83" numFmtId="170"/>
  </dataFields>
  <formats count="3">
    <format dxfId="28">
      <pivotArea dataOnly="0" labelOnly="1" outline="0" axis="axisValues" fieldPosition="0"/>
    </format>
    <format dxfId="27">
      <pivotArea outline="0" collapsedLevelsAreSubtotals="1" fieldPosition="0"/>
    </format>
    <format dxfId="26">
      <pivotArea outline="0" fieldPosition="0">
        <references count="1">
          <reference field="4294967294" count="1">
            <x v="0"/>
          </reference>
        </references>
      </pivotArea>
    </format>
  </formats>
  <chartFormats count="2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232"/>
          </reference>
        </references>
      </pivotArea>
    </chartFormat>
    <chartFormat chart="4" format="4">
      <pivotArea type="data" outline="0" fieldPosition="0">
        <references count="2">
          <reference field="4294967294" count="1" selected="0">
            <x v="0"/>
          </reference>
          <reference field="7" count="1" selected="0">
            <x v="671"/>
          </reference>
        </references>
      </pivotArea>
    </chartFormat>
    <chartFormat chart="4" format="5">
      <pivotArea type="data" outline="0" fieldPosition="0">
        <references count="2">
          <reference field="4294967294" count="1" selected="0">
            <x v="0"/>
          </reference>
          <reference field="7" count="1" selected="0">
            <x v="466"/>
          </reference>
        </references>
      </pivotArea>
    </chartFormat>
    <chartFormat chart="4" format="6">
      <pivotArea type="data" outline="0" fieldPosition="0">
        <references count="2">
          <reference field="4294967294" count="1" selected="0">
            <x v="0"/>
          </reference>
          <reference field="7" count="1" selected="0">
            <x v="522"/>
          </reference>
        </references>
      </pivotArea>
    </chartFormat>
    <chartFormat chart="4" format="7">
      <pivotArea type="data" outline="0" fieldPosition="0">
        <references count="2">
          <reference field="4294967294" count="1" selected="0">
            <x v="0"/>
          </reference>
          <reference field="7" count="1" selected="0">
            <x v="276"/>
          </reference>
        </references>
      </pivotArea>
    </chartFormat>
    <chartFormat chart="4" format="8">
      <pivotArea type="data" outline="0" fieldPosition="0">
        <references count="2">
          <reference field="4294967294" count="1" selected="0">
            <x v="0"/>
          </reference>
          <reference field="7" count="1" selected="0">
            <x v="16"/>
          </reference>
        </references>
      </pivotArea>
    </chartFormat>
    <chartFormat chart="4" format="9">
      <pivotArea type="data" outline="0" fieldPosition="0">
        <references count="2">
          <reference field="4294967294" count="1" selected="0">
            <x v="0"/>
          </reference>
          <reference field="7" count="1" selected="0">
            <x v="428"/>
          </reference>
        </references>
      </pivotArea>
    </chartFormat>
    <chartFormat chart="4" format="10">
      <pivotArea type="data" outline="0" fieldPosition="0">
        <references count="2">
          <reference field="4294967294" count="1" selected="0">
            <x v="0"/>
          </reference>
          <reference field="7" count="1" selected="0">
            <x v="387"/>
          </reference>
        </references>
      </pivotArea>
    </chartFormat>
    <chartFormat chart="4" format="11">
      <pivotArea type="data" outline="0" fieldPosition="0">
        <references count="2">
          <reference field="4294967294" count="1" selected="0">
            <x v="0"/>
          </reference>
          <reference field="7" count="1" selected="0">
            <x v="547"/>
          </reference>
        </references>
      </pivotArea>
    </chartFormat>
    <chartFormat chart="4" format="12">
      <pivotArea type="data" outline="0" fieldPosition="0">
        <references count="2">
          <reference field="4294967294" count="1" selected="0">
            <x v="0"/>
          </reference>
          <reference field="7" count="1" selected="0">
            <x v="83"/>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7" count="1" selected="0">
            <x v="83"/>
          </reference>
        </references>
      </pivotArea>
    </chartFormat>
    <chartFormat chart="8" format="26">
      <pivotArea type="data" outline="0" fieldPosition="0">
        <references count="2">
          <reference field="4294967294" count="1" selected="0">
            <x v="0"/>
          </reference>
          <reference field="7" count="1" selected="0">
            <x v="547"/>
          </reference>
        </references>
      </pivotArea>
    </chartFormat>
    <chartFormat chart="8" format="27">
      <pivotArea type="data" outline="0" fieldPosition="0">
        <references count="2">
          <reference field="4294967294" count="1" selected="0">
            <x v="0"/>
          </reference>
          <reference field="7" count="1" selected="0">
            <x v="387"/>
          </reference>
        </references>
      </pivotArea>
    </chartFormat>
    <chartFormat chart="8" format="28">
      <pivotArea type="data" outline="0" fieldPosition="0">
        <references count="2">
          <reference field="4294967294" count="1" selected="0">
            <x v="0"/>
          </reference>
          <reference field="7" count="1" selected="0">
            <x v="428"/>
          </reference>
        </references>
      </pivotArea>
    </chartFormat>
    <chartFormat chart="8" format="29">
      <pivotArea type="data" outline="0" fieldPosition="0">
        <references count="2">
          <reference field="4294967294" count="1" selected="0">
            <x v="0"/>
          </reference>
          <reference field="7" count="1" selected="0">
            <x v="16"/>
          </reference>
        </references>
      </pivotArea>
    </chartFormat>
    <chartFormat chart="8" format="30">
      <pivotArea type="data" outline="0" fieldPosition="0">
        <references count="2">
          <reference field="4294967294" count="1" selected="0">
            <x v="0"/>
          </reference>
          <reference field="7" count="1" selected="0">
            <x v="276"/>
          </reference>
        </references>
      </pivotArea>
    </chartFormat>
    <chartFormat chart="8" format="31">
      <pivotArea type="data" outline="0" fieldPosition="0">
        <references count="2">
          <reference field="4294967294" count="1" selected="0">
            <x v="0"/>
          </reference>
          <reference field="7" count="1" selected="0">
            <x v="522"/>
          </reference>
        </references>
      </pivotArea>
    </chartFormat>
    <chartFormat chart="8" format="32">
      <pivotArea type="data" outline="0" fieldPosition="0">
        <references count="2">
          <reference field="4294967294" count="1" selected="0">
            <x v="0"/>
          </reference>
          <reference field="7" count="1" selected="0">
            <x v="466"/>
          </reference>
        </references>
      </pivotArea>
    </chartFormat>
    <chartFormat chart="8" format="33">
      <pivotArea type="data" outline="0" fieldPosition="0">
        <references count="2">
          <reference field="4294967294" count="1" selected="0">
            <x v="0"/>
          </reference>
          <reference field="7" count="1" selected="0">
            <x v="671"/>
          </reference>
        </references>
      </pivotArea>
    </chartFormat>
    <chartFormat chart="8" format="34">
      <pivotArea type="data" outline="0" fieldPosition="0">
        <references count="2">
          <reference field="4294967294" count="1" selected="0">
            <x v="0"/>
          </reference>
          <reference field="7" count="1" selected="0">
            <x v="232"/>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54E23F-55FB-45B4-98DC-C57942A18C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I28:I29" firstHeaderRow="1" firstDataRow="1" firstDataCol="0"/>
  <pivotFields count="31">
    <pivotField dataField="1" showAll="0"/>
    <pivotField showAll="0" sortType="ascending"/>
    <pivotField showAll="0"/>
    <pivotField showAll="0"/>
    <pivotField showAll="0">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Max of Rank" fld="0" subtotal="max" baseField="0" baseItem="0"/>
  </dataFields>
  <formats count="2">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C74D6B-380B-4BFB-8A6B-FB4C59F088E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I50:I51" firstHeaderRow="1" firstDataRow="1" firstDataCol="0"/>
  <pivotFields count="31">
    <pivotField showAll="0"/>
    <pivotField dataField="1" showAll="0" sortType="ascending"/>
    <pivotField showAll="0"/>
    <pivotField showAll="0">
      <items count="2639">
        <item x="2131"/>
        <item x="1272"/>
        <item x="981"/>
        <item x="250"/>
        <item x="1118"/>
        <item x="2359"/>
        <item x="2406"/>
        <item x="71"/>
        <item x="1277"/>
        <item x="855"/>
        <item x="1187"/>
        <item x="1399"/>
        <item x="1077"/>
        <item x="1687"/>
        <item x="2487"/>
        <item x="962"/>
        <item x="379"/>
        <item x="1917"/>
        <item x="2101"/>
        <item x="1619"/>
        <item x="1012"/>
        <item x="890"/>
        <item x="1085"/>
        <item x="427"/>
        <item x="407"/>
        <item x="1787"/>
        <item x="40"/>
        <item x="1928"/>
        <item x="795"/>
        <item x="2330"/>
        <item x="1709"/>
        <item x="1886"/>
        <item x="1722"/>
        <item x="1369"/>
        <item x="2229"/>
        <item x="2020"/>
        <item x="1027"/>
        <item x="2154"/>
        <item x="1773"/>
        <item x="1347"/>
        <item x="1352"/>
        <item x="1235"/>
        <item x="1237"/>
        <item x="343"/>
        <item x="1654"/>
        <item x="1203"/>
        <item x="1567"/>
        <item x="859"/>
        <item x="1433"/>
        <item x="1810"/>
        <item x="1410"/>
        <item x="424"/>
        <item x="1122"/>
        <item x="536"/>
        <item x="2182"/>
        <item x="2309"/>
        <item x="1545"/>
        <item x="1484"/>
        <item x="216"/>
        <item x="1201"/>
        <item x="2356"/>
        <item x="1154"/>
        <item x="1499"/>
        <item x="1908"/>
        <item x="1588"/>
        <item x="546"/>
        <item x="510"/>
        <item x="1742"/>
        <item x="400"/>
        <item x="78"/>
        <item x="1057"/>
        <item x="1761"/>
        <item x="1282"/>
        <item x="737"/>
        <item x="2115"/>
        <item x="1825"/>
        <item x="2042"/>
        <item x="582"/>
        <item x="2036"/>
        <item x="2464"/>
        <item x="1409"/>
        <item x="20"/>
        <item x="1186"/>
        <item x="124"/>
        <item x="121"/>
        <item x="2516"/>
        <item x="1543"/>
        <item x="12"/>
        <item x="2026"/>
        <item x="1983"/>
        <item x="861"/>
        <item x="1724"/>
        <item x="1528"/>
        <item x="1719"/>
        <item x="1922"/>
        <item x="2544"/>
        <item x="1438"/>
        <item x="2157"/>
        <item x="1477"/>
        <item x="2106"/>
        <item x="515"/>
        <item x="2135"/>
        <item x="2072"/>
        <item x="1700"/>
        <item x="313"/>
        <item x="583"/>
        <item x="596"/>
        <item x="438"/>
        <item x="1862"/>
        <item x="148"/>
        <item x="237"/>
        <item x="1113"/>
        <item x="189"/>
        <item x="2468"/>
        <item x="643"/>
        <item x="1466"/>
        <item x="2603"/>
        <item x="2345"/>
        <item x="273"/>
        <item x="678"/>
        <item x="1867"/>
        <item x="169"/>
        <item x="1226"/>
        <item x="291"/>
        <item x="81"/>
        <item x="1261"/>
        <item x="1517"/>
        <item x="57"/>
        <item x="1371"/>
        <item x="1913"/>
        <item x="1135"/>
        <item x="1645"/>
        <item x="239"/>
        <item x="1211"/>
        <item x="2540"/>
        <item x="2159"/>
        <item x="1111"/>
        <item x="1971"/>
        <item x="2114"/>
        <item x="392"/>
        <item x="404"/>
        <item x="2147"/>
        <item x="2295"/>
        <item x="1848"/>
        <item x="154"/>
        <item x="780"/>
        <item x="217"/>
        <item x="1889"/>
        <item x="208"/>
        <item x="911"/>
        <item x="2353"/>
        <item x="2488"/>
        <item x="439"/>
        <item x="2019"/>
        <item x="685"/>
        <item x="1515"/>
        <item x="2175"/>
        <item x="2600"/>
        <item x="470"/>
        <item x="1939"/>
        <item x="928"/>
        <item x="839"/>
        <item x="2511"/>
        <item x="889"/>
        <item x="1299"/>
        <item x="2191"/>
        <item x="1465"/>
        <item x="298"/>
        <item x="316"/>
        <item x="447"/>
        <item x="692"/>
        <item x="907"/>
        <item x="2470"/>
        <item x="1056"/>
        <item x="1262"/>
        <item x="2582"/>
        <item x="335"/>
        <item x="2278"/>
        <item x="1748"/>
        <item x="2348"/>
        <item x="1878"/>
        <item x="1345"/>
        <item x="721"/>
        <item x="181"/>
        <item x="2335"/>
        <item x="1990"/>
        <item x="2158"/>
        <item x="2041"/>
        <item x="211"/>
        <item x="1905"/>
        <item x="1604"/>
        <item x="1241"/>
        <item x="1459"/>
        <item x="1809"/>
        <item x="2267"/>
        <item x="2292"/>
        <item x="1705"/>
        <item x="1728"/>
        <item x="2141"/>
        <item x="1912"/>
        <item x="1501"/>
        <item x="749"/>
        <item x="516"/>
        <item x="606"/>
        <item x="850"/>
        <item x="1987"/>
        <item x="108"/>
        <item x="791"/>
        <item x="1443"/>
        <item x="636"/>
        <item x="1163"/>
        <item x="699"/>
        <item x="2289"/>
        <item x="1984"/>
        <item x="2563"/>
        <item x="1089"/>
        <item x="1693"/>
        <item x="881"/>
        <item x="2347"/>
        <item x="2559"/>
        <item x="311"/>
        <item x="0"/>
        <item x="568"/>
        <item x="1034"/>
        <item x="1281"/>
        <item x="2065"/>
        <item x="262"/>
        <item x="713"/>
        <item x="2439"/>
        <item x="2269"/>
        <item x="590"/>
        <item x="959"/>
        <item x="1557"/>
        <item x="1924"/>
        <item x="1554"/>
        <item x="557"/>
        <item x="1217"/>
        <item x="879"/>
        <item x="5"/>
        <item x="1831"/>
        <item x="1238"/>
        <item x="1544"/>
        <item x="2022"/>
        <item x="1656"/>
        <item x="243"/>
        <item x="2200"/>
        <item x="2116"/>
        <item x="1448"/>
        <item x="792"/>
        <item x="867"/>
        <item x="1251"/>
        <item x="1330"/>
        <item x="2096"/>
        <item x="2130"/>
        <item x="770"/>
        <item x="1243"/>
        <item x="2585"/>
        <item x="2073"/>
        <item x="1372"/>
        <item x="1271"/>
        <item x="1368"/>
        <item x="205"/>
        <item x="1669"/>
        <item x="1779"/>
        <item x="1440"/>
        <item x="1119"/>
        <item x="1329"/>
        <item x="386"/>
        <item x="1962"/>
        <item x="1887"/>
        <item x="910"/>
        <item x="383"/>
        <item x="1158"/>
        <item x="1594"/>
        <item x="1263"/>
        <item x="1197"/>
        <item x="987"/>
        <item x="2416"/>
        <item x="1813"/>
        <item x="2027"/>
        <item x="436"/>
        <item x="2146"/>
        <item x="1646"/>
        <item x="2382"/>
        <item x="1439"/>
        <item x="1521"/>
        <item x="2417"/>
        <item x="1028"/>
        <item x="289"/>
        <item x="2321"/>
        <item x="396"/>
        <item x="171"/>
        <item x="1733"/>
        <item x="1179"/>
        <item x="738"/>
        <item x="94"/>
        <item x="900"/>
        <item x="584"/>
        <item x="235"/>
        <item x="1000"/>
        <item x="1979"/>
        <item x="2099"/>
        <item x="7"/>
        <item x="2429"/>
        <item x="2002"/>
        <item x="1600"/>
        <item x="228"/>
        <item x="2466"/>
        <item x="2205"/>
        <item x="994"/>
        <item x="1288"/>
        <item x="1171"/>
        <item x="1407"/>
        <item x="563"/>
        <item x="660"/>
        <item x="989"/>
        <item x="757"/>
        <item x="2148"/>
        <item x="2420"/>
        <item x="1919"/>
        <item x="2548"/>
        <item x="168"/>
        <item x="1317"/>
        <item x="118"/>
        <item x="524"/>
        <item x="1222"/>
        <item x="299"/>
        <item x="767"/>
        <item x="592"/>
        <item x="955"/>
        <item x="914"/>
        <item x="16"/>
        <item x="1398"/>
        <item x="212"/>
        <item x="519"/>
        <item x="876"/>
        <item x="1640"/>
        <item x="2105"/>
        <item x="2202"/>
        <item x="117"/>
        <item x="238"/>
        <item x="2457"/>
        <item x="127"/>
        <item x="2421"/>
        <item x="724"/>
        <item x="661"/>
        <item x="2549"/>
        <item x="229"/>
        <item x="1374"/>
        <item x="1731"/>
        <item x="909"/>
        <item x="1069"/>
        <item x="1584"/>
        <item x="880"/>
        <item x="2551"/>
        <item x="1276"/>
        <item x="1814"/>
        <item x="2029"/>
        <item x="2273"/>
        <item x="2150"/>
        <item x="1375"/>
        <item x="2425"/>
        <item x="2151"/>
        <item x="1815"/>
        <item x="1173"/>
        <item x="1585"/>
        <item x="2554"/>
        <item x="2426"/>
        <item x="2274"/>
        <item x="511"/>
        <item x="1225"/>
        <item x="1101"/>
        <item x="1816"/>
        <item x="1441"/>
        <item x="2152"/>
        <item x="2371"/>
        <item x="549"/>
        <item x="2134"/>
        <item x="858"/>
        <item x="2427"/>
        <item x="948"/>
        <item x="1070"/>
        <item x="2032"/>
        <item x="1391"/>
        <item x="1881"/>
        <item x="2538"/>
        <item x="1811"/>
        <item x="629"/>
        <item x="2450"/>
        <item x="1470"/>
        <item x="1152"/>
        <item x="2310"/>
        <item x="2044"/>
        <item x="1365"/>
        <item x="1667"/>
        <item x="365"/>
        <item x="1757"/>
        <item x="1980"/>
        <item x="177"/>
        <item x="1920"/>
        <item x="1319"/>
        <item x="2030"/>
        <item x="1642"/>
        <item x="1386"/>
        <item x="2275"/>
        <item x="822"/>
        <item x="1339"/>
        <item x="1431"/>
        <item x="2568"/>
        <item x="2238"/>
        <item x="823"/>
        <item x="806"/>
        <item x="1807"/>
        <item x="446"/>
        <item x="1550"/>
        <item x="44"/>
        <item x="2178"/>
        <item x="1546"/>
        <item x="2445"/>
        <item x="1547"/>
        <item x="67"/>
        <item x="1661"/>
        <item x="553"/>
        <item x="384"/>
        <item x="472"/>
        <item x="2291"/>
        <item x="706"/>
        <item x="1142"/>
        <item x="562"/>
        <item x="1885"/>
        <item x="141"/>
        <item x="1442"/>
        <item x="821"/>
        <item x="1824"/>
        <item x="1323"/>
        <item x="2434"/>
        <item x="91"/>
        <item x="2045"/>
        <item x="209"/>
        <item x="834"/>
        <item x="1475"/>
        <item x="966"/>
        <item x="778"/>
        <item x="1294"/>
        <item x="1062"/>
        <item x="652"/>
        <item x="451"/>
        <item x="679"/>
        <item x="2576"/>
        <item x="2264"/>
        <item x="351"/>
        <item x="2276"/>
        <item x="642"/>
        <item x="1166"/>
        <item x="1576"/>
        <item x="389"/>
        <item x="1729"/>
        <item x="214"/>
        <item x="172"/>
        <item x="2287"/>
        <item x="915"/>
        <item x="1597"/>
        <item x="283"/>
        <item x="2443"/>
        <item x="116"/>
        <item x="2452"/>
        <item x="1836"/>
        <item x="2305"/>
        <item x="1612"/>
        <item x="2077"/>
        <item x="1686"/>
        <item x="1342"/>
        <item x="1343"/>
        <item x="2089"/>
        <item x="1974"/>
        <item x="393"/>
        <item x="932"/>
        <item x="272"/>
        <item x="360"/>
        <item x="434"/>
        <item x="378"/>
        <item x="2001"/>
        <item x="89"/>
        <item x="21"/>
        <item x="2618"/>
        <item x="619"/>
        <item x="1305"/>
        <item x="1425"/>
        <item x="1799"/>
        <item x="2497"/>
        <item x="2078"/>
        <item x="1177"/>
        <item x="951"/>
        <item x="2430"/>
        <item x="1140"/>
        <item x="2231"/>
        <item x="353"/>
        <item x="532"/>
        <item x="2223"/>
        <item x="1454"/>
        <item x="403"/>
        <item x="1376"/>
        <item x="2228"/>
        <item x="664"/>
        <item x="115"/>
        <item x="2351"/>
        <item x="2230"/>
        <item x="130"/>
        <item x="1535"/>
        <item x="1662"/>
        <item x="2277"/>
        <item x="1207"/>
        <item x="26"/>
        <item x="611"/>
        <item x="111"/>
        <item x="2107"/>
        <item x="645"/>
        <item x="300"/>
        <item x="268"/>
        <item x="2280"/>
        <item x="838"/>
        <item x="452"/>
        <item x="675"/>
        <item x="332"/>
        <item x="1185"/>
        <item x="1081"/>
        <item x="2485"/>
        <item x="1777"/>
        <item x="401"/>
        <item x="1444"/>
        <item x="1608"/>
        <item x="319"/>
        <item x="342"/>
        <item x="535"/>
        <item x="96"/>
        <item x="2440"/>
        <item x="1040"/>
        <item x="163"/>
        <item x="694"/>
        <item x="1264"/>
        <item x="1592"/>
        <item x="913"/>
        <item x="1377"/>
        <item x="1279"/>
        <item x="1524"/>
        <item x="601"/>
        <item x="1461"/>
        <item x="500"/>
        <item x="1775"/>
        <item x="1082"/>
        <item x="2046"/>
        <item x="2381"/>
        <item x="1074"/>
        <item x="2561"/>
        <item x="1977"/>
        <item x="1769"/>
        <item x="225"/>
        <item x="1625"/>
        <item x="672"/>
        <item x="2610"/>
        <item x="2365"/>
        <item x="2547"/>
        <item x="2187"/>
        <item x="2155"/>
        <item x="1596"/>
        <item x="175"/>
        <item x="1273"/>
        <item x="995"/>
        <item x="356"/>
        <item x="1758"/>
        <item x="1609"/>
        <item x="375"/>
        <item x="1497"/>
        <item x="801"/>
        <item x="2358"/>
        <item x="344"/>
        <item x="1926"/>
        <item x="1005"/>
        <item x="1846"/>
        <item x="1508"/>
        <item x="1073"/>
        <item x="2140"/>
        <item x="700"/>
        <item x="499"/>
        <item x="1632"/>
        <item x="763"/>
        <item x="1"/>
        <item x="560"/>
        <item x="70"/>
        <item x="314"/>
        <item x="1253"/>
        <item x="1180"/>
        <item x="667"/>
        <item x="83"/>
        <item x="104"/>
        <item x="213"/>
        <item x="266"/>
        <item x="2354"/>
        <item x="875"/>
        <item x="508"/>
        <item x="1016"/>
        <item x="1326"/>
        <item x="998"/>
        <item x="203"/>
        <item x="1050"/>
        <item x="1931"/>
        <item x="1464"/>
        <item x="1483"/>
        <item x="2385"/>
        <item x="1071"/>
        <item x="2270"/>
        <item x="986"/>
        <item x="1155"/>
        <item x="1715"/>
        <item x="1871"/>
        <item x="85"/>
        <item x="1689"/>
        <item x="2296"/>
        <item x="1648"/>
        <item x="1199"/>
        <item x="829"/>
        <item x="594"/>
        <item x="2286"/>
        <item x="522"/>
        <item x="2283"/>
        <item x="968"/>
        <item x="2403"/>
        <item x="2008"/>
        <item x="1595"/>
        <item x="819"/>
        <item x="1291"/>
        <item x="1923"/>
        <item x="2232"/>
        <item x="1164"/>
        <item x="997"/>
        <item x="2562"/>
        <item x="2193"/>
        <item x="1256"/>
        <item x="1174"/>
        <item x="734"/>
        <item x="2220"/>
        <item x="1349"/>
        <item x="219"/>
        <item x="1181"/>
        <item x="1486"/>
        <item x="599"/>
        <item x="2342"/>
        <item x="748"/>
        <item x="2350"/>
        <item x="247"/>
        <item x="248"/>
        <item x="1865"/>
        <item x="1737"/>
        <item x="27"/>
        <item x="10"/>
        <item x="1117"/>
        <item x="1133"/>
        <item x="432"/>
        <item x="1988"/>
        <item x="979"/>
        <item x="654"/>
        <item x="2628"/>
        <item x="605"/>
        <item x="2320"/>
        <item x="328"/>
        <item x="448"/>
        <item x="1903"/>
        <item x="976"/>
        <item x="2271"/>
        <item x="192"/>
        <item x="1004"/>
        <item x="412"/>
        <item x="1593"/>
        <item x="1379"/>
        <item x="884"/>
        <item x="1927"/>
        <item x="2604"/>
        <item x="2462"/>
        <item x="1930"/>
        <item x="2217"/>
        <item x="1622"/>
        <item x="2490"/>
        <item x="736"/>
        <item x="2433"/>
        <item x="2601"/>
        <item x="709"/>
        <item x="2441"/>
        <item x="2422"/>
        <item x="1022"/>
        <item x="513"/>
        <item x="405"/>
        <item x="1829"/>
        <item x="2565"/>
        <item x="1068"/>
        <item x="1826"/>
        <item x="2290"/>
        <item x="2189"/>
        <item x="2075"/>
        <item x="1684"/>
        <item x="505"/>
        <item x="23"/>
        <item x="1643"/>
        <item x="580"/>
        <item x="1701"/>
        <item x="90"/>
        <item x="1130"/>
        <item x="929"/>
        <item x="1325"/>
        <item x="1051"/>
        <item x="176"/>
        <item x="274"/>
        <item x="1358"/>
        <item x="1367"/>
        <item x="984"/>
        <item x="2179"/>
        <item x="133"/>
        <item x="1676"/>
        <item x="543"/>
        <item x="2203"/>
        <item x="1972"/>
        <item x="2214"/>
        <item x="251"/>
        <item x="2609"/>
        <item x="377"/>
        <item x="1895"/>
        <item x="1446"/>
        <item x="1280"/>
        <item x="2352"/>
        <item x="41"/>
        <item x="249"/>
        <item x="53"/>
        <item x="1743"/>
        <item x="2572"/>
        <item x="1830"/>
        <item x="1147"/>
        <item x="42"/>
        <item x="896"/>
        <item x="1009"/>
        <item x="51"/>
        <item x="1555"/>
        <item x="156"/>
        <item x="1346"/>
        <item x="1726"/>
        <item x="29"/>
        <item x="2023"/>
        <item x="905"/>
        <item x="2418"/>
        <item x="820"/>
        <item x="727"/>
        <item x="2436"/>
        <item x="1156"/>
        <item x="1115"/>
        <item x="1052"/>
        <item x="122"/>
        <item x="158"/>
        <item x="429"/>
        <item x="1452"/>
        <item x="358"/>
        <item x="2009"/>
        <item x="232"/>
        <item x="1964"/>
        <item x="2173"/>
        <item x="1054"/>
        <item x="2086"/>
        <item x="1037"/>
        <item x="2038"/>
        <item x="701"/>
        <item x="1013"/>
        <item x="1161"/>
        <item x="2318"/>
        <item x="1019"/>
        <item x="1039"/>
        <item x="728"/>
        <item x="321"/>
        <item x="1598"/>
        <item x="952"/>
        <item x="411"/>
        <item x="1159"/>
        <item x="912"/>
        <item x="2313"/>
        <item x="648"/>
        <item x="570"/>
        <item x="756"/>
        <item x="1058"/>
        <item x="2225"/>
        <item x="1749"/>
        <item x="2233"/>
        <item x="2258"/>
        <item x="1906"/>
        <item x="1502"/>
        <item x="922"/>
        <item x="2570"/>
        <item x="602"/>
        <item x="1198"/>
        <item x="1132"/>
        <item x="1196"/>
        <item x="872"/>
        <item x="1300"/>
        <item x="531"/>
        <item x="1384"/>
        <item x="1382"/>
        <item x="1394"/>
        <item x="941"/>
        <item x="2143"/>
        <item x="2402"/>
        <item x="1109"/>
        <item x="1415"/>
        <item x="88"/>
        <item x="310"/>
        <item x="136"/>
        <item x="1455"/>
        <item x="1008"/>
        <item x="2617"/>
        <item x="290"/>
        <item x="234"/>
        <item x="765"/>
        <item x="63"/>
        <item x="2043"/>
        <item x="2571"/>
        <item x="1744"/>
        <item x="1936"/>
        <item x="2169"/>
        <item x="2449"/>
        <item x="2577"/>
        <item x="2170"/>
        <item x="1537"/>
        <item x="572"/>
        <item x="2493"/>
        <item x="450"/>
        <item x="1402"/>
        <item x="2053"/>
        <item x="2409"/>
        <item x="1112"/>
        <item x="1230"/>
        <item x="2432"/>
        <item x="302"/>
        <item x="1188"/>
        <item x="387"/>
        <item x="286"/>
        <item x="1414"/>
        <item x="1260"/>
        <item x="1224"/>
        <item x="869"/>
        <item x="1805"/>
        <item x="1301"/>
        <item x="657"/>
        <item x="1633"/>
        <item x="2546"/>
        <item x="933"/>
        <item x="2455"/>
        <item x="866"/>
        <item x="1938"/>
        <item x="2171"/>
        <item x="2573"/>
        <item x="686"/>
        <item x="585"/>
        <item x="2574"/>
        <item x="1571"/>
        <item x="1215"/>
        <item x="1565"/>
        <item x="577"/>
        <item x="779"/>
        <item x="2518"/>
        <item x="1460"/>
        <item x="1183"/>
        <item x="1580"/>
        <item x="1397"/>
        <item x="782"/>
        <item x="921"/>
        <item x="2575"/>
        <item x="639"/>
        <item x="1603"/>
        <item x="1530"/>
        <item x="1336"/>
        <item x="1628"/>
        <item x="1531"/>
        <item x="2301"/>
        <item x="2047"/>
        <item x="769"/>
        <item x="1462"/>
        <item x="1532"/>
        <item x="2453"/>
        <item x="114"/>
        <item x="2454"/>
        <item x="796"/>
        <item x="680"/>
        <item x="2346"/>
        <item x="1002"/>
        <item x="1838"/>
        <item x="1605"/>
        <item x="1429"/>
        <item x="618"/>
        <item x="1522"/>
        <item x="1583"/>
        <item x="646"/>
        <item x="1794"/>
        <item x="498"/>
        <item x="126"/>
        <item x="853"/>
        <item x="333"/>
        <item x="688"/>
        <item x="1396"/>
        <item x="348"/>
        <item x="2221"/>
        <item x="2098"/>
        <item x="2588"/>
        <item x="1747"/>
        <item x="1835"/>
        <item x="1771"/>
        <item x="2578"/>
        <item x="2637"/>
        <item x="2364"/>
        <item x="1564"/>
        <item x="1042"/>
        <item x="837"/>
        <item x="64"/>
        <item x="1833"/>
        <item x="712"/>
        <item x="936"/>
        <item x="1026"/>
        <item x="312"/>
        <item x="152"/>
        <item x="604"/>
        <item x="2197"/>
        <item x="1817"/>
        <item x="215"/>
        <item x="1783"/>
        <item x="2614"/>
        <item x="288"/>
        <item x="2034"/>
        <item x="340"/>
        <item x="1373"/>
        <item x="868"/>
        <item x="1239"/>
        <item x="2380"/>
        <item x="808"/>
        <item x="1819"/>
        <item x="1114"/>
        <item x="334"/>
        <item x="593"/>
        <item x="62"/>
        <item x="30"/>
        <item x="1032"/>
        <item x="185"/>
        <item x="2208"/>
        <item x="793"/>
        <item x="722"/>
        <item x="466"/>
        <item x="1031"/>
        <item x="1591"/>
        <item x="1321"/>
        <item x="206"/>
        <item x="1664"/>
        <item x="304"/>
        <item x="730"/>
        <item x="473"/>
        <item x="1388"/>
        <item x="1763"/>
        <item x="1611"/>
        <item x="1200"/>
        <item x="66"/>
        <item x="2226"/>
        <item x="1823"/>
        <item x="1078"/>
        <item x="131"/>
        <item x="1457"/>
        <item x="541"/>
        <item x="544"/>
        <item x="437"/>
        <item x="1463"/>
        <item x="2104"/>
        <item x="1935"/>
        <item x="581"/>
        <item x="772"/>
        <item x="428"/>
        <item x="1746"/>
        <item x="649"/>
        <item x="270"/>
        <item x="1666"/>
        <item x="1357"/>
        <item x="1240"/>
        <item x="671"/>
        <item x="993"/>
        <item x="479"/>
        <item x="281"/>
        <item x="988"/>
        <item x="1290"/>
        <item x="2"/>
        <item x="318"/>
        <item x="1150"/>
        <item x="673"/>
        <item x="1259"/>
        <item x="957"/>
        <item x="1999"/>
        <item x="47"/>
        <item x="173"/>
        <item x="2272"/>
        <item x="1381"/>
        <item x="2478"/>
        <item x="631"/>
        <item x="2329"/>
        <item x="1412"/>
        <item x="899"/>
        <item x="1621"/>
        <item x="2235"/>
        <item x="2068"/>
        <item x="2005"/>
        <item x="75"/>
        <item x="687"/>
        <item x="132"/>
        <item x="1967"/>
        <item x="1406"/>
        <item x="810"/>
        <item x="1307"/>
        <item x="716"/>
        <item x="2234"/>
        <item x="771"/>
        <item x="399"/>
        <item x="612"/>
        <item x="2176"/>
        <item x="142"/>
        <item x="474"/>
        <item x="2566"/>
        <item x="1331"/>
        <item x="1582"/>
        <item x="2109"/>
        <item x="1730"/>
        <item x="789"/>
        <item x="1821"/>
        <item x="626"/>
        <item x="551"/>
        <item x="773"/>
        <item x="241"/>
        <item x="1947"/>
        <item x="1857"/>
        <item x="202"/>
        <item x="48"/>
        <item x="1707"/>
        <item x="18"/>
        <item x="2545"/>
        <item x="569"/>
        <item x="1765"/>
        <item x="2344"/>
        <item x="195"/>
        <item x="1673"/>
        <item x="2177"/>
        <item x="1778"/>
        <item x="1295"/>
        <item x="1637"/>
        <item x="2259"/>
        <item x="690"/>
        <item x="1681"/>
        <item x="292"/>
        <item x="2183"/>
        <item x="1677"/>
        <item x="1678"/>
        <item x="431"/>
        <item x="632"/>
        <item x="1780"/>
        <item x="2168"/>
        <item x="1167"/>
        <item x="2580"/>
        <item x="325"/>
        <item x="157"/>
        <item x="2541"/>
        <item x="376"/>
        <item x="1311"/>
        <item x="878"/>
        <item x="1313"/>
        <item x="2024"/>
        <item x="445"/>
        <item x="682"/>
        <item x="1030"/>
        <item x="2556"/>
        <item x="949"/>
        <item x="468"/>
        <item x="1660"/>
        <item x="223"/>
        <item x="1178"/>
        <item x="1736"/>
        <item x="2033"/>
        <item x="1324"/>
        <item x="129"/>
        <item x="885"/>
        <item x="1741"/>
        <item x="406"/>
        <item x="1529"/>
        <item x="703"/>
        <item x="2322"/>
        <item x="210"/>
        <item x="31"/>
        <item x="97"/>
        <item x="865"/>
        <item x="245"/>
        <item x="1968"/>
        <item x="359"/>
        <item x="2212"/>
        <item x="1033"/>
        <item x="1011"/>
        <item x="1254"/>
        <item x="294"/>
        <item x="1981"/>
        <item x="781"/>
        <item x="380"/>
        <item x="1210"/>
        <item x="2240"/>
        <item x="1888"/>
        <item x="640"/>
        <item x="651"/>
        <item x="946"/>
        <item x="2459"/>
        <item x="556"/>
        <item x="1131"/>
        <item x="969"/>
        <item x="2336"/>
        <item x="1788"/>
        <item x="2372"/>
        <item x="2327"/>
        <item x="733"/>
        <item x="109"/>
        <item x="1776"/>
        <item x="220"/>
        <item x="638"/>
        <item x="2285"/>
        <item x="2338"/>
        <item x="1103"/>
        <item x="2260"/>
        <item x="2284"/>
        <item x="1682"/>
        <item x="1812"/>
        <item x="2405"/>
        <item x="1233"/>
        <item x="753"/>
        <item x="134"/>
        <item x="613"/>
        <item x="2499"/>
        <item x="296"/>
        <item x="441"/>
        <item x="799"/>
        <item x="1066"/>
        <item x="1104"/>
        <item x="637"/>
        <item x="610"/>
        <item x="1866"/>
        <item x="809"/>
        <item x="341"/>
        <item x="324"/>
        <item x="161"/>
        <item x="720"/>
        <item x="17"/>
        <item x="739"/>
        <item x="1209"/>
        <item x="1165"/>
        <item x="1577"/>
        <item x="891"/>
        <item x="2243"/>
        <item x="2216"/>
        <item x="1212"/>
        <item x="1327"/>
        <item x="2015"/>
        <item x="1320"/>
        <item x="2070"/>
        <item x="2185"/>
        <item x="1426"/>
        <item x="2334"/>
        <item x="1289"/>
        <item x="1453"/>
        <item x="1067"/>
        <item x="2465"/>
        <item x="2531"/>
        <item x="259"/>
        <item x="460"/>
        <item x="904"/>
        <item x="841"/>
        <item x="1699"/>
        <item x="107"/>
        <item x="2542"/>
        <item x="2311"/>
        <item x="1408"/>
        <item x="1975"/>
        <item x="1145"/>
        <item x="1060"/>
        <item x="1479"/>
        <item x="1909"/>
        <item x="971"/>
        <item x="478"/>
        <item x="1417"/>
        <item x="1411"/>
        <item x="2211"/>
        <item x="2307"/>
        <item x="1944"/>
        <item x="2308"/>
        <item x="2049"/>
        <item x="1751"/>
        <item x="1127"/>
        <item x="1784"/>
        <item x="2163"/>
        <item x="1735"/>
        <item x="564"/>
        <item x="364"/>
        <item x="35"/>
        <item x="2584"/>
        <item x="458"/>
        <item x="696"/>
        <item x="726"/>
        <item x="1036"/>
        <item x="1934"/>
        <item x="1789"/>
        <item x="2004"/>
        <item x="1618"/>
        <item x="2619"/>
        <item x="695"/>
        <item x="2325"/>
        <item x="1334"/>
        <item x="2489"/>
        <item x="1994"/>
        <item x="1716"/>
        <item x="2139"/>
        <item x="540"/>
        <item x="1753"/>
        <item x="1842"/>
        <item x="1754"/>
        <item x="2587"/>
        <item x="1755"/>
        <item x="1945"/>
        <item x="2306"/>
        <item x="2050"/>
        <item x="1480"/>
        <item x="1447"/>
        <item x="221"/>
        <item x="1978"/>
        <item x="1338"/>
        <item x="366"/>
        <item x="527"/>
        <item x="28"/>
        <item x="934"/>
        <item x="2555"/>
        <item x="2051"/>
        <item x="1732"/>
        <item x="2589"/>
        <item x="2357"/>
        <item x="2236"/>
        <item x="2590"/>
        <item x="2467"/>
        <item x="1675"/>
        <item x="705"/>
        <item x="1274"/>
        <item x="2255"/>
        <item x="2188"/>
        <item x="1697"/>
        <item x="953"/>
        <item x="123"/>
        <item x="961"/>
        <item x="252"/>
        <item x="2055"/>
        <item x="2056"/>
        <item x="2057"/>
        <item x="2058"/>
        <item x="887"/>
        <item x="1287"/>
        <item x="2059"/>
        <item x="2060"/>
        <item x="525"/>
        <item x="125"/>
        <item x="1250"/>
        <item x="1759"/>
        <item x="456"/>
        <item x="1390"/>
        <item x="92"/>
        <item x="1332"/>
        <item x="1468"/>
        <item x="2037"/>
        <item x="1359"/>
        <item x="3"/>
        <item x="11"/>
        <item x="1624"/>
        <item x="1562"/>
        <item x="2515"/>
        <item x="1760"/>
        <item x="860"/>
        <item x="144"/>
        <item x="255"/>
        <item x="2180"/>
        <item x="1875"/>
        <item x="337"/>
        <item x="2293"/>
        <item x="2300"/>
        <item x="811"/>
        <item x="2579"/>
        <item x="1312"/>
        <item x="923"/>
        <item x="2190"/>
        <item x="2062"/>
        <item x="2472"/>
        <item x="1043"/>
        <item x="46"/>
        <item x="2314"/>
        <item x="1079"/>
        <item x="1850"/>
        <item x="870"/>
        <item x="1672"/>
        <item x="1762"/>
        <item x="191"/>
        <item x="1024"/>
        <item x="39"/>
        <item x="833"/>
        <item x="488"/>
        <item x="231"/>
        <item x="1228"/>
        <item x="76"/>
        <item x="1206"/>
        <item x="295"/>
        <item x="824"/>
        <item x="788"/>
        <item x="261"/>
        <item x="72"/>
        <item x="1488"/>
        <item x="1986"/>
        <item x="435"/>
        <item x="1727"/>
        <item x="1649"/>
        <item x="2593"/>
        <item x="598"/>
        <item x="2192"/>
        <item x="586"/>
        <item x="459"/>
        <item x="1191"/>
        <item x="2315"/>
        <item x="1335"/>
        <item x="1245"/>
        <item x="1953"/>
        <item x="1044"/>
        <item x="1954"/>
        <item x="2066"/>
        <item x="32"/>
        <item x="1045"/>
        <item x="924"/>
        <item x="1539"/>
        <item x="370"/>
        <item x="1955"/>
        <item x="2316"/>
        <item x="1956"/>
        <item x="276"/>
        <item x="1851"/>
        <item x="1852"/>
        <item x="2595"/>
        <item x="1080"/>
        <item x="1853"/>
        <item x="755"/>
        <item x="1046"/>
        <item x="102"/>
        <item x="2194"/>
        <item x="1192"/>
        <item x="240"/>
        <item x="2195"/>
        <item x="1136"/>
        <item x="925"/>
        <item x="1854"/>
        <item x="1540"/>
        <item x="327"/>
        <item x="1393"/>
        <item x="1137"/>
        <item x="1541"/>
        <item x="697"/>
        <item x="2206"/>
        <item x="2172"/>
        <item x="558"/>
        <item x="1337"/>
        <item x="668"/>
        <item x="1472"/>
        <item x="1246"/>
        <item x="1613"/>
        <item x="1542"/>
        <item x="371"/>
        <item x="1766"/>
        <item x="669"/>
        <item x="1006"/>
        <item x="413"/>
        <item x="277"/>
        <item x="1007"/>
        <item x="2476"/>
        <item x="2477"/>
        <item x="2370"/>
        <item x="1552"/>
        <item x="916"/>
        <item x="1860"/>
        <item x="1344"/>
        <item x="2596"/>
        <item x="1473"/>
        <item x="2069"/>
        <item x="2196"/>
        <item x="150"/>
        <item x="347"/>
        <item x="2071"/>
        <item x="2319"/>
        <item x="1047"/>
        <item x="1958"/>
        <item x="285"/>
        <item x="182"/>
        <item x="2423"/>
        <item x="2408"/>
        <item x="1328"/>
        <item x="2597"/>
        <item x="1075"/>
        <item x="2328"/>
        <item x="1420"/>
        <item x="1808"/>
        <item x="1189"/>
        <item x="1679"/>
        <item x="55"/>
        <item x="1767"/>
        <item x="2198"/>
        <item x="2479"/>
        <item x="1194"/>
        <item x="135"/>
        <item x="1247"/>
        <item x="2598"/>
        <item x="1959"/>
        <item x="1960"/>
        <item x="2366"/>
        <item x="825"/>
        <item x="684"/>
        <item x="2074"/>
        <item x="906"/>
        <item x="919"/>
        <item x="1302"/>
        <item x="1631"/>
        <item x="476"/>
        <item x="2543"/>
        <item x="128"/>
        <item x="402"/>
        <item x="73"/>
        <item x="196"/>
        <item x="1680"/>
        <item x="1385"/>
        <item x="2199"/>
        <item x="503"/>
        <item x="935"/>
        <item x="674"/>
        <item x="2480"/>
        <item x="509"/>
        <item x="2093"/>
        <item x="33"/>
        <item x="306"/>
        <item x="2599"/>
        <item x="59"/>
        <item x="1092"/>
        <item x="1106"/>
        <item x="372"/>
        <item x="1124"/>
        <item x="486"/>
        <item x="1691"/>
        <item x="1010"/>
        <item x="1586"/>
        <item x="2064"/>
        <item x="991"/>
        <item x="630"/>
        <item x="2501"/>
        <item x="2537"/>
        <item x="2471"/>
        <item x="236"/>
        <item x="2076"/>
        <item x="2326"/>
        <item x="1725"/>
        <item x="331"/>
        <item x="666"/>
        <item x="1469"/>
        <item x="617"/>
        <item x="1278"/>
        <item x="165"/>
        <item x="2583"/>
        <item x="2361"/>
        <item x="554"/>
        <item x="1734"/>
        <item x="1090"/>
        <item x="482"/>
        <item x="835"/>
        <item x="624"/>
        <item x="454"/>
        <item x="410"/>
        <item x="1176"/>
        <item x="579"/>
        <item x="1525"/>
        <item x="1205"/>
        <item x="641"/>
        <item x="1849"/>
        <item x="732"/>
        <item x="282"/>
        <item x="258"/>
        <item x="197"/>
        <item x="2414"/>
        <item x="2419"/>
        <item x="1348"/>
        <item x="1739"/>
        <item x="1527"/>
        <item x="1965"/>
        <item x="826"/>
        <item x="1134"/>
        <item x="2082"/>
        <item x="1659"/>
        <item x="591"/>
        <item x="1590"/>
        <item x="2560"/>
        <item x="1190"/>
        <item x="36"/>
        <item x="603"/>
        <item x="2340"/>
        <item x="518"/>
        <item x="561"/>
        <item x="741"/>
        <item x="506"/>
        <item x="15"/>
        <item x="856"/>
        <item x="2339"/>
        <item x="754"/>
        <item x="2323"/>
        <item x="1435"/>
        <item x="954"/>
        <item x="537"/>
        <item x="1538"/>
        <item x="1048"/>
        <item x="2207"/>
        <item x="2100"/>
        <item x="1712"/>
        <item x="1018"/>
        <item x="2166"/>
        <item x="689"/>
        <item x="1650"/>
        <item x="804"/>
        <item x="805"/>
        <item x="2624"/>
        <item x="1635"/>
        <item x="68"/>
        <item x="2456"/>
        <item x="369"/>
        <item x="2160"/>
        <item x="1859"/>
        <item x="487"/>
        <item x="2395"/>
        <item x="2282"/>
        <item x="2460"/>
        <item x="1551"/>
        <item x="2494"/>
        <item x="493"/>
        <item x="1298"/>
        <item x="818"/>
        <item x="1395"/>
        <item x="607"/>
        <item x="1099"/>
        <item x="2263"/>
        <item x="1634"/>
        <item x="807"/>
        <item x="390"/>
        <item x="1476"/>
        <item x="188"/>
        <item x="1772"/>
        <item x="1340"/>
        <item x="489"/>
        <item x="2079"/>
        <item x="2080"/>
        <item x="2261"/>
        <item x="1518"/>
        <item x="566"/>
        <item x="6"/>
        <item x="22"/>
        <item x="1035"/>
        <item x="65"/>
        <item x="2298"/>
        <item x="419"/>
        <item x="920"/>
        <item x="1534"/>
        <item x="421"/>
        <item x="190"/>
        <item x="2186"/>
        <item x="2591"/>
        <item x="2063"/>
        <item x="433"/>
        <item x="2014"/>
        <item x="670"/>
        <item x="230"/>
        <item x="490"/>
        <item x="105"/>
        <item x="1864"/>
        <item x="151"/>
        <item x="1208"/>
        <item x="2498"/>
        <item x="2363"/>
        <item x="1877"/>
        <item x="847"/>
        <item x="1510"/>
        <item x="2451"/>
        <item x="416"/>
        <item x="1559"/>
        <item x="542"/>
        <item x="2594"/>
        <item x="465"/>
        <item x="514"/>
        <item x="1120"/>
        <item x="960"/>
        <item x="1575"/>
        <item x="417"/>
        <item x="170"/>
        <item x="1976"/>
        <item x="2360"/>
        <item x="139"/>
        <item x="831"/>
        <item x="775"/>
        <item x="155"/>
        <item x="634"/>
        <item x="355"/>
        <item x="665"/>
        <item x="2505"/>
        <item x="34"/>
        <item x="1170"/>
        <item x="1284"/>
        <item x="2174"/>
        <item x="477"/>
        <item x="491"/>
        <item x="2094"/>
        <item x="1688"/>
        <item x="1516"/>
        <item x="803"/>
        <item x="1925"/>
        <item x="2303"/>
        <item x="877"/>
        <item x="725"/>
        <item x="1911"/>
        <item x="1316"/>
        <item x="2581"/>
        <item x="1310"/>
        <item x="1774"/>
        <item x="1482"/>
        <item x="2586"/>
        <item x="8"/>
        <item x="552"/>
        <item x="548"/>
        <item x="2620"/>
        <item x="2341"/>
        <item x="1756"/>
        <item x="1128"/>
        <item x="2246"/>
        <item x="1116"/>
        <item x="615"/>
        <item x="388"/>
        <item x="1123"/>
        <item x="894"/>
        <item x="1083"/>
        <item x="2473"/>
        <item x="269"/>
        <item x="1088"/>
        <item x="2265"/>
        <item x="1620"/>
        <item x="309"/>
        <item x="260"/>
        <item x="391"/>
        <item x="625"/>
        <item x="2611"/>
        <item x="2332"/>
        <item x="426"/>
        <item x="895"/>
        <item x="1973"/>
        <item x="1907"/>
        <item x="2210"/>
        <item x="1401"/>
        <item x="1202"/>
        <item x="681"/>
        <item x="242"/>
        <item x="1579"/>
        <item x="1952"/>
        <item x="983"/>
        <item x="790"/>
        <item x="184"/>
        <item x="849"/>
        <item x="442"/>
        <item x="2021"/>
        <item x="1692"/>
        <item x="898"/>
        <item x="2458"/>
        <item x="1713"/>
        <item x="1578"/>
        <item x="1883"/>
        <item x="2399"/>
        <item x="1107"/>
        <item x="1937"/>
        <item x="1481"/>
        <item x="1125"/>
        <item x="2085"/>
        <item x="1380"/>
        <item x="2224"/>
        <item x="2103"/>
        <item x="1822"/>
        <item x="2474"/>
        <item x="985"/>
        <item x="1803"/>
        <item x="743"/>
        <item x="1653"/>
        <item x="616"/>
        <item x="1549"/>
        <item x="2411"/>
        <item x="1231"/>
        <item x="1436"/>
        <item x="1696"/>
        <item x="1267"/>
        <item x="970"/>
        <item x="1430"/>
        <item x="2299"/>
        <item x="267"/>
        <item x="1752"/>
        <item x="2142"/>
        <item x="1038"/>
        <item x="1275"/>
        <item x="1561"/>
        <item x="1858"/>
        <item x="1490"/>
        <item x="1553"/>
        <item x="2218"/>
        <item x="888"/>
        <item x="1768"/>
        <item x="198"/>
        <item x="1144"/>
        <item x="1292"/>
        <item x="2087"/>
        <item x="2088"/>
        <item x="106"/>
        <item x="576"/>
        <item x="794"/>
        <item x="827"/>
        <item x="1915"/>
        <item x="1148"/>
        <item x="1657"/>
        <item x="939"/>
        <item x="1139"/>
        <item x="1910"/>
        <item x="469"/>
        <item x="635"/>
        <item x="1933"/>
        <item x="832"/>
        <item x="263"/>
        <item x="443"/>
        <item x="485"/>
        <item x="2437"/>
        <item x="1449"/>
        <item x="1283"/>
        <item x="707"/>
        <item x="1782"/>
        <item x="2495"/>
        <item x="480"/>
        <item x="301"/>
        <item x="1362"/>
        <item x="345"/>
        <item x="1750"/>
        <item x="1519"/>
        <item x="147"/>
        <item x="2444"/>
        <item x="265"/>
        <item x="2482"/>
        <item x="735"/>
        <item x="1227"/>
        <item x="227"/>
        <item x="2253"/>
        <item x="973"/>
        <item x="830"/>
        <item x="886"/>
        <item x="628"/>
        <item x="1285"/>
        <item x="1940"/>
        <item x="2461"/>
        <item x="797"/>
        <item x="1950"/>
        <item x="1193"/>
        <item x="1630"/>
        <item x="1874"/>
        <item x="693"/>
        <item x="677"/>
        <item x="1265"/>
        <item x="110"/>
        <item x="2512"/>
        <item x="2613"/>
        <item x="650"/>
        <item x="24"/>
        <item x="893"/>
        <item x="160"/>
        <item x="2165"/>
        <item x="2446"/>
        <item x="293"/>
        <item x="1087"/>
        <item x="1929"/>
        <item x="346"/>
        <item x="1665"/>
        <item x="1404"/>
        <item x="1523"/>
        <item x="471"/>
        <item x="467"/>
        <item x="1694"/>
        <item x="226"/>
        <item x="1711"/>
        <item x="2557"/>
        <item x="2448"/>
        <item x="2241"/>
        <item x="1998"/>
        <item x="2415"/>
        <item x="501"/>
        <item x="836"/>
        <item x="1405"/>
        <item x="1587"/>
        <item x="1248"/>
        <item x="2404"/>
        <item x="2491"/>
        <item x="659"/>
        <item x="1845"/>
        <item x="278"/>
        <item x="1403"/>
        <item x="633"/>
        <item x="2091"/>
        <item x="2343"/>
        <item x="2092"/>
        <item x="86"/>
        <item x="1627"/>
        <item x="1296"/>
        <item x="1255"/>
        <item x="2215"/>
        <item x="179"/>
        <item x="60"/>
        <item x="2153"/>
        <item x="1655"/>
        <item x="1422"/>
        <item x="113"/>
        <item x="2102"/>
        <item x="395"/>
        <item x="627"/>
        <item x="43"/>
        <item x="1478"/>
        <item x="382"/>
        <item x="747"/>
        <item x="2442"/>
        <item x="1948"/>
        <item x="1151"/>
        <item x="710"/>
        <item x="1297"/>
        <item x="1942"/>
        <item x="2133"/>
        <item x="2496"/>
        <item x="2039"/>
        <item x="786"/>
        <item x="1533"/>
        <item x="1785"/>
        <item x="752"/>
        <item x="711"/>
        <item x="1445"/>
        <item x="336"/>
        <item x="1943"/>
        <item x="2048"/>
        <item x="854"/>
        <item x="271"/>
        <item x="363"/>
        <item x="1843"/>
        <item x="2209"/>
        <item x="2475"/>
        <item x="1091"/>
        <item x="2492"/>
        <item x="1489"/>
        <item x="233"/>
        <item x="967"/>
        <item x="931"/>
        <item x="82"/>
        <item x="1175"/>
        <item x="455"/>
        <item x="2061"/>
        <item x="2607"/>
        <item x="958"/>
        <item x="1951"/>
        <item x="1602"/>
        <item x="1863"/>
        <item x="287"/>
        <item x="45"/>
        <item x="2035"/>
        <item x="523"/>
        <item x="840"/>
        <item x="1623"/>
        <item x="101"/>
        <item x="495"/>
        <item x="425"/>
        <item x="2483"/>
        <item x="975"/>
        <item x="1710"/>
        <item x="162"/>
        <item x="857"/>
        <item x="1172"/>
        <item x="2149"/>
        <item x="2279"/>
        <item x="1828"/>
        <item x="2297"/>
        <item x="1607"/>
        <item x="320"/>
        <item x="2592"/>
        <item x="774"/>
        <item x="600"/>
        <item x="224"/>
        <item x="647"/>
        <item x="1146"/>
        <item x="1491"/>
        <item x="1350"/>
        <item x="783"/>
        <item x="653"/>
        <item x="764"/>
        <item x="483"/>
        <item x="2634"/>
        <item x="497"/>
        <item x="194"/>
        <item x="2095"/>
        <item x="1220"/>
        <item x="444"/>
        <item x="1086"/>
        <item x="977"/>
        <item x="19"/>
        <item x="534"/>
        <item x="1818"/>
        <item x="1663"/>
        <item x="264"/>
        <item x="512"/>
        <item x="2438"/>
        <item x="1121"/>
        <item x="1685"/>
        <item x="538"/>
        <item x="862"/>
        <item x="164"/>
        <item x="145"/>
        <item x="1847"/>
        <item x="1616"/>
        <item x="1966"/>
        <item x="307"/>
        <item x="112"/>
        <item x="517"/>
        <item x="461"/>
        <item x="1015"/>
        <item x="2239"/>
        <item x="453"/>
        <item x="1574"/>
        <item x="1601"/>
        <item x="1683"/>
        <item x="284"/>
        <item x="37"/>
        <item x="817"/>
        <item x="275"/>
        <item x="892"/>
        <item x="1059"/>
        <item x="186"/>
        <item x="930"/>
        <item x="1266"/>
        <item x="338"/>
        <item x="1740"/>
        <item x="207"/>
        <item x="2136"/>
        <item x="940"/>
        <item x="1963"/>
        <item x="530"/>
        <item x="533"/>
        <item x="908"/>
        <item x="1985"/>
        <item x="597"/>
        <item x="1049"/>
        <item x="1695"/>
        <item x="507"/>
        <item x="350"/>
        <item x="1029"/>
        <item x="740"/>
        <item x="414"/>
        <item x="1781"/>
        <item x="415"/>
        <item x="2435"/>
        <item x="2373"/>
        <item x="1970"/>
        <item x="559"/>
        <item x="718"/>
        <item x="2550"/>
        <item x="663"/>
        <item x="98"/>
        <item x="608"/>
        <item x="2237"/>
        <item x="2412"/>
        <item x="950"/>
        <item x="1872"/>
        <item x="2539"/>
        <item x="571"/>
        <item x="1216"/>
        <item x="1703"/>
        <item x="1242"/>
        <item x="1651"/>
        <item x="2138"/>
        <item x="1918"/>
        <item x="2447"/>
        <item x="1916"/>
        <item x="1153"/>
        <item x="999"/>
        <item x="2302"/>
        <item x="2369"/>
        <item x="521"/>
        <item x="526"/>
        <item x="926"/>
        <item x="1318"/>
        <item x="800"/>
        <item x="621"/>
        <item x="1126"/>
        <item x="1234"/>
        <item x="1921"/>
        <item x="349"/>
        <item x="2374"/>
        <item x="2257"/>
        <item x="1652"/>
        <item x="1314"/>
        <item x="787"/>
        <item x="1456"/>
        <item x="2407"/>
        <item x="1614"/>
        <item x="140"/>
        <item x="2294"/>
        <item x="2031"/>
        <item x="1868"/>
        <item x="2219"/>
        <item x="1690"/>
        <item x="95"/>
        <item x="683"/>
        <item x="354"/>
        <item x="178"/>
        <item x="1606"/>
        <item x="1957"/>
        <item x="2333"/>
        <item x="843"/>
        <item x="2612"/>
        <item x="1884"/>
        <item x="1093"/>
        <item x="1076"/>
        <item x="2054"/>
        <item x="1055"/>
        <item x="2281"/>
        <item x="2504"/>
        <item x="2222"/>
        <item x="1880"/>
        <item x="982"/>
        <item x="918"/>
        <item x="463"/>
        <item x="1236"/>
        <item x="917"/>
        <item x="956"/>
        <item x="1841"/>
        <item x="2052"/>
        <item x="972"/>
        <item x="1992"/>
        <item x="2615"/>
        <item x="13"/>
        <item x="1232"/>
        <item x="1474"/>
        <item x="1195"/>
        <item x="481"/>
        <item x="2184"/>
        <item x="1370"/>
        <item x="143"/>
        <item x="1421"/>
        <item x="1869"/>
        <item x="1626"/>
        <item x="339"/>
        <item x="658"/>
        <item x="2266"/>
        <item x="714"/>
        <item x="1108"/>
        <item x="963"/>
        <item x="937"/>
        <item x="1702"/>
        <item x="1982"/>
        <item x="1629"/>
        <item x="1492"/>
        <item x="2621"/>
        <item x="777"/>
        <item x="1569"/>
        <item x="2304"/>
        <item x="1904"/>
        <item x="54"/>
        <item x="2431"/>
        <item x="1536"/>
        <item x="1383"/>
        <item x="1494"/>
        <item x="2111"/>
        <item x="2144"/>
        <item x="698"/>
        <item x="1946"/>
        <item x="352"/>
        <item x="1617"/>
        <item x="394"/>
        <item x="2167"/>
        <item x="2486"/>
        <item x="167"/>
        <item x="1072"/>
        <item x="2132"/>
        <item x="367"/>
        <item x="2481"/>
        <item x="1589"/>
        <item x="1392"/>
        <item x="852"/>
        <item x="1610"/>
        <item x="731"/>
        <item x="1949"/>
        <item x="305"/>
        <item x="398"/>
        <item x="1837"/>
        <item x="138"/>
        <item x="2605"/>
        <item x="409"/>
        <item x="1969"/>
        <item x="103"/>
        <item x="1861"/>
        <item x="58"/>
        <item x="494"/>
        <item x="1353"/>
        <item x="871"/>
        <item x="1213"/>
        <item x="1450"/>
        <item x="246"/>
        <item x="1458"/>
        <item x="2569"/>
        <item x="1351"/>
        <item x="2227"/>
        <item x="623"/>
        <item x="2410"/>
        <item x="397"/>
        <item x="1581"/>
        <item x="996"/>
        <item x="751"/>
        <item x="1941"/>
        <item x="1333"/>
        <item x="802"/>
        <item x="146"/>
        <item x="1014"/>
        <item x="49"/>
        <item x="897"/>
        <item x="1793"/>
        <item x="9"/>
        <item x="2028"/>
        <item x="93"/>
        <item x="945"/>
        <item x="863"/>
        <item x="1896"/>
        <item x="308"/>
        <item x="1204"/>
        <item x="715"/>
        <item x="1876"/>
        <item x="762"/>
        <item x="2145"/>
        <item x="1182"/>
        <item x="1094"/>
        <item x="504"/>
        <item x="1615"/>
        <item x="1095"/>
        <item x="760"/>
        <item x="1993"/>
        <item x="2097"/>
        <item x="927"/>
        <item x="1832"/>
        <item x="1704"/>
        <item x="1105"/>
        <item x="1020"/>
        <item x="166"/>
        <item x="2484"/>
        <item x="430"/>
        <item x="2502"/>
        <item x="1786"/>
        <item x="1498"/>
        <item x="193"/>
        <item x="1096"/>
        <item x="2503"/>
        <item x="422"/>
        <item x="2463"/>
        <item x="1021"/>
        <item x="2312"/>
        <item x="1599"/>
        <item x="1218"/>
        <item x="1001"/>
        <item x="50"/>
        <item x="2567"/>
        <item x="2118"/>
        <item x="1061"/>
        <item x="1804"/>
        <item x="1560"/>
        <item x="2355"/>
        <item x="1706"/>
        <item x="1556"/>
        <item x="1356"/>
        <item x="2083"/>
        <item x="38"/>
        <item x="1084"/>
        <item x="676"/>
        <item x="322"/>
        <item x="903"/>
        <item x="77"/>
        <item x="326"/>
        <item x="1995"/>
        <item x="2506"/>
        <item x="2507"/>
        <item x="1996"/>
        <item x="1418"/>
        <item x="1997"/>
        <item x="1419"/>
        <item x="1354"/>
        <item x="187"/>
        <item x="222"/>
        <item x="1219"/>
        <item x="1304"/>
        <item x="462"/>
        <item x="1820"/>
        <item x="1548"/>
        <item x="1856"/>
        <item x="1416"/>
        <item x="374"/>
        <item x="317"/>
        <item x="1989"/>
        <item x="574"/>
        <item x="1493"/>
        <item x="100"/>
        <item x="614"/>
        <item x="1471"/>
        <item x="974"/>
        <item x="1400"/>
        <item x="256"/>
        <item x="2268"/>
        <item x="2413"/>
        <item x="1322"/>
        <item x="80"/>
        <item x="662"/>
        <item x="1387"/>
        <item x="368"/>
        <item x="1467"/>
        <item x="56"/>
        <item x="502"/>
        <item x="2349"/>
        <item x="449"/>
        <item x="587"/>
        <item x="844"/>
        <item x="1991"/>
        <item x="547"/>
        <item x="149"/>
        <item x="1157"/>
        <item x="2376"/>
        <item x="1717"/>
        <item x="2375"/>
        <item x="1221"/>
        <item x="1355"/>
        <item x="1839"/>
        <item x="2552"/>
        <item x="2517"/>
        <item x="257"/>
        <item x="1658"/>
        <item x="589"/>
        <item x="1141"/>
        <item x="1315"/>
        <item x="2162"/>
        <item x="1834"/>
        <item x="1495"/>
        <item x="644"/>
        <item x="978"/>
        <item x="2013"/>
        <item x="708"/>
        <item x="496"/>
        <item x="990"/>
        <item x="1714"/>
        <item x="901"/>
        <item x="1378"/>
        <item x="555"/>
        <item x="418"/>
        <item x="776"/>
        <item x="2090"/>
        <item x="1792"/>
        <item x="1252"/>
        <item x="567"/>
        <item x="2424"/>
        <item x="528"/>
        <item x="2367"/>
        <item x="2262"/>
        <item x="1293"/>
        <item x="717"/>
        <item x="2040"/>
        <item x="1500"/>
        <item x="2627"/>
        <item x="2003"/>
        <item x="1708"/>
        <item x="1434"/>
        <item x="704"/>
        <item x="758"/>
        <item x="385"/>
        <item x="761"/>
        <item x="440"/>
        <item x="742"/>
        <item x="1303"/>
        <item x="2509"/>
        <item x="529"/>
        <item x="1097"/>
        <item x="1879"/>
        <item x="812"/>
        <item x="1098"/>
        <item x="2510"/>
        <item x="2558"/>
        <item x="520"/>
        <item x="2606"/>
        <item x="2383"/>
        <item x="137"/>
        <item x="942"/>
        <item x="545"/>
        <item x="2331"/>
        <item x="1110"/>
        <item x="2602"/>
        <item x="1306"/>
        <item x="2625"/>
        <item x="1341"/>
        <item x="2084"/>
        <item x="2393"/>
        <item x="79"/>
        <item x="1674"/>
        <item x="199"/>
        <item x="723"/>
        <item x="1636"/>
        <item x="1806"/>
        <item x="1496"/>
        <item x="2608"/>
        <item x="2362"/>
        <item x="153"/>
        <item x="99"/>
        <item x="1487"/>
        <item x="200"/>
        <item x="1053"/>
        <item x="457"/>
        <item x="539"/>
        <item x="174"/>
        <item x="361"/>
        <item x="201"/>
        <item x="1855"/>
        <item x="1138"/>
        <item x="943"/>
        <item x="183"/>
        <item x="573"/>
        <item x="702"/>
        <item x="1698"/>
        <item x="2337"/>
        <item x="842"/>
        <item x="1223"/>
        <item x="1003"/>
        <item x="2025"/>
        <item x="595"/>
        <item x="69"/>
        <item x="965"/>
        <item x="61"/>
        <item x="1798"/>
        <item x="2508"/>
        <item x="798"/>
        <item x="729"/>
        <item x="882"/>
        <item x="883"/>
        <item x="828"/>
        <item x="691"/>
        <item x="2622"/>
        <item x="2513"/>
        <item x="1882"/>
        <item x="1638"/>
        <item x="1790"/>
        <item x="87"/>
        <item x="2377"/>
        <item x="2514"/>
        <item x="2623"/>
        <item x="2242"/>
        <item x="253"/>
        <item x="2110"/>
        <item x="813"/>
        <item x="2006"/>
        <item x="655"/>
        <item x="315"/>
        <item x="362"/>
        <item x="1503"/>
        <item x="218"/>
        <item x="2244"/>
        <item x="1791"/>
        <item x="1639"/>
        <item x="2378"/>
        <item x="74"/>
        <item x="656"/>
        <item x="1423"/>
        <item x="84"/>
        <item x="2379"/>
        <item x="204"/>
        <item x="785"/>
        <item x="408"/>
        <item x="2112"/>
        <item x="1424"/>
        <item x="1361"/>
        <item x="2391"/>
        <item x="4"/>
        <item x="938"/>
        <item x="1149"/>
        <item x="329"/>
        <item x="1932"/>
        <item x="1670"/>
        <item x="1504"/>
        <item x="120"/>
        <item x="2245"/>
        <item x="1505"/>
        <item x="1507"/>
        <item x="1506"/>
        <item x="2428"/>
        <item x="2161"/>
        <item x="2626"/>
        <item x="2388"/>
        <item x="2007"/>
        <item x="2156"/>
        <item x="1257"/>
        <item x="2113"/>
        <item x="1168"/>
        <item x="750"/>
        <item x="1563"/>
        <item x="2616"/>
        <item x="1520"/>
        <item x="1647"/>
        <item x="851"/>
        <item x="766"/>
        <item x="1437"/>
        <item x="992"/>
        <item x="52"/>
        <item x="2564"/>
        <item x="1827"/>
        <item x="1526"/>
        <item x="1745"/>
        <item x="1844"/>
        <item x="864"/>
        <item x="2067"/>
        <item x="2324"/>
        <item x="1413"/>
        <item x="2213"/>
        <item x="1063"/>
        <item x="1566"/>
        <item x="1389"/>
        <item x="1249"/>
        <item x="2108"/>
        <item x="845"/>
        <item x="575"/>
        <item x="420"/>
        <item x="1244"/>
        <item x="475"/>
        <item x="492"/>
        <item x="1100"/>
        <item x="1160"/>
        <item x="2117"/>
        <item x="2384"/>
        <item x="873"/>
        <item x="464"/>
        <item x="2519"/>
        <item x="1795"/>
        <item x="2520"/>
        <item x="944"/>
        <item x="2521"/>
        <item x="2247"/>
        <item x="2248"/>
        <item x="180"/>
        <item x="744"/>
        <item x="1890"/>
        <item x="1718"/>
        <item x="2386"/>
        <item x="1891"/>
        <item x="1268"/>
        <item x="373"/>
        <item x="2387"/>
        <item x="814"/>
        <item x="1893"/>
        <item x="846"/>
        <item x="1360"/>
        <item x="1363"/>
        <item x="2629"/>
        <item x="1641"/>
        <item x="1269"/>
        <item x="2126"/>
        <item x="1451"/>
        <item x="2010"/>
        <item x="2249"/>
        <item x="2522"/>
        <item x="2368"/>
        <item x="1796"/>
        <item x="2630"/>
        <item x="2119"/>
        <item x="119"/>
        <item x="2523"/>
        <item x="2389"/>
        <item x="620"/>
        <item x="2250"/>
        <item x="381"/>
        <item x="2390"/>
        <item x="1364"/>
        <item x="1509"/>
        <item x="1427"/>
        <item x="2392"/>
        <item x="2011"/>
        <item x="2012"/>
        <item x="1286"/>
        <item x="902"/>
        <item x="2524"/>
        <item x="609"/>
        <item x="1894"/>
        <item x="1764"/>
        <item x="1229"/>
        <item x="768"/>
        <item x="2251"/>
        <item x="2631"/>
        <item x="1720"/>
        <item x="254"/>
        <item x="1308"/>
        <item x="848"/>
        <item x="1309"/>
        <item x="1797"/>
        <item x="2394"/>
        <item x="2527"/>
        <item x="2525"/>
        <item x="2120"/>
        <item x="279"/>
        <item x="2201"/>
        <item x="1738"/>
        <item x="759"/>
        <item x="1897"/>
        <item x="1270"/>
        <item x="2526"/>
        <item x="1023"/>
        <item x="2528"/>
        <item x="1428"/>
        <item x="1898"/>
        <item x="2632"/>
        <item x="874"/>
        <item x="964"/>
        <item x="1671"/>
        <item x="784"/>
        <item x="2469"/>
        <item x="2164"/>
        <item x="1017"/>
        <item x="980"/>
        <item x="1721"/>
        <item x="2081"/>
        <item x="622"/>
        <item x="1961"/>
        <item x="2529"/>
        <item x="1899"/>
        <item x="2121"/>
        <item x="1511"/>
        <item x="745"/>
        <item x="2633"/>
        <item x="578"/>
        <item x="1512"/>
        <item x="2122"/>
        <item x="2553"/>
        <item x="1902"/>
        <item x="2000"/>
        <item x="1143"/>
        <item x="1129"/>
        <item x="357"/>
        <item x="1870"/>
        <item x="1770"/>
        <item x="1668"/>
        <item x="1258"/>
        <item x="2204"/>
        <item x="1169"/>
        <item x="2500"/>
        <item x="1914"/>
        <item x="1873"/>
        <item x="2396"/>
        <item x="1041"/>
        <item x="2181"/>
        <item x="2530"/>
        <item x="2252"/>
        <item x="815"/>
        <item x="1900"/>
        <item x="2016"/>
        <item x="2123"/>
        <item x="280"/>
        <item x="719"/>
        <item x="1568"/>
        <item x="2635"/>
        <item x="2636"/>
        <item x="330"/>
        <item x="2017"/>
        <item x="1644"/>
        <item x="816"/>
        <item x="1366"/>
        <item x="2124"/>
        <item x="1723"/>
        <item x="1513"/>
        <item x="565"/>
        <item x="1570"/>
        <item x="1064"/>
        <item x="1800"/>
        <item x="2125"/>
        <item x="2532"/>
        <item x="2533"/>
        <item x="1901"/>
        <item x="2397"/>
        <item x="25"/>
        <item x="2398"/>
        <item x="303"/>
        <item x="159"/>
        <item x="1432"/>
        <item x="1214"/>
        <item x="1514"/>
        <item x="2254"/>
        <item x="484"/>
        <item x="1840"/>
        <item x="2317"/>
        <item x="1184"/>
        <item x="2127"/>
        <item x="244"/>
        <item x="1801"/>
        <item x="297"/>
        <item x="1802"/>
        <item x="14"/>
        <item x="2128"/>
        <item x="1892"/>
        <item x="947"/>
        <item x="2129"/>
        <item x="1572"/>
        <item x="1065"/>
        <item x="423"/>
        <item x="2400"/>
        <item x="2018"/>
        <item x="746"/>
        <item x="1025"/>
        <item x="2401"/>
        <item x="1102"/>
        <item x="550"/>
        <item x="1162"/>
        <item x="2534"/>
        <item x="1573"/>
        <item x="2535"/>
        <item x="2536"/>
        <item x="2137"/>
        <item x="323"/>
        <item x="2256"/>
        <item x="2288"/>
        <item x="1485"/>
        <item x="588"/>
        <item x="1558"/>
        <item t="default"/>
      </items>
    </pivotField>
    <pivotField showAll="0">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Average of Net Worth" fld="1" subtotal="average" baseField="0" baseItem="0"/>
  </dataFields>
  <formats count="2">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F406C0-D857-486B-8B08-025EC079670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Gender">
  <location ref="I1:J4" firstHeaderRow="1" firstDataRow="1" firstDataCol="1"/>
  <pivotFields count="31">
    <pivotField showAll="0"/>
    <pivotField dataField="1" showAll="0" sortType="ascending"/>
    <pivotField showAll="0"/>
    <pivotField showAll="0"/>
    <pivotField showAll="0" sortType="descending">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autoSortScope>
        <pivotArea dataOnly="0" outline="0" fieldPosition="0">
          <references count="1">
            <reference field="4294967294" count="1" selected="0">
              <x v="0"/>
            </reference>
          </references>
        </pivotArea>
      </autoSortScope>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1">
    <field x="13"/>
  </rowFields>
  <rowItems count="3">
    <i>
      <x/>
    </i>
    <i>
      <x v="1"/>
    </i>
    <i t="grand">
      <x/>
    </i>
  </rowItems>
  <colItems count="1">
    <i/>
  </colItems>
  <dataFields count="1">
    <dataField name="Sum of Net Worth" fld="1" baseField="13" baseItem="0" numFmtId="171"/>
  </dataFields>
  <formats count="5">
    <format dxfId="37">
      <pivotArea outline="0" collapsedLevelsAreSubtotals="1" fieldPosition="0"/>
    </format>
    <format dxfId="36">
      <pivotArea outline="0" fieldPosition="0">
        <references count="1">
          <reference field="4294967294" count="1">
            <x v="0"/>
          </reference>
        </references>
      </pivotArea>
    </format>
    <format dxfId="35">
      <pivotArea collapsedLevelsAreSubtotals="1" fieldPosition="0">
        <references count="1">
          <reference field="13" count="1">
            <x v="0"/>
          </reference>
        </references>
      </pivotArea>
    </format>
    <format dxfId="34">
      <pivotArea collapsedLevelsAreSubtotals="1" fieldPosition="0">
        <references count="1">
          <reference field="13" count="1">
            <x v="1"/>
          </reference>
        </references>
      </pivotArea>
    </format>
    <format dxfId="33">
      <pivotArea grandRow="1"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0"/>
          </reference>
        </references>
      </pivotArea>
    </chartFormat>
    <chartFormat chart="4" format="4">
      <pivotArea type="data" outline="0" fieldPosition="0">
        <references count="2">
          <reference field="4294967294" count="1" selected="0">
            <x v="0"/>
          </reference>
          <reference field="13"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3" count="1" selected="0">
            <x v="0"/>
          </reference>
        </references>
      </pivotArea>
    </chartFormat>
    <chartFormat chart="12" format="10">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7176DB-AEB2-4309-99E2-7B705F4C86C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62:A7054" firstHeaderRow="1" firstDataRow="1" firstDataCol="1"/>
  <pivotFields count="31">
    <pivotField showAll="0"/>
    <pivotField axis="axisRow" showAll="0" sortType="descending">
      <items count="2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showAll="0"/>
    <pivotField axis="axisRow" showAll="0">
      <items count="2639">
        <item x="2131"/>
        <item x="1272"/>
        <item x="981"/>
        <item x="250"/>
        <item x="1118"/>
        <item x="2359"/>
        <item x="2406"/>
        <item x="71"/>
        <item x="1277"/>
        <item x="855"/>
        <item x="1187"/>
        <item x="1399"/>
        <item x="1077"/>
        <item x="1687"/>
        <item x="2487"/>
        <item x="962"/>
        <item x="379"/>
        <item x="1917"/>
        <item x="2101"/>
        <item x="1619"/>
        <item x="1012"/>
        <item x="890"/>
        <item x="1085"/>
        <item x="427"/>
        <item x="407"/>
        <item x="1787"/>
        <item x="40"/>
        <item x="1928"/>
        <item x="795"/>
        <item x="2330"/>
        <item x="1709"/>
        <item x="1886"/>
        <item x="1722"/>
        <item x="1369"/>
        <item x="2229"/>
        <item x="2020"/>
        <item x="1027"/>
        <item x="2154"/>
        <item x="1773"/>
        <item x="1347"/>
        <item x="1352"/>
        <item x="1235"/>
        <item x="1237"/>
        <item x="343"/>
        <item x="1654"/>
        <item x="1203"/>
        <item x="1567"/>
        <item x="859"/>
        <item x="1433"/>
        <item x="1810"/>
        <item x="1410"/>
        <item x="424"/>
        <item x="1122"/>
        <item x="536"/>
        <item x="2182"/>
        <item x="2309"/>
        <item x="1545"/>
        <item x="1484"/>
        <item x="216"/>
        <item x="1201"/>
        <item x="2356"/>
        <item x="1154"/>
        <item x="1499"/>
        <item x="1908"/>
        <item x="1588"/>
        <item x="546"/>
        <item x="510"/>
        <item x="1742"/>
        <item x="400"/>
        <item x="78"/>
        <item x="1057"/>
        <item x="1761"/>
        <item x="1282"/>
        <item x="737"/>
        <item x="2115"/>
        <item x="1825"/>
        <item x="2042"/>
        <item x="582"/>
        <item x="2036"/>
        <item x="2464"/>
        <item x="1409"/>
        <item x="20"/>
        <item x="1186"/>
        <item x="124"/>
        <item x="121"/>
        <item x="2516"/>
        <item x="1543"/>
        <item x="12"/>
        <item x="2026"/>
        <item x="1983"/>
        <item x="861"/>
        <item x="1724"/>
        <item x="1528"/>
        <item x="1719"/>
        <item x="1922"/>
        <item x="2544"/>
        <item x="1438"/>
        <item x="2157"/>
        <item x="1477"/>
        <item x="2106"/>
        <item x="515"/>
        <item x="2135"/>
        <item x="2072"/>
        <item x="1700"/>
        <item x="313"/>
        <item x="583"/>
        <item x="596"/>
        <item x="438"/>
        <item x="1862"/>
        <item x="148"/>
        <item x="237"/>
        <item x="1113"/>
        <item x="189"/>
        <item x="2468"/>
        <item x="643"/>
        <item x="1466"/>
        <item x="2603"/>
        <item x="2345"/>
        <item x="273"/>
        <item x="678"/>
        <item x="1867"/>
        <item x="169"/>
        <item x="1226"/>
        <item x="291"/>
        <item x="81"/>
        <item x="1261"/>
        <item x="1517"/>
        <item x="57"/>
        <item x="1371"/>
        <item x="1913"/>
        <item x="1135"/>
        <item x="1645"/>
        <item x="239"/>
        <item x="1211"/>
        <item x="2540"/>
        <item x="2159"/>
        <item x="1111"/>
        <item x="1971"/>
        <item x="2114"/>
        <item x="392"/>
        <item x="404"/>
        <item x="2147"/>
        <item x="2295"/>
        <item x="1848"/>
        <item x="154"/>
        <item x="780"/>
        <item x="217"/>
        <item x="1889"/>
        <item x="208"/>
        <item x="911"/>
        <item x="2353"/>
        <item x="2488"/>
        <item x="439"/>
        <item x="2019"/>
        <item x="685"/>
        <item x="1515"/>
        <item x="2175"/>
        <item x="2600"/>
        <item x="470"/>
        <item x="1939"/>
        <item x="928"/>
        <item x="839"/>
        <item x="2511"/>
        <item x="889"/>
        <item x="1299"/>
        <item x="2191"/>
        <item x="1465"/>
        <item x="298"/>
        <item x="316"/>
        <item x="447"/>
        <item x="692"/>
        <item x="907"/>
        <item x="2470"/>
        <item x="1056"/>
        <item x="1262"/>
        <item x="2582"/>
        <item x="335"/>
        <item x="2278"/>
        <item x="1748"/>
        <item x="2348"/>
        <item x="1878"/>
        <item x="1345"/>
        <item x="721"/>
        <item x="181"/>
        <item x="2335"/>
        <item x="1990"/>
        <item x="2158"/>
        <item x="2041"/>
        <item x="211"/>
        <item x="1905"/>
        <item x="1604"/>
        <item x="1241"/>
        <item x="1459"/>
        <item x="1809"/>
        <item x="2267"/>
        <item x="2292"/>
        <item x="1705"/>
        <item x="1728"/>
        <item x="2141"/>
        <item x="1912"/>
        <item x="1501"/>
        <item x="749"/>
        <item x="516"/>
        <item x="606"/>
        <item x="850"/>
        <item x="1987"/>
        <item x="108"/>
        <item x="791"/>
        <item x="1443"/>
        <item x="636"/>
        <item x="1163"/>
        <item x="699"/>
        <item x="2289"/>
        <item x="1984"/>
        <item x="2563"/>
        <item x="1089"/>
        <item x="1693"/>
        <item x="881"/>
        <item x="2347"/>
        <item x="2559"/>
        <item x="311"/>
        <item x="0"/>
        <item x="568"/>
        <item x="1034"/>
        <item x="1281"/>
        <item x="2065"/>
        <item x="262"/>
        <item x="713"/>
        <item x="2439"/>
        <item x="2269"/>
        <item x="590"/>
        <item x="959"/>
        <item x="1557"/>
        <item x="1924"/>
        <item x="1554"/>
        <item x="557"/>
        <item x="1217"/>
        <item x="879"/>
        <item x="5"/>
        <item x="1831"/>
        <item x="1238"/>
        <item x="1544"/>
        <item x="2022"/>
        <item x="1656"/>
        <item x="243"/>
        <item x="2200"/>
        <item x="2116"/>
        <item x="1448"/>
        <item x="792"/>
        <item x="867"/>
        <item x="1251"/>
        <item x="1330"/>
        <item x="2096"/>
        <item x="2130"/>
        <item x="770"/>
        <item x="1243"/>
        <item x="2585"/>
        <item x="2073"/>
        <item x="1372"/>
        <item x="1271"/>
        <item x="1368"/>
        <item x="205"/>
        <item x="1669"/>
        <item x="1779"/>
        <item x="1440"/>
        <item x="1119"/>
        <item x="1329"/>
        <item x="386"/>
        <item x="1962"/>
        <item x="1887"/>
        <item x="910"/>
        <item x="383"/>
        <item x="1158"/>
        <item x="1594"/>
        <item x="1263"/>
        <item x="1197"/>
        <item x="987"/>
        <item x="2416"/>
        <item x="1813"/>
        <item x="2027"/>
        <item x="436"/>
        <item x="2146"/>
        <item x="1646"/>
        <item x="2382"/>
        <item x="1439"/>
        <item x="1521"/>
        <item x="2417"/>
        <item x="1028"/>
        <item x="289"/>
        <item x="2321"/>
        <item x="396"/>
        <item x="171"/>
        <item x="1733"/>
        <item x="1179"/>
        <item x="738"/>
        <item x="94"/>
        <item x="900"/>
        <item x="584"/>
        <item x="235"/>
        <item x="1000"/>
        <item x="1979"/>
        <item x="2099"/>
        <item x="7"/>
        <item x="2429"/>
        <item x="2002"/>
        <item x="1600"/>
        <item x="228"/>
        <item x="2466"/>
        <item x="2205"/>
        <item x="994"/>
        <item x="1288"/>
        <item x="1171"/>
        <item x="1407"/>
        <item x="563"/>
        <item x="660"/>
        <item x="989"/>
        <item x="757"/>
        <item x="2148"/>
        <item x="2420"/>
        <item x="1919"/>
        <item x="2548"/>
        <item x="168"/>
        <item x="1317"/>
        <item x="118"/>
        <item x="524"/>
        <item x="1222"/>
        <item x="299"/>
        <item x="767"/>
        <item x="592"/>
        <item x="955"/>
        <item x="914"/>
        <item x="16"/>
        <item x="1398"/>
        <item x="212"/>
        <item x="519"/>
        <item x="876"/>
        <item x="1640"/>
        <item x="2105"/>
        <item x="2202"/>
        <item x="117"/>
        <item x="238"/>
        <item x="2457"/>
        <item x="127"/>
        <item x="2421"/>
        <item x="724"/>
        <item x="661"/>
        <item x="2549"/>
        <item x="229"/>
        <item x="1374"/>
        <item x="1731"/>
        <item x="909"/>
        <item x="1069"/>
        <item x="1584"/>
        <item x="880"/>
        <item x="2551"/>
        <item x="1276"/>
        <item x="1814"/>
        <item x="2029"/>
        <item x="2273"/>
        <item x="2150"/>
        <item x="1375"/>
        <item x="2425"/>
        <item x="2151"/>
        <item x="1815"/>
        <item x="1173"/>
        <item x="1585"/>
        <item x="2554"/>
        <item x="2426"/>
        <item x="2274"/>
        <item x="511"/>
        <item x="1225"/>
        <item x="1101"/>
        <item x="1816"/>
        <item x="1441"/>
        <item x="2152"/>
        <item x="2371"/>
        <item x="549"/>
        <item x="2134"/>
        <item x="858"/>
        <item x="2427"/>
        <item x="948"/>
        <item x="1070"/>
        <item x="2032"/>
        <item x="1391"/>
        <item x="1881"/>
        <item x="2538"/>
        <item x="1811"/>
        <item x="629"/>
        <item x="2450"/>
        <item x="1470"/>
        <item x="1152"/>
        <item x="2310"/>
        <item x="2044"/>
        <item x="1365"/>
        <item x="1667"/>
        <item x="365"/>
        <item x="1757"/>
        <item x="1980"/>
        <item x="177"/>
        <item x="1920"/>
        <item x="1319"/>
        <item x="2030"/>
        <item x="1642"/>
        <item x="1386"/>
        <item x="2275"/>
        <item x="822"/>
        <item x="1339"/>
        <item x="1431"/>
        <item x="2568"/>
        <item x="2238"/>
        <item x="823"/>
        <item x="806"/>
        <item x="1807"/>
        <item x="446"/>
        <item x="1550"/>
        <item x="44"/>
        <item x="2178"/>
        <item x="1546"/>
        <item x="2445"/>
        <item x="1547"/>
        <item x="67"/>
        <item x="1661"/>
        <item x="553"/>
        <item x="384"/>
        <item x="472"/>
        <item x="2291"/>
        <item x="706"/>
        <item x="1142"/>
        <item x="562"/>
        <item x="1885"/>
        <item x="141"/>
        <item x="1442"/>
        <item x="821"/>
        <item x="1824"/>
        <item x="1323"/>
        <item x="2434"/>
        <item x="91"/>
        <item x="2045"/>
        <item x="209"/>
        <item x="834"/>
        <item x="1475"/>
        <item x="966"/>
        <item x="778"/>
        <item x="1294"/>
        <item x="1062"/>
        <item x="652"/>
        <item x="451"/>
        <item x="679"/>
        <item x="2576"/>
        <item x="2264"/>
        <item x="351"/>
        <item x="2276"/>
        <item x="642"/>
        <item x="1166"/>
        <item x="1576"/>
        <item x="389"/>
        <item x="1729"/>
        <item x="214"/>
        <item x="172"/>
        <item x="2287"/>
        <item x="915"/>
        <item x="1597"/>
        <item x="283"/>
        <item x="2443"/>
        <item x="116"/>
        <item x="2452"/>
        <item x="1836"/>
        <item x="2305"/>
        <item x="1612"/>
        <item x="2077"/>
        <item x="1686"/>
        <item x="1342"/>
        <item x="1343"/>
        <item x="2089"/>
        <item x="1974"/>
        <item x="393"/>
        <item x="932"/>
        <item x="272"/>
        <item x="360"/>
        <item x="434"/>
        <item x="378"/>
        <item x="2001"/>
        <item x="89"/>
        <item x="21"/>
        <item x="2618"/>
        <item x="619"/>
        <item x="1305"/>
        <item x="1425"/>
        <item x="1799"/>
        <item x="2497"/>
        <item x="2078"/>
        <item x="1177"/>
        <item x="951"/>
        <item x="2430"/>
        <item x="1140"/>
        <item x="2231"/>
        <item x="353"/>
        <item x="532"/>
        <item x="2223"/>
        <item x="1454"/>
        <item x="403"/>
        <item x="1376"/>
        <item x="2228"/>
        <item x="664"/>
        <item x="115"/>
        <item x="2351"/>
        <item x="2230"/>
        <item x="130"/>
        <item x="1535"/>
        <item x="1662"/>
        <item x="2277"/>
        <item x="1207"/>
        <item x="26"/>
        <item x="611"/>
        <item x="111"/>
        <item x="2107"/>
        <item x="645"/>
        <item x="300"/>
        <item x="268"/>
        <item x="2280"/>
        <item x="838"/>
        <item x="452"/>
        <item x="675"/>
        <item x="332"/>
        <item x="1185"/>
        <item x="1081"/>
        <item x="2485"/>
        <item x="1777"/>
        <item x="401"/>
        <item x="1444"/>
        <item x="1608"/>
        <item x="319"/>
        <item x="342"/>
        <item x="535"/>
        <item x="96"/>
        <item x="2440"/>
        <item x="1040"/>
        <item x="163"/>
        <item x="694"/>
        <item x="1264"/>
        <item x="1592"/>
        <item x="913"/>
        <item x="1377"/>
        <item x="1279"/>
        <item x="1524"/>
        <item x="601"/>
        <item x="1461"/>
        <item x="500"/>
        <item x="1775"/>
        <item x="1082"/>
        <item x="2046"/>
        <item x="2381"/>
        <item x="1074"/>
        <item x="2561"/>
        <item x="1977"/>
        <item x="1769"/>
        <item x="225"/>
        <item x="1625"/>
        <item x="672"/>
        <item x="2610"/>
        <item x="2365"/>
        <item x="2547"/>
        <item x="2187"/>
        <item x="2155"/>
        <item x="1596"/>
        <item x="175"/>
        <item x="1273"/>
        <item x="995"/>
        <item x="356"/>
        <item x="1758"/>
        <item x="1609"/>
        <item x="375"/>
        <item x="1497"/>
        <item x="801"/>
        <item x="2358"/>
        <item x="344"/>
        <item x="1926"/>
        <item x="1005"/>
        <item x="1846"/>
        <item x="1508"/>
        <item x="1073"/>
        <item x="2140"/>
        <item x="700"/>
        <item x="499"/>
        <item x="1632"/>
        <item x="763"/>
        <item x="1"/>
        <item x="560"/>
        <item x="70"/>
        <item x="314"/>
        <item x="1253"/>
        <item x="1180"/>
        <item x="667"/>
        <item x="83"/>
        <item x="104"/>
        <item x="213"/>
        <item x="266"/>
        <item x="2354"/>
        <item x="875"/>
        <item x="508"/>
        <item x="1016"/>
        <item x="1326"/>
        <item x="998"/>
        <item x="203"/>
        <item x="1050"/>
        <item x="1931"/>
        <item x="1464"/>
        <item x="1483"/>
        <item x="2385"/>
        <item x="1071"/>
        <item x="2270"/>
        <item x="986"/>
        <item x="1155"/>
        <item x="1715"/>
        <item x="1871"/>
        <item x="85"/>
        <item x="1689"/>
        <item x="2296"/>
        <item x="1648"/>
        <item x="1199"/>
        <item x="829"/>
        <item x="594"/>
        <item x="2286"/>
        <item x="522"/>
        <item x="2283"/>
        <item x="968"/>
        <item x="2403"/>
        <item x="2008"/>
        <item x="1595"/>
        <item x="819"/>
        <item x="1291"/>
        <item x="1923"/>
        <item x="2232"/>
        <item x="1164"/>
        <item x="997"/>
        <item x="2562"/>
        <item x="2193"/>
        <item x="1256"/>
        <item x="1174"/>
        <item x="734"/>
        <item x="2220"/>
        <item x="1349"/>
        <item x="219"/>
        <item x="1181"/>
        <item x="1486"/>
        <item x="599"/>
        <item x="2342"/>
        <item x="748"/>
        <item x="2350"/>
        <item x="247"/>
        <item x="248"/>
        <item x="1865"/>
        <item x="1737"/>
        <item x="27"/>
        <item x="10"/>
        <item x="1117"/>
        <item x="1133"/>
        <item x="432"/>
        <item x="1988"/>
        <item x="979"/>
        <item x="654"/>
        <item x="2628"/>
        <item x="605"/>
        <item x="2320"/>
        <item x="328"/>
        <item x="448"/>
        <item x="1903"/>
        <item x="976"/>
        <item x="2271"/>
        <item x="192"/>
        <item x="1004"/>
        <item x="412"/>
        <item x="1593"/>
        <item x="1379"/>
        <item x="884"/>
        <item x="1927"/>
        <item x="2604"/>
        <item x="2462"/>
        <item x="1930"/>
        <item x="2217"/>
        <item x="1622"/>
        <item x="2490"/>
        <item x="736"/>
        <item x="2433"/>
        <item x="2601"/>
        <item x="709"/>
        <item x="2441"/>
        <item x="2422"/>
        <item x="1022"/>
        <item x="513"/>
        <item x="405"/>
        <item x="1829"/>
        <item x="2565"/>
        <item x="1068"/>
        <item x="1826"/>
        <item x="2290"/>
        <item x="2189"/>
        <item x="2075"/>
        <item x="1684"/>
        <item x="505"/>
        <item x="23"/>
        <item x="1643"/>
        <item x="580"/>
        <item x="1701"/>
        <item x="90"/>
        <item x="1130"/>
        <item x="929"/>
        <item x="1325"/>
        <item x="1051"/>
        <item x="176"/>
        <item x="274"/>
        <item x="1358"/>
        <item x="1367"/>
        <item x="984"/>
        <item x="2179"/>
        <item x="133"/>
        <item x="1676"/>
        <item x="543"/>
        <item x="2203"/>
        <item x="1972"/>
        <item x="2214"/>
        <item x="251"/>
        <item x="2609"/>
        <item x="377"/>
        <item x="1895"/>
        <item x="1446"/>
        <item x="1280"/>
        <item x="2352"/>
        <item x="41"/>
        <item x="249"/>
        <item x="53"/>
        <item x="1743"/>
        <item x="2572"/>
        <item x="1830"/>
        <item x="1147"/>
        <item x="42"/>
        <item x="896"/>
        <item x="1009"/>
        <item x="51"/>
        <item x="1555"/>
        <item x="156"/>
        <item x="1346"/>
        <item x="1726"/>
        <item x="29"/>
        <item x="2023"/>
        <item x="905"/>
        <item x="2418"/>
        <item x="820"/>
        <item x="727"/>
        <item x="2436"/>
        <item x="1156"/>
        <item x="1115"/>
        <item x="1052"/>
        <item x="122"/>
        <item x="158"/>
        <item x="429"/>
        <item x="1452"/>
        <item x="358"/>
        <item x="2009"/>
        <item x="232"/>
        <item x="1964"/>
        <item x="2173"/>
        <item x="1054"/>
        <item x="2086"/>
        <item x="1037"/>
        <item x="2038"/>
        <item x="701"/>
        <item x="1013"/>
        <item x="1161"/>
        <item x="2318"/>
        <item x="1019"/>
        <item x="1039"/>
        <item x="728"/>
        <item x="321"/>
        <item x="1598"/>
        <item x="952"/>
        <item x="411"/>
        <item x="1159"/>
        <item x="912"/>
        <item x="2313"/>
        <item x="648"/>
        <item x="570"/>
        <item x="756"/>
        <item x="1058"/>
        <item x="2225"/>
        <item x="1749"/>
        <item x="2233"/>
        <item x="2258"/>
        <item x="1906"/>
        <item x="1502"/>
        <item x="922"/>
        <item x="2570"/>
        <item x="602"/>
        <item x="1198"/>
        <item x="1132"/>
        <item x="1196"/>
        <item x="872"/>
        <item x="1300"/>
        <item x="531"/>
        <item x="1384"/>
        <item x="1382"/>
        <item x="1394"/>
        <item x="941"/>
        <item x="2143"/>
        <item x="2402"/>
        <item x="1109"/>
        <item x="1415"/>
        <item x="88"/>
        <item x="310"/>
        <item x="136"/>
        <item x="1455"/>
        <item x="1008"/>
        <item x="2617"/>
        <item x="290"/>
        <item x="234"/>
        <item x="765"/>
        <item x="63"/>
        <item x="2043"/>
        <item x="2571"/>
        <item x="1744"/>
        <item x="1936"/>
        <item x="2169"/>
        <item x="2449"/>
        <item x="2577"/>
        <item x="2170"/>
        <item x="1537"/>
        <item x="572"/>
        <item x="2493"/>
        <item x="450"/>
        <item x="1402"/>
        <item x="2053"/>
        <item x="2409"/>
        <item x="1112"/>
        <item x="1230"/>
        <item x="2432"/>
        <item x="302"/>
        <item x="1188"/>
        <item x="387"/>
        <item x="286"/>
        <item x="1414"/>
        <item x="1260"/>
        <item x="1224"/>
        <item x="869"/>
        <item x="1805"/>
        <item x="1301"/>
        <item x="657"/>
        <item x="1633"/>
        <item x="2546"/>
        <item x="933"/>
        <item x="2455"/>
        <item x="866"/>
        <item x="1938"/>
        <item x="2171"/>
        <item x="2573"/>
        <item x="686"/>
        <item x="585"/>
        <item x="2574"/>
        <item x="1571"/>
        <item x="1215"/>
        <item x="1565"/>
        <item x="577"/>
        <item x="779"/>
        <item x="2518"/>
        <item x="1460"/>
        <item x="1183"/>
        <item x="1580"/>
        <item x="1397"/>
        <item x="782"/>
        <item x="921"/>
        <item x="2575"/>
        <item x="639"/>
        <item x="1603"/>
        <item x="1530"/>
        <item x="1336"/>
        <item x="1628"/>
        <item x="1531"/>
        <item x="2301"/>
        <item x="2047"/>
        <item x="769"/>
        <item x="1462"/>
        <item x="1532"/>
        <item x="2453"/>
        <item x="114"/>
        <item x="2454"/>
        <item x="796"/>
        <item x="680"/>
        <item x="2346"/>
        <item x="1002"/>
        <item x="1838"/>
        <item x="1605"/>
        <item x="1429"/>
        <item x="618"/>
        <item x="1522"/>
        <item x="1583"/>
        <item x="646"/>
        <item x="1794"/>
        <item x="498"/>
        <item x="126"/>
        <item x="853"/>
        <item x="333"/>
        <item x="688"/>
        <item x="1396"/>
        <item x="348"/>
        <item x="2221"/>
        <item x="2098"/>
        <item x="2588"/>
        <item x="1747"/>
        <item x="1835"/>
        <item x="1771"/>
        <item x="2578"/>
        <item x="2637"/>
        <item x="2364"/>
        <item x="1564"/>
        <item x="1042"/>
        <item x="837"/>
        <item x="64"/>
        <item x="1833"/>
        <item x="712"/>
        <item x="936"/>
        <item x="1026"/>
        <item x="312"/>
        <item x="152"/>
        <item x="604"/>
        <item x="2197"/>
        <item x="1817"/>
        <item x="215"/>
        <item x="1783"/>
        <item x="2614"/>
        <item x="288"/>
        <item x="2034"/>
        <item x="340"/>
        <item x="1373"/>
        <item x="868"/>
        <item x="1239"/>
        <item x="2380"/>
        <item x="808"/>
        <item x="1819"/>
        <item x="1114"/>
        <item x="334"/>
        <item x="593"/>
        <item x="62"/>
        <item x="30"/>
        <item x="1032"/>
        <item x="185"/>
        <item x="2208"/>
        <item x="793"/>
        <item x="722"/>
        <item x="466"/>
        <item x="1031"/>
        <item x="1591"/>
        <item x="1321"/>
        <item x="206"/>
        <item x="1664"/>
        <item x="304"/>
        <item x="730"/>
        <item x="473"/>
        <item x="1388"/>
        <item x="1763"/>
        <item x="1611"/>
        <item x="1200"/>
        <item x="66"/>
        <item x="2226"/>
        <item x="1823"/>
        <item x="1078"/>
        <item x="131"/>
        <item x="1457"/>
        <item x="541"/>
        <item x="544"/>
        <item x="437"/>
        <item x="1463"/>
        <item x="2104"/>
        <item x="1935"/>
        <item x="581"/>
        <item x="772"/>
        <item x="428"/>
        <item x="1746"/>
        <item x="649"/>
        <item x="270"/>
        <item x="1666"/>
        <item x="1357"/>
        <item x="1240"/>
        <item x="671"/>
        <item x="993"/>
        <item x="479"/>
        <item x="281"/>
        <item x="988"/>
        <item x="1290"/>
        <item x="2"/>
        <item x="318"/>
        <item x="1150"/>
        <item x="673"/>
        <item x="1259"/>
        <item x="957"/>
        <item x="1999"/>
        <item x="47"/>
        <item x="173"/>
        <item x="2272"/>
        <item x="1381"/>
        <item x="2478"/>
        <item x="631"/>
        <item x="2329"/>
        <item x="1412"/>
        <item x="899"/>
        <item x="1621"/>
        <item x="2235"/>
        <item x="2068"/>
        <item x="2005"/>
        <item x="75"/>
        <item x="687"/>
        <item x="132"/>
        <item x="1967"/>
        <item x="1406"/>
        <item x="810"/>
        <item x="1307"/>
        <item x="716"/>
        <item x="2234"/>
        <item x="771"/>
        <item x="399"/>
        <item x="612"/>
        <item x="2176"/>
        <item x="142"/>
        <item x="474"/>
        <item x="2566"/>
        <item x="1331"/>
        <item x="1582"/>
        <item x="2109"/>
        <item x="1730"/>
        <item x="789"/>
        <item x="1821"/>
        <item x="626"/>
        <item x="551"/>
        <item x="773"/>
        <item x="241"/>
        <item x="1947"/>
        <item x="1857"/>
        <item x="202"/>
        <item x="48"/>
        <item x="1707"/>
        <item x="18"/>
        <item x="2545"/>
        <item x="569"/>
        <item x="1765"/>
        <item x="2344"/>
        <item x="195"/>
        <item x="1673"/>
        <item x="2177"/>
        <item x="1778"/>
        <item x="1295"/>
        <item x="1637"/>
        <item x="2259"/>
        <item x="690"/>
        <item x="1681"/>
        <item x="292"/>
        <item x="2183"/>
        <item x="1677"/>
        <item x="1678"/>
        <item x="431"/>
        <item x="632"/>
        <item x="1780"/>
        <item x="2168"/>
        <item x="1167"/>
        <item x="2580"/>
        <item x="325"/>
        <item x="157"/>
        <item x="2541"/>
        <item x="376"/>
        <item x="1311"/>
        <item x="878"/>
        <item x="1313"/>
        <item x="2024"/>
        <item x="445"/>
        <item x="682"/>
        <item x="1030"/>
        <item x="2556"/>
        <item x="949"/>
        <item x="468"/>
        <item x="1660"/>
        <item x="223"/>
        <item x="1178"/>
        <item x="1736"/>
        <item x="2033"/>
        <item x="1324"/>
        <item x="129"/>
        <item x="885"/>
        <item x="1741"/>
        <item x="406"/>
        <item x="1529"/>
        <item x="703"/>
        <item x="2322"/>
        <item x="210"/>
        <item x="31"/>
        <item x="97"/>
        <item x="865"/>
        <item x="245"/>
        <item x="1968"/>
        <item x="359"/>
        <item x="2212"/>
        <item x="1033"/>
        <item x="1011"/>
        <item x="1254"/>
        <item x="294"/>
        <item x="1981"/>
        <item x="781"/>
        <item x="380"/>
        <item x="1210"/>
        <item x="2240"/>
        <item x="1888"/>
        <item x="640"/>
        <item x="651"/>
        <item x="946"/>
        <item x="2459"/>
        <item x="556"/>
        <item x="1131"/>
        <item x="969"/>
        <item x="2336"/>
        <item x="1788"/>
        <item x="2372"/>
        <item x="2327"/>
        <item x="733"/>
        <item x="109"/>
        <item x="1776"/>
        <item x="220"/>
        <item x="638"/>
        <item x="2285"/>
        <item x="2338"/>
        <item x="1103"/>
        <item x="2260"/>
        <item x="2284"/>
        <item x="1682"/>
        <item x="1812"/>
        <item x="2405"/>
        <item x="1233"/>
        <item x="753"/>
        <item x="134"/>
        <item x="613"/>
        <item x="2499"/>
        <item x="296"/>
        <item x="441"/>
        <item x="799"/>
        <item x="1066"/>
        <item x="1104"/>
        <item x="637"/>
        <item x="610"/>
        <item x="1866"/>
        <item x="809"/>
        <item x="341"/>
        <item x="324"/>
        <item x="161"/>
        <item x="720"/>
        <item x="17"/>
        <item x="739"/>
        <item x="1209"/>
        <item x="1165"/>
        <item x="1577"/>
        <item x="891"/>
        <item x="2243"/>
        <item x="2216"/>
        <item x="1212"/>
        <item x="1327"/>
        <item x="2015"/>
        <item x="1320"/>
        <item x="2070"/>
        <item x="2185"/>
        <item x="1426"/>
        <item x="2334"/>
        <item x="1289"/>
        <item x="1453"/>
        <item x="1067"/>
        <item x="2465"/>
        <item x="2531"/>
        <item x="259"/>
        <item x="460"/>
        <item x="904"/>
        <item x="841"/>
        <item x="1699"/>
        <item x="107"/>
        <item x="2542"/>
        <item x="2311"/>
        <item x="1408"/>
        <item x="1975"/>
        <item x="1145"/>
        <item x="1060"/>
        <item x="1479"/>
        <item x="1909"/>
        <item x="971"/>
        <item x="478"/>
        <item x="1417"/>
        <item x="1411"/>
        <item x="2211"/>
        <item x="2307"/>
        <item x="1944"/>
        <item x="2308"/>
        <item x="2049"/>
        <item x="1751"/>
        <item x="1127"/>
        <item x="1784"/>
        <item x="2163"/>
        <item x="1735"/>
        <item x="564"/>
        <item x="364"/>
        <item x="35"/>
        <item x="2584"/>
        <item x="458"/>
        <item x="696"/>
        <item x="726"/>
        <item x="1036"/>
        <item x="1934"/>
        <item x="1789"/>
        <item x="2004"/>
        <item x="1618"/>
        <item x="2619"/>
        <item x="695"/>
        <item x="2325"/>
        <item x="1334"/>
        <item x="2489"/>
        <item x="1994"/>
        <item x="1716"/>
        <item x="2139"/>
        <item x="540"/>
        <item x="1753"/>
        <item x="1842"/>
        <item x="1754"/>
        <item x="2587"/>
        <item x="1755"/>
        <item x="1945"/>
        <item x="2306"/>
        <item x="2050"/>
        <item x="1480"/>
        <item x="1447"/>
        <item x="221"/>
        <item x="1978"/>
        <item x="1338"/>
        <item x="366"/>
        <item x="527"/>
        <item x="28"/>
        <item x="934"/>
        <item x="2555"/>
        <item x="2051"/>
        <item x="1732"/>
        <item x="2589"/>
        <item x="2357"/>
        <item x="2236"/>
        <item x="2590"/>
        <item x="2467"/>
        <item x="1675"/>
        <item x="705"/>
        <item x="1274"/>
        <item x="2255"/>
        <item x="2188"/>
        <item x="1697"/>
        <item x="953"/>
        <item x="123"/>
        <item x="961"/>
        <item x="252"/>
        <item x="2055"/>
        <item x="2056"/>
        <item x="2057"/>
        <item x="2058"/>
        <item x="887"/>
        <item x="1287"/>
        <item x="2059"/>
        <item x="2060"/>
        <item x="525"/>
        <item x="125"/>
        <item x="1250"/>
        <item x="1759"/>
        <item x="456"/>
        <item x="1390"/>
        <item x="92"/>
        <item x="1332"/>
        <item x="1468"/>
        <item x="2037"/>
        <item x="1359"/>
        <item x="3"/>
        <item x="11"/>
        <item x="1624"/>
        <item x="1562"/>
        <item x="2515"/>
        <item x="1760"/>
        <item x="860"/>
        <item x="144"/>
        <item x="255"/>
        <item x="2180"/>
        <item x="1875"/>
        <item x="337"/>
        <item x="2293"/>
        <item x="2300"/>
        <item x="811"/>
        <item x="2579"/>
        <item x="1312"/>
        <item x="923"/>
        <item x="2190"/>
        <item x="2062"/>
        <item x="2472"/>
        <item x="1043"/>
        <item x="46"/>
        <item x="2314"/>
        <item x="1079"/>
        <item x="1850"/>
        <item x="870"/>
        <item x="1672"/>
        <item x="1762"/>
        <item x="191"/>
        <item x="1024"/>
        <item x="39"/>
        <item x="833"/>
        <item x="488"/>
        <item x="231"/>
        <item x="1228"/>
        <item x="76"/>
        <item x="1206"/>
        <item x="295"/>
        <item x="824"/>
        <item x="788"/>
        <item x="261"/>
        <item x="72"/>
        <item x="1488"/>
        <item x="1986"/>
        <item x="435"/>
        <item x="1727"/>
        <item x="1649"/>
        <item x="2593"/>
        <item x="598"/>
        <item x="2192"/>
        <item x="586"/>
        <item x="459"/>
        <item x="1191"/>
        <item x="2315"/>
        <item x="1335"/>
        <item x="1245"/>
        <item x="1953"/>
        <item x="1044"/>
        <item x="1954"/>
        <item x="2066"/>
        <item x="32"/>
        <item x="1045"/>
        <item x="924"/>
        <item x="1539"/>
        <item x="370"/>
        <item x="1955"/>
        <item x="2316"/>
        <item x="1956"/>
        <item x="276"/>
        <item x="1851"/>
        <item x="1852"/>
        <item x="2595"/>
        <item x="1080"/>
        <item x="1853"/>
        <item x="755"/>
        <item x="1046"/>
        <item x="102"/>
        <item x="2194"/>
        <item x="1192"/>
        <item x="240"/>
        <item x="2195"/>
        <item x="1136"/>
        <item x="925"/>
        <item x="1854"/>
        <item x="1540"/>
        <item x="327"/>
        <item x="1393"/>
        <item x="1137"/>
        <item x="1541"/>
        <item x="697"/>
        <item x="2206"/>
        <item x="2172"/>
        <item x="558"/>
        <item x="1337"/>
        <item x="668"/>
        <item x="1472"/>
        <item x="1246"/>
        <item x="1613"/>
        <item x="1542"/>
        <item x="371"/>
        <item x="1766"/>
        <item x="669"/>
        <item x="1006"/>
        <item x="413"/>
        <item x="277"/>
        <item x="1007"/>
        <item x="2476"/>
        <item x="2477"/>
        <item x="2370"/>
        <item x="1552"/>
        <item x="916"/>
        <item x="1860"/>
        <item x="1344"/>
        <item x="2596"/>
        <item x="1473"/>
        <item x="2069"/>
        <item x="2196"/>
        <item x="150"/>
        <item x="347"/>
        <item x="2071"/>
        <item x="2319"/>
        <item x="1047"/>
        <item x="1958"/>
        <item x="285"/>
        <item x="182"/>
        <item x="2423"/>
        <item x="2408"/>
        <item x="1328"/>
        <item x="2597"/>
        <item x="1075"/>
        <item x="2328"/>
        <item x="1420"/>
        <item x="1808"/>
        <item x="1189"/>
        <item x="1679"/>
        <item x="55"/>
        <item x="1767"/>
        <item x="2198"/>
        <item x="2479"/>
        <item x="1194"/>
        <item x="135"/>
        <item x="1247"/>
        <item x="2598"/>
        <item x="1959"/>
        <item x="1960"/>
        <item x="2366"/>
        <item x="825"/>
        <item x="684"/>
        <item x="2074"/>
        <item x="906"/>
        <item x="919"/>
        <item x="1302"/>
        <item x="1631"/>
        <item x="476"/>
        <item x="2543"/>
        <item x="128"/>
        <item x="402"/>
        <item x="73"/>
        <item x="196"/>
        <item x="1680"/>
        <item x="1385"/>
        <item x="2199"/>
        <item x="503"/>
        <item x="935"/>
        <item x="674"/>
        <item x="2480"/>
        <item x="509"/>
        <item x="2093"/>
        <item x="33"/>
        <item x="306"/>
        <item x="2599"/>
        <item x="59"/>
        <item x="1092"/>
        <item x="1106"/>
        <item x="372"/>
        <item x="1124"/>
        <item x="486"/>
        <item x="1691"/>
        <item x="1010"/>
        <item x="1586"/>
        <item x="2064"/>
        <item x="991"/>
        <item x="630"/>
        <item x="2501"/>
        <item x="2537"/>
        <item x="2471"/>
        <item x="236"/>
        <item x="2076"/>
        <item x="2326"/>
        <item x="1725"/>
        <item x="331"/>
        <item x="666"/>
        <item x="1469"/>
        <item x="617"/>
        <item x="1278"/>
        <item x="165"/>
        <item x="2583"/>
        <item x="2361"/>
        <item x="554"/>
        <item x="1734"/>
        <item x="1090"/>
        <item x="482"/>
        <item x="835"/>
        <item x="624"/>
        <item x="454"/>
        <item x="410"/>
        <item x="1176"/>
        <item x="579"/>
        <item x="1525"/>
        <item x="1205"/>
        <item x="641"/>
        <item x="1849"/>
        <item x="732"/>
        <item x="282"/>
        <item x="258"/>
        <item x="197"/>
        <item x="2414"/>
        <item x="2419"/>
        <item x="1348"/>
        <item x="1739"/>
        <item x="1527"/>
        <item x="1965"/>
        <item x="826"/>
        <item x="1134"/>
        <item x="2082"/>
        <item x="1659"/>
        <item x="591"/>
        <item x="1590"/>
        <item x="2560"/>
        <item x="1190"/>
        <item x="36"/>
        <item x="603"/>
        <item x="2340"/>
        <item x="518"/>
        <item x="561"/>
        <item x="741"/>
        <item x="506"/>
        <item x="15"/>
        <item x="856"/>
        <item x="2339"/>
        <item x="754"/>
        <item x="2323"/>
        <item x="1435"/>
        <item x="954"/>
        <item x="537"/>
        <item x="1538"/>
        <item x="1048"/>
        <item x="2207"/>
        <item x="2100"/>
        <item x="1712"/>
        <item x="1018"/>
        <item x="2166"/>
        <item x="689"/>
        <item x="1650"/>
        <item x="804"/>
        <item x="805"/>
        <item x="2624"/>
        <item x="1635"/>
        <item x="68"/>
        <item x="2456"/>
        <item x="369"/>
        <item x="2160"/>
        <item x="1859"/>
        <item x="487"/>
        <item x="2395"/>
        <item x="2282"/>
        <item x="2460"/>
        <item x="1551"/>
        <item x="2494"/>
        <item x="493"/>
        <item x="1298"/>
        <item x="818"/>
        <item x="1395"/>
        <item x="607"/>
        <item x="1099"/>
        <item x="2263"/>
        <item x="1634"/>
        <item x="807"/>
        <item x="390"/>
        <item x="1476"/>
        <item x="188"/>
        <item x="1772"/>
        <item x="1340"/>
        <item x="489"/>
        <item x="2079"/>
        <item x="2080"/>
        <item x="2261"/>
        <item x="1518"/>
        <item x="566"/>
        <item x="6"/>
        <item x="22"/>
        <item x="1035"/>
        <item x="65"/>
        <item x="2298"/>
        <item x="419"/>
        <item x="920"/>
        <item x="1534"/>
        <item x="421"/>
        <item x="190"/>
        <item x="2186"/>
        <item x="2591"/>
        <item x="2063"/>
        <item x="433"/>
        <item x="2014"/>
        <item x="670"/>
        <item x="230"/>
        <item x="490"/>
        <item x="105"/>
        <item x="1864"/>
        <item x="151"/>
        <item x="1208"/>
        <item x="2498"/>
        <item x="2363"/>
        <item x="1877"/>
        <item x="847"/>
        <item x="1510"/>
        <item x="2451"/>
        <item x="416"/>
        <item x="1559"/>
        <item x="542"/>
        <item x="2594"/>
        <item x="465"/>
        <item x="514"/>
        <item x="1120"/>
        <item x="960"/>
        <item x="1575"/>
        <item x="417"/>
        <item x="170"/>
        <item x="1976"/>
        <item x="2360"/>
        <item x="139"/>
        <item x="831"/>
        <item x="775"/>
        <item x="155"/>
        <item x="634"/>
        <item x="355"/>
        <item x="665"/>
        <item x="2505"/>
        <item x="34"/>
        <item x="1170"/>
        <item x="1284"/>
        <item x="2174"/>
        <item x="477"/>
        <item x="491"/>
        <item x="2094"/>
        <item x="1688"/>
        <item x="1516"/>
        <item x="803"/>
        <item x="1925"/>
        <item x="2303"/>
        <item x="877"/>
        <item x="725"/>
        <item x="1911"/>
        <item x="1316"/>
        <item x="2581"/>
        <item x="1310"/>
        <item x="1774"/>
        <item x="1482"/>
        <item x="2586"/>
        <item x="8"/>
        <item x="552"/>
        <item x="548"/>
        <item x="2620"/>
        <item x="2341"/>
        <item x="1756"/>
        <item x="1128"/>
        <item x="2246"/>
        <item x="1116"/>
        <item x="615"/>
        <item x="388"/>
        <item x="1123"/>
        <item x="894"/>
        <item x="1083"/>
        <item x="2473"/>
        <item x="269"/>
        <item x="1088"/>
        <item x="2265"/>
        <item x="1620"/>
        <item x="309"/>
        <item x="260"/>
        <item x="391"/>
        <item x="625"/>
        <item x="2611"/>
        <item x="2332"/>
        <item x="426"/>
        <item x="895"/>
        <item x="1973"/>
        <item x="1907"/>
        <item x="2210"/>
        <item x="1401"/>
        <item x="1202"/>
        <item x="681"/>
        <item x="242"/>
        <item x="1579"/>
        <item x="1952"/>
        <item x="983"/>
        <item x="790"/>
        <item x="184"/>
        <item x="849"/>
        <item x="442"/>
        <item x="2021"/>
        <item x="1692"/>
        <item x="898"/>
        <item x="2458"/>
        <item x="1713"/>
        <item x="1578"/>
        <item x="1883"/>
        <item x="2399"/>
        <item x="1107"/>
        <item x="1937"/>
        <item x="1481"/>
        <item x="1125"/>
        <item x="2085"/>
        <item x="1380"/>
        <item x="2224"/>
        <item x="2103"/>
        <item x="1822"/>
        <item x="2474"/>
        <item x="985"/>
        <item x="1803"/>
        <item x="743"/>
        <item x="1653"/>
        <item x="616"/>
        <item x="1549"/>
        <item x="2411"/>
        <item x="1231"/>
        <item x="1436"/>
        <item x="1696"/>
        <item x="1267"/>
        <item x="970"/>
        <item x="1430"/>
        <item x="2299"/>
        <item x="267"/>
        <item x="1752"/>
        <item x="2142"/>
        <item x="1038"/>
        <item x="1275"/>
        <item x="1561"/>
        <item x="1858"/>
        <item x="1490"/>
        <item x="1553"/>
        <item x="2218"/>
        <item x="888"/>
        <item x="1768"/>
        <item x="198"/>
        <item x="1144"/>
        <item x="1292"/>
        <item x="2087"/>
        <item x="2088"/>
        <item x="106"/>
        <item x="576"/>
        <item x="794"/>
        <item x="827"/>
        <item x="1915"/>
        <item x="1148"/>
        <item x="1657"/>
        <item x="939"/>
        <item x="1139"/>
        <item x="1910"/>
        <item x="469"/>
        <item x="635"/>
        <item x="1933"/>
        <item x="832"/>
        <item x="263"/>
        <item x="443"/>
        <item x="485"/>
        <item x="2437"/>
        <item x="1449"/>
        <item x="1283"/>
        <item x="707"/>
        <item x="1782"/>
        <item x="2495"/>
        <item x="480"/>
        <item x="301"/>
        <item x="1362"/>
        <item x="345"/>
        <item x="1750"/>
        <item x="1519"/>
        <item x="147"/>
        <item x="2444"/>
        <item x="265"/>
        <item x="2482"/>
        <item x="735"/>
        <item x="1227"/>
        <item x="227"/>
        <item x="2253"/>
        <item x="973"/>
        <item x="830"/>
        <item x="886"/>
        <item x="628"/>
        <item x="1285"/>
        <item x="1940"/>
        <item x="2461"/>
        <item x="797"/>
        <item x="1950"/>
        <item x="1193"/>
        <item x="1630"/>
        <item x="1874"/>
        <item x="693"/>
        <item x="677"/>
        <item x="1265"/>
        <item x="110"/>
        <item x="2512"/>
        <item x="2613"/>
        <item x="650"/>
        <item x="24"/>
        <item x="893"/>
        <item x="160"/>
        <item x="2165"/>
        <item x="2446"/>
        <item x="293"/>
        <item x="1087"/>
        <item x="1929"/>
        <item x="346"/>
        <item x="1665"/>
        <item x="1404"/>
        <item x="1523"/>
        <item x="471"/>
        <item x="467"/>
        <item x="1694"/>
        <item x="226"/>
        <item x="1711"/>
        <item x="2557"/>
        <item x="2448"/>
        <item x="2241"/>
        <item x="1998"/>
        <item x="2415"/>
        <item x="501"/>
        <item x="836"/>
        <item x="1405"/>
        <item x="1587"/>
        <item x="1248"/>
        <item x="2404"/>
        <item x="2491"/>
        <item x="659"/>
        <item x="1845"/>
        <item x="278"/>
        <item x="1403"/>
        <item x="633"/>
        <item x="2091"/>
        <item x="2343"/>
        <item x="2092"/>
        <item x="86"/>
        <item x="1627"/>
        <item x="1296"/>
        <item x="1255"/>
        <item x="2215"/>
        <item x="179"/>
        <item x="60"/>
        <item x="2153"/>
        <item x="1655"/>
        <item x="1422"/>
        <item x="113"/>
        <item x="2102"/>
        <item x="395"/>
        <item x="627"/>
        <item x="43"/>
        <item x="1478"/>
        <item x="382"/>
        <item x="747"/>
        <item x="2442"/>
        <item x="1948"/>
        <item x="1151"/>
        <item x="710"/>
        <item x="1297"/>
        <item x="1942"/>
        <item x="2133"/>
        <item x="2496"/>
        <item x="2039"/>
        <item x="786"/>
        <item x="1533"/>
        <item x="1785"/>
        <item x="752"/>
        <item x="711"/>
        <item x="1445"/>
        <item x="336"/>
        <item x="1943"/>
        <item x="2048"/>
        <item x="854"/>
        <item x="271"/>
        <item x="363"/>
        <item x="1843"/>
        <item x="2209"/>
        <item x="2475"/>
        <item x="1091"/>
        <item x="2492"/>
        <item x="1489"/>
        <item x="233"/>
        <item x="967"/>
        <item x="931"/>
        <item x="82"/>
        <item x="1175"/>
        <item x="455"/>
        <item x="2061"/>
        <item x="2607"/>
        <item x="958"/>
        <item x="1951"/>
        <item x="1602"/>
        <item x="1863"/>
        <item x="287"/>
        <item x="45"/>
        <item x="2035"/>
        <item x="523"/>
        <item x="840"/>
        <item x="1623"/>
        <item x="101"/>
        <item x="495"/>
        <item x="425"/>
        <item x="2483"/>
        <item x="975"/>
        <item x="1710"/>
        <item x="162"/>
        <item x="857"/>
        <item x="1172"/>
        <item x="2149"/>
        <item x="2279"/>
        <item x="1828"/>
        <item x="2297"/>
        <item x="1607"/>
        <item x="320"/>
        <item x="2592"/>
        <item x="774"/>
        <item x="600"/>
        <item x="224"/>
        <item x="647"/>
        <item x="1146"/>
        <item x="1491"/>
        <item x="1350"/>
        <item x="783"/>
        <item x="653"/>
        <item x="764"/>
        <item x="483"/>
        <item x="2634"/>
        <item x="497"/>
        <item x="194"/>
        <item x="2095"/>
        <item x="1220"/>
        <item x="444"/>
        <item x="1086"/>
        <item x="977"/>
        <item x="19"/>
        <item x="534"/>
        <item x="1818"/>
        <item x="1663"/>
        <item x="264"/>
        <item x="512"/>
        <item x="2438"/>
        <item x="1121"/>
        <item x="1685"/>
        <item x="538"/>
        <item x="862"/>
        <item x="164"/>
        <item x="145"/>
        <item x="1847"/>
        <item x="1616"/>
        <item x="1966"/>
        <item x="307"/>
        <item x="112"/>
        <item x="517"/>
        <item x="461"/>
        <item x="1015"/>
        <item x="2239"/>
        <item x="453"/>
        <item x="1574"/>
        <item x="1601"/>
        <item x="1683"/>
        <item x="284"/>
        <item x="37"/>
        <item x="817"/>
        <item x="275"/>
        <item x="892"/>
        <item x="1059"/>
        <item x="186"/>
        <item x="930"/>
        <item x="1266"/>
        <item x="338"/>
        <item x="1740"/>
        <item x="207"/>
        <item x="2136"/>
        <item x="940"/>
        <item x="1963"/>
        <item x="530"/>
        <item x="533"/>
        <item x="908"/>
        <item x="1985"/>
        <item x="597"/>
        <item x="1049"/>
        <item x="1695"/>
        <item x="507"/>
        <item x="350"/>
        <item x="1029"/>
        <item x="740"/>
        <item x="414"/>
        <item x="1781"/>
        <item x="415"/>
        <item x="2435"/>
        <item x="2373"/>
        <item x="1970"/>
        <item x="559"/>
        <item x="718"/>
        <item x="2550"/>
        <item x="663"/>
        <item x="98"/>
        <item x="608"/>
        <item x="2237"/>
        <item x="2412"/>
        <item x="950"/>
        <item x="1872"/>
        <item x="2539"/>
        <item x="571"/>
        <item x="1216"/>
        <item x="1703"/>
        <item x="1242"/>
        <item x="1651"/>
        <item x="2138"/>
        <item x="1918"/>
        <item x="2447"/>
        <item x="1916"/>
        <item x="1153"/>
        <item x="999"/>
        <item x="2302"/>
        <item x="2369"/>
        <item x="521"/>
        <item x="526"/>
        <item x="926"/>
        <item x="1318"/>
        <item x="800"/>
        <item x="621"/>
        <item x="1126"/>
        <item x="1234"/>
        <item x="1921"/>
        <item x="349"/>
        <item x="2374"/>
        <item x="2257"/>
        <item x="1652"/>
        <item x="1314"/>
        <item x="787"/>
        <item x="1456"/>
        <item x="2407"/>
        <item x="1614"/>
        <item x="140"/>
        <item x="2294"/>
        <item x="2031"/>
        <item x="1868"/>
        <item x="2219"/>
        <item x="1690"/>
        <item x="95"/>
        <item x="683"/>
        <item x="354"/>
        <item x="178"/>
        <item x="1606"/>
        <item x="1957"/>
        <item x="2333"/>
        <item x="843"/>
        <item x="2612"/>
        <item x="1884"/>
        <item x="1093"/>
        <item x="1076"/>
        <item x="2054"/>
        <item x="1055"/>
        <item x="2281"/>
        <item x="2504"/>
        <item x="2222"/>
        <item x="1880"/>
        <item x="982"/>
        <item x="918"/>
        <item x="463"/>
        <item x="1236"/>
        <item x="917"/>
        <item x="956"/>
        <item x="1841"/>
        <item x="2052"/>
        <item x="972"/>
        <item x="1992"/>
        <item x="2615"/>
        <item x="13"/>
        <item x="1232"/>
        <item x="1474"/>
        <item x="1195"/>
        <item x="481"/>
        <item x="2184"/>
        <item x="1370"/>
        <item x="143"/>
        <item x="1421"/>
        <item x="1869"/>
        <item x="1626"/>
        <item x="339"/>
        <item x="658"/>
        <item x="2266"/>
        <item x="714"/>
        <item x="1108"/>
        <item x="963"/>
        <item x="937"/>
        <item x="1702"/>
        <item x="1982"/>
        <item x="1629"/>
        <item x="1492"/>
        <item x="2621"/>
        <item x="777"/>
        <item x="1569"/>
        <item x="2304"/>
        <item x="1904"/>
        <item x="54"/>
        <item x="2431"/>
        <item x="1536"/>
        <item x="1383"/>
        <item x="1494"/>
        <item x="2111"/>
        <item x="2144"/>
        <item x="698"/>
        <item x="1946"/>
        <item x="352"/>
        <item x="1617"/>
        <item x="394"/>
        <item x="2167"/>
        <item x="2486"/>
        <item x="167"/>
        <item x="1072"/>
        <item x="2132"/>
        <item x="367"/>
        <item x="2481"/>
        <item x="1589"/>
        <item x="1392"/>
        <item x="852"/>
        <item x="1610"/>
        <item x="731"/>
        <item x="1949"/>
        <item x="305"/>
        <item x="398"/>
        <item x="1837"/>
        <item x="138"/>
        <item x="2605"/>
        <item x="409"/>
        <item x="1969"/>
        <item x="103"/>
        <item x="1861"/>
        <item x="58"/>
        <item x="494"/>
        <item x="1353"/>
        <item x="871"/>
        <item x="1213"/>
        <item x="1450"/>
        <item x="246"/>
        <item x="1458"/>
        <item x="2569"/>
        <item x="1351"/>
        <item x="2227"/>
        <item x="623"/>
        <item x="2410"/>
        <item x="397"/>
        <item x="1581"/>
        <item x="996"/>
        <item x="751"/>
        <item x="1941"/>
        <item x="1333"/>
        <item x="802"/>
        <item x="146"/>
        <item x="1014"/>
        <item x="49"/>
        <item x="897"/>
        <item x="1793"/>
        <item x="9"/>
        <item x="2028"/>
        <item x="93"/>
        <item x="945"/>
        <item x="863"/>
        <item x="1896"/>
        <item x="308"/>
        <item x="1204"/>
        <item x="715"/>
        <item x="1876"/>
        <item x="762"/>
        <item x="2145"/>
        <item x="1182"/>
        <item x="1094"/>
        <item x="504"/>
        <item x="1615"/>
        <item x="1095"/>
        <item x="760"/>
        <item x="1993"/>
        <item x="2097"/>
        <item x="927"/>
        <item x="1832"/>
        <item x="1704"/>
        <item x="1105"/>
        <item x="1020"/>
        <item x="166"/>
        <item x="2484"/>
        <item x="430"/>
        <item x="2502"/>
        <item x="1786"/>
        <item x="1498"/>
        <item x="193"/>
        <item x="1096"/>
        <item x="2503"/>
        <item x="422"/>
        <item x="2463"/>
        <item x="1021"/>
        <item x="2312"/>
        <item x="1599"/>
        <item x="1218"/>
        <item x="1001"/>
        <item x="50"/>
        <item x="2567"/>
        <item x="2118"/>
        <item x="1061"/>
        <item x="1804"/>
        <item x="1560"/>
        <item x="2355"/>
        <item x="1706"/>
        <item x="1556"/>
        <item x="1356"/>
        <item x="2083"/>
        <item x="38"/>
        <item x="1084"/>
        <item x="676"/>
        <item x="322"/>
        <item x="903"/>
        <item x="77"/>
        <item x="326"/>
        <item x="1995"/>
        <item x="2506"/>
        <item x="2507"/>
        <item x="1996"/>
        <item x="1418"/>
        <item x="1997"/>
        <item x="1419"/>
        <item x="1354"/>
        <item x="187"/>
        <item x="222"/>
        <item x="1219"/>
        <item x="1304"/>
        <item x="462"/>
        <item x="1820"/>
        <item x="1548"/>
        <item x="1856"/>
        <item x="1416"/>
        <item x="374"/>
        <item x="317"/>
        <item x="1989"/>
        <item x="574"/>
        <item x="1493"/>
        <item x="100"/>
        <item x="614"/>
        <item x="1471"/>
        <item x="974"/>
        <item x="1400"/>
        <item x="256"/>
        <item x="2268"/>
        <item x="2413"/>
        <item x="1322"/>
        <item x="80"/>
        <item x="662"/>
        <item x="1387"/>
        <item x="368"/>
        <item x="1467"/>
        <item x="56"/>
        <item x="502"/>
        <item x="2349"/>
        <item x="449"/>
        <item x="587"/>
        <item x="844"/>
        <item x="1991"/>
        <item x="547"/>
        <item x="149"/>
        <item x="1157"/>
        <item x="2376"/>
        <item x="1717"/>
        <item x="2375"/>
        <item x="1221"/>
        <item x="1355"/>
        <item x="1839"/>
        <item x="2552"/>
        <item x="2517"/>
        <item x="257"/>
        <item x="1658"/>
        <item x="589"/>
        <item x="1141"/>
        <item x="1315"/>
        <item x="2162"/>
        <item x="1834"/>
        <item x="1495"/>
        <item x="644"/>
        <item x="978"/>
        <item x="2013"/>
        <item x="708"/>
        <item x="496"/>
        <item x="990"/>
        <item x="1714"/>
        <item x="901"/>
        <item x="1378"/>
        <item x="555"/>
        <item x="418"/>
        <item x="776"/>
        <item x="2090"/>
        <item x="1792"/>
        <item x="1252"/>
        <item x="567"/>
        <item x="2424"/>
        <item x="528"/>
        <item x="2367"/>
        <item x="2262"/>
        <item x="1293"/>
        <item x="717"/>
        <item x="2040"/>
        <item x="1500"/>
        <item x="2627"/>
        <item x="2003"/>
        <item x="1708"/>
        <item x="1434"/>
        <item x="704"/>
        <item x="758"/>
        <item x="385"/>
        <item x="761"/>
        <item x="440"/>
        <item x="742"/>
        <item x="1303"/>
        <item x="2509"/>
        <item x="529"/>
        <item x="1097"/>
        <item x="1879"/>
        <item x="812"/>
        <item x="1098"/>
        <item x="2510"/>
        <item x="2558"/>
        <item x="520"/>
        <item x="2606"/>
        <item x="2383"/>
        <item x="137"/>
        <item x="942"/>
        <item x="545"/>
        <item x="2331"/>
        <item x="1110"/>
        <item x="2602"/>
        <item x="1306"/>
        <item x="2625"/>
        <item x="1341"/>
        <item x="2084"/>
        <item x="2393"/>
        <item x="79"/>
        <item x="1674"/>
        <item x="199"/>
        <item x="723"/>
        <item x="1636"/>
        <item x="1806"/>
        <item x="1496"/>
        <item x="2608"/>
        <item x="2362"/>
        <item x="153"/>
        <item x="99"/>
        <item x="1487"/>
        <item x="200"/>
        <item x="1053"/>
        <item x="457"/>
        <item x="539"/>
        <item x="174"/>
        <item x="361"/>
        <item x="201"/>
        <item x="1855"/>
        <item x="1138"/>
        <item x="943"/>
        <item x="183"/>
        <item x="573"/>
        <item x="702"/>
        <item x="1698"/>
        <item x="2337"/>
        <item x="842"/>
        <item x="1223"/>
        <item x="1003"/>
        <item x="2025"/>
        <item x="595"/>
        <item x="69"/>
        <item x="965"/>
        <item x="61"/>
        <item x="1798"/>
        <item x="2508"/>
        <item x="798"/>
        <item x="729"/>
        <item x="882"/>
        <item x="883"/>
        <item x="828"/>
        <item x="691"/>
        <item x="2622"/>
        <item x="2513"/>
        <item x="1882"/>
        <item x="1638"/>
        <item x="1790"/>
        <item x="87"/>
        <item x="2377"/>
        <item x="2514"/>
        <item x="2623"/>
        <item x="2242"/>
        <item x="253"/>
        <item x="2110"/>
        <item x="813"/>
        <item x="2006"/>
        <item x="655"/>
        <item x="315"/>
        <item x="362"/>
        <item x="1503"/>
        <item x="218"/>
        <item x="2244"/>
        <item x="1791"/>
        <item x="1639"/>
        <item x="2378"/>
        <item x="74"/>
        <item x="656"/>
        <item x="1423"/>
        <item x="84"/>
        <item x="2379"/>
        <item x="204"/>
        <item x="785"/>
        <item x="408"/>
        <item x="2112"/>
        <item x="1424"/>
        <item x="1361"/>
        <item x="2391"/>
        <item x="4"/>
        <item x="938"/>
        <item x="1149"/>
        <item x="329"/>
        <item x="1932"/>
        <item x="1670"/>
        <item x="1504"/>
        <item x="120"/>
        <item x="2245"/>
        <item x="1505"/>
        <item x="1507"/>
        <item x="1506"/>
        <item x="2428"/>
        <item x="2161"/>
        <item x="2626"/>
        <item x="2388"/>
        <item x="2007"/>
        <item x="2156"/>
        <item x="1257"/>
        <item x="2113"/>
        <item x="1168"/>
        <item x="750"/>
        <item x="1563"/>
        <item x="2616"/>
        <item x="1520"/>
        <item x="1647"/>
        <item x="851"/>
        <item x="766"/>
        <item x="1437"/>
        <item x="992"/>
        <item x="52"/>
        <item x="2564"/>
        <item x="1827"/>
        <item x="1526"/>
        <item x="1745"/>
        <item x="1844"/>
        <item x="864"/>
        <item x="2067"/>
        <item x="2324"/>
        <item x="1413"/>
        <item x="2213"/>
        <item x="1063"/>
        <item x="1566"/>
        <item x="1389"/>
        <item x="1249"/>
        <item x="2108"/>
        <item x="845"/>
        <item x="575"/>
        <item x="420"/>
        <item x="1244"/>
        <item x="475"/>
        <item x="492"/>
        <item x="1100"/>
        <item x="1160"/>
        <item x="2117"/>
        <item x="2384"/>
        <item x="873"/>
        <item x="464"/>
        <item x="2519"/>
        <item x="1795"/>
        <item x="2520"/>
        <item x="944"/>
        <item x="2521"/>
        <item x="2247"/>
        <item x="2248"/>
        <item x="180"/>
        <item x="744"/>
        <item x="1890"/>
        <item x="1718"/>
        <item x="2386"/>
        <item x="1891"/>
        <item x="1268"/>
        <item x="373"/>
        <item x="2387"/>
        <item x="814"/>
        <item x="1893"/>
        <item x="846"/>
        <item x="1360"/>
        <item x="1363"/>
        <item x="2629"/>
        <item x="1641"/>
        <item x="1269"/>
        <item x="2126"/>
        <item x="1451"/>
        <item x="2010"/>
        <item x="2249"/>
        <item x="2522"/>
        <item x="2368"/>
        <item x="1796"/>
        <item x="2630"/>
        <item x="2119"/>
        <item x="119"/>
        <item x="2523"/>
        <item x="2389"/>
        <item x="620"/>
        <item x="2250"/>
        <item x="381"/>
        <item x="2390"/>
        <item x="1364"/>
        <item x="1509"/>
        <item x="1427"/>
        <item x="2392"/>
        <item x="2011"/>
        <item x="2012"/>
        <item x="1286"/>
        <item x="902"/>
        <item x="2524"/>
        <item x="609"/>
        <item x="1894"/>
        <item x="1764"/>
        <item x="1229"/>
        <item x="768"/>
        <item x="2251"/>
        <item x="2631"/>
        <item x="1720"/>
        <item x="254"/>
        <item x="1308"/>
        <item x="848"/>
        <item x="1309"/>
        <item x="1797"/>
        <item x="2394"/>
        <item x="2527"/>
        <item x="2525"/>
        <item x="2120"/>
        <item x="279"/>
        <item x="2201"/>
        <item x="1738"/>
        <item x="759"/>
        <item x="1897"/>
        <item x="1270"/>
        <item x="2526"/>
        <item x="1023"/>
        <item x="2528"/>
        <item x="1428"/>
        <item x="1898"/>
        <item x="2632"/>
        <item x="874"/>
        <item x="964"/>
        <item x="1671"/>
        <item x="784"/>
        <item x="2469"/>
        <item x="2164"/>
        <item x="1017"/>
        <item x="980"/>
        <item x="1721"/>
        <item x="2081"/>
        <item x="622"/>
        <item x="1961"/>
        <item x="2529"/>
        <item x="1899"/>
        <item x="2121"/>
        <item x="1511"/>
        <item x="745"/>
        <item x="2633"/>
        <item x="578"/>
        <item x="1512"/>
        <item x="2122"/>
        <item x="2553"/>
        <item x="1902"/>
        <item x="2000"/>
        <item x="1143"/>
        <item x="1129"/>
        <item x="357"/>
        <item x="1870"/>
        <item x="1770"/>
        <item x="1668"/>
        <item x="1258"/>
        <item x="2204"/>
        <item x="1169"/>
        <item x="2500"/>
        <item x="1914"/>
        <item x="1873"/>
        <item x="2396"/>
        <item x="1041"/>
        <item x="2181"/>
        <item x="2530"/>
        <item x="2252"/>
        <item x="815"/>
        <item x="1900"/>
        <item x="2016"/>
        <item x="2123"/>
        <item x="280"/>
        <item x="719"/>
        <item x="1568"/>
        <item x="2635"/>
        <item x="2636"/>
        <item x="330"/>
        <item x="2017"/>
        <item x="1644"/>
        <item x="816"/>
        <item x="1366"/>
        <item x="2124"/>
        <item x="1723"/>
        <item x="1513"/>
        <item x="565"/>
        <item x="1570"/>
        <item x="1064"/>
        <item x="1800"/>
        <item x="2125"/>
        <item x="2532"/>
        <item x="2533"/>
        <item x="1901"/>
        <item x="2397"/>
        <item x="25"/>
        <item x="2398"/>
        <item x="303"/>
        <item x="159"/>
        <item x="1432"/>
        <item x="1214"/>
        <item x="1514"/>
        <item x="2254"/>
        <item x="484"/>
        <item x="1840"/>
        <item x="2317"/>
        <item x="1184"/>
        <item x="2127"/>
        <item x="244"/>
        <item x="1801"/>
        <item x="297"/>
        <item x="1802"/>
        <item x="14"/>
        <item x="2128"/>
        <item x="1892"/>
        <item x="947"/>
        <item x="2129"/>
        <item x="1572"/>
        <item x="1065"/>
        <item x="423"/>
        <item x="2400"/>
        <item x="2018"/>
        <item x="746"/>
        <item x="1025"/>
        <item x="2401"/>
        <item x="1102"/>
        <item x="550"/>
        <item x="1162"/>
        <item x="2534"/>
        <item x="1573"/>
        <item x="2535"/>
        <item x="2536"/>
        <item x="2137"/>
        <item x="323"/>
        <item x="2256"/>
        <item x="2288"/>
        <item x="1485"/>
        <item x="588"/>
        <item x="1558"/>
        <item t="default"/>
      </items>
    </pivotField>
    <pivotField axis="axisRow" showAll="0">
      <items count="81">
        <item x="44"/>
        <item x="78"/>
        <item x="49"/>
        <item x="73"/>
        <item x="77"/>
        <item x="61"/>
        <item x="28"/>
        <item x="21"/>
        <item x="46"/>
        <item x="4"/>
        <item x="56"/>
        <item x="40"/>
        <item x="58"/>
        <item x="50"/>
        <item x="11"/>
        <item x="20"/>
        <item x="18"/>
        <item x="30"/>
        <item x="7"/>
        <item x="26"/>
        <item x="6"/>
        <item x="35"/>
        <item x="55"/>
        <item x="3"/>
        <item x="22"/>
        <item x="31"/>
        <item x="43"/>
        <item x="0"/>
        <item x="16"/>
        <item x="25"/>
        <item x="48"/>
        <item x="36"/>
        <item x="9"/>
        <item x="13"/>
        <item x="5"/>
        <item x="37"/>
        <item x="8"/>
        <item x="29"/>
        <item x="53"/>
        <item x="34"/>
        <item x="38"/>
        <item x="15"/>
        <item x="2"/>
        <item x="17"/>
        <item x="41"/>
        <item x="32"/>
        <item x="42"/>
        <item x="23"/>
        <item x="52"/>
        <item x="33"/>
        <item x="1"/>
        <item x="10"/>
        <item x="12"/>
        <item x="65"/>
        <item x="47"/>
        <item x="62"/>
        <item x="45"/>
        <item x="54"/>
        <item x="27"/>
        <item x="57"/>
        <item x="51"/>
        <item x="60"/>
        <item x="19"/>
        <item x="14"/>
        <item x="59"/>
        <item x="39"/>
        <item x="66"/>
        <item x="64"/>
        <item x="67"/>
        <item x="63"/>
        <item x="71"/>
        <item x="24"/>
        <item x="72"/>
        <item x="79"/>
        <item x="69"/>
        <item x="76"/>
        <item x="70"/>
        <item x="74"/>
        <item x="75"/>
        <item x="68"/>
        <item t="default"/>
      </items>
    </pivotField>
    <pivotField showAll="0">
      <items count="80">
        <item x="52"/>
        <item x="77"/>
        <item x="48"/>
        <item x="78"/>
        <item x="14"/>
        <item x="11"/>
        <item x="43"/>
        <item x="75"/>
        <item x="9"/>
        <item x="56"/>
        <item x="30"/>
        <item x="58"/>
        <item x="59"/>
        <item x="6"/>
        <item x="45"/>
        <item x="18"/>
        <item x="5"/>
        <item x="40"/>
        <item x="63"/>
        <item x="20"/>
        <item x="38"/>
        <item x="37"/>
        <item x="39"/>
        <item x="55"/>
        <item x="0"/>
        <item x="49"/>
        <item x="7"/>
        <item x="46"/>
        <item x="64"/>
        <item x="10"/>
        <item x="73"/>
        <item x="3"/>
        <item x="15"/>
        <item x="62"/>
        <item x="27"/>
        <item x="28"/>
        <item x="12"/>
        <item x="51"/>
        <item x="54"/>
        <item x="60"/>
        <item x="65"/>
        <item x="57"/>
        <item x="31"/>
        <item x="2"/>
        <item x="19"/>
        <item x="72"/>
        <item x="70"/>
        <item x="41"/>
        <item x="33"/>
        <item x="26"/>
        <item x="36"/>
        <item x="61"/>
        <item x="76"/>
        <item x="34"/>
        <item x="42"/>
        <item x="50"/>
        <item x="68"/>
        <item x="67"/>
        <item x="17"/>
        <item x="25"/>
        <item x="71"/>
        <item x="29"/>
        <item x="32"/>
        <item x="4"/>
        <item x="21"/>
        <item x="8"/>
        <item x="35"/>
        <item x="74"/>
        <item x="23"/>
        <item x="47"/>
        <item x="66"/>
        <item x="44"/>
        <item x="16"/>
        <item x="13"/>
        <item x="1"/>
        <item x="69"/>
        <item x="24"/>
        <item x="53"/>
        <item x="22"/>
        <item t="default"/>
      </items>
    </pivotField>
    <pivotField showAll="0"/>
    <pivotField showAll="0">
      <items count="899">
        <item x="472"/>
        <item x="574"/>
        <item x="293"/>
        <item x="463"/>
        <item x="363"/>
        <item x="517"/>
        <item x="105"/>
        <item x="167"/>
        <item x="539"/>
        <item x="481"/>
        <item x="837"/>
        <item x="128"/>
        <item x="358"/>
        <item x="353"/>
        <item x="557"/>
        <item x="494"/>
        <item x="492"/>
        <item x="617"/>
        <item x="740"/>
        <item x="700"/>
        <item x="86"/>
        <item x="133"/>
        <item x="76"/>
        <item x="870"/>
        <item x="335"/>
        <item x="144"/>
        <item x="280"/>
        <item x="510"/>
        <item x="2"/>
        <item x="598"/>
        <item x="568"/>
        <item x="753"/>
        <item x="185"/>
        <item x="634"/>
        <item x="102"/>
        <item x="579"/>
        <item x="642"/>
        <item x="462"/>
        <item x="434"/>
        <item x="786"/>
        <item x="524"/>
        <item x="496"/>
        <item x="174"/>
        <item x="101"/>
        <item x="367"/>
        <item x="520"/>
        <item x="64"/>
        <item x="97"/>
        <item x="552"/>
        <item x="441"/>
        <item x="738"/>
        <item x="350"/>
        <item x="495"/>
        <item x="522"/>
        <item x="75"/>
        <item x="604"/>
        <item x="776"/>
        <item x="608"/>
        <item x="471"/>
        <item x="618"/>
        <item x="324"/>
        <item x="715"/>
        <item x="119"/>
        <item x="339"/>
        <item x="694"/>
        <item x="885"/>
        <item x="47"/>
        <item x="116"/>
        <item x="679"/>
        <item x="882"/>
        <item x="30"/>
        <item x="68"/>
        <item x="702"/>
        <item x="493"/>
        <item x="336"/>
        <item x="755"/>
        <item x="489"/>
        <item x="488"/>
        <item x="82"/>
        <item x="736"/>
        <item x="211"/>
        <item x="4"/>
        <item x="366"/>
        <item x="178"/>
        <item x="12"/>
        <item x="325"/>
        <item x="301"/>
        <item x="205"/>
        <item x="879"/>
        <item x="384"/>
        <item x="233"/>
        <item x="257"/>
        <item x="479"/>
        <item x="126"/>
        <item x="296"/>
        <item x="265"/>
        <item x="651"/>
        <item x="640"/>
        <item x="6"/>
        <item x="46"/>
        <item x="39"/>
        <item x="355"/>
        <item x="503"/>
        <item x="748"/>
        <item x="563"/>
        <item x="467"/>
        <item x="93"/>
        <item x="842"/>
        <item x="118"/>
        <item x="868"/>
        <item x="131"/>
        <item x="764"/>
        <item x="881"/>
        <item x="676"/>
        <item x="323"/>
        <item x="476"/>
        <item x="25"/>
        <item x="337"/>
        <item x="827"/>
        <item x="774"/>
        <item x="188"/>
        <item x="234"/>
        <item x="244"/>
        <item x="416"/>
        <item x="27"/>
        <item x="566"/>
        <item x="423"/>
        <item x="457"/>
        <item x="456"/>
        <item x="401"/>
        <item x="92"/>
        <item x="783"/>
        <item x="168"/>
        <item x="351"/>
        <item x="91"/>
        <item x="33"/>
        <item x="599"/>
        <item x="54"/>
        <item x="648"/>
        <item x="430"/>
        <item x="785"/>
        <item x="50"/>
        <item x="498"/>
        <item x="627"/>
        <item x="295"/>
        <item x="454"/>
        <item x="544"/>
        <item x="202"/>
        <item x="815"/>
        <item x="277"/>
        <item x="766"/>
        <item x="572"/>
        <item x="645"/>
        <item x="760"/>
        <item x="43"/>
        <item x="151"/>
        <item x="828"/>
        <item x="523"/>
        <item x="831"/>
        <item x="614"/>
        <item x="564"/>
        <item x="216"/>
        <item x="345"/>
        <item x="515"/>
        <item x="680"/>
        <item x="535"/>
        <item x="671"/>
        <item x="90"/>
        <item x="688"/>
        <item x="613"/>
        <item x="812"/>
        <item x="823"/>
        <item x="200"/>
        <item x="543"/>
        <item x="297"/>
        <item x="331"/>
        <item x="300"/>
        <item x="182"/>
        <item x="327"/>
        <item x="460"/>
        <item x="506"/>
        <item x="166"/>
        <item x="565"/>
        <item x="207"/>
        <item x="546"/>
        <item x="382"/>
        <item x="771"/>
        <item x="850"/>
        <item x="866"/>
        <item x="722"/>
        <item x="243"/>
        <item x="450"/>
        <item x="723"/>
        <item x="746"/>
        <item x="444"/>
        <item x="221"/>
        <item x="765"/>
        <item x="437"/>
        <item x="477"/>
        <item x="427"/>
        <item x="759"/>
        <item x="530"/>
        <item x="115"/>
        <item x="328"/>
        <item x="294"/>
        <item x="649"/>
        <item x="95"/>
        <item x="555"/>
        <item x="756"/>
        <item x="607"/>
        <item x="819"/>
        <item x="298"/>
        <item x="606"/>
        <item x="796"/>
        <item x="447"/>
        <item x="17"/>
        <item x="266"/>
        <item x="547"/>
        <item x="600"/>
        <item x="411"/>
        <item x="386"/>
        <item x="143"/>
        <item x="586"/>
        <item x="424"/>
        <item x="691"/>
        <item x="44"/>
        <item x="8"/>
        <item x="270"/>
        <item x="540"/>
        <item x="309"/>
        <item x="464"/>
        <item x="146"/>
        <item x="843"/>
        <item x="313"/>
        <item x="138"/>
        <item x="491"/>
        <item x="136"/>
        <item x="34"/>
        <item x="836"/>
        <item x="587"/>
        <item x="426"/>
        <item x="581"/>
        <item x="372"/>
        <item x="698"/>
        <item x="407"/>
        <item x="356"/>
        <item x="875"/>
        <item x="332"/>
        <item x="719"/>
        <item x="710"/>
        <item x="421"/>
        <item x="172"/>
        <item x="171"/>
        <item x="319"/>
        <item x="329"/>
        <item x="100"/>
        <item x="657"/>
        <item x="290"/>
        <item x="768"/>
        <item x="678"/>
        <item x="716"/>
        <item x="594"/>
        <item x="130"/>
        <item x="602"/>
        <item x="264"/>
        <item x="110"/>
        <item x="449"/>
        <item x="683"/>
        <item x="508"/>
        <item x="825"/>
        <item x="475"/>
        <item x="872"/>
        <item x="59"/>
        <item x="261"/>
        <item x="690"/>
        <item x="664"/>
        <item x="376"/>
        <item x="373"/>
        <item x="13"/>
        <item x="315"/>
        <item x="406"/>
        <item x="369"/>
        <item x="31"/>
        <item x="403"/>
        <item x="762"/>
        <item x="583"/>
        <item x="469"/>
        <item x="35"/>
        <item x="288"/>
        <item x="744"/>
        <item x="206"/>
        <item x="107"/>
        <item x="121"/>
        <item x="45"/>
        <item x="658"/>
        <item x="773"/>
        <item x="55"/>
        <item x="224"/>
        <item x="402"/>
        <item x="794"/>
        <item x="246"/>
        <item x="894"/>
        <item x="718"/>
        <item x="77"/>
        <item x="157"/>
        <item x="285"/>
        <item x="876"/>
        <item x="682"/>
        <item x="732"/>
        <item x="176"/>
        <item x="487"/>
        <item x="822"/>
        <item x="808"/>
        <item x="706"/>
        <item x="391"/>
        <item x="750"/>
        <item x="851"/>
        <item x="267"/>
        <item x="813"/>
        <item x="127"/>
        <item x="186"/>
        <item x="504"/>
        <item x="321"/>
        <item x="316"/>
        <item x="225"/>
        <item x="798"/>
        <item x="577"/>
        <item x="612"/>
        <item x="446"/>
        <item x="253"/>
        <item x="250"/>
        <item x="158"/>
        <item x="809"/>
        <item x="589"/>
        <item x="180"/>
        <item x="711"/>
        <item x="232"/>
        <item x="287"/>
        <item x="528"/>
        <item x="111"/>
        <item x="276"/>
        <item x="56"/>
        <item x="790"/>
        <item x="374"/>
        <item x="570"/>
        <item x="349"/>
        <item x="114"/>
        <item x="799"/>
        <item x="639"/>
        <item x="865"/>
        <item x="10"/>
        <item x="588"/>
        <item x="888"/>
        <item x="883"/>
        <item x="312"/>
        <item x="714"/>
        <item x="79"/>
        <item x="435"/>
        <item x="279"/>
        <item x="445"/>
        <item x="531"/>
        <item x="684"/>
        <item x="132"/>
        <item x="183"/>
        <item x="896"/>
        <item x="559"/>
        <item x="800"/>
        <item x="291"/>
        <item x="745"/>
        <item x="737"/>
        <item x="179"/>
        <item x="394"/>
        <item x="505"/>
        <item x="289"/>
        <item x="189"/>
        <item x="28"/>
        <item x="87"/>
        <item x="527"/>
        <item x="120"/>
        <item x="49"/>
        <item x="149"/>
        <item x="400"/>
        <item x="73"/>
        <item x="632"/>
        <item x="673"/>
        <item x="398"/>
        <item x="187"/>
        <item x="624"/>
        <item x="304"/>
        <item x="816"/>
        <item x="63"/>
        <item x="895"/>
        <item x="368"/>
        <item x="630"/>
        <item x="217"/>
        <item x="231"/>
        <item x="362"/>
        <item x="405"/>
        <item x="147"/>
        <item x="134"/>
        <item x="889"/>
        <item x="650"/>
        <item x="344"/>
        <item x="846"/>
        <item x="360"/>
        <item x="347"/>
        <item x="779"/>
        <item x="643"/>
        <item x="878"/>
        <item x="775"/>
        <item x="381"/>
        <item x="512"/>
        <item x="582"/>
        <item x="18"/>
        <item x="314"/>
        <item x="743"/>
        <item x="150"/>
        <item x="343"/>
        <item x="661"/>
        <item x="675"/>
        <item x="194"/>
        <item x="633"/>
        <item x="853"/>
        <item x="26"/>
        <item x="161"/>
        <item x="567"/>
        <item x="52"/>
        <item x="377"/>
        <item x="412"/>
        <item x="419"/>
        <item x="303"/>
        <item x="38"/>
        <item x="747"/>
        <item x="795"/>
        <item x="203"/>
        <item x="667"/>
        <item x="720"/>
        <item x="892"/>
        <item x="223"/>
        <item x="623"/>
        <item x="455"/>
        <item x="387"/>
        <item x="242"/>
        <item x="14"/>
        <item x="439"/>
        <item x="615"/>
        <item x="887"/>
        <item x="197"/>
        <item x="644"/>
        <item x="638"/>
        <item x="820"/>
        <item x="619"/>
        <item x="502"/>
        <item x="370"/>
        <item x="741"/>
        <item x="413"/>
        <item x="190"/>
        <item x="803"/>
        <item x="728"/>
        <item x="307"/>
        <item x="448"/>
        <item x="361"/>
        <item x="686"/>
        <item x="410"/>
        <item x="9"/>
        <item x="595"/>
        <item x="268"/>
        <item x="824"/>
        <item x="22"/>
        <item x="0"/>
        <item x="727"/>
        <item x="532"/>
        <item x="490"/>
        <item x="108"/>
        <item x="558"/>
        <item x="165"/>
        <item x="113"/>
        <item x="184"/>
        <item x="338"/>
        <item x="708"/>
        <item x="841"/>
        <item x="542"/>
        <item x="429"/>
        <item x="16"/>
        <item x="142"/>
        <item x="525"/>
        <item x="646"/>
        <item x="891"/>
        <item x="584"/>
        <item x="78"/>
        <item x="767"/>
        <item x="849"/>
        <item x="191"/>
        <item x="239"/>
        <item x="641"/>
        <item x="665"/>
        <item x="818"/>
        <item x="526"/>
        <item x="104"/>
        <item x="778"/>
        <item x="590"/>
        <item x="48"/>
        <item x="154"/>
        <item x="578"/>
        <item x="466"/>
        <item x="195"/>
        <item x="468"/>
        <item x="893"/>
        <item x="210"/>
        <item x="375"/>
        <item x="5"/>
        <item x="781"/>
        <item x="40"/>
        <item x="871"/>
        <item x="486"/>
        <item x="415"/>
        <item x="65"/>
        <item x="169"/>
        <item x="470"/>
        <item x="696"/>
        <item x="357"/>
        <item x="442"/>
        <item x="196"/>
        <item x="240"/>
        <item x="229"/>
        <item x="659"/>
        <item x="364"/>
        <item x="399"/>
        <item x="340"/>
        <item x="724"/>
        <item x="485"/>
        <item x="160"/>
        <item x="890"/>
        <item x="513"/>
        <item x="32"/>
        <item x="770"/>
        <item x="655"/>
        <item x="636"/>
        <item x="199"/>
        <item x="209"/>
        <item x="311"/>
        <item x="425"/>
        <item x="443"/>
        <item x="269"/>
        <item x="278"/>
        <item x="74"/>
        <item x="752"/>
        <item x="19"/>
        <item x="692"/>
        <item x="24"/>
        <item x="433"/>
        <item x="474"/>
        <item x="877"/>
        <item x="62"/>
        <item x="69"/>
        <item x="96"/>
        <item x="418"/>
        <item x="626"/>
        <item x="148"/>
        <item x="697"/>
        <item x="569"/>
        <item x="341"/>
        <item x="629"/>
        <item x="99"/>
        <item x="379"/>
        <item x="70"/>
        <item x="256"/>
        <item x="549"/>
        <item x="228"/>
        <item x="685"/>
        <item x="862"/>
        <item x="826"/>
        <item x="591"/>
        <item x="873"/>
        <item x="192"/>
        <item x="41"/>
        <item x="519"/>
        <item x="663"/>
        <item x="352"/>
        <item x="283"/>
        <item x="784"/>
        <item x="801"/>
        <item x="106"/>
        <item x="537"/>
        <item x="260"/>
        <item x="880"/>
        <item x="730"/>
        <item x="346"/>
        <item x="3"/>
        <item x="845"/>
        <item x="57"/>
        <item x="135"/>
        <item x="359"/>
        <item x="320"/>
        <item x="89"/>
        <item x="428"/>
        <item x="272"/>
        <item x="459"/>
        <item x="103"/>
        <item x="380"/>
        <item x="514"/>
        <item x="833"/>
        <item x="573"/>
        <item x="236"/>
        <item x="235"/>
        <item x="789"/>
        <item x="561"/>
        <item x="271"/>
        <item x="501"/>
        <item x="545"/>
        <item x="177"/>
        <item x="245"/>
        <item x="538"/>
        <item x="817"/>
        <item x="793"/>
        <item x="156"/>
        <item x="713"/>
        <item x="725"/>
        <item x="670"/>
        <item x="230"/>
        <item x="703"/>
        <item x="83"/>
        <item x="616"/>
        <item x="777"/>
        <item x="414"/>
        <item x="308"/>
        <item x="832"/>
        <item x="302"/>
        <item x="162"/>
        <item x="625"/>
        <item x="67"/>
        <item x="859"/>
        <item x="478"/>
        <item x="175"/>
        <item x="511"/>
        <item x="609"/>
        <item x="251"/>
        <item x="830"/>
        <item x="874"/>
        <item x="170"/>
        <item x="551"/>
        <item x="839"/>
        <item x="247"/>
        <item x="354"/>
        <item x="763"/>
        <item x="886"/>
        <item x="603"/>
        <item x="214"/>
        <item x="213"/>
        <item x="575"/>
        <item x="782"/>
        <item x="628"/>
        <item x="548"/>
        <item x="622"/>
        <item x="844"/>
        <item x="484"/>
        <item x="122"/>
        <item x="804"/>
        <item x="499"/>
        <item x="317"/>
        <item x="807"/>
        <item x="701"/>
        <item x="395"/>
        <item x="71"/>
        <item x="431"/>
        <item x="36"/>
        <item x="674"/>
        <item x="660"/>
        <item x="248"/>
        <item x="677"/>
        <item x="482"/>
        <item x="155"/>
        <item x="856"/>
        <item x="780"/>
        <item x="787"/>
        <item x="541"/>
        <item x="726"/>
        <item x="173"/>
        <item x="751"/>
        <item x="533"/>
        <item x="252"/>
        <item x="220"/>
        <item x="66"/>
        <item x="227"/>
        <item x="29"/>
        <item x="840"/>
        <item x="772"/>
        <item x="286"/>
        <item x="757"/>
        <item x="163"/>
        <item x="21"/>
        <item x="721"/>
        <item x="550"/>
        <item x="85"/>
        <item x="112"/>
        <item x="139"/>
        <item x="693"/>
        <item x="500"/>
        <item x="707"/>
        <item x="637"/>
        <item x="153"/>
        <item x="255"/>
        <item x="666"/>
        <item x="553"/>
        <item x="408"/>
        <item x="393"/>
        <item x="473"/>
        <item x="864"/>
        <item x="621"/>
        <item x="592"/>
        <item x="858"/>
        <item x="222"/>
        <item x="791"/>
        <item x="181"/>
        <item x="601"/>
        <item x="695"/>
        <item x="802"/>
        <item x="58"/>
        <item x="534"/>
        <item x="458"/>
        <item x="60"/>
        <item x="814"/>
        <item x="656"/>
        <item x="23"/>
        <item x="717"/>
        <item x="254"/>
        <item x="159"/>
        <item x="436"/>
        <item x="397"/>
        <item x="597"/>
        <item x="378"/>
        <item x="507"/>
        <item x="371"/>
        <item x="218"/>
        <item x="123"/>
        <item x="576"/>
        <item x="712"/>
        <item x="201"/>
        <item x="483"/>
        <item x="806"/>
        <item x="739"/>
        <item x="140"/>
        <item x="117"/>
        <item x="788"/>
        <item x="42"/>
        <item x="259"/>
        <item x="749"/>
        <item x="838"/>
        <item x="611"/>
        <item x="208"/>
        <item x="310"/>
        <item x="198"/>
        <item x="440"/>
        <item x="125"/>
        <item x="860"/>
        <item x="141"/>
        <item x="80"/>
        <item x="571"/>
        <item x="835"/>
        <item x="805"/>
        <item x="318"/>
        <item x="262"/>
        <item x="145"/>
        <item x="333"/>
        <item x="152"/>
        <item x="848"/>
        <item x="735"/>
        <item x="275"/>
        <item x="834"/>
        <item x="631"/>
        <item x="560"/>
        <item x="98"/>
        <item x="451"/>
        <item x="299"/>
        <item x="204"/>
        <item x="729"/>
        <item x="263"/>
        <item x="365"/>
        <item x="593"/>
        <item x="72"/>
        <item x="647"/>
        <item x="580"/>
        <item x="518"/>
        <item x="810"/>
        <item x="699"/>
        <item x="226"/>
        <item x="792"/>
        <item x="61"/>
        <item x="219"/>
        <item x="88"/>
        <item x="53"/>
        <item x="432"/>
        <item x="861"/>
        <item x="821"/>
        <item x="620"/>
        <item x="330"/>
        <item x="733"/>
        <item x="554"/>
        <item x="81"/>
        <item x="404"/>
        <item x="396"/>
        <item x="390"/>
        <item x="193"/>
        <item x="596"/>
        <item x="480"/>
        <item x="7"/>
        <item x="681"/>
        <item x="215"/>
        <item x="852"/>
        <item x="689"/>
        <item x="249"/>
        <item x="212"/>
        <item x="653"/>
        <item x="292"/>
        <item x="1"/>
        <item x="754"/>
        <item x="829"/>
        <item x="761"/>
        <item x="164"/>
        <item x="758"/>
        <item x="241"/>
        <item x="417"/>
        <item x="20"/>
        <item x="884"/>
        <item x="237"/>
        <item x="769"/>
        <item x="452"/>
        <item x="536"/>
        <item x="855"/>
        <item x="305"/>
        <item x="388"/>
        <item x="322"/>
        <item x="734"/>
        <item x="610"/>
        <item x="869"/>
        <item x="238"/>
        <item x="705"/>
        <item x="516"/>
        <item x="258"/>
        <item x="37"/>
        <item x="326"/>
        <item x="420"/>
        <item x="687"/>
        <item x="662"/>
        <item x="497"/>
        <item x="306"/>
        <item x="605"/>
        <item x="453"/>
        <item x="635"/>
        <item x="521"/>
        <item x="704"/>
        <item x="652"/>
        <item x="284"/>
        <item x="854"/>
        <item x="585"/>
        <item x="897"/>
        <item x="334"/>
        <item x="273"/>
        <item x="857"/>
        <item x="811"/>
        <item x="438"/>
        <item x="731"/>
        <item x="742"/>
        <item x="51"/>
        <item x="129"/>
        <item x="529"/>
        <item x="342"/>
        <item x="137"/>
        <item x="654"/>
        <item x="562"/>
        <item x="281"/>
        <item x="797"/>
        <item x="465"/>
        <item x="509"/>
        <item x="109"/>
        <item x="348"/>
        <item x="385"/>
        <item x="668"/>
        <item x="867"/>
        <item x="282"/>
        <item x="672"/>
        <item x="15"/>
        <item x="461"/>
        <item x="124"/>
        <item x="274"/>
        <item x="709"/>
        <item x="847"/>
        <item x="389"/>
        <item x="669"/>
        <item x="556"/>
        <item x="94"/>
        <item x="422"/>
        <item x="383"/>
        <item x="863"/>
        <item x="84"/>
        <item x="409"/>
        <item x="11"/>
        <item x="392"/>
        <item t="default"/>
      </items>
    </pivotField>
    <pivotField showAll="0">
      <items count="19">
        <item x="1"/>
        <item x="16"/>
        <item x="6"/>
        <item x="13"/>
        <item x="0"/>
        <item x="3"/>
        <item x="7"/>
        <item x="9"/>
        <item x="14"/>
        <item x="8"/>
        <item x="10"/>
        <item x="4"/>
        <item x="12"/>
        <item x="11"/>
        <item x="15"/>
        <item x="17"/>
        <item x="2"/>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s>
  <rowFields count="4">
    <field x="30"/>
    <field x="4"/>
    <field x="1"/>
    <field x="3"/>
  </rowFields>
  <rowItems count="4392">
    <i>
      <x/>
    </i>
    <i r="1">
      <x/>
    </i>
    <i r="2">
      <x v="89"/>
    </i>
    <i r="3">
      <x v="206"/>
    </i>
    <i r="3">
      <x v="1175"/>
    </i>
    <i r="2">
      <x v="145"/>
    </i>
    <i r="3">
      <x v="649"/>
    </i>
    <i r="2">
      <x v="178"/>
    </i>
    <i r="3">
      <x v="2625"/>
    </i>
    <i r="2">
      <x v="179"/>
    </i>
    <i r="3">
      <x v="1472"/>
    </i>
    <i r="2">
      <x v="189"/>
    </i>
    <i r="3">
      <x v="2099"/>
    </i>
    <i r="2">
      <x v="193"/>
    </i>
    <i r="3">
      <x v="1173"/>
    </i>
    <i r="2">
      <x v="198"/>
    </i>
    <i r="3">
      <x v="2"/>
    </i>
    <i r="3">
      <x v="315"/>
    </i>
    <i r="2">
      <x v="200"/>
    </i>
    <i r="3">
      <x v="215"/>
    </i>
    <i r="3">
      <x v="1474"/>
    </i>
    <i r="3">
      <x v="2031"/>
    </i>
    <i r="2">
      <x v="201"/>
    </i>
    <i r="3">
      <x v="390"/>
    </i>
    <i r="3">
      <x v="2251"/>
    </i>
    <i r="3">
      <x v="2306"/>
    </i>
    <i r="2">
      <x v="202"/>
    </i>
    <i r="3">
      <x v="133"/>
    </i>
    <i r="2">
      <x v="204"/>
    </i>
    <i r="3">
      <x v="1720"/>
    </i>
    <i r="2">
      <x v="205"/>
    </i>
    <i r="3">
      <x v="181"/>
    </i>
    <i r="3">
      <x v="741"/>
    </i>
    <i r="3">
      <x v="1023"/>
    </i>
    <i r="3">
      <x v="1328"/>
    </i>
    <i r="2">
      <x v="207"/>
    </i>
    <i r="3">
      <x v="1270"/>
    </i>
    <i r="3">
      <x v="1516"/>
    </i>
    <i r="3">
      <x v="1553"/>
    </i>
    <i r="2">
      <x v="209"/>
    </i>
    <i r="3">
      <x v="352"/>
    </i>
    <i r="3">
      <x v="672"/>
    </i>
    <i r="3">
      <x v="1453"/>
    </i>
    <i r="3">
      <x v="2059"/>
    </i>
    <i r="3">
      <x v="2098"/>
    </i>
    <i r="2">
      <x v="210"/>
    </i>
    <i r="3">
      <x v="1174"/>
    </i>
    <i r="3">
      <x v="1451"/>
    </i>
    <i r="2">
      <x v="211"/>
    </i>
    <i r="3">
      <x v="349"/>
    </i>
    <i r="3">
      <x v="1410"/>
    </i>
    <i r="2">
      <x v="212"/>
    </i>
    <i r="3">
      <x v="1220"/>
    </i>
    <i r="3">
      <x v="2294"/>
    </i>
    <i r="2">
      <x v="213"/>
    </i>
    <i r="3">
      <x v="137"/>
    </i>
    <i r="3">
      <x v="719"/>
    </i>
    <i r="3">
      <x v="1159"/>
    </i>
    <i r="3">
      <x v="2194"/>
    </i>
    <i r="3">
      <x v="2199"/>
    </i>
    <i r="3">
      <x v="2493"/>
    </i>
    <i r="3">
      <x v="2578"/>
    </i>
    <i r="2">
      <x v="214"/>
    </i>
    <i r="3">
      <x v="1333"/>
    </i>
    <i r="3">
      <x v="2186"/>
    </i>
    <i r="2">
      <x v="215"/>
    </i>
    <i r="3">
      <x v="338"/>
    </i>
    <i r="3">
      <x v="506"/>
    </i>
    <i r="3">
      <x v="1364"/>
    </i>
    <i r="3">
      <x v="1365"/>
    </i>
    <i r="3">
      <x v="2431"/>
    </i>
    <i r="3">
      <x v="2633"/>
    </i>
    <i r="2">
      <x v="216"/>
    </i>
    <i r="3">
      <x v="391"/>
    </i>
    <i r="3">
      <x v="648"/>
    </i>
    <i r="3">
      <x v="886"/>
    </i>
    <i r="3">
      <x v="1177"/>
    </i>
    <i r="3">
      <x v="2362"/>
    </i>
    <i r="2">
      <x v="217"/>
    </i>
    <i r="3">
      <x v="277"/>
    </i>
    <i r="3">
      <x v="303"/>
    </i>
    <i r="3">
      <x v="379"/>
    </i>
    <i r="3">
      <x v="388"/>
    </i>
    <i r="3">
      <x v="418"/>
    </i>
    <i r="3">
      <x v="1590"/>
    </i>
    <i r="3">
      <x v="1783"/>
    </i>
    <i r="2">
      <x v="218"/>
    </i>
    <i r="3">
      <x v="320"/>
    </i>
    <i r="3">
      <x v="684"/>
    </i>
    <i r="3">
      <x v="1868"/>
    </i>
    <i r="1">
      <x v="1"/>
    </i>
    <i r="2">
      <x v="215"/>
    </i>
    <i r="3">
      <x v="714"/>
    </i>
    <i r="1">
      <x v="2"/>
    </i>
    <i r="2">
      <x v="115"/>
    </i>
    <i r="3">
      <x v="1926"/>
    </i>
    <i r="2">
      <x v="205"/>
    </i>
    <i r="3">
      <x v="471"/>
    </i>
    <i r="2">
      <x v="206"/>
    </i>
    <i r="3">
      <x v="332"/>
    </i>
    <i r="2">
      <x v="216"/>
    </i>
    <i r="3">
      <x v="1212"/>
    </i>
    <i r="1">
      <x v="3"/>
    </i>
    <i r="2">
      <x v="203"/>
    </i>
    <i r="3">
      <x v="1984"/>
    </i>
    <i r="2">
      <x v="218"/>
    </i>
    <i r="3">
      <x v="95"/>
    </i>
    <i r="1">
      <x v="4"/>
    </i>
    <i r="2">
      <x v="213"/>
    </i>
    <i r="3">
      <x v="2127"/>
    </i>
    <i r="2">
      <x v="214"/>
    </i>
    <i r="3">
      <x v="225"/>
    </i>
    <i r="3">
      <x v="1080"/>
    </i>
    <i r="3">
      <x v="1689"/>
    </i>
    <i r="1">
      <x v="5"/>
    </i>
    <i r="2">
      <x v="165"/>
    </i>
    <i r="3">
      <x v="2106"/>
    </i>
    <i r="2">
      <x v="182"/>
    </i>
    <i r="3">
      <x v="328"/>
    </i>
    <i r="2">
      <x v="206"/>
    </i>
    <i r="3">
      <x v="80"/>
    </i>
    <i r="1">
      <x v="6"/>
    </i>
    <i r="2">
      <x v="41"/>
    </i>
    <i r="3">
      <x v="1295"/>
    </i>
    <i r="2">
      <x v="100"/>
    </i>
    <i r="3">
      <x v="753"/>
    </i>
    <i r="2">
      <x v="173"/>
    </i>
    <i r="3">
      <x v="955"/>
    </i>
    <i r="2">
      <x v="198"/>
    </i>
    <i r="3">
      <x v="982"/>
    </i>
    <i r="2">
      <x v="202"/>
    </i>
    <i r="3">
      <x v="2052"/>
    </i>
    <i r="2">
      <x v="209"/>
    </i>
    <i r="3">
      <x v="2069"/>
    </i>
    <i r="2">
      <x v="213"/>
    </i>
    <i r="3">
      <x v="2084"/>
    </i>
    <i r="2">
      <x v="214"/>
    </i>
    <i r="3">
      <x v="2436"/>
    </i>
    <i r="1">
      <x v="7"/>
    </i>
    <i r="2">
      <x v="30"/>
    </i>
    <i r="3">
      <x v="1334"/>
    </i>
    <i r="2">
      <x v="104"/>
    </i>
    <i r="3">
      <x v="1429"/>
    </i>
    <i r="2">
      <x v="134"/>
    </i>
    <i r="3">
      <x v="1035"/>
    </i>
    <i r="2">
      <x v="150"/>
    </i>
    <i r="3">
      <x v="1378"/>
    </i>
    <i r="2">
      <x v="157"/>
    </i>
    <i r="3">
      <x v="2394"/>
    </i>
    <i r="2">
      <x v="160"/>
    </i>
    <i r="3">
      <x v="757"/>
    </i>
    <i r="2">
      <x v="179"/>
    </i>
    <i r="3">
      <x v="1366"/>
    </i>
    <i r="2">
      <x v="189"/>
    </i>
    <i r="3">
      <x v="2351"/>
    </i>
    <i r="2">
      <x v="198"/>
    </i>
    <i r="3">
      <x v="2038"/>
    </i>
    <i r="2">
      <x v="208"/>
    </i>
    <i r="3">
      <x v="1620"/>
    </i>
    <i r="2">
      <x v="213"/>
    </i>
    <i r="3">
      <x v="27"/>
    </i>
    <i r="1">
      <x v="8"/>
    </i>
    <i r="2">
      <x v="102"/>
    </i>
    <i r="3">
      <x v="1263"/>
    </i>
    <i r="2">
      <x v="123"/>
    </i>
    <i r="3">
      <x v="537"/>
    </i>
    <i r="2">
      <x v="148"/>
    </i>
    <i r="3">
      <x v="226"/>
    </i>
    <i r="2">
      <x v="163"/>
    </i>
    <i r="3">
      <x v="139"/>
    </i>
    <i r="2">
      <x v="169"/>
    </i>
    <i r="3">
      <x v="968"/>
    </i>
    <i r="2">
      <x v="171"/>
    </i>
    <i r="3">
      <x v="169"/>
    </i>
    <i r="2">
      <x v="173"/>
    </i>
    <i r="3">
      <x v="158"/>
    </i>
    <i r="2">
      <x v="214"/>
    </i>
    <i r="3">
      <x v="1618"/>
    </i>
    <i r="2">
      <x v="218"/>
    </i>
    <i r="3">
      <x v="1628"/>
    </i>
    <i r="1">
      <x v="9"/>
    </i>
    <i r="2">
      <x v="4"/>
    </i>
    <i r="3">
      <x v="2391"/>
    </i>
    <i r="2">
      <x v="82"/>
    </i>
    <i r="3">
      <x v="1976"/>
    </i>
    <i r="2">
      <x v="161"/>
    </i>
    <i r="3">
      <x v="723"/>
    </i>
    <i r="2">
      <x v="168"/>
    </i>
    <i r="3">
      <x v="657"/>
    </i>
    <i r="2">
      <x v="199"/>
    </i>
    <i r="3">
      <x v="223"/>
    </i>
    <i r="2">
      <x v="201"/>
    </i>
    <i r="3">
      <x v="1639"/>
    </i>
    <i r="2">
      <x v="203"/>
    </i>
    <i r="3">
      <x v="1264"/>
    </i>
    <i r="1">
      <x v="10"/>
    </i>
    <i r="2">
      <x v="146"/>
    </i>
    <i r="3">
      <x v="1253"/>
    </i>
    <i r="2">
      <x v="155"/>
    </i>
    <i r="3">
      <x v="220"/>
    </i>
    <i r="2">
      <x v="163"/>
    </i>
    <i r="3">
      <x v="1654"/>
    </i>
    <i r="2">
      <x v="185"/>
    </i>
    <i r="3">
      <x v="1107"/>
    </i>
    <i r="2">
      <x v="189"/>
    </i>
    <i r="3">
      <x v="2316"/>
    </i>
    <i r="2">
      <x v="203"/>
    </i>
    <i r="3">
      <x v="325"/>
    </i>
    <i r="2">
      <x v="204"/>
    </i>
    <i r="3">
      <x v="543"/>
    </i>
    <i r="2">
      <x v="205"/>
    </i>
    <i r="3">
      <x v="1627"/>
    </i>
    <i r="2">
      <x v="206"/>
    </i>
    <i r="3">
      <x v="1803"/>
    </i>
    <i r="2">
      <x v="207"/>
    </i>
    <i r="3">
      <x v="2419"/>
    </i>
    <i r="2">
      <x v="209"/>
    </i>
    <i r="3">
      <x v="2377"/>
    </i>
    <i r="1">
      <x v="11"/>
    </i>
    <i r="2">
      <x v="68"/>
    </i>
    <i r="3">
      <x v="1309"/>
    </i>
    <i r="2">
      <x v="81"/>
    </i>
    <i r="3">
      <x v="534"/>
    </i>
    <i r="2">
      <x v="108"/>
    </i>
    <i r="3">
      <x v="809"/>
    </i>
    <i r="2">
      <x v="164"/>
    </i>
    <i r="3">
      <x v="1430"/>
    </i>
    <i r="2">
      <x v="177"/>
    </i>
    <i r="3">
      <x v="324"/>
    </i>
    <i r="2">
      <x v="185"/>
    </i>
    <i r="3">
      <x v="1484"/>
    </i>
    <i r="2">
      <x v="188"/>
    </i>
    <i r="3">
      <x v="227"/>
    </i>
    <i r="2">
      <x v="193"/>
    </i>
    <i r="3">
      <x v="1802"/>
    </i>
    <i r="2">
      <x v="197"/>
    </i>
    <i r="3">
      <x v="2065"/>
    </i>
    <i r="2">
      <x v="198"/>
    </i>
    <i r="3">
      <x v="1692"/>
    </i>
    <i r="2">
      <x v="199"/>
    </i>
    <i r="3">
      <x v="604"/>
    </i>
    <i r="2">
      <x v="200"/>
    </i>
    <i r="3">
      <x v="580"/>
    </i>
    <i r="2">
      <x v="209"/>
    </i>
    <i r="3">
      <x v="564"/>
    </i>
    <i r="3">
      <x v="2317"/>
    </i>
    <i r="2">
      <x v="211"/>
    </i>
    <i r="3">
      <x v="785"/>
    </i>
    <i r="2">
      <x v="213"/>
    </i>
    <i r="3">
      <x v="2025"/>
    </i>
    <i r="2">
      <x v="214"/>
    </i>
    <i r="3">
      <x v="1422"/>
    </i>
    <i r="2">
      <x v="215"/>
    </i>
    <i r="3">
      <x v="1708"/>
    </i>
    <i r="2">
      <x v="216"/>
    </i>
    <i r="3">
      <x v="646"/>
    </i>
    <i r="1">
      <x v="12"/>
    </i>
    <i r="2">
      <x v="152"/>
    </i>
    <i r="3">
      <x v="813"/>
    </i>
    <i r="2">
      <x v="159"/>
    </i>
    <i r="3">
      <x v="1749"/>
    </i>
    <i r="2">
      <x v="166"/>
    </i>
    <i r="3">
      <x v="671"/>
    </i>
    <i r="2">
      <x v="184"/>
    </i>
    <i r="3">
      <x v="1477"/>
    </i>
    <i r="2">
      <x v="199"/>
    </i>
    <i r="3">
      <x v="708"/>
    </i>
    <i r="2">
      <x v="205"/>
    </i>
    <i r="3">
      <x v="2201"/>
    </i>
    <i r="2">
      <x v="207"/>
    </i>
    <i r="3">
      <x v="756"/>
    </i>
    <i r="2">
      <x v="209"/>
    </i>
    <i r="3">
      <x v="1928"/>
    </i>
    <i r="2">
      <x v="211"/>
    </i>
    <i r="3">
      <x v="1845"/>
    </i>
    <i r="2">
      <x v="212"/>
    </i>
    <i r="3">
      <x v="1129"/>
    </i>
    <i r="3">
      <x v="2103"/>
    </i>
    <i r="2">
      <x v="215"/>
    </i>
    <i r="3">
      <x v="1798"/>
    </i>
    <i r="1">
      <x v="13"/>
    </i>
    <i r="2">
      <x v="120"/>
    </i>
    <i r="3">
      <x v="740"/>
    </i>
    <i r="2">
      <x v="164"/>
    </i>
    <i r="3">
      <x v="500"/>
    </i>
    <i r="2">
      <x v="168"/>
    </i>
    <i r="3">
      <x v="2162"/>
    </i>
    <i r="2">
      <x v="171"/>
    </i>
    <i r="3">
      <x v="1070"/>
    </i>
    <i r="2">
      <x v="177"/>
    </i>
    <i r="3">
      <x v="798"/>
    </i>
    <i r="2">
      <x v="181"/>
    </i>
    <i r="3">
      <x v="1481"/>
    </i>
    <i r="2">
      <x v="184"/>
    </i>
    <i r="3">
      <x v="1655"/>
    </i>
    <i r="2">
      <x v="187"/>
    </i>
    <i r="3">
      <x v="538"/>
    </i>
    <i r="2">
      <x v="191"/>
    </i>
    <i r="3">
      <x v="861"/>
    </i>
    <i r="2">
      <x v="193"/>
    </i>
    <i r="3">
      <x v="914"/>
    </i>
    <i r="2">
      <x v="194"/>
    </i>
    <i r="3">
      <x v="842"/>
    </i>
    <i r="2">
      <x v="195"/>
    </i>
    <i r="3">
      <x v="1083"/>
    </i>
    <i r="3">
      <x v="1780"/>
    </i>
    <i r="2">
      <x v="203"/>
    </i>
    <i r="3">
      <x v="2462"/>
    </i>
    <i r="2">
      <x v="204"/>
    </i>
    <i r="3">
      <x v="1425"/>
    </i>
    <i r="3">
      <x v="1742"/>
    </i>
    <i r="2">
      <x v="205"/>
    </i>
    <i r="3">
      <x v="1231"/>
    </i>
    <i r="2">
      <x v="208"/>
    </i>
    <i r="3">
      <x v="1482"/>
    </i>
    <i r="2">
      <x v="209"/>
    </i>
    <i r="3">
      <x v="402"/>
    </i>
    <i r="2">
      <x v="212"/>
    </i>
    <i r="3">
      <x v="916"/>
    </i>
    <i r="2">
      <x v="213"/>
    </i>
    <i r="3">
      <x v="1954"/>
    </i>
    <i r="2">
      <x v="217"/>
    </i>
    <i r="3">
      <x v="79"/>
    </i>
    <i r="3">
      <x v="683"/>
    </i>
    <i r="1">
      <x v="14"/>
    </i>
    <i r="2">
      <x v="12"/>
    </i>
    <i r="3">
      <x v="87"/>
    </i>
    <i r="2">
      <x v="16"/>
    </i>
    <i r="3">
      <x v="331"/>
    </i>
    <i r="2">
      <x v="29"/>
    </i>
    <i r="3">
      <x v="1090"/>
    </i>
    <i r="2">
      <x v="40"/>
    </i>
    <i r="3">
      <x v="1874"/>
    </i>
    <i r="2">
      <x v="80"/>
    </i>
    <i r="3">
      <x v="295"/>
    </i>
    <i r="2">
      <x v="159"/>
    </i>
    <i r="3">
      <x v="575"/>
    </i>
    <i r="2">
      <x v="172"/>
    </i>
    <i r="3">
      <x v="1202"/>
    </i>
    <i r="2">
      <x v="186"/>
    </i>
    <i r="3">
      <x v="2226"/>
    </i>
    <i r="2">
      <x v="187"/>
    </i>
    <i r="3">
      <x v="1665"/>
    </i>
    <i r="2">
      <x v="190"/>
    </i>
    <i r="3">
      <x v="1514"/>
    </i>
    <i r="2">
      <x v="193"/>
    </i>
    <i r="3">
      <x v="747"/>
    </i>
    <i r="2">
      <x v="196"/>
    </i>
    <i r="3">
      <x v="1423"/>
    </i>
    <i r="3">
      <x v="2614"/>
    </i>
    <i r="2">
      <x v="199"/>
    </i>
    <i r="3">
      <x v="762"/>
    </i>
    <i r="3">
      <x v="1960"/>
    </i>
    <i r="2">
      <x v="205"/>
    </i>
    <i r="3">
      <x v="2581"/>
    </i>
    <i r="2">
      <x v="206"/>
    </i>
    <i r="3">
      <x v="1011"/>
    </i>
    <i r="2">
      <x v="208"/>
    </i>
    <i r="3">
      <x v="2184"/>
    </i>
    <i r="2">
      <x v="209"/>
    </i>
    <i r="3">
      <x v="1153"/>
    </i>
    <i r="2">
      <x v="211"/>
    </i>
    <i r="3">
      <x v="1278"/>
    </i>
    <i r="3">
      <x v="1967"/>
    </i>
    <i r="2">
      <x v="212"/>
    </i>
    <i r="3">
      <x v="363"/>
    </i>
    <i r="2">
      <x v="213"/>
    </i>
    <i r="3">
      <x v="605"/>
    </i>
    <i r="3">
      <x v="758"/>
    </i>
    <i r="2">
      <x v="215"/>
    </i>
    <i r="3">
      <x v="720"/>
    </i>
    <i r="3">
      <x v="1525"/>
    </i>
    <i r="2">
      <x v="216"/>
    </i>
    <i r="3">
      <x v="934"/>
    </i>
    <i r="2">
      <x v="217"/>
    </i>
    <i r="3">
      <x v="1691"/>
    </i>
    <i r="3">
      <x v="2077"/>
    </i>
    <i r="1">
      <x v="15"/>
    </i>
    <i r="2">
      <x v="26"/>
    </i>
    <i r="3">
      <x v="653"/>
    </i>
    <i r="2">
      <x v="160"/>
    </i>
    <i r="3">
      <x v="2085"/>
    </i>
    <i r="2">
      <x v="168"/>
    </i>
    <i r="3">
      <x v="1056"/>
    </i>
    <i r="2">
      <x v="175"/>
    </i>
    <i r="3">
      <x v="2149"/>
    </i>
    <i r="2">
      <x v="178"/>
    </i>
    <i r="3">
      <x v="967"/>
    </i>
    <i r="2">
      <x v="179"/>
    </i>
    <i r="3">
      <x v="587"/>
    </i>
    <i r="2">
      <x v="194"/>
    </i>
    <i r="3">
      <x v="90"/>
    </i>
    <i r="2">
      <x v="196"/>
    </i>
    <i r="3">
      <x v="778"/>
    </i>
    <i r="3">
      <x v="1947"/>
    </i>
    <i r="2">
      <x v="198"/>
    </i>
    <i r="3">
      <x v="2131"/>
    </i>
    <i r="2">
      <x v="200"/>
    </i>
    <i r="3">
      <x v="22"/>
    </i>
    <i r="3">
      <x v="549"/>
    </i>
    <i r="2">
      <x v="204"/>
    </i>
    <i r="3">
      <x v="8"/>
    </i>
    <i r="2">
      <x v="206"/>
    </i>
    <i r="3">
      <x v="712"/>
    </i>
    <i r="2">
      <x v="207"/>
    </i>
    <i r="3">
      <x v="264"/>
    </i>
    <i r="2">
      <x v="210"/>
    </i>
    <i r="3">
      <x v="1788"/>
    </i>
    <i r="3">
      <x v="2556"/>
    </i>
    <i r="2">
      <x v="215"/>
    </i>
    <i r="3">
      <x v="186"/>
    </i>
    <i r="2">
      <x v="216"/>
    </i>
    <i r="3">
      <x v="2172"/>
    </i>
    <i r="3">
      <x v="2222"/>
    </i>
    <i r="1">
      <x v="16"/>
    </i>
    <i r="2">
      <x v="23"/>
    </i>
    <i r="3">
      <x v="1779"/>
    </i>
    <i r="2">
      <x v="27"/>
    </i>
    <i r="3">
      <x v="1234"/>
    </i>
    <i r="2">
      <x v="122"/>
    </i>
    <i r="3">
      <x v="1147"/>
    </i>
    <i r="2">
      <x v="129"/>
    </i>
    <i r="3">
      <x v="183"/>
    </i>
    <i r="2">
      <x v="137"/>
    </i>
    <i r="3">
      <x v="333"/>
    </i>
    <i r="2">
      <x v="148"/>
    </i>
    <i r="3">
      <x v="1737"/>
    </i>
    <i r="2">
      <x v="152"/>
    </i>
    <i r="3">
      <x v="1311"/>
    </i>
    <i r="2">
      <x v="153"/>
    </i>
    <i r="3">
      <x v="326"/>
    </i>
    <i r="2">
      <x v="165"/>
    </i>
    <i r="3">
      <x v="24"/>
    </i>
    <i r="2">
      <x v="166"/>
    </i>
    <i r="3">
      <x v="776"/>
    </i>
    <i r="2">
      <x v="168"/>
    </i>
    <i r="3">
      <x v="1318"/>
    </i>
    <i r="3">
      <x v="1658"/>
    </i>
    <i r="2">
      <x v="176"/>
    </i>
    <i r="3">
      <x v="100"/>
    </i>
    <i r="2">
      <x v="189"/>
    </i>
    <i r="3">
      <x v="1625"/>
    </i>
    <i r="2">
      <x v="196"/>
    </i>
    <i r="3">
      <x v="745"/>
    </i>
    <i r="3">
      <x v="1384"/>
    </i>
    <i r="2">
      <x v="197"/>
    </i>
    <i r="3">
      <x v="329"/>
    </i>
    <i r="2">
      <x v="198"/>
    </i>
    <i r="3">
      <x v="713"/>
    </i>
    <i r="2">
      <x v="199"/>
    </i>
    <i r="3">
      <x v="2179"/>
    </i>
    <i r="2">
      <x v="200"/>
    </i>
    <i r="3">
      <x v="2296"/>
    </i>
    <i r="2">
      <x v="202"/>
    </i>
    <i r="3">
      <x v="2147"/>
    </i>
    <i r="2">
      <x v="203"/>
    </i>
    <i r="3">
      <x v="2341"/>
    </i>
    <i r="2">
      <x v="204"/>
    </i>
    <i r="3">
      <x v="1629"/>
    </i>
    <i r="2">
      <x v="206"/>
    </i>
    <i r="3">
      <x v="931"/>
    </i>
    <i r="2">
      <x v="208"/>
    </i>
    <i r="3">
      <x v="2424"/>
    </i>
    <i r="2">
      <x v="209"/>
    </i>
    <i r="3">
      <x v="958"/>
    </i>
    <i r="2">
      <x v="211"/>
    </i>
    <i r="3">
      <x v="555"/>
    </i>
    <i r="3">
      <x v="742"/>
    </i>
    <i r="2">
      <x v="212"/>
    </i>
    <i r="3">
      <x v="1106"/>
    </i>
    <i r="2">
      <x v="213"/>
    </i>
    <i r="3">
      <x v="1727"/>
    </i>
    <i r="2">
      <x v="214"/>
    </i>
    <i r="3">
      <x v="1522"/>
    </i>
    <i r="2">
      <x v="215"/>
    </i>
    <i r="3">
      <x v="2092"/>
    </i>
    <i r="2">
      <x v="216"/>
    </i>
    <i r="3">
      <x v="29"/>
    </i>
    <i r="3">
      <x v="2034"/>
    </i>
    <i r="1">
      <x v="17"/>
    </i>
    <i r="2">
      <x v="43"/>
    </i>
    <i r="3">
      <x v="1036"/>
    </i>
    <i r="2">
      <x v="71"/>
    </i>
    <i r="3">
      <x v="2225"/>
    </i>
    <i r="2">
      <x v="161"/>
    </i>
    <i r="3">
      <x v="571"/>
    </i>
    <i r="2">
      <x v="163"/>
    </i>
    <i r="3">
      <x v="475"/>
    </i>
    <i r="2">
      <x v="192"/>
    </i>
    <i r="3">
      <x v="207"/>
    </i>
    <i r="3">
      <x v="1529"/>
    </i>
    <i r="2">
      <x v="194"/>
    </i>
    <i r="3">
      <x v="1279"/>
    </i>
    <i r="2">
      <x v="196"/>
    </i>
    <i r="3">
      <x v="149"/>
    </i>
    <i r="3">
      <x v="1437"/>
    </i>
    <i r="2">
      <x v="201"/>
    </i>
    <i r="3">
      <x v="1597"/>
    </i>
    <i r="3">
      <x v="1899"/>
    </i>
    <i r="3">
      <x v="2158"/>
    </i>
    <i r="2">
      <x v="202"/>
    </i>
    <i r="3">
      <x v="795"/>
    </i>
    <i r="2">
      <x v="204"/>
    </i>
    <i r="3">
      <x v="486"/>
    </i>
    <i r="3">
      <x v="2205"/>
    </i>
    <i r="2">
      <x v="206"/>
    </i>
    <i r="3">
      <x v="1178"/>
    </i>
    <i r="2">
      <x v="209"/>
    </i>
    <i r="3">
      <x v="1651"/>
    </i>
    <i r="2">
      <x v="214"/>
    </i>
    <i r="3">
      <x v="2410"/>
    </i>
    <i r="2">
      <x v="216"/>
    </i>
    <i r="3">
      <x v="624"/>
    </i>
    <i r="2">
      <x v="217"/>
    </i>
    <i r="3">
      <x v="1806"/>
    </i>
    <i r="1">
      <x v="18"/>
    </i>
    <i r="2">
      <x v="7"/>
    </i>
    <i r="3">
      <x v="302"/>
    </i>
    <i r="2">
      <x v="25"/>
    </i>
    <i r="3">
      <x v="512"/>
    </i>
    <i r="2">
      <x v="29"/>
    </i>
    <i r="3">
      <x v="941"/>
    </i>
    <i r="2">
      <x v="59"/>
    </i>
    <i r="3">
      <x v="1566"/>
    </i>
    <i r="2">
      <x v="81"/>
    </i>
    <i r="3">
      <x v="1091"/>
    </i>
    <i r="2">
      <x v="89"/>
    </i>
    <i r="3">
      <x v="1119"/>
    </i>
    <i r="2">
      <x v="94"/>
    </i>
    <i r="3">
      <x v="504"/>
    </i>
    <i r="2">
      <x v="122"/>
    </i>
    <i r="3">
      <x v="1781"/>
    </i>
    <i r="2">
      <x v="158"/>
    </i>
    <i r="3">
      <x v="1849"/>
    </i>
    <i r="2">
      <x v="161"/>
    </i>
    <i r="3">
      <x v="1065"/>
    </i>
    <i r="2">
      <x v="171"/>
    </i>
    <i r="3">
      <x v="828"/>
    </i>
    <i r="2">
      <x v="178"/>
    </i>
    <i r="3">
      <x v="1593"/>
    </i>
    <i r="2">
      <x v="183"/>
    </i>
    <i r="3">
      <x v="2217"/>
    </i>
    <i r="2">
      <x v="185"/>
    </i>
    <i r="3">
      <x v="845"/>
    </i>
    <i r="2">
      <x v="187"/>
    </i>
    <i r="3">
      <x v="447"/>
    </i>
    <i r="3">
      <x v="885"/>
    </i>
    <i r="3">
      <x v="1008"/>
    </i>
    <i r="2">
      <x v="189"/>
    </i>
    <i r="3">
      <x v="748"/>
    </i>
    <i r="3">
      <x v="772"/>
    </i>
    <i r="2">
      <x v="192"/>
    </i>
    <i r="3">
      <x v="2000"/>
    </i>
    <i r="2">
      <x v="204"/>
    </i>
    <i r="3">
      <x v="1"/>
    </i>
    <i r="2">
      <x v="206"/>
    </i>
    <i r="3">
      <x v="799"/>
    </i>
    <i r="2">
      <x v="208"/>
    </i>
    <i r="3">
      <x v="912"/>
    </i>
    <i r="2">
      <x v="210"/>
    </i>
    <i r="3">
      <x v="1037"/>
    </i>
    <i r="2">
      <x v="211"/>
    </i>
    <i r="3">
      <x v="292"/>
    </i>
    <i r="3">
      <x v="731"/>
    </i>
    <i r="2">
      <x v="212"/>
    </i>
    <i r="3">
      <x v="843"/>
    </i>
    <i r="2">
      <x v="214"/>
    </i>
    <i r="3">
      <x v="153"/>
    </i>
    <i r="3">
      <x v="2016"/>
    </i>
    <i r="2">
      <x v="215"/>
    </i>
    <i r="3">
      <x v="1217"/>
    </i>
    <i r="3">
      <x v="1640"/>
    </i>
    <i r="2">
      <x v="217"/>
    </i>
    <i r="3">
      <x v="2513"/>
    </i>
    <i r="1">
      <x v="19"/>
    </i>
    <i r="2">
      <x v="38"/>
    </i>
    <i r="3">
      <x v="735"/>
    </i>
    <i r="2">
      <x v="55"/>
    </i>
    <i r="3">
      <x v="1822"/>
    </i>
    <i r="2">
      <x v="116"/>
    </i>
    <i r="3">
      <x v="2130"/>
    </i>
    <i r="2">
      <x v="127"/>
    </i>
    <i r="3">
      <x v="458"/>
    </i>
    <i r="2">
      <x v="137"/>
    </i>
    <i r="3">
      <x v="1089"/>
    </i>
    <i r="2">
      <x v="176"/>
    </i>
    <i r="3">
      <x v="1932"/>
    </i>
    <i r="2">
      <x v="183"/>
    </i>
    <i r="3">
      <x v="513"/>
    </i>
    <i r="2">
      <x v="186"/>
    </i>
    <i r="3">
      <x v="314"/>
    </i>
    <i r="3">
      <x v="1465"/>
    </i>
    <i r="3">
      <x v="1975"/>
    </i>
    <i r="2">
      <x v="187"/>
    </i>
    <i r="3">
      <x v="1211"/>
    </i>
    <i r="2">
      <x v="190"/>
    </i>
    <i r="3">
      <x v="316"/>
    </i>
    <i r="2">
      <x v="191"/>
    </i>
    <i r="3">
      <x v="1902"/>
    </i>
    <i r="2">
      <x v="192"/>
    </i>
    <i r="3">
      <x v="248"/>
    </i>
    <i r="3">
      <x v="1012"/>
    </i>
    <i r="2">
      <x v="195"/>
    </i>
    <i r="3">
      <x v="1258"/>
    </i>
    <i r="2">
      <x v="196"/>
    </i>
    <i r="3">
      <x v="171"/>
    </i>
    <i r="2">
      <x v="197"/>
    </i>
    <i r="3">
      <x v="231"/>
    </i>
    <i r="2">
      <x v="199"/>
    </i>
    <i r="3">
      <x v="36"/>
    </i>
    <i r="2">
      <x v="205"/>
    </i>
    <i r="3">
      <x v="406"/>
    </i>
    <i r="2">
      <x v="207"/>
    </i>
    <i r="3">
      <x v="208"/>
    </i>
    <i r="3">
      <x v="389"/>
    </i>
    <i r="3">
      <x v="1369"/>
    </i>
    <i r="2">
      <x v="208"/>
    </i>
    <i r="3">
      <x v="2433"/>
    </i>
    <i r="2">
      <x v="209"/>
    </i>
    <i r="3">
      <x v="1667"/>
    </i>
    <i r="2">
      <x v="210"/>
    </i>
    <i r="3">
      <x v="2535"/>
    </i>
    <i r="2">
      <x v="211"/>
    </i>
    <i r="3">
      <x v="2360"/>
    </i>
    <i r="2">
      <x v="212"/>
    </i>
    <i r="3">
      <x v="31"/>
    </i>
    <i r="3">
      <x v="936"/>
    </i>
    <i r="3">
      <x v="2426"/>
    </i>
    <i r="2">
      <x v="213"/>
    </i>
    <i r="3">
      <x v="205"/>
    </i>
    <i r="3">
      <x v="2075"/>
    </i>
    <i r="2">
      <x v="214"/>
    </i>
    <i r="3">
      <x v="469"/>
    </i>
    <i r="3">
      <x v="1461"/>
    </i>
    <i r="3">
      <x v="2536"/>
    </i>
    <i r="2">
      <x v="215"/>
    </i>
    <i r="3">
      <x v="1162"/>
    </i>
    <i r="2">
      <x v="216"/>
    </i>
    <i r="3">
      <x v="451"/>
    </i>
    <i r="3">
      <x v="1124"/>
    </i>
    <i r="3">
      <x v="1586"/>
    </i>
    <i r="3">
      <x v="1637"/>
    </i>
    <i r="3">
      <x v="2305"/>
    </i>
    <i r="2">
      <x v="217"/>
    </i>
    <i r="3">
      <x v="535"/>
    </i>
    <i r="3">
      <x v="746"/>
    </i>
    <i r="3">
      <x v="1293"/>
    </i>
    <i r="3">
      <x v="2357"/>
    </i>
    <i r="3">
      <x v="2451"/>
    </i>
    <i r="2">
      <x v="218"/>
    </i>
    <i r="3">
      <x v="1210"/>
    </i>
    <i r="3">
      <x v="1894"/>
    </i>
    <i r="1">
      <x v="20"/>
    </i>
    <i r="2">
      <x v="6"/>
    </i>
    <i r="3">
      <x v="1563"/>
    </i>
    <i r="2">
      <x v="61"/>
    </i>
    <i r="3">
      <x v="420"/>
    </i>
    <i r="2">
      <x v="94"/>
    </i>
    <i r="3">
      <x v="464"/>
    </i>
    <i r="2">
      <x v="124"/>
    </i>
    <i r="3">
      <x v="1925"/>
    </i>
    <i r="2">
      <x v="128"/>
    </i>
    <i r="3">
      <x v="1821"/>
    </i>
    <i r="2">
      <x v="145"/>
    </i>
    <i r="3">
      <x v="2116"/>
    </i>
    <i r="2">
      <x v="154"/>
    </i>
    <i r="3">
      <x v="808"/>
    </i>
    <i r="2">
      <x v="161"/>
    </i>
    <i r="3">
      <x v="1103"/>
    </i>
    <i r="2">
      <x v="163"/>
    </i>
    <i r="3">
      <x v="2087"/>
    </i>
    <i r="2">
      <x v="167"/>
    </i>
    <i r="3">
      <x v="1571"/>
    </i>
    <i r="2">
      <x v="172"/>
    </i>
    <i r="3">
      <x v="2327"/>
    </i>
    <i r="2">
      <x v="173"/>
    </i>
    <i r="3">
      <x v="2441"/>
    </i>
    <i r="2">
      <x v="174"/>
    </i>
    <i r="3">
      <x v="1450"/>
    </i>
    <i r="2">
      <x v="175"/>
    </i>
    <i r="3">
      <x v="1962"/>
    </i>
    <i r="2">
      <x v="176"/>
    </i>
    <i r="3">
      <x v="1996"/>
    </i>
    <i r="2">
      <x v="179"/>
    </i>
    <i r="3">
      <x v="422"/>
    </i>
    <i r="3">
      <x v="2265"/>
    </i>
    <i r="2">
      <x v="184"/>
    </i>
    <i r="3">
      <x v="1763"/>
    </i>
    <i r="2">
      <x v="190"/>
    </i>
    <i r="3">
      <x v="201"/>
    </i>
    <i r="2">
      <x v="193"/>
    </i>
    <i r="3">
      <x v="1736"/>
    </i>
    <i r="2">
      <x v="194"/>
    </i>
    <i r="3">
      <x v="796"/>
    </i>
    <i r="3">
      <x v="932"/>
    </i>
    <i r="2">
      <x v="195"/>
    </i>
    <i r="3">
      <x v="237"/>
    </i>
    <i r="2">
      <x v="196"/>
    </i>
    <i r="3">
      <x v="2138"/>
    </i>
    <i r="2">
      <x v="200"/>
    </i>
    <i r="3">
      <x v="12"/>
    </i>
    <i r="2">
      <x v="201"/>
    </i>
    <i r="3">
      <x v="750"/>
    </i>
    <i r="3">
      <x v="1140"/>
    </i>
    <i r="2">
      <x v="202"/>
    </i>
    <i r="3">
      <x v="1483"/>
    </i>
    <i r="3">
      <x v="1865"/>
    </i>
    <i r="2">
      <x v="203"/>
    </i>
    <i r="3">
      <x v="841"/>
    </i>
    <i r="2">
      <x v="209"/>
    </i>
    <i r="3">
      <x v="557"/>
    </i>
    <i r="3">
      <x v="1938"/>
    </i>
    <i r="3">
      <x v="2173"/>
    </i>
    <i r="2">
      <x v="211"/>
    </i>
    <i r="3">
      <x v="1493"/>
    </i>
    <i r="2">
      <x v="214"/>
    </i>
    <i r="3">
      <x v="437"/>
    </i>
    <i r="2">
      <x v="215"/>
    </i>
    <i r="3">
      <x v="718"/>
    </i>
    <i r="3">
      <x v="784"/>
    </i>
    <i r="2">
      <x v="216"/>
    </i>
    <i r="3">
      <x v="727"/>
    </i>
    <i r="3">
      <x v="1116"/>
    </i>
    <i r="2">
      <x v="217"/>
    </i>
    <i r="3">
      <x v="862"/>
    </i>
    <i r="3">
      <x v="2089"/>
    </i>
    <i r="3">
      <x v="2523"/>
    </i>
    <i r="1">
      <x v="21"/>
    </i>
    <i r="2">
      <x v="58"/>
    </i>
    <i r="3">
      <x v="816"/>
    </i>
    <i r="2">
      <x v="59"/>
    </i>
    <i r="3">
      <x v="915"/>
    </i>
    <i r="2">
      <x v="106"/>
    </i>
    <i r="3">
      <x v="715"/>
    </i>
    <i r="3">
      <x v="1009"/>
    </i>
    <i r="2">
      <x v="131"/>
    </i>
    <i r="3">
      <x v="1671"/>
    </i>
    <i r="2">
      <x v="151"/>
    </i>
    <i r="3">
      <x v="462"/>
    </i>
    <i r="2">
      <x v="153"/>
    </i>
    <i r="3">
      <x v="167"/>
    </i>
    <i r="2">
      <x v="154"/>
    </i>
    <i r="3">
      <x v="953"/>
    </i>
    <i r="2">
      <x v="158"/>
    </i>
    <i r="3">
      <x v="176"/>
    </i>
    <i r="2">
      <x v="159"/>
    </i>
    <i r="3">
      <x v="902"/>
    </i>
    <i r="2">
      <x v="161"/>
    </i>
    <i r="3">
      <x v="1534"/>
    </i>
    <i r="2">
      <x v="163"/>
    </i>
    <i r="3">
      <x v="455"/>
    </i>
    <i r="2">
      <x v="173"/>
    </i>
    <i r="3">
      <x v="1475"/>
    </i>
    <i r="3">
      <x v="2053"/>
    </i>
    <i r="2">
      <x v="175"/>
    </i>
    <i r="3">
      <x v="1436"/>
    </i>
    <i r="2">
      <x v="188"/>
    </i>
    <i r="3">
      <x v="917"/>
    </i>
    <i r="3">
      <x v="2083"/>
    </i>
    <i r="2">
      <x v="190"/>
    </i>
    <i r="3">
      <x v="647"/>
    </i>
    <i r="2">
      <x v="192"/>
    </i>
    <i r="3">
      <x v="1767"/>
    </i>
    <i r="3">
      <x v="2295"/>
    </i>
    <i r="2">
      <x v="197"/>
    </i>
    <i r="3">
      <x v="667"/>
    </i>
    <i r="2">
      <x v="198"/>
    </i>
    <i r="3">
      <x v="985"/>
    </i>
    <i r="2">
      <x v="201"/>
    </i>
    <i r="3">
      <x v="937"/>
    </i>
    <i r="2">
      <x v="206"/>
    </i>
    <i r="3">
      <x v="2227"/>
    </i>
    <i r="2">
      <x v="207"/>
    </i>
    <i r="3">
      <x v="546"/>
    </i>
    <i r="3">
      <x v="579"/>
    </i>
    <i r="3">
      <x v="607"/>
    </i>
    <i r="2">
      <x v="208"/>
    </i>
    <i r="3">
      <x v="155"/>
    </i>
    <i r="2">
      <x v="209"/>
    </i>
    <i r="3">
      <x v="336"/>
    </i>
    <i r="3">
      <x v="680"/>
    </i>
    <i r="2">
      <x v="210"/>
    </i>
    <i r="3">
      <x v="394"/>
    </i>
    <i r="3">
      <x v="1961"/>
    </i>
    <i r="2">
      <x v="211"/>
    </i>
    <i r="3">
      <x v="895"/>
    </i>
    <i r="2">
      <x v="212"/>
    </i>
    <i r="3">
      <x v="2209"/>
    </i>
    <i r="2">
      <x v="213"/>
    </i>
    <i r="3">
      <x v="1417"/>
    </i>
    <i r="3">
      <x v="1660"/>
    </i>
    <i r="2">
      <x v="214"/>
    </i>
    <i r="3">
      <x v="35"/>
    </i>
    <i r="3">
      <x v="74"/>
    </i>
    <i r="3">
      <x v="2278"/>
    </i>
    <i r="2">
      <x v="215"/>
    </i>
    <i r="3">
      <x v="1188"/>
    </i>
    <i r="2">
      <x v="216"/>
    </i>
    <i r="3">
      <x v="150"/>
    </i>
    <i r="2">
      <x v="217"/>
    </i>
    <i r="3">
      <x v="1800"/>
    </i>
    <i r="2">
      <x v="218"/>
    </i>
    <i r="3">
      <x v="1906"/>
    </i>
    <i r="1">
      <x v="22"/>
    </i>
    <i r="2">
      <x v="137"/>
    </i>
    <i r="3">
      <x v="148"/>
    </i>
    <i r="2">
      <x v="141"/>
    </i>
    <i r="3">
      <x v="1579"/>
    </i>
    <i r="2">
      <x v="142"/>
    </i>
    <i r="3">
      <x v="814"/>
    </i>
    <i r="2">
      <x v="146"/>
    </i>
    <i r="3">
      <x v="721"/>
    </i>
    <i r="2">
      <x v="153"/>
    </i>
    <i r="3">
      <x v="835"/>
    </i>
    <i r="2">
      <x v="156"/>
    </i>
    <i r="3">
      <x v="531"/>
    </i>
    <i r="2">
      <x v="157"/>
    </i>
    <i r="3">
      <x v="1146"/>
    </i>
    <i r="2">
      <x v="167"/>
    </i>
    <i r="3">
      <x v="1568"/>
    </i>
    <i r="2">
      <x v="172"/>
    </i>
    <i r="3">
      <x v="1866"/>
    </i>
    <i r="2">
      <x v="178"/>
    </i>
    <i r="3">
      <x v="1956"/>
    </i>
    <i r="2">
      <x v="179"/>
    </i>
    <i r="3">
      <x v="1030"/>
    </i>
    <i r="2">
      <x v="180"/>
    </i>
    <i r="3">
      <x v="222"/>
    </i>
    <i r="2">
      <x v="182"/>
    </i>
    <i r="3">
      <x v="922"/>
    </i>
    <i r="3">
      <x v="1959"/>
    </i>
    <i r="2">
      <x v="188"/>
    </i>
    <i r="3">
      <x v="685"/>
    </i>
    <i r="2">
      <x v="189"/>
    </i>
    <i r="3">
      <x v="1694"/>
    </i>
    <i r="2">
      <x v="195"/>
    </i>
    <i r="3">
      <x v="21"/>
    </i>
    <i r="3">
      <x v="2353"/>
    </i>
    <i r="2">
      <x v="197"/>
    </i>
    <i r="3">
      <x v="2219"/>
    </i>
    <i r="2">
      <x v="199"/>
    </i>
    <i r="3">
      <x v="948"/>
    </i>
    <i r="3">
      <x v="1565"/>
    </i>
    <i r="2">
      <x v="200"/>
    </i>
    <i r="3">
      <x v="371"/>
    </i>
    <i r="2">
      <x v="201"/>
    </i>
    <i r="3">
      <x v="1180"/>
    </i>
    <i r="2">
      <x v="202"/>
    </i>
    <i r="3">
      <x v="1078"/>
    </i>
    <i r="3">
      <x v="1664"/>
    </i>
    <i r="2">
      <x v="203"/>
    </i>
    <i r="3">
      <x v="1308"/>
    </i>
    <i r="2">
      <x v="204"/>
    </i>
    <i r="3">
      <x v="2495"/>
    </i>
    <i r="2">
      <x v="205"/>
    </i>
    <i r="3">
      <x v="1748"/>
    </i>
    <i r="2">
      <x v="210"/>
    </i>
    <i r="3">
      <x v="1320"/>
    </i>
    <i r="2">
      <x v="211"/>
    </i>
    <i r="3">
      <x v="1238"/>
    </i>
    <i r="2">
      <x v="213"/>
    </i>
    <i r="3">
      <x v="129"/>
    </i>
    <i r="3">
      <x v="268"/>
    </i>
    <i r="3">
      <x v="304"/>
    </i>
    <i r="3">
      <x v="1010"/>
    </i>
    <i r="3">
      <x v="1799"/>
    </i>
    <i r="3">
      <x v="2213"/>
    </i>
    <i r="3">
      <x v="2561"/>
    </i>
    <i r="2">
      <x v="214"/>
    </i>
    <i r="3">
      <x v="76"/>
    </i>
    <i r="3">
      <x v="257"/>
    </i>
    <i r="3">
      <x v="1069"/>
    </i>
    <i r="3">
      <x v="2154"/>
    </i>
    <i r="2">
      <x v="217"/>
    </i>
    <i r="3">
      <x v="1135"/>
    </i>
    <i r="3">
      <x v="1740"/>
    </i>
    <i r="2">
      <x v="218"/>
    </i>
    <i r="3">
      <x v="732"/>
    </i>
    <i r="3">
      <x v="1201"/>
    </i>
    <i r="3">
      <x v="2177"/>
    </i>
    <i r="1">
      <x v="23"/>
    </i>
    <i r="2">
      <x v="3"/>
    </i>
    <i r="3">
      <x v="1273"/>
    </i>
    <i r="2">
      <x v="18"/>
    </i>
    <i r="3">
      <x v="1914"/>
    </i>
    <i r="2">
      <x v="38"/>
    </i>
    <i r="3">
      <x v="1830"/>
    </i>
    <i r="2">
      <x v="51"/>
    </i>
    <i r="3">
      <x v="2230"/>
    </i>
    <i r="2">
      <x v="95"/>
    </i>
    <i r="3">
      <x v="339"/>
    </i>
    <i r="2">
      <x v="105"/>
    </i>
    <i r="3">
      <x v="1082"/>
    </i>
    <i r="2">
      <x v="156"/>
    </i>
    <i r="3">
      <x v="1893"/>
    </i>
    <i r="2">
      <x v="162"/>
    </i>
    <i r="3">
      <x v="267"/>
    </i>
    <i r="2">
      <x v="173"/>
    </i>
    <i r="3">
      <x v="1185"/>
    </i>
    <i r="3">
      <x v="1746"/>
    </i>
    <i r="2">
      <x v="175"/>
    </i>
    <i r="3">
      <x v="699"/>
    </i>
    <i r="3">
      <x v="1801"/>
    </i>
    <i r="2">
      <x v="176"/>
    </i>
    <i r="3">
      <x v="2299"/>
    </i>
    <i r="2">
      <x v="178"/>
    </i>
    <i r="3">
      <x v="717"/>
    </i>
    <i r="2">
      <x v="180"/>
    </i>
    <i r="3">
      <x v="860"/>
    </i>
    <i r="2">
      <x v="181"/>
    </i>
    <i r="3">
      <x v="972"/>
    </i>
    <i r="2">
      <x v="182"/>
    </i>
    <i r="3">
      <x v="662"/>
    </i>
    <i r="2">
      <x v="189"/>
    </i>
    <i r="3">
      <x v="1118"/>
    </i>
    <i r="2">
      <x v="191"/>
    </i>
    <i r="3">
      <x v="2072"/>
    </i>
    <i r="2">
      <x v="195"/>
    </i>
    <i r="3">
      <x v="163"/>
    </i>
    <i r="2">
      <x v="198"/>
    </i>
    <i r="3">
      <x v="309"/>
    </i>
    <i r="2">
      <x v="199"/>
    </i>
    <i r="3">
      <x v="783"/>
    </i>
    <i r="3">
      <x v="1097"/>
    </i>
    <i r="2">
      <x v="200"/>
    </i>
    <i r="3">
      <x v="2188"/>
    </i>
    <i r="2">
      <x v="201"/>
    </i>
    <i r="3">
      <x v="4"/>
    </i>
    <i r="3">
      <x v="1497"/>
    </i>
    <i r="2">
      <x v="203"/>
    </i>
    <i r="3">
      <x v="1774"/>
    </i>
    <i r="3">
      <x v="2204"/>
    </i>
    <i r="2">
      <x v="204"/>
    </i>
    <i r="3">
      <x v="726"/>
    </i>
    <i r="2">
      <x v="205"/>
    </i>
    <i r="3">
      <x v="40"/>
    </i>
    <i r="3">
      <x v="322"/>
    </i>
    <i r="2">
      <x v="206"/>
    </i>
    <i r="3">
      <x v="2079"/>
    </i>
    <i r="3">
      <x v="2096"/>
    </i>
    <i r="3">
      <x v="2388"/>
    </i>
    <i r="2">
      <x v="207"/>
    </i>
    <i r="3">
      <x v="247"/>
    </i>
    <i r="3">
      <x v="499"/>
    </i>
    <i r="2">
      <x v="210"/>
    </i>
    <i r="3">
      <x v="44"/>
    </i>
    <i r="3">
      <x v="952"/>
    </i>
    <i r="3">
      <x v="1619"/>
    </i>
    <i r="3">
      <x v="1917"/>
    </i>
    <i r="2">
      <x v="211"/>
    </i>
    <i r="3">
      <x v="957"/>
    </i>
    <i r="2">
      <x v="212"/>
    </i>
    <i r="3">
      <x v="239"/>
    </i>
    <i r="3">
      <x v="2423"/>
    </i>
    <i r="2">
      <x v="213"/>
    </i>
    <i r="3">
      <x v="678"/>
    </i>
    <i r="3">
      <x v="1224"/>
    </i>
    <i r="3">
      <x v="1929"/>
    </i>
    <i r="2">
      <x v="216"/>
    </i>
    <i r="3">
      <x v="505"/>
    </i>
    <i r="3">
      <x v="996"/>
    </i>
    <i r="3">
      <x v="1995"/>
    </i>
    <i r="3">
      <x v="2390"/>
    </i>
    <i r="2">
      <x v="217"/>
    </i>
    <i r="3">
      <x v="465"/>
    </i>
    <i r="3">
      <x v="1459"/>
    </i>
    <i r="2">
      <x v="218"/>
    </i>
    <i r="3">
      <x v="676"/>
    </i>
    <i r="3">
      <x v="1574"/>
    </i>
    <i r="1">
      <x v="24"/>
    </i>
    <i r="2">
      <x v="32"/>
    </i>
    <i r="3">
      <x v="1612"/>
    </i>
    <i r="2">
      <x v="49"/>
    </i>
    <i r="3">
      <x v="2076"/>
    </i>
    <i r="2">
      <x v="68"/>
    </i>
    <i r="3">
      <x v="2192"/>
    </i>
    <i r="2">
      <x v="77"/>
    </i>
    <i r="3">
      <x v="807"/>
    </i>
    <i r="2">
      <x v="137"/>
    </i>
    <i r="3">
      <x v="188"/>
    </i>
    <i r="2">
      <x v="144"/>
    </i>
    <i r="3">
      <x v="1666"/>
    </i>
    <i r="3">
      <x v="2607"/>
    </i>
    <i r="2">
      <x v="156"/>
    </i>
    <i r="3">
      <x v="2632"/>
    </i>
    <i r="2">
      <x v="158"/>
    </i>
    <i r="3">
      <x v="938"/>
    </i>
    <i r="2">
      <x v="165"/>
    </i>
    <i r="3">
      <x v="140"/>
    </i>
    <i r="2">
      <x v="171"/>
    </i>
    <i r="3">
      <x v="2233"/>
    </i>
    <i r="2">
      <x v="173"/>
    </i>
    <i r="3">
      <x v="1791"/>
    </i>
    <i r="2">
      <x v="174"/>
    </i>
    <i r="3">
      <x v="1580"/>
    </i>
    <i r="3">
      <x v="1739"/>
    </i>
    <i r="2">
      <x v="175"/>
    </i>
    <i r="3">
      <x v="599"/>
    </i>
    <i r="2">
      <x v="179"/>
    </i>
    <i r="3">
      <x v="1972"/>
    </i>
    <i r="2">
      <x v="181"/>
    </i>
    <i r="3">
      <x v="855"/>
    </i>
    <i r="2">
      <x v="188"/>
    </i>
    <i r="3">
      <x v="2337"/>
    </i>
    <i r="2">
      <x v="190"/>
    </i>
    <i r="3">
      <x v="585"/>
    </i>
    <i r="3">
      <x v="1904"/>
    </i>
    <i r="3">
      <x v="2145"/>
    </i>
    <i r="2">
      <x v="191"/>
    </i>
    <i r="3">
      <x v="1895"/>
    </i>
    <i r="2">
      <x v="195"/>
    </i>
    <i r="3">
      <x v="217"/>
    </i>
    <i r="3">
      <x v="1154"/>
    </i>
    <i r="3">
      <x v="1944"/>
    </i>
    <i r="2">
      <x v="196"/>
    </i>
    <i r="3">
      <x v="918"/>
    </i>
    <i r="2">
      <x v="197"/>
    </i>
    <i r="3">
      <x v="1517"/>
    </i>
    <i r="2">
      <x v="200"/>
    </i>
    <i r="3">
      <x v="2148"/>
    </i>
    <i r="2">
      <x v="201"/>
    </i>
    <i r="3">
      <x v="1125"/>
    </i>
    <i r="3">
      <x v="2333"/>
    </i>
    <i r="2">
      <x v="202"/>
    </i>
    <i r="3">
      <x v="511"/>
    </i>
    <i r="3">
      <x v="836"/>
    </i>
    <i r="2">
      <x v="203"/>
    </i>
    <i r="3">
      <x v="1805"/>
    </i>
    <i r="3">
      <x v="1819"/>
    </i>
    <i r="3">
      <x v="2174"/>
    </i>
    <i r="3">
      <x v="2409"/>
    </i>
    <i r="2">
      <x v="204"/>
    </i>
    <i r="3">
      <x v="310"/>
    </i>
    <i r="3">
      <x v="566"/>
    </i>
    <i r="2">
      <x v="205"/>
    </i>
    <i r="3">
      <x v="1272"/>
    </i>
    <i r="3">
      <x v="1492"/>
    </i>
    <i r="2">
      <x v="206"/>
    </i>
    <i r="3">
      <x v="1186"/>
    </i>
    <i r="2">
      <x v="208"/>
    </i>
    <i r="3">
      <x v="508"/>
    </i>
    <i r="3">
      <x v="825"/>
    </i>
    <i r="3">
      <x v="1276"/>
    </i>
    <i r="3">
      <x v="1561"/>
    </i>
    <i r="2">
      <x v="209"/>
    </i>
    <i r="3">
      <x v="1892"/>
    </i>
    <i r="2">
      <x v="210"/>
    </i>
    <i r="3">
      <x v="616"/>
    </i>
    <i r="3">
      <x v="978"/>
    </i>
    <i r="3">
      <x v="1922"/>
    </i>
    <i r="2">
      <x v="211"/>
    </i>
    <i r="3">
      <x v="456"/>
    </i>
    <i r="2">
      <x v="212"/>
    </i>
    <i r="3">
      <x v="1536"/>
    </i>
    <i r="2">
      <x v="213"/>
    </i>
    <i r="3">
      <x v="2538"/>
    </i>
    <i r="2">
      <x v="214"/>
    </i>
    <i r="3">
      <x v="1254"/>
    </i>
    <i r="2">
      <x v="215"/>
    </i>
    <i r="3">
      <x v="37"/>
    </i>
    <i r="3">
      <x v="498"/>
    </i>
    <i r="3">
      <x v="1105"/>
    </i>
    <i r="3">
      <x v="1688"/>
    </i>
    <i r="2">
      <x v="216"/>
    </i>
    <i r="3">
      <x v="560"/>
    </i>
    <i r="3">
      <x v="608"/>
    </i>
    <i r="2">
      <x v="217"/>
    </i>
    <i r="3">
      <x v="2196"/>
    </i>
    <i r="2">
      <x v="218"/>
    </i>
    <i r="3">
      <x v="484"/>
    </i>
    <i r="3">
      <x v="1530"/>
    </i>
    <i r="3">
      <x v="2105"/>
    </i>
    <i r="1">
      <x v="25"/>
    </i>
    <i r="2">
      <x v="44"/>
    </i>
    <i r="3">
      <x v="2132"/>
    </i>
    <i r="2">
      <x v="89"/>
    </i>
    <i r="3">
      <x v="1775"/>
    </i>
    <i r="2">
      <x v="105"/>
    </i>
    <i r="3">
      <x v="507"/>
    </i>
    <i r="2">
      <x v="132"/>
    </i>
    <i r="3">
      <x v="669"/>
    </i>
    <i r="2">
      <x v="148"/>
    </i>
    <i r="3">
      <x v="596"/>
    </i>
    <i r="2">
      <x v="157"/>
    </i>
    <i r="3">
      <x v="1062"/>
    </i>
    <i r="2">
      <x v="168"/>
    </i>
    <i r="3">
      <x v="1576"/>
    </i>
    <i r="2">
      <x v="171"/>
    </i>
    <i r="3">
      <x v="413"/>
    </i>
    <i r="2">
      <x v="181"/>
    </i>
    <i r="3">
      <x v="702"/>
    </i>
    <i r="3">
      <x v="2636"/>
    </i>
    <i r="2">
      <x v="183"/>
    </i>
    <i r="3">
      <x v="1642"/>
    </i>
    <i r="2">
      <x v="187"/>
    </i>
    <i r="3">
      <x v="170"/>
    </i>
    <i r="2">
      <x v="188"/>
    </i>
    <i r="3">
      <x v="2143"/>
    </i>
    <i r="2">
      <x v="189"/>
    </i>
    <i r="3">
      <x v="639"/>
    </i>
    <i r="3">
      <x v="1148"/>
    </i>
    <i r="2">
      <x v="191"/>
    </i>
    <i r="3">
      <x v="2418"/>
    </i>
    <i r="2">
      <x v="193"/>
    </i>
    <i r="3">
      <x v="432"/>
    </i>
    <i r="3">
      <x v="520"/>
    </i>
    <i r="2">
      <x v="197"/>
    </i>
    <i r="3">
      <x v="380"/>
    </i>
    <i r="2">
      <x v="198"/>
    </i>
    <i r="3">
      <x v="567"/>
    </i>
    <i r="3">
      <x v="1993"/>
    </i>
    <i r="2">
      <x v="200"/>
    </i>
    <i r="3">
      <x v="1446"/>
    </i>
    <i r="2">
      <x v="201"/>
    </i>
    <i r="3">
      <x v="427"/>
    </i>
    <i r="2">
      <x v="202"/>
    </i>
    <i r="3">
      <x v="275"/>
    </i>
    <i r="3">
      <x v="1407"/>
    </i>
    <i r="2">
      <x v="203"/>
    </i>
    <i r="3">
      <x v="539"/>
    </i>
    <i r="3">
      <x v="1370"/>
    </i>
    <i r="3">
      <x v="2435"/>
    </i>
    <i r="2">
      <x v="204"/>
    </i>
    <i r="3">
      <x v="1764"/>
    </i>
    <i r="2">
      <x v="206"/>
    </i>
    <i r="3">
      <x v="866"/>
    </i>
    <i r="3">
      <x v="1434"/>
    </i>
    <i r="2">
      <x v="207"/>
    </i>
    <i r="3">
      <x v="644"/>
    </i>
    <i r="2">
      <x v="208"/>
    </i>
    <i r="3">
      <x v="2413"/>
    </i>
    <i r="2">
      <x v="209"/>
    </i>
    <i r="3">
      <x v="1531"/>
    </i>
    <i r="2">
      <x v="210"/>
    </i>
    <i r="3">
      <x v="1249"/>
    </i>
    <i r="2">
      <x v="211"/>
    </i>
    <i r="3">
      <x v="1058"/>
    </i>
    <i r="3">
      <x v="2134"/>
    </i>
    <i r="2">
      <x v="212"/>
    </i>
    <i r="3">
      <x v="269"/>
    </i>
    <i r="3">
      <x v="578"/>
    </i>
    <i r="2">
      <x v="213"/>
    </i>
    <i r="3">
      <x v="2100"/>
    </i>
    <i r="2">
      <x v="214"/>
    </i>
    <i r="3">
      <x v="830"/>
    </i>
    <i r="3">
      <x v="1257"/>
    </i>
    <i r="3">
      <x v="2385"/>
    </i>
    <i r="2">
      <x v="215"/>
    </i>
    <i r="3">
      <x v="377"/>
    </i>
    <i r="3">
      <x v="563"/>
    </i>
    <i r="3">
      <x v="1888"/>
    </i>
    <i r="2">
      <x v="216"/>
    </i>
    <i r="3">
      <x v="1042"/>
    </i>
    <i r="3">
      <x v="1623"/>
    </i>
    <i r="2">
      <x v="217"/>
    </i>
    <i r="3">
      <x v="827"/>
    </i>
    <i r="3">
      <x v="849"/>
    </i>
    <i r="3">
      <x v="2291"/>
    </i>
    <i r="2">
      <x v="218"/>
    </i>
    <i r="3">
      <x v="722"/>
    </i>
    <i r="3">
      <x v="1039"/>
    </i>
    <i r="3">
      <x v="1982"/>
    </i>
    <i r="1">
      <x v="26"/>
    </i>
    <i r="2">
      <x v="86"/>
    </i>
    <i r="3">
      <x v="2108"/>
    </i>
    <i r="2">
      <x v="109"/>
    </i>
    <i r="3">
      <x v="2104"/>
    </i>
    <i r="2">
      <x v="131"/>
    </i>
    <i r="3">
      <x v="1554"/>
    </i>
    <i r="2">
      <x v="136"/>
    </i>
    <i r="3">
      <x v="951"/>
    </i>
    <i r="2">
      <x v="142"/>
    </i>
    <i r="3">
      <x v="298"/>
    </i>
    <i r="2">
      <x v="144"/>
    </i>
    <i r="3">
      <x v="1032"/>
    </i>
    <i r="2">
      <x v="145"/>
    </i>
    <i r="3">
      <x v="1093"/>
    </i>
    <i r="2">
      <x v="146"/>
    </i>
    <i r="3">
      <x v="650"/>
    </i>
    <i r="2">
      <x v="150"/>
    </i>
    <i r="3">
      <x v="2572"/>
    </i>
    <i r="2">
      <x v="161"/>
    </i>
    <i r="3">
      <x v="1232"/>
    </i>
    <i r="2">
      <x v="170"/>
    </i>
    <i r="3">
      <x v="1673"/>
    </i>
    <i r="2">
      <x v="177"/>
    </i>
    <i r="3">
      <x v="1955"/>
    </i>
    <i r="2">
      <x v="178"/>
    </i>
    <i r="3">
      <x v="1915"/>
    </i>
    <i r="2">
      <x v="185"/>
    </i>
    <i r="3">
      <x v="976"/>
    </i>
    <i r="2">
      <x v="188"/>
    </i>
    <i r="3">
      <x v="582"/>
    </i>
    <i r="3">
      <x v="1014"/>
    </i>
    <i r="2">
      <x v="191"/>
    </i>
    <i r="3">
      <x v="1102"/>
    </i>
    <i r="2">
      <x v="192"/>
    </i>
    <i r="3">
      <x v="1621"/>
    </i>
    <i r="2">
      <x v="193"/>
    </i>
    <i r="3">
      <x v="2437"/>
    </i>
    <i r="2">
      <x v="194"/>
    </i>
    <i r="3">
      <x v="335"/>
    </i>
    <i r="3">
      <x v="1924"/>
    </i>
    <i r="2">
      <x v="195"/>
    </i>
    <i r="3">
      <x v="1624"/>
    </i>
    <i r="2">
      <x v="197"/>
    </i>
    <i r="3">
      <x v="1250"/>
    </i>
    <i r="2">
      <x v="198"/>
    </i>
    <i r="3">
      <x v="299"/>
    </i>
    <i r="2">
      <x v="199"/>
    </i>
    <i r="3">
      <x v="1709"/>
    </i>
    <i r="2">
      <x v="200"/>
    </i>
    <i r="3">
      <x v="351"/>
    </i>
    <i r="2">
      <x v="201"/>
    </i>
    <i r="3">
      <x v="734"/>
    </i>
    <i r="3">
      <x v="1992"/>
    </i>
    <i r="2">
      <x v="202"/>
    </i>
    <i r="3">
      <x v="2605"/>
    </i>
    <i r="2">
      <x v="203"/>
    </i>
    <i r="3">
      <x v="122"/>
    </i>
    <i r="3">
      <x v="1757"/>
    </i>
    <i r="3">
      <x v="2501"/>
    </i>
    <i r="2">
      <x v="205"/>
    </i>
    <i r="3">
      <x v="472"/>
    </i>
    <i r="3">
      <x v="2119"/>
    </i>
    <i r="2">
      <x v="206"/>
    </i>
    <i r="3">
      <x v="2434"/>
    </i>
    <i r="2">
      <x v="207"/>
    </i>
    <i r="3">
      <x v="2255"/>
    </i>
    <i r="2">
      <x v="208"/>
    </i>
    <i r="3">
      <x v="1697"/>
    </i>
    <i r="2">
      <x v="210"/>
    </i>
    <i r="3">
      <x v="618"/>
    </i>
    <i r="3">
      <x v="1216"/>
    </i>
    <i r="3">
      <x v="1939"/>
    </i>
    <i r="3">
      <x v="2067"/>
    </i>
    <i r="2">
      <x v="211"/>
    </i>
    <i r="3">
      <x v="25"/>
    </i>
    <i r="3">
      <x v="1630"/>
    </i>
    <i r="3">
      <x v="2517"/>
    </i>
    <i r="2">
      <x v="212"/>
    </i>
    <i r="3">
      <x v="2332"/>
    </i>
    <i r="3">
      <x v="2592"/>
    </i>
    <i r="2">
      <x v="213"/>
    </i>
    <i r="3">
      <x v="1208"/>
    </i>
    <i r="2">
      <x v="214"/>
    </i>
    <i r="3">
      <x v="744"/>
    </i>
    <i r="3">
      <x v="1875"/>
    </i>
    <i r="2">
      <x v="215"/>
    </i>
    <i r="3">
      <x v="640"/>
    </i>
    <i r="2">
      <x v="216"/>
    </i>
    <i r="3">
      <x v="1382"/>
    </i>
    <i r="3">
      <x v="1891"/>
    </i>
    <i r="2">
      <x v="218"/>
    </i>
    <i r="3">
      <x v="175"/>
    </i>
    <i r="3">
      <x v="561"/>
    </i>
    <i r="3">
      <x v="1636"/>
    </i>
    <i r="1">
      <x v="27"/>
    </i>
    <i r="2">
      <x/>
    </i>
    <i r="3">
      <x v="221"/>
    </i>
    <i r="2">
      <x v="17"/>
    </i>
    <i r="3">
      <x v="1038"/>
    </i>
    <i r="2">
      <x v="35"/>
    </i>
    <i r="3">
      <x v="2187"/>
    </i>
    <i r="2">
      <x v="37"/>
    </i>
    <i r="3">
      <x v="26"/>
    </i>
    <i r="2">
      <x v="50"/>
    </i>
    <i r="3">
      <x v="1409"/>
    </i>
    <i r="2">
      <x v="119"/>
    </i>
    <i r="3">
      <x v="921"/>
    </i>
    <i r="2">
      <x v="127"/>
    </i>
    <i r="3">
      <x v="398"/>
    </i>
    <i r="3">
      <x v="2329"/>
    </i>
    <i r="2">
      <x v="130"/>
    </i>
    <i r="3">
      <x v="1398"/>
    </i>
    <i r="2">
      <x v="131"/>
    </i>
    <i r="3">
      <x v="2335"/>
    </i>
    <i r="2">
      <x v="143"/>
    </i>
    <i r="3">
      <x v="132"/>
    </i>
    <i r="2">
      <x v="158"/>
    </i>
    <i r="3">
      <x v="1284"/>
    </i>
    <i r="2">
      <x v="168"/>
    </i>
    <i r="3">
      <x v="23"/>
    </i>
    <i r="2">
      <x v="176"/>
    </i>
    <i r="3">
      <x v="334"/>
    </i>
    <i r="2">
      <x v="185"/>
    </i>
    <i r="3">
      <x v="2370"/>
    </i>
    <i r="2">
      <x v="186"/>
    </i>
    <i r="3">
      <x v="1610"/>
    </i>
    <i r="2">
      <x v="187"/>
    </i>
    <i r="3">
      <x v="1071"/>
    </i>
    <i r="2">
      <x v="188"/>
    </i>
    <i r="3">
      <x v="1973"/>
    </i>
    <i r="2">
      <x v="191"/>
    </i>
    <i r="3">
      <x v="2530"/>
    </i>
    <i r="2">
      <x v="195"/>
    </i>
    <i r="3">
      <x v="296"/>
    </i>
    <i r="2">
      <x v="197"/>
    </i>
    <i r="3">
      <x v="659"/>
    </i>
    <i r="3">
      <x v="1913"/>
    </i>
    <i r="2">
      <x v="199"/>
    </i>
    <i r="3">
      <x v="1205"/>
    </i>
    <i r="2">
      <x v="200"/>
    </i>
    <i r="3">
      <x v="963"/>
    </i>
    <i r="3">
      <x v="1167"/>
    </i>
    <i r="2">
      <x v="201"/>
    </i>
    <i r="3">
      <x v="2064"/>
    </i>
    <i r="2">
      <x v="203"/>
    </i>
    <i r="3">
      <x v="191"/>
    </i>
    <i r="3">
      <x v="236"/>
    </i>
    <i r="3">
      <x v="933"/>
    </i>
    <i r="3">
      <x v="1948"/>
    </i>
    <i r="2">
      <x v="204"/>
    </i>
    <i r="3">
      <x v="355"/>
    </i>
    <i r="2">
      <x v="205"/>
    </i>
    <i r="3">
      <x v="2468"/>
    </i>
    <i r="2">
      <x v="207"/>
    </i>
    <i r="3">
      <x v="200"/>
    </i>
    <i r="2">
      <x v="209"/>
    </i>
    <i r="3">
      <x v="1209"/>
    </i>
    <i r="3">
      <x v="1804"/>
    </i>
    <i r="3">
      <x v="1937"/>
    </i>
    <i r="2">
      <x v="210"/>
    </i>
    <i r="3">
      <x v="698"/>
    </i>
    <i r="3">
      <x v="1824"/>
    </i>
    <i r="2">
      <x v="211"/>
    </i>
    <i r="3">
      <x v="652"/>
    </i>
    <i r="3">
      <x v="1555"/>
    </i>
    <i r="3">
      <x v="2348"/>
    </i>
    <i r="2">
      <x v="212"/>
    </i>
    <i r="3">
      <x v="1582"/>
    </i>
    <i r="3">
      <x v="1712"/>
    </i>
    <i r="3">
      <x v="1890"/>
    </i>
    <i r="3">
      <x v="1927"/>
    </i>
    <i r="3">
      <x v="2144"/>
    </i>
    <i r="2">
      <x v="213"/>
    </i>
    <i r="3">
      <x v="2107"/>
    </i>
    <i r="3">
      <x v="2153"/>
    </i>
    <i r="2">
      <x v="214"/>
    </i>
    <i r="3">
      <x v="401"/>
    </i>
    <i r="3">
      <x v="1851"/>
    </i>
    <i r="2">
      <x v="215"/>
    </i>
    <i r="3">
      <x v="1196"/>
    </i>
    <i r="3">
      <x v="2455"/>
    </i>
    <i r="2">
      <x v="217"/>
    </i>
    <i r="3">
      <x v="686"/>
    </i>
    <i r="3">
      <x v="1533"/>
    </i>
    <i r="3">
      <x v="2531"/>
    </i>
    <i r="2">
      <x v="218"/>
    </i>
    <i r="3">
      <x v="1242"/>
    </i>
    <i r="3">
      <x v="1402"/>
    </i>
    <i r="3">
      <x v="2320"/>
    </i>
    <i r="1">
      <x v="28"/>
    </i>
    <i r="2">
      <x v="19"/>
    </i>
    <i r="3">
      <x v="81"/>
    </i>
    <i r="2">
      <x v="73"/>
    </i>
    <i r="3">
      <x v="1864"/>
    </i>
    <i r="2">
      <x v="80"/>
    </i>
    <i r="3">
      <x v="2020"/>
    </i>
    <i r="2">
      <x v="117"/>
    </i>
    <i r="3">
      <x v="109"/>
    </i>
    <i r="3">
      <x v="2238"/>
    </i>
    <i r="2">
      <x v="124"/>
    </i>
    <i r="3">
      <x v="1469"/>
    </i>
    <i r="2">
      <x v="138"/>
    </i>
    <i r="3">
      <x v="146"/>
    </i>
    <i r="2">
      <x v="142"/>
    </i>
    <i r="3">
      <x v="1460"/>
    </i>
    <i r="2">
      <x v="150"/>
    </i>
    <i r="3">
      <x v="1943"/>
    </i>
    <i r="2">
      <x v="173"/>
    </i>
    <i r="3">
      <x v="1595"/>
    </i>
    <i r="2">
      <x v="174"/>
    </i>
    <i r="3">
      <x v="1617"/>
    </i>
    <i r="2">
      <x v="176"/>
    </i>
    <i r="3">
      <x v="202"/>
    </i>
    <i r="2">
      <x v="186"/>
    </i>
    <i r="3">
      <x v="522"/>
    </i>
    <i r="3">
      <x v="558"/>
    </i>
    <i r="2">
      <x v="187"/>
    </i>
    <i r="3">
      <x v="1526"/>
    </i>
    <i r="2">
      <x v="188"/>
    </i>
    <i r="3">
      <x v="1087"/>
    </i>
    <i r="3">
      <x v="2573"/>
    </i>
    <i r="2">
      <x v="189"/>
    </i>
    <i r="3">
      <x v="946"/>
    </i>
    <i r="3">
      <x v="2457"/>
    </i>
    <i r="2">
      <x v="190"/>
    </i>
    <i r="3">
      <x v="2287"/>
    </i>
    <i r="2">
      <x v="192"/>
    </i>
    <i r="3">
      <x v="1144"/>
    </i>
    <i r="2">
      <x v="195"/>
    </i>
    <i r="3">
      <x v="2191"/>
    </i>
    <i r="2">
      <x v="196"/>
    </i>
    <i r="3">
      <x v="476"/>
    </i>
    <i r="2">
      <x v="197"/>
    </i>
    <i r="3">
      <x v="1252"/>
    </i>
    <i r="3">
      <x v="1598"/>
    </i>
    <i r="2">
      <x v="198"/>
    </i>
    <i r="3">
      <x v="1376"/>
    </i>
    <i r="3">
      <x v="2159"/>
    </i>
    <i r="3">
      <x v="2420"/>
    </i>
    <i r="2">
      <x v="199"/>
    </i>
    <i r="3">
      <x v="536"/>
    </i>
    <i r="3">
      <x v="764"/>
    </i>
    <i r="3">
      <x v="1945"/>
    </i>
    <i r="3">
      <x v="2033"/>
    </i>
    <i r="2">
      <x v="200"/>
    </i>
    <i r="3">
      <x v="2167"/>
    </i>
    <i r="2">
      <x v="203"/>
    </i>
    <i r="3">
      <x v="41"/>
    </i>
    <i r="3">
      <x v="2041"/>
    </i>
    <i r="2">
      <x v="205"/>
    </i>
    <i r="3">
      <x v="1999"/>
    </i>
    <i r="3">
      <x v="2252"/>
    </i>
    <i r="2">
      <x v="206"/>
    </i>
    <i r="3">
      <x v="956"/>
    </i>
    <i r="3">
      <x v="1405"/>
    </i>
    <i r="3">
      <x v="1789"/>
    </i>
    <i r="3">
      <x v="2055"/>
    </i>
    <i r="2">
      <x v="207"/>
    </i>
    <i r="3">
      <x v="1589"/>
    </i>
    <i r="3">
      <x v="2165"/>
    </i>
    <i r="3">
      <x v="2215"/>
    </i>
    <i r="2">
      <x v="208"/>
    </i>
    <i r="3">
      <x v="241"/>
    </i>
    <i r="3">
      <x v="417"/>
    </i>
    <i r="3">
      <x v="2586"/>
    </i>
    <i r="2">
      <x v="209"/>
    </i>
    <i r="3">
      <x v="273"/>
    </i>
    <i r="3">
      <x v="1770"/>
    </i>
    <i r="2">
      <x v="210"/>
    </i>
    <i r="3">
      <x v="2183"/>
    </i>
    <i r="2">
      <x v="211"/>
    </i>
    <i r="3">
      <x v="38"/>
    </i>
    <i r="3">
      <x v="67"/>
    </i>
    <i r="3">
      <x v="1120"/>
    </i>
    <i r="3">
      <x v="2425"/>
    </i>
    <i r="2">
      <x v="212"/>
    </i>
    <i r="3">
      <x v="1809"/>
    </i>
    <i r="3">
      <x v="2156"/>
    </i>
    <i r="2">
      <x v="213"/>
    </i>
    <i r="3">
      <x v="1033"/>
    </i>
    <i r="3">
      <x v="1317"/>
    </i>
    <i r="3">
      <x v="1683"/>
    </i>
    <i r="3">
      <x v="1971"/>
    </i>
    <i r="2">
      <x v="215"/>
    </i>
    <i r="3">
      <x v="165"/>
    </i>
    <i r="3">
      <x v="1323"/>
    </i>
    <i r="2">
      <x v="216"/>
    </i>
    <i r="3">
      <x v="574"/>
    </i>
    <i r="3">
      <x v="1088"/>
    </i>
    <i r="3">
      <x v="1567"/>
    </i>
    <i r="2">
      <x v="217"/>
    </i>
    <i r="3">
      <x v="85"/>
    </i>
    <i r="3">
      <x v="172"/>
    </i>
    <i r="3">
      <x v="1457"/>
    </i>
    <i r="3">
      <x v="2272"/>
    </i>
    <i r="2">
      <x v="218"/>
    </i>
    <i r="3">
      <x v="1594"/>
    </i>
    <i r="3">
      <x v="2028"/>
    </i>
    <i r="1">
      <x v="29"/>
    </i>
    <i r="2">
      <x v="37"/>
    </i>
    <i r="3">
      <x v="728"/>
    </i>
    <i r="2">
      <x v="70"/>
    </i>
    <i r="3">
      <x v="2313"/>
    </i>
    <i r="2">
      <x v="75"/>
    </i>
    <i r="3">
      <x v="615"/>
    </i>
    <i r="2">
      <x v="79"/>
    </i>
    <i r="3">
      <x v="1268"/>
    </i>
    <i r="2">
      <x v="84"/>
    </i>
    <i r="3">
      <x v="2216"/>
    </i>
    <i r="2">
      <x v="85"/>
    </i>
    <i r="3">
      <x v="1350"/>
    </i>
    <i r="2">
      <x v="113"/>
    </i>
    <i r="3">
      <x v="2056"/>
    </i>
    <i r="2">
      <x v="120"/>
    </i>
    <i r="3">
      <x v="1063"/>
    </i>
    <i r="2">
      <x v="138"/>
    </i>
    <i r="3">
      <x v="457"/>
    </i>
    <i r="2">
      <x v="140"/>
    </i>
    <i r="3">
      <x v="306"/>
    </i>
    <i r="2">
      <x v="144"/>
    </i>
    <i r="3">
      <x v="244"/>
    </i>
    <i r="2">
      <x v="149"/>
    </i>
    <i r="3">
      <x v="477"/>
    </i>
    <i r="2">
      <x v="154"/>
    </i>
    <i r="3">
      <x v="2141"/>
    </i>
    <i r="2">
      <x v="156"/>
    </i>
    <i r="3">
      <x v="2212"/>
    </i>
    <i r="2">
      <x v="157"/>
    </i>
    <i r="3">
      <x v="664"/>
    </i>
    <i r="2">
      <x v="161"/>
    </i>
    <i r="3">
      <x v="1199"/>
    </i>
    <i r="3">
      <x v="2211"/>
    </i>
    <i r="2">
      <x v="167"/>
    </i>
    <i r="3">
      <x v="2439"/>
    </i>
    <i r="2">
      <x v="175"/>
    </i>
    <i r="3">
      <x v="2231"/>
    </i>
    <i r="2">
      <x v="177"/>
    </i>
    <i r="3">
      <x v="497"/>
    </i>
    <i r="2">
      <x v="179"/>
    </i>
    <i r="3">
      <x v="1508"/>
    </i>
    <i r="3">
      <x v="1634"/>
    </i>
    <i r="2">
      <x v="183"/>
    </i>
    <i r="3">
      <x v="2001"/>
    </i>
    <i r="2">
      <x v="186"/>
    </i>
    <i r="3">
      <x v="503"/>
    </i>
    <i r="2">
      <x v="189"/>
    </i>
    <i r="3">
      <x v="182"/>
    </i>
    <i r="2">
      <x v="194"/>
    </i>
    <i r="3">
      <x v="249"/>
    </i>
    <i r="3">
      <x v="1886"/>
    </i>
    <i r="2">
      <x v="195"/>
    </i>
    <i r="3">
      <x v="1762"/>
    </i>
    <i r="2">
      <x v="196"/>
    </i>
    <i r="3">
      <x v="706"/>
    </i>
    <i r="2">
      <x v="197"/>
    </i>
    <i r="3">
      <x v="775"/>
    </i>
    <i r="2">
      <x v="200"/>
    </i>
    <i r="3">
      <x v="2091"/>
    </i>
    <i r="2">
      <x v="201"/>
    </i>
    <i r="3">
      <x v="805"/>
    </i>
    <i r="3">
      <x v="1644"/>
    </i>
    <i r="3">
      <x v="1921"/>
    </i>
    <i r="2">
      <x v="203"/>
    </i>
    <i r="3">
      <x v="833"/>
    </i>
    <i r="2">
      <x v="204"/>
    </i>
    <i r="3">
      <x v="2290"/>
    </i>
    <i r="2">
      <x v="205"/>
    </i>
    <i r="3">
      <x v="1901"/>
    </i>
    <i r="2">
      <x v="206"/>
    </i>
    <i r="3">
      <x v="501"/>
    </i>
    <i r="3">
      <x v="2210"/>
    </i>
    <i r="2">
      <x v="207"/>
    </i>
    <i r="3">
      <x v="863"/>
    </i>
    <i r="3">
      <x v="1700"/>
    </i>
    <i r="3">
      <x v="1831"/>
    </i>
    <i r="3">
      <x v="2546"/>
    </i>
    <i r="2">
      <x v="209"/>
    </i>
    <i r="3">
      <x v="889"/>
    </i>
    <i r="3">
      <x v="1003"/>
    </i>
    <i r="3">
      <x v="2471"/>
    </i>
    <i r="2">
      <x v="210"/>
    </i>
    <i r="3">
      <x v="1675"/>
    </i>
    <i r="3">
      <x v="2241"/>
    </i>
    <i r="3">
      <x v="2529"/>
    </i>
    <i r="2">
      <x v="211"/>
    </i>
    <i r="3">
      <x v="1193"/>
    </i>
    <i r="3">
      <x v="2269"/>
    </i>
    <i r="2">
      <x v="212"/>
    </i>
    <i r="3">
      <x v="1283"/>
    </i>
    <i r="3">
      <x v="2254"/>
    </i>
    <i r="2">
      <x v="213"/>
    </i>
    <i r="3">
      <x v="185"/>
    </i>
    <i r="2">
      <x v="214"/>
    </i>
    <i r="3">
      <x v="1575"/>
    </i>
    <i r="2">
      <x v="215"/>
    </i>
    <i r="3">
      <x v="101"/>
    </i>
    <i r="3">
      <x v="679"/>
    </i>
    <i r="3">
      <x v="1615"/>
    </i>
    <i r="3">
      <x v="2532"/>
    </i>
    <i r="2">
      <x v="216"/>
    </i>
    <i r="3">
      <x v="2015"/>
    </i>
    <i r="2">
      <x v="217"/>
    </i>
    <i r="3">
      <x v="493"/>
    </i>
    <i r="3">
      <x v="2223"/>
    </i>
    <i r="3">
      <x v="2497"/>
    </i>
    <i r="2">
      <x v="218"/>
    </i>
    <i r="3">
      <x v="1236"/>
    </i>
    <i r="3">
      <x v="2309"/>
    </i>
    <i r="1">
      <x v="30"/>
    </i>
    <i r="2">
      <x v="106"/>
    </i>
    <i r="3">
      <x v="1133"/>
    </i>
    <i r="2">
      <x v="134"/>
    </i>
    <i r="3">
      <x v="2331"/>
    </i>
    <i r="2">
      <x v="140"/>
    </i>
    <i r="3">
      <x v="1077"/>
    </i>
    <i r="2">
      <x v="142"/>
    </i>
    <i r="3">
      <x v="1307"/>
    </i>
    <i r="2">
      <x v="149"/>
    </i>
    <i r="3">
      <x v="1648"/>
    </i>
    <i r="2">
      <x v="151"/>
    </i>
    <i r="3">
      <x v="1397"/>
    </i>
    <i r="2">
      <x v="154"/>
    </i>
    <i r="3">
      <x v="1930"/>
    </i>
    <i r="2">
      <x v="157"/>
    </i>
    <i r="3">
      <x v="2577"/>
    </i>
    <i r="2">
      <x v="158"/>
    </i>
    <i r="3">
      <x v="532"/>
    </i>
    <i r="2">
      <x v="161"/>
    </i>
    <i r="3">
      <x v="480"/>
    </i>
    <i r="2">
      <x v="164"/>
    </i>
    <i r="3">
      <x v="290"/>
    </i>
    <i r="2">
      <x v="168"/>
    </i>
    <i r="3">
      <x v="479"/>
    </i>
    <i r="2">
      <x v="171"/>
    </i>
    <i r="3">
      <x v="665"/>
    </i>
    <i r="2">
      <x v="174"/>
    </i>
    <i r="3">
      <x v="1880"/>
    </i>
    <i r="2">
      <x v="176"/>
    </i>
    <i r="3">
      <x v="689"/>
    </i>
    <i r="3">
      <x v="1596"/>
    </i>
    <i r="2">
      <x v="177"/>
    </i>
    <i r="3">
      <x v="2292"/>
    </i>
    <i r="2">
      <x v="182"/>
    </i>
    <i r="3">
      <x v="792"/>
    </i>
    <i r="2">
      <x v="183"/>
    </i>
    <i r="3">
      <x v="1696"/>
    </i>
    <i r="2">
      <x v="184"/>
    </i>
    <i r="3">
      <x v="999"/>
    </i>
    <i r="2">
      <x v="186"/>
    </i>
    <i r="3">
      <x v="2189"/>
    </i>
    <i r="2">
      <x v="190"/>
    </i>
    <i r="3">
      <x v="2285"/>
    </i>
    <i r="2">
      <x v="191"/>
    </i>
    <i r="3">
      <x v="327"/>
    </i>
    <i r="2">
      <x v="192"/>
    </i>
    <i r="3">
      <x v="573"/>
    </i>
    <i r="3">
      <x v="1313"/>
    </i>
    <i r="2">
      <x v="193"/>
    </i>
    <i r="3">
      <x v="161"/>
    </i>
    <i r="2">
      <x v="195"/>
    </i>
    <i r="3">
      <x v="2133"/>
    </i>
    <i r="2">
      <x v="196"/>
    </i>
    <i r="3">
      <x v="790"/>
    </i>
    <i r="3">
      <x v="1235"/>
    </i>
    <i r="2">
      <x v="197"/>
    </i>
    <i r="3">
      <x v="1703"/>
    </i>
    <i r="3">
      <x v="2528"/>
    </i>
    <i r="2">
      <x v="198"/>
    </i>
    <i r="3">
      <x v="670"/>
    </i>
    <i r="3">
      <x v="767"/>
    </i>
    <i r="3">
      <x v="811"/>
    </i>
    <i r="2">
      <x v="200"/>
    </i>
    <i r="3">
      <x v="1912"/>
    </i>
    <i r="2">
      <x v="201"/>
    </i>
    <i r="3">
      <x v="794"/>
    </i>
    <i r="3">
      <x v="2552"/>
    </i>
    <i r="2">
      <x v="202"/>
    </i>
    <i r="3">
      <x v="638"/>
    </i>
    <i r="2">
      <x v="203"/>
    </i>
    <i r="3">
      <x v="125"/>
    </i>
    <i r="3">
      <x v="1910"/>
    </i>
    <i r="2">
      <x v="205"/>
    </i>
    <i r="3">
      <x v="1367"/>
    </i>
    <i r="2">
      <x v="206"/>
    </i>
    <i r="3">
      <x v="360"/>
    </i>
    <i r="3">
      <x v="1663"/>
    </i>
    <i r="2">
      <x v="207"/>
    </i>
    <i r="3">
      <x v="284"/>
    </i>
    <i r="3">
      <x v="2229"/>
    </i>
    <i r="2">
      <x v="208"/>
    </i>
    <i r="3">
      <x v="232"/>
    </i>
    <i r="3">
      <x v="1790"/>
    </i>
    <i r="2">
      <x v="209"/>
    </i>
    <i r="3">
      <x v="131"/>
    </i>
    <i r="3">
      <x v="865"/>
    </i>
    <i r="2">
      <x v="211"/>
    </i>
    <i r="3">
      <x v="1750"/>
    </i>
    <i r="2">
      <x v="212"/>
    </i>
    <i r="3">
      <x v="2180"/>
    </i>
    <i r="3">
      <x v="2318"/>
    </i>
    <i r="2">
      <x v="213"/>
    </i>
    <i r="3">
      <x v="627"/>
    </i>
    <i r="3">
      <x v="1339"/>
    </i>
    <i r="2">
      <x v="214"/>
    </i>
    <i r="3">
      <x v="1260"/>
    </i>
    <i r="3">
      <x v="2343"/>
    </i>
    <i r="2">
      <x v="215"/>
    </i>
    <i r="3">
      <x v="281"/>
    </i>
    <i r="3">
      <x v="1390"/>
    </i>
    <i r="2">
      <x v="216"/>
    </i>
    <i r="3">
      <x v="177"/>
    </i>
    <i r="3">
      <x v="1515"/>
    </i>
    <i r="3">
      <x v="1889"/>
    </i>
    <i r="2">
      <x v="217"/>
    </i>
    <i r="3">
      <x v="341"/>
    </i>
    <i r="3">
      <x v="1776"/>
    </i>
    <i r="2">
      <x v="218"/>
    </i>
    <i r="3">
      <x v="2576"/>
    </i>
    <i r="1">
      <x v="31"/>
    </i>
    <i r="2">
      <x v="60"/>
    </i>
    <i r="3">
      <x v="960"/>
    </i>
    <i r="2">
      <x v="77"/>
    </i>
    <i r="3">
      <x v="704"/>
    </i>
    <i r="2">
      <x v="83"/>
    </i>
    <i r="3">
      <x v="2323"/>
    </i>
    <i r="2">
      <x v="126"/>
    </i>
    <i r="3">
      <x v="121"/>
    </i>
    <i r="2">
      <x v="133"/>
    </i>
    <i r="3">
      <x v="1043"/>
    </i>
    <i r="3">
      <x v="1908"/>
    </i>
    <i r="2">
      <x v="139"/>
    </i>
    <i r="3">
      <x v="1229"/>
    </i>
    <i r="2">
      <x v="154"/>
    </i>
    <i r="3">
      <x v="2101"/>
    </i>
    <i r="2">
      <x v="162"/>
    </i>
    <i r="3">
      <x v="423"/>
    </i>
    <i r="2">
      <x v="170"/>
    </i>
    <i r="3">
      <x v="1738"/>
    </i>
    <i r="2">
      <x v="174"/>
    </i>
    <i r="3">
      <x v="2442"/>
    </i>
    <i r="2">
      <x v="180"/>
    </i>
    <i r="3">
      <x v="1724"/>
    </i>
    <i r="2">
      <x v="183"/>
    </i>
    <i r="3">
      <x v="891"/>
    </i>
    <i r="2">
      <x v="187"/>
    </i>
    <i r="3">
      <x v="2021"/>
    </i>
    <i r="2">
      <x v="189"/>
    </i>
    <i r="3">
      <x v="2289"/>
    </i>
    <i r="2">
      <x v="193"/>
    </i>
    <i r="3">
      <x v="2235"/>
    </i>
    <i r="3">
      <x v="2354"/>
    </i>
    <i r="2">
      <x v="196"/>
    </i>
    <i r="3">
      <x v="330"/>
    </i>
    <i r="3">
      <x v="848"/>
    </i>
    <i r="3">
      <x v="1957"/>
    </i>
    <i r="2">
      <x v="198"/>
    </i>
    <i r="3">
      <x v="276"/>
    </i>
    <i r="2">
      <x v="199"/>
    </i>
    <i r="3">
      <x v="1072"/>
    </i>
    <i r="2">
      <x v="201"/>
    </i>
    <i r="3">
      <x v="1447"/>
    </i>
    <i r="3">
      <x v="1728"/>
    </i>
    <i r="2">
      <x v="202"/>
    </i>
    <i r="3">
      <x v="1310"/>
    </i>
    <i r="2">
      <x v="203"/>
    </i>
    <i r="3">
      <x v="42"/>
    </i>
    <i r="3">
      <x v="1329"/>
    </i>
    <i r="3">
      <x v="2440"/>
    </i>
    <i r="2">
      <x v="204"/>
    </i>
    <i r="3">
      <x v="1246"/>
    </i>
    <i r="2">
      <x v="205"/>
    </i>
    <i r="3">
      <x v="2128"/>
    </i>
    <i r="3">
      <x v="2185"/>
    </i>
    <i r="2">
      <x v="207"/>
    </i>
    <i r="3">
      <x v="96"/>
    </i>
    <i r="3">
      <x v="1227"/>
    </i>
    <i r="3">
      <x v="2319"/>
    </i>
    <i r="2">
      <x v="209"/>
    </i>
    <i r="3">
      <x v="584"/>
    </i>
    <i r="2">
      <x v="210"/>
    </i>
    <i r="3">
      <x v="2019"/>
    </i>
    <i r="3">
      <x v="2338"/>
    </i>
    <i r="3">
      <x v="2583"/>
    </i>
    <i r="2">
      <x v="211"/>
    </i>
    <i r="3">
      <x v="1301"/>
    </i>
    <i r="2">
      <x v="212"/>
    </i>
    <i r="3">
      <x v="384"/>
    </i>
    <i r="3">
      <x v="466"/>
    </i>
    <i r="3">
      <x v="1485"/>
    </i>
    <i r="2">
      <x v="213"/>
    </i>
    <i r="3">
      <x v="159"/>
    </i>
    <i r="3">
      <x v="233"/>
    </i>
    <i r="3">
      <x v="1495"/>
    </i>
    <i r="3">
      <x v="1626"/>
    </i>
    <i r="3">
      <x v="2004"/>
    </i>
    <i r="2">
      <x v="214"/>
    </i>
    <i r="3">
      <x v="102"/>
    </i>
    <i r="3">
      <x v="1256"/>
    </i>
    <i r="2">
      <x v="215"/>
    </i>
    <i r="3">
      <x v="34"/>
    </i>
    <i r="3">
      <x v="198"/>
    </i>
    <i r="3">
      <x v="502"/>
    </i>
    <i r="3">
      <x v="562"/>
    </i>
    <i r="3">
      <x v="852"/>
    </i>
    <i r="3">
      <x v="2082"/>
    </i>
    <i r="2">
      <x v="216"/>
    </i>
    <i r="3">
      <x v="1049"/>
    </i>
    <i r="3">
      <x v="1123"/>
    </i>
    <i r="3">
      <x v="2274"/>
    </i>
    <i r="2">
      <x v="217"/>
    </i>
    <i r="3">
      <x v="1834"/>
    </i>
    <i r="3">
      <x v="2161"/>
    </i>
    <i r="2">
      <x v="218"/>
    </i>
    <i r="3">
      <x v="847"/>
    </i>
    <i r="3">
      <x v="856"/>
    </i>
    <i r="3">
      <x v="909"/>
    </i>
    <i r="3">
      <x v="2071"/>
    </i>
    <i r="3">
      <x v="2414"/>
    </i>
    <i r="1">
      <x v="32"/>
    </i>
    <i r="2">
      <x v="10"/>
    </i>
    <i r="3">
      <x v="654"/>
    </i>
    <i r="2">
      <x v="46"/>
    </i>
    <i r="3">
      <x v="738"/>
    </i>
    <i r="2">
      <x v="48"/>
    </i>
    <i r="3">
      <x v="730"/>
    </i>
    <i r="2">
      <x v="99"/>
    </i>
    <i r="3">
      <x v="84"/>
    </i>
    <i r="2">
      <x v="112"/>
    </i>
    <i r="3">
      <x v="1020"/>
    </i>
    <i r="2">
      <x v="119"/>
    </i>
    <i r="3">
      <x v="2322"/>
    </i>
    <i r="2">
      <x v="147"/>
    </i>
    <i r="3">
      <x v="1281"/>
    </i>
    <i r="2">
      <x v="158"/>
    </i>
    <i r="3">
      <x v="930"/>
    </i>
    <i r="2">
      <x v="164"/>
    </i>
    <i r="3">
      <x v="2102"/>
    </i>
    <i r="2">
      <x v="167"/>
    </i>
    <i r="3">
      <x v="1600"/>
    </i>
    <i r="2">
      <x v="172"/>
    </i>
    <i r="3">
      <x v="1933"/>
    </i>
    <i r="2">
      <x v="178"/>
    </i>
    <i r="3">
      <x v="1518"/>
    </i>
    <i r="2">
      <x v="180"/>
    </i>
    <i r="3">
      <x v="1040"/>
    </i>
    <i r="2">
      <x v="182"/>
    </i>
    <i r="3">
      <x v="545"/>
    </i>
    <i r="2">
      <x v="188"/>
    </i>
    <i r="3">
      <x v="2277"/>
    </i>
    <i r="2">
      <x v="189"/>
    </i>
    <i r="3">
      <x v="1486"/>
    </i>
    <i r="2">
      <x v="190"/>
    </i>
    <i r="3">
      <x v="1846"/>
    </i>
    <i r="2">
      <x v="191"/>
    </i>
    <i r="3">
      <x v="867"/>
    </i>
    <i r="2">
      <x v="194"/>
    </i>
    <i r="3">
      <x v="1852"/>
    </i>
    <i r="2">
      <x v="196"/>
    </i>
    <i r="3">
      <x v="270"/>
    </i>
    <i r="3">
      <x v="1569"/>
    </i>
    <i r="3">
      <x v="1863"/>
    </i>
    <i r="2">
      <x v="199"/>
    </i>
    <i r="3">
      <x v="919"/>
    </i>
    <i r="2">
      <x v="200"/>
    </i>
    <i r="3">
      <x v="381"/>
    </i>
    <i r="3">
      <x v="1785"/>
    </i>
    <i r="2">
      <x v="201"/>
    </i>
    <i r="3">
      <x v="2551"/>
    </i>
    <i r="2">
      <x v="202"/>
    </i>
    <i r="3">
      <x v="82"/>
    </i>
    <i r="3">
      <x v="1104"/>
    </i>
    <i r="3">
      <x v="1769"/>
    </i>
    <i r="2">
      <x v="203"/>
    </i>
    <i r="3">
      <x v="840"/>
    </i>
    <i r="3">
      <x v="1099"/>
    </i>
    <i r="3">
      <x v="1702"/>
    </i>
    <i r="2">
      <x v="205"/>
    </i>
    <i r="3">
      <x v="39"/>
    </i>
    <i r="3">
      <x v="1386"/>
    </i>
    <i r="3">
      <x v="2244"/>
    </i>
    <i r="2">
      <x v="206"/>
    </i>
    <i r="3">
      <x v="673"/>
    </i>
    <i r="2">
      <x v="207"/>
    </i>
    <i r="3">
      <x v="2397"/>
    </i>
    <i r="2">
      <x v="208"/>
    </i>
    <i r="3">
      <x v="414"/>
    </i>
    <i r="3">
      <x v="544"/>
    </i>
    <i r="3">
      <x v="1383"/>
    </i>
    <i r="3">
      <x v="1711"/>
    </i>
    <i r="2">
      <x v="209"/>
    </i>
    <i r="3">
      <x v="2013"/>
    </i>
    <i r="2">
      <x v="210"/>
    </i>
    <i r="3">
      <x v="1051"/>
    </i>
    <i r="3">
      <x v="1523"/>
    </i>
    <i r="2">
      <x v="211"/>
    </i>
    <i r="3">
      <x v="1115"/>
    </i>
    <i r="2">
      <x v="212"/>
    </i>
    <i r="3">
      <x v="888"/>
    </i>
    <i r="3">
      <x v="1028"/>
    </i>
    <i r="3">
      <x v="1385"/>
    </i>
    <i r="3">
      <x v="1855"/>
    </i>
    <i r="2">
      <x v="213"/>
    </i>
    <i r="3">
      <x v="820"/>
    </i>
    <i r="3">
      <x v="1786"/>
    </i>
    <i r="2">
      <x v="214"/>
    </i>
    <i r="3">
      <x v="697"/>
    </i>
    <i r="3">
      <x v="1161"/>
    </i>
    <i r="3">
      <x v="1454"/>
    </i>
    <i r="3">
      <x v="1867"/>
    </i>
    <i r="2">
      <x v="215"/>
    </i>
    <i r="3">
      <x v="1573"/>
    </i>
    <i r="3">
      <x v="1978"/>
    </i>
    <i r="2">
      <x v="216"/>
    </i>
    <i r="3">
      <x v="510"/>
    </i>
    <i r="2">
      <x v="217"/>
    </i>
    <i r="3">
      <x v="151"/>
    </i>
    <i r="3">
      <x v="1920"/>
    </i>
    <i r="2">
      <x v="218"/>
    </i>
    <i r="3">
      <x v="559"/>
    </i>
    <i r="3">
      <x v="1387"/>
    </i>
    <i r="1">
      <x v="33"/>
    </i>
    <i r="2">
      <x v="14"/>
    </i>
    <i r="3">
      <x v="2611"/>
    </i>
    <i r="2">
      <x v="92"/>
    </i>
    <i r="3">
      <x v="1826"/>
    </i>
    <i r="2">
      <x v="96"/>
    </i>
    <i r="3">
      <x v="323"/>
    </i>
    <i r="2">
      <x v="139"/>
    </i>
    <i r="3">
      <x v="642"/>
    </i>
    <i r="2">
      <x v="142"/>
    </i>
    <i r="3">
      <x v="1861"/>
    </i>
    <i r="2">
      <x v="146"/>
    </i>
    <i r="3">
      <x v="2366"/>
    </i>
    <i r="2">
      <x v="151"/>
    </i>
    <i r="3">
      <x v="838"/>
    </i>
    <i r="3">
      <x v="1873"/>
    </i>
    <i r="2">
      <x v="153"/>
    </i>
    <i r="3">
      <x v="1747"/>
    </i>
    <i r="2">
      <x v="156"/>
    </i>
    <i r="3">
      <x v="988"/>
    </i>
    <i r="2">
      <x v="159"/>
    </i>
    <i r="3">
      <x v="1963"/>
    </i>
    <i r="2">
      <x v="162"/>
    </i>
    <i r="3">
      <x v="271"/>
    </i>
    <i r="2">
      <x v="173"/>
    </i>
    <i r="3">
      <x v="1021"/>
    </i>
    <i r="3">
      <x v="1905"/>
    </i>
    <i r="2">
      <x v="174"/>
    </i>
    <i r="3">
      <x v="1306"/>
    </i>
    <i r="2">
      <x v="180"/>
    </i>
    <i r="3">
      <x v="2336"/>
    </i>
    <i r="2">
      <x v="181"/>
    </i>
    <i r="3">
      <x v="297"/>
    </i>
    <i r="3">
      <x v="2234"/>
    </i>
    <i r="2">
      <x v="186"/>
    </i>
    <i r="3">
      <x v="1578"/>
    </i>
    <i r="3">
      <x v="1808"/>
    </i>
    <i r="2">
      <x v="187"/>
    </i>
    <i r="3">
      <x v="119"/>
    </i>
    <i r="2">
      <x v="188"/>
    </i>
    <i r="3">
      <x v="2063"/>
    </i>
    <i r="2">
      <x v="191"/>
    </i>
    <i r="3">
      <x v="2267"/>
    </i>
    <i r="2">
      <x v="194"/>
    </i>
    <i r="3">
      <x v="1092"/>
    </i>
    <i r="2">
      <x v="195"/>
    </i>
    <i r="3">
      <x v="1645"/>
    </i>
    <i r="3">
      <x v="2352"/>
    </i>
    <i r="2">
      <x v="196"/>
    </i>
    <i r="3">
      <x v="2155"/>
    </i>
    <i r="2">
      <x v="198"/>
    </i>
    <i r="3">
      <x v="1452"/>
    </i>
    <i r="2">
      <x v="199"/>
    </i>
    <i r="3">
      <x v="771"/>
    </i>
    <i r="2">
      <x v="201"/>
    </i>
    <i r="3">
      <x v="989"/>
    </i>
    <i r="3">
      <x v="1682"/>
    </i>
    <i r="2">
      <x v="204"/>
    </i>
    <i r="3">
      <x v="1259"/>
    </i>
    <i r="3">
      <x v="1838"/>
    </i>
    <i r="2">
      <x v="205"/>
    </i>
    <i r="3">
      <x v="1160"/>
    </i>
    <i r="2">
      <x v="206"/>
    </i>
    <i r="3">
      <x v="801"/>
    </i>
    <i r="2">
      <x v="207"/>
    </i>
    <i r="3">
      <x v="572"/>
    </i>
    <i r="3">
      <x v="2401"/>
    </i>
    <i r="2">
      <x v="208"/>
    </i>
    <i r="3">
      <x v="92"/>
    </i>
    <i r="2">
      <x v="209"/>
    </i>
    <i r="3">
      <x v="628"/>
    </i>
    <i r="3">
      <x v="1817"/>
    </i>
    <i r="3">
      <x v="2579"/>
    </i>
    <i r="2">
      <x v="210"/>
    </i>
    <i r="3">
      <x v="1044"/>
    </i>
    <i r="3">
      <x v="1076"/>
    </i>
    <i r="3">
      <x v="1985"/>
    </i>
    <i r="2">
      <x v="211"/>
    </i>
    <i r="3">
      <x v="178"/>
    </i>
    <i r="3">
      <x v="1950"/>
    </i>
    <i r="2">
      <x v="212"/>
    </i>
    <i r="3">
      <x v="143"/>
    </i>
    <i r="3">
      <x v="1690"/>
    </i>
    <i r="3">
      <x v="2017"/>
    </i>
    <i r="2">
      <x v="213"/>
    </i>
    <i r="3">
      <x v="319"/>
    </i>
    <i r="3">
      <x v="788"/>
    </i>
    <i r="3">
      <x v="1732"/>
    </i>
    <i r="3">
      <x v="1835"/>
    </i>
    <i r="2">
      <x v="214"/>
    </i>
    <i r="3">
      <x v="246"/>
    </i>
    <i r="3">
      <x v="1192"/>
    </i>
    <i r="3">
      <x v="1558"/>
    </i>
    <i r="3">
      <x v="2081"/>
    </i>
    <i r="2">
      <x v="215"/>
    </i>
    <i r="3">
      <x v="923"/>
    </i>
    <i r="2">
      <x v="216"/>
    </i>
    <i r="3">
      <x v="663"/>
    </i>
    <i r="3">
      <x v="1657"/>
    </i>
    <i r="3">
      <x v="1994"/>
    </i>
    <i r="3">
      <x v="2429"/>
    </i>
    <i r="2">
      <x v="217"/>
    </i>
    <i r="3">
      <x v="998"/>
    </i>
    <i r="3">
      <x v="1400"/>
    </i>
    <i r="3">
      <x v="1755"/>
    </i>
    <i r="3">
      <x v="1882"/>
    </i>
    <i r="3">
      <x v="2477"/>
    </i>
    <i r="3">
      <x v="2521"/>
    </i>
    <i r="2">
      <x v="218"/>
    </i>
    <i r="3">
      <x v="214"/>
    </i>
    <i r="3">
      <x v="823"/>
    </i>
    <i r="3">
      <x v="1458"/>
    </i>
    <i r="3">
      <x v="1632"/>
    </i>
    <i r="3">
      <x v="1656"/>
    </i>
    <i r="1">
      <x v="34"/>
    </i>
    <i r="2">
      <x v="5"/>
    </i>
    <i r="3">
      <x v="238"/>
    </i>
    <i r="2">
      <x v="9"/>
    </i>
    <i r="3">
      <x v="2135"/>
    </i>
    <i r="2">
      <x v="65"/>
    </i>
    <i r="3">
      <x v="1315"/>
    </i>
    <i r="2">
      <x v="86"/>
    </i>
    <i r="3">
      <x v="594"/>
    </i>
    <i r="2">
      <x v="88"/>
    </i>
    <i r="3">
      <x v="1723"/>
    </i>
    <i r="2">
      <x v="90"/>
    </i>
    <i r="3">
      <x v="514"/>
    </i>
    <i r="2">
      <x v="103"/>
    </i>
    <i r="3">
      <x v="897"/>
    </i>
    <i r="2">
      <x v="122"/>
    </i>
    <i r="3">
      <x v="1885"/>
    </i>
    <i r="2">
      <x v="133"/>
    </i>
    <i r="3">
      <x v="1432"/>
    </i>
    <i r="2">
      <x v="142"/>
    </i>
    <i r="3">
      <x v="110"/>
    </i>
    <i r="3">
      <x v="759"/>
    </i>
    <i r="2">
      <x v="152"/>
    </i>
    <i r="3">
      <x v="123"/>
    </i>
    <i r="2">
      <x v="158"/>
    </i>
    <i r="3">
      <x v="1145"/>
    </i>
    <i r="2">
      <x v="162"/>
    </i>
    <i r="3">
      <x v="2286"/>
    </i>
    <i r="2">
      <x v="175"/>
    </i>
    <i r="3">
      <x v="1440"/>
    </i>
    <i r="2">
      <x v="179"/>
    </i>
    <i r="3">
      <x v="235"/>
    </i>
    <i r="3">
      <x v="1198"/>
    </i>
    <i r="2">
      <x v="180"/>
    </i>
    <i r="3">
      <x v="1983"/>
    </i>
    <i r="2">
      <x v="184"/>
    </i>
    <i r="3">
      <x v="1456"/>
    </i>
    <i r="2">
      <x v="188"/>
    </i>
    <i r="3">
      <x v="1847"/>
    </i>
    <i r="2">
      <x v="189"/>
    </i>
    <i r="3">
      <x v="1204"/>
    </i>
    <i r="2">
      <x v="192"/>
    </i>
    <i r="3">
      <x v="1528"/>
    </i>
    <i r="3">
      <x v="2129"/>
    </i>
    <i r="2">
      <x v="196"/>
    </i>
    <i r="3">
      <x v="2039"/>
    </i>
    <i r="3">
      <x v="2334"/>
    </i>
    <i r="3">
      <x v="2452"/>
    </i>
    <i r="2">
      <x v="197"/>
    </i>
    <i r="3">
      <x v="625"/>
    </i>
    <i r="3">
      <x v="1883"/>
    </i>
    <i r="3">
      <x v="2346"/>
    </i>
    <i r="2">
      <x v="198"/>
    </i>
    <i r="3">
      <x v="20"/>
    </i>
    <i r="3">
      <x v="1098"/>
    </i>
    <i r="3">
      <x v="1379"/>
    </i>
    <i r="3">
      <x v="2342"/>
    </i>
    <i r="2">
      <x v="200"/>
    </i>
    <i r="3">
      <x v="1646"/>
    </i>
    <i r="3">
      <x v="1649"/>
    </i>
    <i r="2">
      <x v="202"/>
    </i>
    <i r="3">
      <x v="1480"/>
    </i>
    <i r="3">
      <x v="1584"/>
    </i>
    <i r="2">
      <x v="203"/>
    </i>
    <i r="3">
      <x v="1131"/>
    </i>
    <i r="2">
      <x v="204"/>
    </i>
    <i r="3">
      <x v="797"/>
    </i>
    <i r="2">
      <x v="205"/>
    </i>
    <i r="3">
      <x v="266"/>
    </i>
    <i r="2">
      <x v="206"/>
    </i>
    <i r="3">
      <x v="800"/>
    </i>
    <i r="3">
      <x v="2198"/>
    </i>
    <i r="3">
      <x v="2430"/>
    </i>
    <i r="2">
      <x v="207"/>
    </i>
    <i r="3">
      <x v="98"/>
    </i>
    <i r="3">
      <x v="965"/>
    </i>
    <i r="3">
      <x v="2218"/>
    </i>
    <i r="2">
      <x v="208"/>
    </i>
    <i r="3">
      <x v="2181"/>
    </i>
    <i r="2">
      <x v="209"/>
    </i>
    <i r="3">
      <x v="1501"/>
    </i>
    <i r="3">
      <x v="2124"/>
    </i>
    <i r="3">
      <x v="2359"/>
    </i>
    <i r="2">
      <x v="210"/>
    </i>
    <i r="3">
      <x v="30"/>
    </i>
    <i r="3">
      <x v="243"/>
    </i>
    <i r="3">
      <x v="1054"/>
    </i>
    <i r="3">
      <x v="1128"/>
    </i>
    <i r="2">
      <x v="211"/>
    </i>
    <i r="3">
      <x v="91"/>
    </i>
    <i r="3">
      <x v="1084"/>
    </i>
    <i r="3">
      <x v="1744"/>
    </i>
    <i r="2">
      <x v="212"/>
    </i>
    <i r="3">
      <x v="180"/>
    </i>
    <i r="3">
      <x v="962"/>
    </i>
    <i r="3">
      <x v="2029"/>
    </i>
    <i r="2">
      <x v="213"/>
    </i>
    <i r="3">
      <x v="481"/>
    </i>
    <i r="3">
      <x v="1735"/>
    </i>
    <i r="3">
      <x v="1850"/>
    </i>
    <i r="2">
      <x v="214"/>
    </i>
    <i r="3">
      <x v="1261"/>
    </i>
    <i r="2">
      <x v="215"/>
    </i>
    <i r="3">
      <x v="1156"/>
    </i>
    <i r="3">
      <x v="1856"/>
    </i>
    <i r="3">
      <x v="2253"/>
    </i>
    <i r="2">
      <x v="216"/>
    </i>
    <i r="3">
      <x v="142"/>
    </i>
    <i r="3">
      <x v="551"/>
    </i>
    <i r="3">
      <x v="2446"/>
    </i>
    <i r="2">
      <x v="217"/>
    </i>
    <i r="3">
      <x v="626"/>
    </i>
    <i r="3">
      <x v="1585"/>
    </i>
    <i r="2">
      <x v="218"/>
    </i>
    <i r="3">
      <x v="2298"/>
    </i>
    <i r="1">
      <x v="35"/>
    </i>
    <i r="2">
      <x v="63"/>
    </i>
    <i r="3">
      <x v="2345"/>
    </i>
    <i r="2">
      <x v="80"/>
    </i>
    <i r="3">
      <x v="2137"/>
    </i>
    <i r="2">
      <x v="133"/>
    </i>
    <i r="3">
      <x v="2325"/>
    </i>
    <i r="2">
      <x v="138"/>
    </i>
    <i r="3">
      <x v="925"/>
    </i>
    <i r="2">
      <x v="147"/>
    </i>
    <i r="3">
      <x v="2221"/>
    </i>
    <i r="2">
      <x v="148"/>
    </i>
    <i r="3">
      <x v="1314"/>
    </i>
    <i r="2">
      <x v="150"/>
    </i>
    <i r="3">
      <x v="1342"/>
    </i>
    <i r="2">
      <x v="152"/>
    </i>
    <i r="3">
      <x v="1100"/>
    </i>
    <i r="2">
      <x v="157"/>
    </i>
    <i r="3">
      <x v="1359"/>
    </i>
    <i r="2">
      <x v="165"/>
    </i>
    <i r="3">
      <x v="1085"/>
    </i>
    <i r="2">
      <x v="169"/>
    </i>
    <i r="3">
      <x v="2288"/>
    </i>
    <i r="2">
      <x v="173"/>
    </i>
    <i r="3">
      <x v="1616"/>
    </i>
    <i r="3">
      <x v="1792"/>
    </i>
    <i r="2">
      <x v="178"/>
    </i>
    <i r="3">
      <x v="376"/>
    </i>
    <i r="2">
      <x v="180"/>
    </i>
    <i r="3">
      <x v="826"/>
    </i>
    <i r="2">
      <x v="182"/>
    </i>
    <i r="3">
      <x v="2498"/>
    </i>
    <i r="2">
      <x v="184"/>
    </i>
    <i r="3">
      <x v="1057"/>
    </i>
    <i r="2">
      <x v="185"/>
    </i>
    <i r="3">
      <x v="445"/>
    </i>
    <i r="2">
      <x v="187"/>
    </i>
    <i r="3">
      <x v="154"/>
    </i>
    <i r="3">
      <x v="2355"/>
    </i>
    <i r="2">
      <x v="191"/>
    </i>
    <i r="3">
      <x v="254"/>
    </i>
    <i r="2">
      <x v="193"/>
    </i>
    <i r="3">
      <x v="405"/>
    </i>
    <i r="3">
      <x v="2340"/>
    </i>
    <i r="2">
      <x v="194"/>
    </i>
    <i r="3">
      <x v="2139"/>
    </i>
    <i r="2">
      <x v="196"/>
    </i>
    <i r="3">
      <x v="1730"/>
    </i>
    <i r="3">
      <x v="2392"/>
    </i>
    <i r="2">
      <x v="197"/>
    </i>
    <i r="3">
      <x v="1113"/>
    </i>
    <i r="2">
      <x v="198"/>
    </i>
    <i r="3">
      <x v="611"/>
    </i>
    <i r="3">
      <x v="2175"/>
    </i>
    <i r="2">
      <x v="199"/>
    </i>
    <i r="3">
      <x v="942"/>
    </i>
    <i r="3">
      <x v="1331"/>
    </i>
    <i r="2">
      <x v="200"/>
    </i>
    <i r="3">
      <x v="1139"/>
    </i>
    <i r="3">
      <x v="1548"/>
    </i>
    <i r="2">
      <x v="202"/>
    </i>
    <i r="3">
      <x v="1503"/>
    </i>
    <i r="2">
      <x v="203"/>
    </i>
    <i r="3">
      <x v="255"/>
    </i>
    <i r="3">
      <x v="2472"/>
    </i>
    <i r="2">
      <x v="204"/>
    </i>
    <i r="3">
      <x v="224"/>
    </i>
    <i r="3">
      <x v="844"/>
    </i>
    <i r="2">
      <x v="205"/>
    </i>
    <i r="3">
      <x v="1289"/>
    </i>
    <i r="3">
      <x v="2224"/>
    </i>
    <i r="2">
      <x v="206"/>
    </i>
    <i r="3">
      <x v="1187"/>
    </i>
    <i r="3">
      <x v="2381"/>
    </i>
    <i r="2">
      <x v="207"/>
    </i>
    <i r="3">
      <x v="2117"/>
    </i>
    <i r="3">
      <x v="2400"/>
    </i>
    <i r="3">
      <x v="2635"/>
    </i>
    <i r="2">
      <x v="208"/>
    </i>
    <i r="3">
      <x v="2415"/>
    </i>
    <i r="3">
      <x v="2637"/>
    </i>
    <i r="2">
      <x v="209"/>
    </i>
    <i r="3">
      <x v="1878"/>
    </i>
    <i r="2">
      <x v="211"/>
    </i>
    <i r="3">
      <x v="975"/>
    </i>
    <i r="2">
      <x v="212"/>
    </i>
    <i r="3">
      <x v="429"/>
    </i>
    <i r="3">
      <x v="1343"/>
    </i>
    <i r="3">
      <x v="1406"/>
    </i>
    <i r="3">
      <x v="2109"/>
    </i>
    <i r="2">
      <x v="213"/>
    </i>
    <i r="3">
      <x v="554"/>
    </i>
    <i r="3">
      <x v="1341"/>
    </i>
    <i r="3">
      <x v="1396"/>
    </i>
    <i r="3">
      <x v="2620"/>
    </i>
    <i r="2">
      <x v="214"/>
    </i>
    <i r="3">
      <x v="252"/>
    </i>
    <i r="3">
      <x v="490"/>
    </i>
    <i r="2">
      <x v="215"/>
    </i>
    <i r="3">
      <x v="245"/>
    </i>
    <i r="3">
      <x v="409"/>
    </i>
    <i r="3">
      <x v="803"/>
    </i>
    <i r="3">
      <x v="961"/>
    </i>
    <i r="2">
      <x v="216"/>
    </i>
    <i r="3">
      <x v="459"/>
    </i>
    <i r="3">
      <x v="1000"/>
    </i>
    <i r="3">
      <x v="1549"/>
    </i>
    <i r="3">
      <x v="2074"/>
    </i>
    <i r="3">
      <x v="2595"/>
    </i>
    <i r="2">
      <x v="217"/>
    </i>
    <i r="3">
      <x v="228"/>
    </i>
    <i r="3">
      <x v="677"/>
    </i>
    <i r="3">
      <x v="804"/>
    </i>
    <i r="2">
      <x v="218"/>
    </i>
    <i r="3">
      <x v="818"/>
    </i>
    <i r="3">
      <x v="910"/>
    </i>
    <i r="3">
      <x v="2422"/>
    </i>
    <i r="1">
      <x v="36"/>
    </i>
    <i r="2">
      <x v="8"/>
    </i>
    <i r="3">
      <x v="1633"/>
    </i>
    <i r="2">
      <x v="20"/>
    </i>
    <i r="3">
      <x v="483"/>
    </i>
    <i r="2">
      <x v="36"/>
    </i>
    <i r="3">
      <x v="1304"/>
    </i>
    <i r="2">
      <x v="62"/>
    </i>
    <i r="3">
      <x v="1532"/>
    </i>
    <i r="2">
      <x v="77"/>
    </i>
    <i r="3">
      <x v="482"/>
    </i>
    <i r="2">
      <x v="101"/>
    </i>
    <i r="3">
      <x v="83"/>
    </i>
    <i r="2">
      <x v="147"/>
    </i>
    <i r="3">
      <x v="2248"/>
    </i>
    <i r="2">
      <x v="156"/>
    </i>
    <i r="3">
      <x v="168"/>
    </i>
    <i r="2">
      <x v="160"/>
    </i>
    <i r="3">
      <x v="2330"/>
    </i>
    <i r="2">
      <x v="161"/>
    </i>
    <i r="3">
      <x v="2487"/>
    </i>
    <i r="2">
      <x v="167"/>
    </i>
    <i r="3">
      <x v="2169"/>
    </i>
    <i r="2">
      <x v="168"/>
    </i>
    <i r="3">
      <x v="755"/>
    </i>
    <i r="2">
      <x v="172"/>
    </i>
    <i r="3">
      <x v="1171"/>
    </i>
    <i r="3">
      <x v="2040"/>
    </i>
    <i r="2">
      <x v="173"/>
    </i>
    <i r="3">
      <x v="947"/>
    </i>
    <i r="2">
      <x v="175"/>
    </i>
    <i r="3">
      <x v="547"/>
    </i>
    <i r="2">
      <x v="177"/>
    </i>
    <i r="3">
      <x v="2273"/>
    </i>
    <i r="2">
      <x v="182"/>
    </i>
    <i r="3">
      <x v="1505"/>
    </i>
    <i r="2">
      <x v="183"/>
    </i>
    <i r="3">
      <x v="2537"/>
    </i>
    <i r="2">
      <x v="184"/>
    </i>
    <i r="3">
      <x v="1812"/>
    </i>
    <i r="2">
      <x v="185"/>
    </i>
    <i r="3">
      <x v="1903"/>
    </i>
    <i r="2">
      <x v="186"/>
    </i>
    <i r="3">
      <x v="2061"/>
    </i>
    <i r="2">
      <x v="188"/>
    </i>
    <i r="3">
      <x v="1743"/>
    </i>
    <i r="2">
      <x v="189"/>
    </i>
    <i r="3">
      <x v="344"/>
    </i>
    <i r="2">
      <x v="192"/>
    </i>
    <i r="3">
      <x v="945"/>
    </i>
    <i r="2">
      <x v="193"/>
    </i>
    <i r="3">
      <x v="1545"/>
    </i>
    <i r="3">
      <x v="1605"/>
    </i>
    <i r="3">
      <x v="1672"/>
    </i>
    <i r="3">
      <x v="2508"/>
    </i>
    <i r="2">
      <x v="194"/>
    </i>
    <i r="3">
      <x v="1299"/>
    </i>
    <i r="2">
      <x v="196"/>
    </i>
    <i r="3">
      <x v="1109"/>
    </i>
    <i r="2">
      <x v="198"/>
    </i>
    <i r="3">
      <x v="602"/>
    </i>
    <i r="3">
      <x v="2171"/>
    </i>
    <i r="3">
      <x v="2622"/>
    </i>
    <i r="2">
      <x v="199"/>
    </i>
    <i r="3">
      <x v="173"/>
    </i>
    <i r="3">
      <x v="287"/>
    </i>
    <i r="2">
      <x v="201"/>
    </i>
    <i r="3">
      <x v="272"/>
    </i>
    <i r="3">
      <x v="751"/>
    </i>
    <i r="2">
      <x v="204"/>
    </i>
    <i r="3">
      <x v="630"/>
    </i>
    <i r="2">
      <x v="205"/>
    </i>
    <i r="3">
      <x v="393"/>
    </i>
    <i r="3">
      <x v="1556"/>
    </i>
    <i r="2">
      <x v="206"/>
    </i>
    <i r="3">
      <x v="487"/>
    </i>
    <i r="3">
      <x v="839"/>
    </i>
    <i r="2">
      <x v="207"/>
    </i>
    <i r="3">
      <x v="810"/>
    </i>
    <i r="3">
      <x v="1684"/>
    </i>
    <i r="3">
      <x v="1713"/>
    </i>
    <i r="3">
      <x v="1741"/>
    </i>
    <i r="2">
      <x v="209"/>
    </i>
    <i r="3">
      <x v="19"/>
    </i>
    <i r="3">
      <x v="461"/>
    </i>
    <i r="3">
      <x v="701"/>
    </i>
    <i r="2">
      <x v="212"/>
    </i>
    <i r="3">
      <x v="2044"/>
    </i>
    <i r="3">
      <x v="2207"/>
    </i>
    <i r="2">
      <x v="213"/>
    </i>
    <i r="3">
      <x v="17"/>
    </i>
    <i r="3">
      <x v="2236"/>
    </i>
    <i r="2">
      <x v="214"/>
    </i>
    <i r="3">
      <x v="382"/>
    </i>
    <i r="3">
      <x v="392"/>
    </i>
    <i r="3">
      <x v="929"/>
    </i>
    <i r="3">
      <x v="1255"/>
    </i>
    <i r="3">
      <x v="1441"/>
    </i>
    <i r="3">
      <x v="2612"/>
    </i>
    <i r="2">
      <x v="215"/>
    </i>
    <i r="3">
      <x v="1059"/>
    </i>
    <i r="3">
      <x v="1715"/>
    </i>
    <i r="3">
      <x v="2054"/>
    </i>
    <i r="2">
      <x v="216"/>
    </i>
    <i r="3">
      <x v="695"/>
    </i>
    <i r="3">
      <x v="1127"/>
    </i>
    <i r="3">
      <x v="1164"/>
    </i>
    <i r="3">
      <x v="2242"/>
    </i>
    <i r="2">
      <x v="217"/>
    </i>
    <i r="3">
      <x v="834"/>
    </i>
    <i r="2">
      <x v="218"/>
    </i>
    <i r="3">
      <x v="366"/>
    </i>
    <i r="1">
      <x v="37"/>
    </i>
    <i r="2">
      <x v="42"/>
    </i>
    <i r="3">
      <x v="994"/>
    </i>
    <i r="2">
      <x v="109"/>
    </i>
    <i r="3">
      <x v="2302"/>
    </i>
    <i r="2">
      <x v="127"/>
    </i>
    <i r="3">
      <x v="995"/>
    </i>
    <i r="2">
      <x v="132"/>
    </i>
    <i r="3">
      <x v="2166"/>
    </i>
    <i r="2">
      <x v="133"/>
    </i>
    <i r="3">
      <x v="2315"/>
    </i>
    <i r="2">
      <x v="140"/>
    </i>
    <i r="3">
      <x v="1758"/>
    </i>
    <i r="2">
      <x v="152"/>
    </i>
    <i r="3">
      <x v="1784"/>
    </i>
    <i r="2">
      <x v="168"/>
    </i>
    <i r="3">
      <x v="51"/>
    </i>
    <i r="2">
      <x v="175"/>
    </i>
    <i r="3">
      <x v="1907"/>
    </i>
    <i r="2">
      <x v="177"/>
    </i>
    <i r="3">
      <x v="1233"/>
    </i>
    <i r="2">
      <x v="178"/>
    </i>
    <i r="3">
      <x v="65"/>
    </i>
    <i r="3">
      <x v="1635"/>
    </i>
    <i r="2">
      <x v="180"/>
    </i>
    <i r="3">
      <x v="781"/>
    </i>
    <i r="3">
      <x v="2214"/>
    </i>
    <i r="2">
      <x v="182"/>
    </i>
    <i r="3">
      <x v="1500"/>
    </i>
    <i r="2">
      <x v="184"/>
    </i>
    <i r="3">
      <x v="1829"/>
    </i>
    <i r="2">
      <x v="185"/>
    </i>
    <i r="3">
      <x v="1108"/>
    </i>
    <i r="2">
      <x v="190"/>
    </i>
    <i r="3">
      <x v="782"/>
    </i>
    <i r="2">
      <x v="193"/>
    </i>
    <i r="3">
      <x v="1496"/>
    </i>
    <i r="2">
      <x v="194"/>
    </i>
    <i r="3">
      <x v="378"/>
    </i>
    <i r="2">
      <x v="196"/>
    </i>
    <i r="3">
      <x v="350"/>
    </i>
    <i r="2">
      <x v="198"/>
    </i>
    <i r="3">
      <x v="887"/>
    </i>
    <i r="3">
      <x v="1934"/>
    </i>
    <i r="2">
      <x v="201"/>
    </i>
    <i r="3">
      <x v="494"/>
    </i>
    <i r="2">
      <x v="202"/>
    </i>
    <i r="3">
      <x v="1887"/>
    </i>
    <i r="2">
      <x v="203"/>
    </i>
    <i r="3">
      <x v="240"/>
    </i>
    <i r="3">
      <x v="274"/>
    </i>
    <i r="3">
      <x v="590"/>
    </i>
    <i r="2">
      <x v="206"/>
    </i>
    <i r="3">
      <x v="403"/>
    </i>
    <i r="3">
      <x v="997"/>
    </i>
    <i r="2">
      <x v="207"/>
    </i>
    <i r="3">
      <x v="529"/>
    </i>
    <i r="3">
      <x v="1166"/>
    </i>
    <i r="3">
      <x v="2402"/>
    </i>
    <i r="2">
      <x v="208"/>
    </i>
    <i r="3">
      <x v="86"/>
    </i>
    <i r="3">
      <x v="880"/>
    </i>
    <i r="2">
      <x v="209"/>
    </i>
    <i r="3">
      <x v="871"/>
    </i>
    <i r="3">
      <x v="1550"/>
    </i>
    <i r="3">
      <x v="2024"/>
    </i>
    <i r="2">
      <x v="210"/>
    </i>
    <i r="3">
      <x v="196"/>
    </i>
    <i r="2">
      <x v="211"/>
    </i>
    <i r="3">
      <x v="906"/>
    </i>
    <i r="3">
      <x v="926"/>
    </i>
    <i r="2">
      <x v="212"/>
    </i>
    <i r="3">
      <x v="1916"/>
    </i>
    <i r="3">
      <x v="2499"/>
    </i>
    <i r="2">
      <x v="213"/>
    </i>
    <i r="3">
      <x v="658"/>
    </i>
    <i r="3">
      <x v="1958"/>
    </i>
    <i r="2">
      <x v="214"/>
    </i>
    <i r="3">
      <x v="1842"/>
    </i>
    <i r="3">
      <x v="2136"/>
    </i>
    <i r="2">
      <x v="215"/>
    </i>
    <i r="3">
      <x v="374"/>
    </i>
    <i r="3">
      <x v="1019"/>
    </i>
    <i r="3">
      <x v="1241"/>
    </i>
    <i r="3">
      <x v="1840"/>
    </i>
    <i r="3">
      <x v="2631"/>
    </i>
    <i r="2">
      <x v="217"/>
    </i>
    <i r="3">
      <x v="1243"/>
    </i>
    <i r="2">
      <x v="218"/>
    </i>
    <i r="3">
      <x v="346"/>
    </i>
    <i r="3">
      <x v="1796"/>
    </i>
    <i r="1">
      <x v="38"/>
    </i>
    <i r="2">
      <x v="132"/>
    </i>
    <i r="3">
      <x v="112"/>
    </i>
    <i r="2">
      <x v="137"/>
    </i>
    <i r="3">
      <x v="595"/>
    </i>
    <i r="2">
      <x v="139"/>
    </i>
    <i r="3">
      <x v="1121"/>
    </i>
    <i r="2">
      <x v="155"/>
    </i>
    <i r="3">
      <x v="589"/>
    </i>
    <i r="2">
      <x v="162"/>
    </i>
    <i r="3">
      <x v="837"/>
    </i>
    <i r="2">
      <x v="168"/>
    </i>
    <i r="3">
      <x v="974"/>
    </i>
    <i r="2">
      <x v="180"/>
    </i>
    <i r="3">
      <x v="2438"/>
    </i>
    <i r="2">
      <x v="181"/>
    </i>
    <i r="3">
      <x v="77"/>
    </i>
    <i r="2">
      <x v="184"/>
    </i>
    <i r="3">
      <x v="1029"/>
    </i>
    <i r="2">
      <x v="185"/>
    </i>
    <i r="3">
      <x v="1141"/>
    </i>
    <i r="2">
      <x v="187"/>
    </i>
    <i r="3">
      <x v="1772"/>
    </i>
    <i r="2">
      <x v="188"/>
    </i>
    <i r="3">
      <x v="1837"/>
    </i>
    <i r="2">
      <x v="189"/>
    </i>
    <i r="3">
      <x v="954"/>
    </i>
    <i r="3">
      <x v="1509"/>
    </i>
    <i r="3">
      <x v="1756"/>
    </i>
    <i r="2">
      <x v="190"/>
    </i>
    <i r="3">
      <x v="1833"/>
    </i>
    <i r="3">
      <x v="2126"/>
    </i>
    <i r="2">
      <x v="192"/>
    </i>
    <i r="3">
      <x v="1027"/>
    </i>
    <i r="3">
      <x v="1287"/>
    </i>
    <i r="2">
      <x v="194"/>
    </i>
    <i r="3">
      <x v="47"/>
    </i>
    <i r="2">
      <x v="197"/>
    </i>
    <i r="3">
      <x v="1760"/>
    </i>
    <i r="2">
      <x v="198"/>
    </i>
    <i r="3">
      <x v="1455"/>
    </i>
    <i r="3">
      <x v="1524"/>
    </i>
    <i r="2">
      <x v="201"/>
    </i>
    <i r="3">
      <x v="656"/>
    </i>
    <i r="3">
      <x v="1641"/>
    </i>
    <i r="3">
      <x v="1836"/>
    </i>
    <i r="2">
      <x v="203"/>
    </i>
    <i r="3">
      <x v="991"/>
    </i>
    <i r="2">
      <x v="204"/>
    </i>
    <i r="3">
      <x v="443"/>
    </i>
    <i r="3">
      <x v="1544"/>
    </i>
    <i r="2">
      <x v="205"/>
    </i>
    <i r="3">
      <x v="1066"/>
    </i>
    <i r="2">
      <x v="206"/>
    </i>
    <i r="3">
      <x v="258"/>
    </i>
    <i r="3">
      <x v="806"/>
    </i>
    <i r="2">
      <x v="208"/>
    </i>
    <i r="3">
      <x v="56"/>
    </i>
    <i r="2">
      <x v="209"/>
    </i>
    <i r="3">
      <x v="190"/>
    </i>
    <i r="3">
      <x v="949"/>
    </i>
    <i r="3">
      <x v="1426"/>
    </i>
    <i r="2">
      <x v="210"/>
    </i>
    <i r="3">
      <x v="2396"/>
    </i>
    <i r="2">
      <x v="211"/>
    </i>
    <i r="3">
      <x v="263"/>
    </i>
    <i r="3">
      <x v="1207"/>
    </i>
    <i r="2">
      <x v="212"/>
    </i>
    <i r="3">
      <x v="724"/>
    </i>
    <i r="3">
      <x v="1771"/>
    </i>
    <i r="3">
      <x v="1872"/>
    </i>
    <i r="2">
      <x v="213"/>
    </i>
    <i r="3">
      <x v="300"/>
    </i>
    <i r="3">
      <x v="1094"/>
    </i>
    <i r="3">
      <x v="1668"/>
    </i>
    <i r="3">
      <x v="2281"/>
    </i>
    <i r="3">
      <x v="2550"/>
    </i>
    <i r="2">
      <x v="214"/>
    </i>
    <i r="3">
      <x v="253"/>
    </i>
    <i r="3">
      <x v="2541"/>
    </i>
    <i r="2">
      <x v="215"/>
    </i>
    <i r="3">
      <x v="308"/>
    </i>
    <i r="3">
      <x v="1004"/>
    </i>
    <i r="3">
      <x v="2365"/>
    </i>
    <i r="2">
      <x v="216"/>
    </i>
    <i r="3">
      <x v="289"/>
    </i>
    <i r="3">
      <x v="358"/>
    </i>
    <i r="3">
      <x v="779"/>
    </i>
    <i r="3">
      <x v="787"/>
    </i>
    <i r="3">
      <x v="1285"/>
    </i>
    <i r="3">
      <x v="2006"/>
    </i>
    <i r="3">
      <x v="2623"/>
    </i>
    <i r="2">
      <x v="217"/>
    </i>
    <i r="3">
      <x v="435"/>
    </i>
    <i r="3">
      <x v="1797"/>
    </i>
    <i r="2">
      <x v="218"/>
    </i>
    <i r="3">
      <x v="1502"/>
    </i>
    <i r="3">
      <x v="2526"/>
    </i>
    <i r="1">
      <x v="39"/>
    </i>
    <i r="2">
      <x v="56"/>
    </i>
    <i r="3">
      <x v="2347"/>
    </i>
    <i r="2">
      <x v="119"/>
    </i>
    <i r="3">
      <x v="144"/>
    </i>
    <i r="2">
      <x v="133"/>
    </i>
    <i r="3">
      <x v="1718"/>
    </i>
    <i r="2">
      <x v="146"/>
    </i>
    <i r="3">
      <x v="3"/>
    </i>
    <i r="2">
      <x v="152"/>
    </i>
    <i r="3">
      <x v="2609"/>
    </i>
    <i r="2">
      <x v="154"/>
    </i>
    <i r="3">
      <x v="1652"/>
    </i>
    <i r="2">
      <x v="159"/>
    </i>
    <i r="3">
      <x v="43"/>
    </i>
    <i r="2">
      <x v="164"/>
    </i>
    <i r="3">
      <x v="2123"/>
    </i>
    <i r="2">
      <x v="169"/>
    </i>
    <i r="3">
      <x v="152"/>
    </i>
    <i r="2">
      <x v="175"/>
    </i>
    <i r="3">
      <x v="1510"/>
    </i>
    <i r="2">
      <x v="180"/>
    </i>
    <i r="3">
      <x v="2545"/>
    </i>
    <i r="2">
      <x v="182"/>
    </i>
    <i r="3">
      <x v="203"/>
    </i>
    <i r="3">
      <x v="2344"/>
    </i>
    <i r="2">
      <x v="185"/>
    </i>
    <i r="3">
      <x v="114"/>
    </i>
    <i r="2">
      <x v="189"/>
    </i>
    <i r="3">
      <x v="1965"/>
    </i>
    <i r="2">
      <x v="191"/>
    </i>
    <i r="3">
      <x v="145"/>
    </i>
    <i r="3">
      <x v="442"/>
    </i>
    <i r="2">
      <x v="193"/>
    </i>
    <i r="3">
      <x v="629"/>
    </i>
    <i r="2">
      <x v="194"/>
    </i>
    <i r="3">
      <x v="2427"/>
    </i>
    <i r="2">
      <x v="197"/>
    </i>
    <i r="3">
      <x v="1869"/>
    </i>
    <i r="2">
      <x v="198"/>
    </i>
    <i r="3">
      <x v="634"/>
    </i>
    <i r="2">
      <x v="199"/>
    </i>
    <i r="3">
      <x v="2617"/>
    </i>
    <i r="2">
      <x v="201"/>
    </i>
    <i r="3">
      <x v="130"/>
    </i>
    <i r="2">
      <x v="203"/>
    </i>
    <i r="3">
      <x v="1986"/>
    </i>
    <i r="2">
      <x v="205"/>
    </i>
    <i r="3">
      <x v="950"/>
    </i>
    <i r="3">
      <x v="979"/>
    </i>
    <i r="2">
      <x v="206"/>
    </i>
    <i r="3">
      <x v="383"/>
    </i>
    <i r="2">
      <x v="207"/>
    </i>
    <i r="3">
      <x v="431"/>
    </i>
    <i r="3">
      <x v="1466"/>
    </i>
    <i r="3">
      <x v="2011"/>
    </i>
    <i r="3">
      <x v="2324"/>
    </i>
    <i r="2">
      <x v="208"/>
    </i>
    <i r="3">
      <x v="875"/>
    </i>
    <i r="3">
      <x v="1751"/>
    </i>
    <i r="2">
      <x v="209"/>
    </i>
    <i r="3">
      <x v="2150"/>
    </i>
    <i r="2">
      <x v="210"/>
    </i>
    <i r="3">
      <x v="1499"/>
    </i>
    <i r="3">
      <x v="2249"/>
    </i>
    <i r="3">
      <x v="2262"/>
    </i>
    <i r="3">
      <x v="2282"/>
    </i>
    <i r="2">
      <x v="211"/>
    </i>
    <i r="3">
      <x v="1219"/>
    </i>
    <i r="2">
      <x v="212"/>
    </i>
    <i r="3">
      <x v="372"/>
    </i>
    <i r="3">
      <x v="2525"/>
    </i>
    <i r="2">
      <x v="213"/>
    </i>
    <i r="3">
      <x v="89"/>
    </i>
    <i r="3">
      <x v="189"/>
    </i>
    <i r="3">
      <x v="1190"/>
    </i>
    <i r="3">
      <x v="2258"/>
    </i>
    <i r="2">
      <x v="214"/>
    </i>
    <i r="3">
      <x v="2582"/>
    </i>
    <i r="3">
      <x v="2606"/>
    </i>
    <i r="2">
      <x v="215"/>
    </i>
    <i r="3">
      <x v="359"/>
    </i>
    <i r="3">
      <x v="416"/>
    </i>
    <i r="2">
      <x v="216"/>
    </i>
    <i r="3">
      <x v="2062"/>
    </i>
    <i r="3">
      <x v="2232"/>
    </i>
    <i r="2">
      <x v="217"/>
    </i>
    <i r="3">
      <x v="113"/>
    </i>
    <i r="3">
      <x v="681"/>
    </i>
    <i r="3">
      <x v="1647"/>
    </i>
    <i r="1">
      <x v="40"/>
    </i>
    <i r="2">
      <x v="65"/>
    </i>
    <i r="3">
      <x v="7"/>
    </i>
    <i r="2">
      <x v="72"/>
    </i>
    <i r="3">
      <x v="124"/>
    </i>
    <i r="2">
      <x v="78"/>
    </i>
    <i r="3">
      <x v="436"/>
    </i>
    <i r="2">
      <x v="146"/>
    </i>
    <i r="3">
      <x v="729"/>
    </i>
    <i r="2">
      <x v="151"/>
    </i>
    <i r="3">
      <x v="928"/>
    </i>
    <i r="2">
      <x v="156"/>
    </i>
    <i r="3">
      <x v="2190"/>
    </i>
    <i r="2">
      <x v="157"/>
    </i>
    <i r="3">
      <x v="2193"/>
    </i>
    <i r="2">
      <x v="160"/>
    </i>
    <i r="3">
      <x v="478"/>
    </i>
    <i r="3">
      <x v="1854"/>
    </i>
    <i r="3">
      <x v="2553"/>
    </i>
    <i r="2">
      <x v="169"/>
    </i>
    <i r="3">
      <x v="107"/>
    </i>
    <i r="2">
      <x v="177"/>
    </i>
    <i r="3">
      <x v="1997"/>
    </i>
    <i r="2">
      <x v="182"/>
    </i>
    <i r="3">
      <x v="230"/>
    </i>
    <i r="2">
      <x v="185"/>
    </i>
    <i r="3">
      <x v="452"/>
    </i>
    <i r="3">
      <x v="780"/>
    </i>
    <i r="3">
      <x v="870"/>
    </i>
    <i r="2">
      <x v="187"/>
    </i>
    <i r="3">
      <x v="1050"/>
    </i>
    <i r="2">
      <x v="188"/>
    </i>
    <i r="3">
      <x v="1245"/>
    </i>
    <i r="2">
      <x v="190"/>
    </i>
    <i r="3">
      <x v="1132"/>
    </i>
    <i r="3">
      <x v="2412"/>
    </i>
    <i r="2">
      <x v="192"/>
    </i>
    <i r="3">
      <x v="884"/>
    </i>
    <i r="3">
      <x v="2465"/>
    </i>
    <i r="2">
      <x v="193"/>
    </i>
    <i r="3">
      <x v="439"/>
    </i>
    <i r="3">
      <x v="1726"/>
    </i>
    <i r="3">
      <x v="1877"/>
    </i>
    <i r="2">
      <x v="196"/>
    </i>
    <i r="3">
      <x v="160"/>
    </i>
    <i r="2">
      <x v="198"/>
    </i>
    <i r="3">
      <x v="1669"/>
    </i>
    <i r="2">
      <x v="199"/>
    </i>
    <i r="3">
      <x v="1349"/>
    </i>
    <i r="3">
      <x v="2587"/>
    </i>
    <i r="2">
      <x v="200"/>
    </i>
    <i r="3">
      <x v="2293"/>
    </i>
    <i r="3">
      <x v="2443"/>
    </i>
    <i r="2">
      <x v="201"/>
    </i>
    <i r="3">
      <x v="655"/>
    </i>
    <i r="3">
      <x v="768"/>
    </i>
    <i r="3">
      <x v="1731"/>
    </i>
    <i r="2">
      <x v="202"/>
    </i>
    <i r="3">
      <x v="293"/>
    </i>
    <i r="3">
      <x v="793"/>
    </i>
    <i r="2">
      <x v="203"/>
    </i>
    <i r="3">
      <x v="2003"/>
    </i>
    <i r="2">
      <x v="204"/>
    </i>
    <i r="3">
      <x v="1047"/>
    </i>
    <i r="3">
      <x v="1614"/>
    </i>
    <i r="3">
      <x v="1818"/>
    </i>
    <i r="3">
      <x v="2308"/>
    </i>
    <i r="2">
      <x v="205"/>
    </i>
    <i r="3">
      <x v="707"/>
    </i>
    <i r="3">
      <x v="1081"/>
    </i>
    <i r="3">
      <x v="2389"/>
    </i>
    <i r="2">
      <x v="206"/>
    </i>
    <i r="3">
      <x v="1687"/>
    </i>
    <i r="3">
      <x v="2264"/>
    </i>
    <i r="2">
      <x v="208"/>
    </i>
    <i r="3">
      <x v="1372"/>
    </i>
    <i r="2">
      <x v="209"/>
    </i>
    <i r="3">
      <x v="468"/>
    </i>
    <i r="2">
      <x v="210"/>
    </i>
    <i r="3">
      <x v="1793"/>
    </i>
    <i r="2">
      <x v="211"/>
    </i>
    <i r="3">
      <x v="1026"/>
    </i>
    <i r="2">
      <x v="212"/>
    </i>
    <i r="3">
      <x v="2562"/>
    </i>
    <i r="2">
      <x v="213"/>
    </i>
    <i r="3">
      <x v="1577"/>
    </i>
    <i r="3">
      <x v="1661"/>
    </i>
    <i r="3">
      <x v="1765"/>
    </i>
    <i r="3">
      <x v="1989"/>
    </i>
    <i r="3">
      <x v="2407"/>
    </i>
    <i r="2">
      <x v="214"/>
    </i>
    <i r="3">
      <x v="18"/>
    </i>
    <i r="3">
      <x v="301"/>
    </i>
    <i r="2">
      <x v="215"/>
    </i>
    <i r="3">
      <x v="156"/>
    </i>
    <i r="3">
      <x v="636"/>
    </i>
    <i r="3">
      <x v="2516"/>
    </i>
    <i r="2">
      <x v="216"/>
    </i>
    <i r="3">
      <x v="1419"/>
    </i>
    <i r="3">
      <x v="2378"/>
    </i>
    <i r="3">
      <x v="2492"/>
    </i>
    <i r="2">
      <x v="217"/>
    </i>
    <i r="3">
      <x v="343"/>
    </i>
    <i r="3">
      <x v="831"/>
    </i>
    <i r="3">
      <x v="883"/>
    </i>
    <i r="3">
      <x v="1490"/>
    </i>
    <i r="3">
      <x v="1857"/>
    </i>
    <i r="3">
      <x v="2035"/>
    </i>
    <i r="3">
      <x v="2403"/>
    </i>
    <i r="3">
      <x v="2483"/>
    </i>
    <i r="1">
      <x v="41"/>
    </i>
    <i r="2">
      <x v="16"/>
    </i>
    <i r="3">
      <x v="1149"/>
    </i>
    <i r="2">
      <x v="22"/>
    </i>
    <i r="3">
      <x v="700"/>
    </i>
    <i r="2">
      <x v="45"/>
    </i>
    <i r="3">
      <x v="2176"/>
    </i>
    <i r="2">
      <x v="67"/>
    </i>
    <i r="3">
      <x v="1007"/>
    </i>
    <i r="2">
      <x v="97"/>
    </i>
    <i r="3">
      <x v="2482"/>
    </i>
    <i r="2">
      <x v="107"/>
    </i>
    <i r="3">
      <x v="1414"/>
    </i>
    <i r="2">
      <x v="127"/>
    </i>
    <i r="3">
      <x v="291"/>
    </i>
    <i r="2">
      <x v="148"/>
    </i>
    <i r="3">
      <x v="1918"/>
    </i>
    <i r="2">
      <x v="161"/>
    </i>
    <i r="3">
      <x v="1373"/>
    </i>
    <i r="2">
      <x v="164"/>
    </i>
    <i r="3">
      <x v="68"/>
    </i>
    <i r="2">
      <x v="166"/>
    </i>
    <i r="3">
      <x v="1591"/>
    </i>
    <i r="2">
      <x v="169"/>
    </i>
    <i r="3">
      <x v="280"/>
    </i>
    <i r="2">
      <x v="175"/>
    </i>
    <i r="3">
      <x v="896"/>
    </i>
    <i r="2">
      <x v="179"/>
    </i>
    <i r="3">
      <x v="313"/>
    </i>
    <i r="2">
      <x v="183"/>
    </i>
    <i r="3">
      <x v="1467"/>
    </i>
    <i r="2">
      <x v="185"/>
    </i>
    <i r="3">
      <x v="894"/>
    </i>
    <i r="2">
      <x v="186"/>
    </i>
    <i r="3">
      <x v="981"/>
    </i>
    <i r="2">
      <x v="187"/>
    </i>
    <i r="3">
      <x v="1203"/>
    </i>
    <i r="2">
      <x v="189"/>
    </i>
    <i r="3">
      <x v="682"/>
    </i>
    <i r="3">
      <x v="2621"/>
    </i>
    <i r="2">
      <x v="191"/>
    </i>
    <i r="3">
      <x v="1031"/>
    </i>
    <i r="2">
      <x v="192"/>
    </i>
    <i r="3">
      <x v="1725"/>
    </i>
    <i r="3">
      <x v="2368"/>
    </i>
    <i r="2">
      <x v="193"/>
    </i>
    <i r="3">
      <x v="1476"/>
    </i>
    <i r="2">
      <x v="196"/>
    </i>
    <i r="3">
      <x v="868"/>
    </i>
    <i r="3">
      <x v="1424"/>
    </i>
    <i r="3">
      <x v="2066"/>
    </i>
    <i r="2">
      <x v="198"/>
    </i>
    <i r="3">
      <x v="770"/>
    </i>
    <i r="3">
      <x v="2261"/>
    </i>
    <i r="3">
      <x v="2522"/>
    </i>
    <i r="2">
      <x v="199"/>
    </i>
    <i r="3">
      <x v="1964"/>
    </i>
    <i r="2">
      <x v="202"/>
    </i>
    <i r="3">
      <x v="453"/>
    </i>
    <i r="3">
      <x v="619"/>
    </i>
    <i r="2">
      <x v="203"/>
    </i>
    <i r="3">
      <x v="2557"/>
    </i>
    <i r="2">
      <x v="206"/>
    </i>
    <i r="3">
      <x v="829"/>
    </i>
    <i r="3">
      <x v="901"/>
    </i>
    <i r="2">
      <x v="207"/>
    </i>
    <i r="3">
      <x v="57"/>
    </i>
    <i r="3">
      <x v="1388"/>
    </i>
    <i r="3">
      <x v="2115"/>
    </i>
    <i r="2">
      <x v="208"/>
    </i>
    <i r="3">
      <x v="1570"/>
    </i>
    <i r="2">
      <x v="209"/>
    </i>
    <i r="3">
      <x v="64"/>
    </i>
    <i r="3">
      <x v="570"/>
    </i>
    <i r="3">
      <x v="846"/>
    </i>
    <i r="3">
      <x v="874"/>
    </i>
    <i r="2">
      <x v="210"/>
    </i>
    <i r="3">
      <x v="32"/>
    </i>
    <i r="3">
      <x v="421"/>
    </i>
    <i r="3">
      <x v="2157"/>
    </i>
    <i r="2">
      <x v="211"/>
    </i>
    <i r="3">
      <x v="908"/>
    </i>
    <i r="3">
      <x v="1046"/>
    </i>
    <i r="3">
      <x v="2610"/>
    </i>
    <i r="2">
      <x v="212"/>
    </i>
    <i r="3">
      <x v="1693"/>
    </i>
    <i r="3">
      <x v="2245"/>
    </i>
    <i r="2">
      <x v="213"/>
    </i>
    <i r="3">
      <x v="399"/>
    </i>
    <i r="3">
      <x v="675"/>
    </i>
    <i r="3">
      <x v="1870"/>
    </i>
    <i r="2">
      <x v="214"/>
    </i>
    <i r="3">
      <x v="1025"/>
    </i>
    <i r="3">
      <x v="1292"/>
    </i>
    <i r="3">
      <x v="1393"/>
    </i>
    <i r="3">
      <x v="1722"/>
    </i>
    <i r="3">
      <x v="2473"/>
    </i>
    <i r="3">
      <x v="2571"/>
    </i>
    <i r="2">
      <x v="215"/>
    </i>
    <i r="3">
      <x v="97"/>
    </i>
    <i r="3">
      <x v="581"/>
    </i>
    <i r="3">
      <x v="696"/>
    </i>
    <i r="3">
      <x v="944"/>
    </i>
    <i r="3">
      <x v="2036"/>
    </i>
    <i r="3">
      <x v="2486"/>
    </i>
    <i r="3">
      <x v="2565"/>
    </i>
    <i r="2">
      <x v="216"/>
    </i>
    <i r="3">
      <x v="375"/>
    </i>
    <i r="3">
      <x v="1117"/>
    </i>
    <i r="3">
      <x v="1126"/>
    </i>
    <i r="3">
      <x v="1394"/>
    </i>
    <i r="3">
      <x v="1462"/>
    </i>
    <i r="3">
      <x v="1539"/>
    </i>
    <i r="3">
      <x v="2312"/>
    </i>
    <i r="3">
      <x v="2406"/>
    </i>
    <i r="3">
      <x v="2488"/>
    </i>
    <i r="3">
      <x v="2563"/>
    </i>
    <i r="2">
      <x v="217"/>
    </i>
    <i r="3">
      <x v="286"/>
    </i>
    <i r="3">
      <x v="463"/>
    </i>
    <i r="3">
      <x v="1168"/>
    </i>
    <i r="3">
      <x v="1439"/>
    </i>
    <i r="3">
      <x v="1807"/>
    </i>
    <i r="2">
      <x v="218"/>
    </i>
    <i r="3">
      <x v="905"/>
    </i>
    <i r="3">
      <x v="1022"/>
    </i>
    <i r="3">
      <x v="1777"/>
    </i>
    <i r="3">
      <x v="2405"/>
    </i>
    <i r="3">
      <x v="2575"/>
    </i>
    <i r="1">
      <x v="42"/>
    </i>
    <i r="2">
      <x v="2"/>
    </i>
    <i r="3">
      <x v="987"/>
    </i>
    <i r="2">
      <x v="74"/>
    </i>
    <i r="3">
      <x v="593"/>
    </i>
    <i r="2">
      <x v="98"/>
    </i>
    <i r="3">
      <x v="2398"/>
    </i>
    <i r="2">
      <x v="114"/>
    </i>
    <i r="3">
      <x v="1280"/>
    </i>
    <i r="2">
      <x v="118"/>
    </i>
    <i r="3">
      <x v="1391"/>
    </i>
    <i r="2">
      <x v="128"/>
    </i>
    <i r="3">
      <x v="2456"/>
    </i>
    <i r="2">
      <x v="132"/>
    </i>
    <i r="3">
      <x v="1572"/>
    </i>
    <i r="2">
      <x v="152"/>
    </i>
    <i r="3">
      <x v="1136"/>
    </i>
    <i r="2">
      <x v="153"/>
    </i>
    <i r="3">
      <x v="517"/>
    </i>
    <i r="2">
      <x v="154"/>
    </i>
    <i r="3">
      <x v="1443"/>
    </i>
    <i r="2">
      <x v="155"/>
    </i>
    <i r="3">
      <x v="920"/>
    </i>
    <i r="2">
      <x v="160"/>
    </i>
    <i r="3">
      <x v="450"/>
    </i>
    <i r="2">
      <x v="164"/>
    </i>
    <i r="3">
      <x v="1017"/>
    </i>
    <i r="2">
      <x v="165"/>
    </i>
    <i r="3">
      <x v="2386"/>
    </i>
    <i r="2">
      <x v="166"/>
    </i>
    <i r="3">
      <x v="1377"/>
    </i>
    <i r="3">
      <x v="1479"/>
    </i>
    <i r="3">
      <x v="1966"/>
    </i>
    <i r="2">
      <x v="171"/>
    </i>
    <i r="3">
      <x v="521"/>
    </i>
    <i r="2">
      <x v="172"/>
    </i>
    <i r="3">
      <x v="2448"/>
    </i>
    <i r="2">
      <x v="174"/>
    </i>
    <i r="3">
      <x v="2111"/>
    </i>
    <i r="2">
      <x v="175"/>
    </i>
    <i r="3">
      <x v="583"/>
    </i>
    <i r="2">
      <x v="176"/>
    </i>
    <i r="3">
      <x v="1919"/>
    </i>
    <i r="2">
      <x v="177"/>
    </i>
    <i r="3">
      <x v="1876"/>
    </i>
    <i r="2">
      <x v="178"/>
    </i>
    <i r="3">
      <x v="2237"/>
    </i>
    <i r="2">
      <x v="183"/>
    </i>
    <i r="3">
      <x v="2485"/>
    </i>
    <i r="2">
      <x v="185"/>
    </i>
    <i r="3">
      <x v="1734"/>
    </i>
    <i r="2">
      <x v="186"/>
    </i>
    <i r="3">
      <x v="1375"/>
    </i>
    <i r="2">
      <x v="191"/>
    </i>
    <i r="3">
      <x v="878"/>
    </i>
    <i r="2">
      <x v="192"/>
    </i>
    <i r="3">
      <x v="28"/>
    </i>
    <i r="2">
      <x v="194"/>
    </i>
    <i r="3">
      <x v="2113"/>
    </i>
    <i r="2">
      <x v="195"/>
    </i>
    <i r="3">
      <x v="1716"/>
    </i>
    <i r="3">
      <x v="2263"/>
    </i>
    <i r="2">
      <x v="196"/>
    </i>
    <i r="3">
      <x v="1998"/>
    </i>
    <i r="2">
      <x v="197"/>
    </i>
    <i r="3">
      <x v="441"/>
    </i>
    <i r="3">
      <x v="1184"/>
    </i>
    <i r="2">
      <x v="198"/>
    </i>
    <i r="3">
      <x v="737"/>
    </i>
    <i r="2">
      <x v="199"/>
    </i>
    <i r="3">
      <x v="2432"/>
    </i>
    <i r="2">
      <x v="201"/>
    </i>
    <i r="3">
      <x v="136"/>
    </i>
    <i r="3">
      <x v="1355"/>
    </i>
    <i r="3">
      <x v="2626"/>
    </i>
    <i r="2">
      <x v="202"/>
    </i>
    <i r="3">
      <x v="1326"/>
    </i>
    <i r="2">
      <x v="203"/>
    </i>
    <i r="3">
      <x v="637"/>
    </i>
    <i r="2">
      <x v="206"/>
    </i>
    <i r="3">
      <x v="2524"/>
    </i>
    <i r="2">
      <x v="207"/>
    </i>
    <i r="3">
      <x v="1848"/>
    </i>
    <i r="3">
      <x v="2474"/>
    </i>
    <i r="2">
      <x v="208"/>
    </i>
    <i r="3">
      <x v="419"/>
    </i>
    <i r="3">
      <x v="2628"/>
    </i>
    <i r="2">
      <x v="209"/>
    </i>
    <i r="3">
      <x v="774"/>
    </i>
    <i r="2">
      <x v="210"/>
    </i>
    <i r="3">
      <x v="509"/>
    </i>
    <i r="3">
      <x v="2008"/>
    </i>
    <i r="2">
      <x v="211"/>
    </i>
    <i r="3">
      <x v="527"/>
    </i>
    <i r="3">
      <x v="1041"/>
    </i>
    <i r="3">
      <x v="1638"/>
    </i>
    <i r="3">
      <x v="2376"/>
    </i>
    <i r="3">
      <x v="2608"/>
    </i>
    <i r="2">
      <x v="212"/>
    </i>
    <i r="3">
      <x v="614"/>
    </i>
    <i r="3">
      <x v="2466"/>
    </i>
    <i r="3">
      <x v="2603"/>
    </i>
    <i r="2">
      <x v="213"/>
    </i>
    <i r="3">
      <x v="1332"/>
    </i>
    <i r="3">
      <x v="1418"/>
    </i>
    <i r="2">
      <x v="214"/>
    </i>
    <i r="3">
      <x v="1237"/>
    </i>
    <i r="3">
      <x v="2311"/>
    </i>
    <i r="3">
      <x v="2481"/>
    </i>
    <i r="2">
      <x v="215"/>
    </i>
    <i r="3">
      <x v="821"/>
    </i>
    <i r="3">
      <x v="1015"/>
    </i>
    <i r="3">
      <x v="1662"/>
    </i>
    <i r="3">
      <x v="2404"/>
    </i>
    <i r="2">
      <x v="216"/>
    </i>
    <i r="3">
      <x v="117"/>
    </i>
    <i r="3">
      <x v="194"/>
    </i>
    <i r="3">
      <x v="218"/>
    </i>
    <i r="3">
      <x v="769"/>
    </i>
    <i r="3">
      <x v="1335"/>
    </i>
    <i r="3">
      <x v="2478"/>
    </i>
    <i r="3">
      <x v="2604"/>
    </i>
    <i r="2">
      <x v="217"/>
    </i>
    <i r="3">
      <x v="162"/>
    </i>
    <i r="3">
      <x v="1766"/>
    </i>
    <i r="3">
      <x v="2168"/>
    </i>
    <i r="2">
      <x v="218"/>
    </i>
    <i r="3">
      <x v="354"/>
    </i>
    <i r="3">
      <x v="812"/>
    </i>
    <i r="3">
      <x v="869"/>
    </i>
    <i r="3">
      <x v="1416"/>
    </i>
    <i r="3">
      <x v="2480"/>
    </i>
    <i r="1">
      <x v="43"/>
    </i>
    <i r="2">
      <x v="21"/>
    </i>
    <i r="3">
      <x v="1564"/>
    </i>
    <i r="2">
      <x v="28"/>
    </i>
    <i r="3">
      <x v="743"/>
    </i>
    <i r="2">
      <x v="57"/>
    </i>
    <i r="3">
      <x v="940"/>
    </i>
    <i r="2">
      <x v="110"/>
    </i>
    <i r="3">
      <x v="1604"/>
    </i>
    <i r="2">
      <x v="121"/>
    </i>
    <i r="3">
      <x v="754"/>
    </i>
    <i r="2">
      <x v="127"/>
    </i>
    <i r="3">
      <x v="709"/>
    </i>
    <i r="2">
      <x v="133"/>
    </i>
    <i r="3">
      <x v="1489"/>
    </i>
    <i r="2">
      <x v="147"/>
    </i>
    <i r="3">
      <x v="1488"/>
    </i>
    <i r="2">
      <x v="148"/>
    </i>
    <i r="3">
      <x v="1754"/>
    </i>
    <i r="2">
      <x v="150"/>
    </i>
    <i r="3">
      <x v="2515"/>
    </i>
    <i r="2">
      <x v="158"/>
    </i>
    <i r="3">
      <x v="1464"/>
    </i>
    <i r="3">
      <x v="2060"/>
    </i>
    <i r="2">
      <x v="159"/>
    </i>
    <i r="3">
      <x v="1392"/>
    </i>
    <i r="2">
      <x v="160"/>
    </i>
    <i r="3">
      <x v="568"/>
    </i>
    <i r="3">
      <x v="2372"/>
    </i>
    <i r="2">
      <x v="163"/>
    </i>
    <i r="3">
      <x v="1552"/>
    </i>
    <i r="2">
      <x v="165"/>
    </i>
    <i r="3">
      <x v="690"/>
    </i>
    <i r="2">
      <x v="167"/>
    </i>
    <i r="3">
      <x v="2266"/>
    </i>
    <i r="2">
      <x v="170"/>
    </i>
    <i r="3">
      <x v="1137"/>
    </i>
    <i r="2">
      <x v="173"/>
    </i>
    <i r="3">
      <x v="424"/>
    </i>
    <i r="3">
      <x v="1427"/>
    </i>
    <i r="2">
      <x v="174"/>
    </i>
    <i r="3">
      <x v="1543"/>
    </i>
    <i r="3">
      <x v="1557"/>
    </i>
    <i r="2">
      <x v="179"/>
    </i>
    <i r="3">
      <x v="428"/>
    </i>
    <i r="2">
      <x v="180"/>
    </i>
    <i r="3">
      <x v="1562"/>
    </i>
    <i r="2">
      <x v="184"/>
    </i>
    <i r="3">
      <x v="387"/>
    </i>
    <i r="2">
      <x v="185"/>
    </i>
    <i r="3">
      <x v="1898"/>
    </i>
    <i r="3">
      <x v="2380"/>
    </i>
    <i r="2">
      <x v="186"/>
    </i>
    <i r="3">
      <x v="990"/>
    </i>
    <i r="2">
      <x v="190"/>
    </i>
    <i r="3">
      <x v="2518"/>
    </i>
    <i r="2">
      <x v="192"/>
    </i>
    <i r="3">
      <x v="935"/>
    </i>
    <i r="2">
      <x v="193"/>
    </i>
    <i r="3">
      <x v="1761"/>
    </i>
    <i r="3">
      <x v="2467"/>
    </i>
    <i r="2">
      <x v="194"/>
    </i>
    <i r="3">
      <x v="850"/>
    </i>
    <i r="2">
      <x v="200"/>
    </i>
    <i r="3">
      <x v="1346"/>
    </i>
    <i r="2">
      <x v="201"/>
    </i>
    <i r="3">
      <x v="52"/>
    </i>
    <i r="3">
      <x v="1719"/>
    </i>
    <i r="3">
      <x v="2444"/>
    </i>
    <i r="2">
      <x v="202"/>
    </i>
    <i r="3">
      <x v="59"/>
    </i>
    <i r="3">
      <x v="311"/>
    </i>
    <i r="3">
      <x v="643"/>
    </i>
    <i r="3">
      <x v="864"/>
    </i>
    <i r="2">
      <x v="204"/>
    </i>
    <i r="3">
      <x v="1468"/>
    </i>
    <i r="3">
      <x v="2276"/>
    </i>
    <i r="2">
      <x v="205"/>
    </i>
    <i r="3">
      <x v="1269"/>
    </i>
    <i r="2">
      <x v="206"/>
    </i>
    <i r="3">
      <x v="1704"/>
    </i>
    <i r="2">
      <x v="208"/>
    </i>
    <i r="3">
      <x v="872"/>
    </i>
    <i r="3">
      <x v="1362"/>
    </i>
    <i r="2">
      <x v="210"/>
    </i>
    <i r="3">
      <x v="103"/>
    </i>
    <i r="3">
      <x v="262"/>
    </i>
    <i r="3">
      <x v="1695"/>
    </i>
    <i r="2">
      <x v="211"/>
    </i>
    <i r="3">
      <x v="1195"/>
    </i>
    <i r="3">
      <x v="2510"/>
    </i>
    <i r="2">
      <x v="212"/>
    </i>
    <i r="3">
      <x v="108"/>
    </i>
    <i r="3">
      <x v="651"/>
    </i>
    <i r="3">
      <x v="907"/>
    </i>
    <i r="3">
      <x v="2458"/>
    </i>
    <i r="3">
      <x v="2549"/>
    </i>
    <i r="2">
      <x v="213"/>
    </i>
    <i r="3">
      <x v="2395"/>
    </i>
    <i r="2">
      <x v="214"/>
    </i>
    <i r="3">
      <x v="877"/>
    </i>
    <i r="3">
      <x v="1721"/>
    </i>
    <i r="3">
      <x v="1827"/>
    </i>
    <i r="3">
      <x v="2367"/>
    </i>
    <i r="3">
      <x v="2514"/>
    </i>
    <i r="2">
      <x v="215"/>
    </i>
    <i r="3">
      <x v="317"/>
    </i>
    <i r="3">
      <x v="1053"/>
    </i>
    <i r="3">
      <x v="1351"/>
    </i>
    <i r="3">
      <x v="1435"/>
    </i>
    <i r="3">
      <x v="1521"/>
    </i>
    <i r="2">
      <x v="216"/>
    </i>
    <i r="3">
      <x v="876"/>
    </i>
    <i r="3">
      <x v="911"/>
    </i>
    <i r="3">
      <x v="2339"/>
    </i>
    <i r="3">
      <x v="2464"/>
    </i>
    <i r="3">
      <x v="2484"/>
    </i>
    <i r="3">
      <x v="2619"/>
    </i>
    <i r="2">
      <x v="217"/>
    </i>
    <i r="3">
      <x v="307"/>
    </i>
    <i r="3">
      <x v="367"/>
    </i>
    <i r="3">
      <x v="489"/>
    </i>
    <i r="3">
      <x v="1169"/>
    </i>
    <i r="3">
      <x v="1698"/>
    </i>
    <i r="3">
      <x v="1859"/>
    </i>
    <i r="3">
      <x v="2297"/>
    </i>
    <i r="2">
      <x v="218"/>
    </i>
    <i r="3">
      <x v="635"/>
    </i>
    <i r="1">
      <x v="44"/>
    </i>
    <i r="2">
      <x v="69"/>
    </i>
    <i r="3">
      <x v="69"/>
    </i>
    <i r="2">
      <x v="75"/>
    </i>
    <i r="3">
      <x v="1816"/>
    </i>
    <i r="2">
      <x v="76"/>
    </i>
    <i r="3">
      <x v="2361"/>
    </i>
    <i r="2">
      <x v="104"/>
    </i>
    <i r="3">
      <x v="342"/>
    </i>
    <i r="2">
      <x v="111"/>
    </i>
    <i r="3">
      <x v="2014"/>
    </i>
    <i r="2">
      <x v="119"/>
    </i>
    <i r="3">
      <x v="1607"/>
    </i>
    <i r="2">
      <x v="125"/>
    </i>
    <i r="3">
      <x v="2160"/>
    </i>
    <i r="2">
      <x v="135"/>
    </i>
    <i r="3">
      <x v="603"/>
    </i>
    <i r="2">
      <x v="138"/>
    </i>
    <i r="3">
      <x v="2374"/>
    </i>
    <i r="2">
      <x v="149"/>
    </i>
    <i r="3">
      <x v="118"/>
    </i>
    <i r="2">
      <x v="173"/>
    </i>
    <i r="3">
      <x v="983"/>
    </i>
    <i r="2">
      <x v="178"/>
    </i>
    <i r="3">
      <x v="1218"/>
    </i>
    <i r="3">
      <x v="2304"/>
    </i>
    <i r="2">
      <x v="186"/>
    </i>
    <i r="3">
      <x v="345"/>
    </i>
    <i r="2">
      <x v="187"/>
    </i>
    <i r="3">
      <x v="1363"/>
    </i>
    <i r="2">
      <x v="189"/>
    </i>
    <i r="3">
      <x v="2543"/>
    </i>
    <i r="2">
      <x v="192"/>
    </i>
    <i r="3">
      <x v="2568"/>
    </i>
    <i r="2">
      <x v="193"/>
    </i>
    <i r="3">
      <x v="620"/>
    </i>
    <i r="2">
      <x v="198"/>
    </i>
    <i r="3">
      <x v="2125"/>
    </i>
    <i r="2">
      <x v="199"/>
    </i>
    <i r="3">
      <x v="1335"/>
    </i>
    <i r="2">
      <x v="201"/>
    </i>
    <i r="3">
      <x v="265"/>
    </i>
    <i r="3">
      <x v="832"/>
    </i>
    <i r="3">
      <x v="1194"/>
    </i>
    <i r="3">
      <x v="1449"/>
    </i>
    <i r="3">
      <x v="2002"/>
    </i>
    <i r="2">
      <x v="202"/>
    </i>
    <i r="3">
      <x v="1157"/>
    </i>
    <i r="3">
      <x v="2142"/>
    </i>
    <i r="3">
      <x v="2599"/>
    </i>
    <i r="2">
      <x v="203"/>
    </i>
    <i r="3">
      <x v="2050"/>
    </i>
    <i r="2">
      <x v="204"/>
    </i>
    <i r="3">
      <x v="1165"/>
    </i>
    <i r="2">
      <x v="205"/>
    </i>
    <i r="3">
      <x v="2489"/>
    </i>
    <i r="2">
      <x v="206"/>
    </i>
    <i r="3">
      <x v="128"/>
    </i>
    <i r="3">
      <x v="890"/>
    </i>
    <i r="3">
      <x v="2598"/>
    </i>
    <i r="2">
      <x v="207"/>
    </i>
    <i r="3">
      <x v="606"/>
    </i>
    <i r="3">
      <x v="2542"/>
    </i>
    <i r="3">
      <x v="2600"/>
    </i>
    <i r="2">
      <x v="208"/>
    </i>
    <i r="3">
      <x v="1337"/>
    </i>
    <i r="3">
      <x v="2073"/>
    </i>
    <i r="3">
      <x v="2078"/>
    </i>
    <i r="3">
      <x v="2574"/>
    </i>
    <i r="2">
      <x v="209"/>
    </i>
    <i r="3">
      <x v="365"/>
    </i>
    <i r="3">
      <x v="1048"/>
    </i>
    <i r="3">
      <x v="2095"/>
    </i>
    <i r="2">
      <x v="210"/>
    </i>
    <i r="3">
      <x v="703"/>
    </i>
    <i r="3">
      <x v="1300"/>
    </i>
    <i r="3">
      <x v="1527"/>
    </i>
    <i r="2">
      <x v="211"/>
    </i>
    <i r="3">
      <x v="1319"/>
    </i>
    <i r="2">
      <x v="212"/>
    </i>
    <i r="3">
      <x v="147"/>
    </i>
    <i r="3">
      <x v="1034"/>
    </i>
    <i r="3">
      <x v="1344"/>
    </i>
    <i r="3">
      <x v="1587"/>
    </i>
    <i r="3">
      <x v="2358"/>
    </i>
    <i r="2">
      <x v="213"/>
    </i>
    <i r="3">
      <x v="1839"/>
    </i>
    <i r="2">
      <x v="214"/>
    </i>
    <i r="3">
      <x v="515"/>
    </i>
    <i r="3">
      <x v="763"/>
    </i>
    <i r="3">
      <x v="1498"/>
    </i>
    <i r="3">
      <x v="1815"/>
    </i>
    <i r="3">
      <x v="2589"/>
    </i>
    <i r="3">
      <x v="2615"/>
    </i>
    <i r="2">
      <x v="215"/>
    </i>
    <i r="3">
      <x v="761"/>
    </i>
    <i r="3">
      <x v="1282"/>
    </i>
    <i r="3">
      <x v="2476"/>
    </i>
    <i r="3">
      <x v="2558"/>
    </i>
    <i r="2">
      <x v="216"/>
    </i>
    <i r="3">
      <x v="1189"/>
    </i>
    <i r="3">
      <x v="1404"/>
    </i>
    <i r="3">
      <x v="1506"/>
    </i>
    <i r="3">
      <x v="1650"/>
    </i>
    <i r="3">
      <x v="1814"/>
    </i>
    <i r="3">
      <x v="2240"/>
    </i>
    <i r="2">
      <x v="217"/>
    </i>
    <i r="3">
      <x v="822"/>
    </i>
    <i r="3">
      <x v="1110"/>
    </i>
    <i r="3">
      <x v="2630"/>
    </i>
    <i r="2">
      <x v="218"/>
    </i>
    <i r="3">
      <x v="1073"/>
    </i>
    <i r="3">
      <x v="1321"/>
    </i>
    <i r="1">
      <x v="45"/>
    </i>
    <i r="2">
      <x v="53"/>
    </i>
    <i r="3">
      <x v="2110"/>
    </i>
    <i r="2">
      <x v="93"/>
    </i>
    <i r="3">
      <x v="882"/>
    </i>
    <i r="2">
      <x v="137"/>
    </i>
    <i r="3">
      <x v="1951"/>
    </i>
    <i r="2">
      <x v="161"/>
    </i>
    <i r="3">
      <x v="395"/>
    </i>
    <i r="2">
      <x v="164"/>
    </i>
    <i r="3">
      <x v="528"/>
    </i>
    <i r="2">
      <x v="171"/>
    </i>
    <i r="3">
      <x v="1911"/>
    </i>
    <i r="3">
      <x v="1936"/>
    </i>
    <i r="2">
      <x v="172"/>
    </i>
    <i r="3">
      <x v="1325"/>
    </i>
    <i r="2">
      <x v="173"/>
    </i>
    <i r="3">
      <x v="2602"/>
    </i>
    <i r="2">
      <x v="176"/>
    </i>
    <i r="3">
      <x v="66"/>
    </i>
    <i r="2">
      <x v="178"/>
    </i>
    <i r="3">
      <x v="1923"/>
    </i>
    <i r="2">
      <x v="182"/>
    </i>
    <i r="3">
      <x v="621"/>
    </i>
    <i r="3">
      <x v="1896"/>
    </i>
    <i r="2">
      <x v="183"/>
    </i>
    <i r="3">
      <x v="1018"/>
    </i>
    <i r="2">
      <x v="185"/>
    </i>
    <i r="3">
      <x v="2256"/>
    </i>
    <i r="2">
      <x v="187"/>
    </i>
    <i r="3">
      <x v="900"/>
    </i>
    <i r="2">
      <x v="188"/>
    </i>
    <i r="3">
      <x v="766"/>
    </i>
    <i r="2">
      <x v="189"/>
    </i>
    <i r="3">
      <x v="73"/>
    </i>
    <i r="2">
      <x v="191"/>
    </i>
    <i r="3">
      <x v="1016"/>
    </i>
    <i r="3">
      <x v="2385"/>
    </i>
    <i r="3">
      <x v="2502"/>
    </i>
    <i r="2">
      <x v="192"/>
    </i>
    <i r="3">
      <x v="1843"/>
    </i>
    <i r="2">
      <x v="193"/>
    </i>
    <i r="3">
      <x v="204"/>
    </i>
    <i r="2">
      <x v="194"/>
    </i>
    <i r="3">
      <x v="2417"/>
    </i>
    <i r="2">
      <x v="195"/>
    </i>
    <i r="3">
      <x v="353"/>
    </i>
    <i r="2">
      <x v="196"/>
    </i>
    <i r="3">
      <x v="460"/>
    </i>
    <i r="2">
      <x v="199"/>
    </i>
    <i r="3">
      <x v="2564"/>
    </i>
    <i r="2">
      <x v="200"/>
    </i>
    <i r="3">
      <x v="1297"/>
    </i>
    <i r="3">
      <x v="2624"/>
    </i>
    <i r="2">
      <x v="201"/>
    </i>
    <i r="3">
      <x v="111"/>
    </i>
    <i r="2">
      <x v="202"/>
    </i>
    <i r="3">
      <x v="1152"/>
    </i>
    <i r="2">
      <x v="203"/>
    </i>
    <i r="3">
      <x v="2243"/>
    </i>
    <i r="2">
      <x v="205"/>
    </i>
    <i r="3">
      <x v="641"/>
    </i>
    <i r="3">
      <x v="711"/>
    </i>
    <i r="3">
      <x v="2469"/>
    </i>
    <i r="2">
      <x v="207"/>
    </i>
    <i r="3">
      <x v="192"/>
    </i>
    <i r="3">
      <x v="2279"/>
    </i>
    <i r="2">
      <x v="209"/>
    </i>
    <i r="3">
      <x v="1024"/>
    </i>
    <i r="3">
      <x v="1371"/>
    </i>
    <i r="3">
      <x v="1599"/>
    </i>
    <i r="2">
      <x v="210"/>
    </i>
    <i r="3">
      <x v="2459"/>
    </i>
    <i r="2">
      <x v="211"/>
    </i>
    <i r="3">
      <x v="548"/>
    </i>
    <i r="2">
      <x v="212"/>
    </i>
    <i r="3">
      <x v="412"/>
    </i>
    <i r="2">
      <x v="213"/>
    </i>
    <i r="3">
      <x v="1101"/>
    </i>
    <i r="3">
      <x v="1768"/>
    </i>
    <i r="3">
      <x v="2047"/>
    </i>
    <i r="2">
      <x v="214"/>
    </i>
    <i r="3">
      <x v="473"/>
    </i>
    <i r="3">
      <x v="1226"/>
    </i>
    <i r="2">
      <x v="215"/>
    </i>
    <i r="3">
      <x v="632"/>
    </i>
    <i r="3">
      <x v="1045"/>
    </i>
    <i r="3">
      <x v="2601"/>
    </i>
    <i r="2">
      <x v="216"/>
    </i>
    <i r="3">
      <x v="184"/>
    </i>
    <i r="3">
      <x v="195"/>
    </i>
    <i r="3">
      <x v="622"/>
    </i>
    <i r="3">
      <x v="1191"/>
    </i>
    <i r="3">
      <x v="1681"/>
    </i>
    <i r="2">
      <x v="217"/>
    </i>
    <i r="3">
      <x v="526"/>
    </i>
    <i r="3">
      <x v="749"/>
    </i>
    <i r="3">
      <x v="2122"/>
    </i>
    <i r="2">
      <x v="218"/>
    </i>
    <i r="3">
      <x v="219"/>
    </i>
    <i r="3">
      <x v="692"/>
    </i>
    <i r="3">
      <x v="1061"/>
    </i>
    <i r="3">
      <x v="2118"/>
    </i>
    <i r="3">
      <x v="2307"/>
    </i>
    <i r="1">
      <x v="46"/>
    </i>
    <i r="2">
      <x v="74"/>
    </i>
    <i r="3">
      <x v="2382"/>
    </i>
    <i r="2">
      <x v="84"/>
    </i>
    <i r="3">
      <x v="1879"/>
    </i>
    <i r="2">
      <x v="87"/>
    </i>
    <i r="3">
      <x v="1581"/>
    </i>
    <i r="2">
      <x v="101"/>
    </i>
    <i r="3">
      <x v="1251"/>
    </i>
    <i r="2">
      <x v="131"/>
    </i>
    <i r="3">
      <x v="2202"/>
    </i>
    <i r="2">
      <x v="138"/>
    </i>
    <i r="3">
      <x v="58"/>
    </i>
    <i r="2">
      <x v="140"/>
    </i>
    <i r="3">
      <x v="1794"/>
    </i>
    <i r="2">
      <x v="143"/>
    </i>
    <i r="3">
      <x v="1353"/>
    </i>
    <i r="2">
      <x v="151"/>
    </i>
    <i r="3">
      <x v="984"/>
    </i>
    <i r="2">
      <x v="155"/>
    </i>
    <i r="3">
      <x v="2371"/>
    </i>
    <i r="2">
      <x v="158"/>
    </i>
    <i r="3">
      <x v="1949"/>
    </i>
    <i r="2">
      <x v="159"/>
    </i>
    <i r="3">
      <x v="1787"/>
    </i>
    <i r="2">
      <x v="160"/>
    </i>
    <i r="3">
      <x v="496"/>
    </i>
    <i r="2">
      <x v="161"/>
    </i>
    <i r="3">
      <x v="1338"/>
    </i>
    <i r="3">
      <x v="2463"/>
    </i>
    <i r="2">
      <x v="178"/>
    </i>
    <i r="3">
      <x v="533"/>
    </i>
    <i r="2">
      <x v="182"/>
    </i>
    <i r="3">
      <x v="106"/>
    </i>
    <i r="2">
      <x v="183"/>
    </i>
    <i r="3">
      <x v="1142"/>
    </i>
    <i r="2">
      <x v="185"/>
    </i>
    <i r="3">
      <x v="516"/>
    </i>
    <i r="2">
      <x v="186"/>
    </i>
    <i r="3">
      <x v="1368"/>
    </i>
    <i r="3">
      <x v="1773"/>
    </i>
    <i r="2">
      <x v="187"/>
    </i>
    <i r="3">
      <x v="854"/>
    </i>
    <i r="2">
      <x v="194"/>
    </i>
    <i r="3">
      <x v="2097"/>
    </i>
    <i r="2">
      <x v="195"/>
    </i>
    <i r="3">
      <x v="674"/>
    </i>
    <i r="3">
      <x v="1659"/>
    </i>
    <i r="2">
      <x v="196"/>
    </i>
    <i r="3">
      <x v="1336"/>
    </i>
    <i r="3">
      <x v="2042"/>
    </i>
    <i r="2">
      <x v="197"/>
    </i>
    <i r="3">
      <x v="492"/>
    </i>
    <i r="2">
      <x v="198"/>
    </i>
    <i r="3">
      <x v="600"/>
    </i>
    <i r="2">
      <x v="199"/>
    </i>
    <i r="3">
      <x v="1395"/>
    </i>
    <i r="2">
      <x v="201"/>
    </i>
    <i r="3">
      <x v="61"/>
    </i>
    <i r="3">
      <x v="2393"/>
    </i>
    <i r="2">
      <x v="202"/>
    </i>
    <i r="3">
      <x v="959"/>
    </i>
    <i r="2">
      <x v="203"/>
    </i>
    <i r="3">
      <x v="1699"/>
    </i>
    <i r="2">
      <x v="204"/>
    </i>
    <i r="3">
      <x v="72"/>
    </i>
    <i r="3">
      <x v="164"/>
    </i>
    <i r="2">
      <x v="205"/>
    </i>
    <i r="3">
      <x v="601"/>
    </i>
    <i r="3">
      <x v="2310"/>
    </i>
    <i r="2">
      <x v="206"/>
    </i>
    <i r="3">
      <x v="348"/>
    </i>
    <i r="3">
      <x v="1001"/>
    </i>
    <i r="3">
      <x v="1163"/>
    </i>
    <i r="3">
      <x v="2200"/>
    </i>
    <i r="3">
      <x v="2491"/>
    </i>
    <i r="2">
      <x v="207"/>
    </i>
    <i r="3">
      <x v="48"/>
    </i>
    <i r="3">
      <x v="62"/>
    </i>
    <i r="2">
      <x v="208"/>
    </i>
    <i r="3">
      <x v="1844"/>
    </i>
    <i r="2">
      <x v="209"/>
    </i>
    <i r="3">
      <x v="1679"/>
    </i>
    <i r="3">
      <x v="1871"/>
    </i>
    <i r="3">
      <x v="2086"/>
    </i>
    <i r="2">
      <x v="212"/>
    </i>
    <i r="3">
      <x v="924"/>
    </i>
    <i r="3">
      <x v="2540"/>
    </i>
    <i r="3">
      <x v="2554"/>
    </i>
    <i r="2">
      <x v="213"/>
    </i>
    <i r="3">
      <x v="631"/>
    </i>
    <i r="3">
      <x v="1602"/>
    </i>
    <i r="2">
      <x v="214"/>
    </i>
    <i r="3">
      <x v="357"/>
    </i>
    <i r="3">
      <x v="1271"/>
    </i>
    <i r="3">
      <x v="1559"/>
    </i>
    <i r="2">
      <x v="215"/>
    </i>
    <i r="3">
      <x v="54"/>
    </i>
    <i r="3">
      <x v="1096"/>
    </i>
    <i r="3">
      <x v="1291"/>
    </i>
    <i r="3">
      <x v="1535"/>
    </i>
    <i r="3">
      <x v="1952"/>
    </i>
    <i r="3">
      <x v="2018"/>
    </i>
    <i r="3">
      <x v="2375"/>
    </i>
    <i r="2">
      <x v="216"/>
    </i>
    <i r="3">
      <x v="55"/>
    </i>
    <i r="3">
      <x v="449"/>
    </i>
    <i r="3">
      <x v="467"/>
    </i>
    <i r="2">
      <x v="217"/>
    </i>
    <i r="3">
      <x v="361"/>
    </i>
    <i r="3">
      <x v="687"/>
    </i>
    <i r="2">
      <x v="218"/>
    </i>
    <i r="3">
      <x v="791"/>
    </i>
    <i r="3">
      <x v="1239"/>
    </i>
    <i r="3">
      <x v="2548"/>
    </i>
    <i r="1">
      <x v="47"/>
    </i>
    <i r="2">
      <x v="32"/>
    </i>
    <i r="3">
      <x v="1200"/>
    </i>
    <i r="2">
      <x v="34"/>
    </i>
    <i r="3">
      <x v="1941"/>
    </i>
    <i r="2">
      <x v="147"/>
    </i>
    <i r="3">
      <x v="1170"/>
    </i>
    <i r="2">
      <x v="149"/>
    </i>
    <i r="3">
      <x v="977"/>
    </i>
    <i r="3">
      <x v="1853"/>
    </i>
    <i r="2">
      <x v="151"/>
    </i>
    <i r="3">
      <x v="1940"/>
    </i>
    <i r="2">
      <x v="152"/>
    </i>
    <i r="3">
      <x v="288"/>
    </i>
    <i r="2">
      <x v="159"/>
    </i>
    <i r="3">
      <x v="2005"/>
    </i>
    <i r="2">
      <x v="161"/>
    </i>
    <i r="3">
      <x v="1448"/>
    </i>
    <i r="2">
      <x v="181"/>
    </i>
    <i r="3">
      <x v="105"/>
    </i>
    <i r="2">
      <x v="182"/>
    </i>
    <i r="3">
      <x v="1322"/>
    </i>
    <i r="2">
      <x v="183"/>
    </i>
    <i r="3">
      <x v="1134"/>
    </i>
    <i r="2">
      <x v="184"/>
    </i>
    <i r="3">
      <x v="1608"/>
    </i>
    <i r="2">
      <x v="185"/>
    </i>
    <i r="3">
      <x v="1778"/>
    </i>
    <i r="2">
      <x v="187"/>
    </i>
    <i r="3">
      <x v="1421"/>
    </i>
    <i r="2">
      <x v="190"/>
    </i>
    <i r="3">
      <x v="2152"/>
    </i>
    <i r="2">
      <x v="192"/>
    </i>
    <i r="3">
      <x v="2580"/>
    </i>
    <i r="2">
      <x v="193"/>
    </i>
    <i r="3">
      <x v="1305"/>
    </i>
    <i r="3">
      <x v="1588"/>
    </i>
    <i r="2">
      <x v="194"/>
    </i>
    <i r="3">
      <x v="2447"/>
    </i>
    <i r="2">
      <x v="195"/>
    </i>
    <i r="3">
      <x v="736"/>
    </i>
    <i r="2">
      <x v="196"/>
    </i>
    <i r="3">
      <x v="1356"/>
    </i>
    <i r="2">
      <x v="198"/>
    </i>
    <i r="3">
      <x v="2533"/>
    </i>
    <i r="2">
      <x v="199"/>
    </i>
    <i r="3">
      <x v="1520"/>
    </i>
    <i r="2">
      <x v="200"/>
    </i>
    <i r="3">
      <x v="525"/>
    </i>
    <i r="3">
      <x v="1403"/>
    </i>
    <i r="2">
      <x v="201"/>
    </i>
    <i r="3">
      <x v="1361"/>
    </i>
    <i r="2">
      <x v="202"/>
    </i>
    <i r="3">
      <x v="491"/>
    </i>
    <i r="3">
      <x v="524"/>
    </i>
    <i r="3">
      <x v="591"/>
    </i>
    <i r="3">
      <x v="633"/>
    </i>
    <i r="2">
      <x v="204"/>
    </i>
    <i r="3">
      <x v="1013"/>
    </i>
    <i r="3">
      <x v="2509"/>
    </i>
    <i r="2">
      <x v="206"/>
    </i>
    <i r="3">
      <x v="407"/>
    </i>
    <i r="3">
      <x v="1360"/>
    </i>
    <i r="2">
      <x v="207"/>
    </i>
    <i r="3">
      <x v="440"/>
    </i>
    <i r="3">
      <x v="2373"/>
    </i>
    <i r="2">
      <x v="211"/>
    </i>
    <i r="3">
      <x v="1374"/>
    </i>
    <i r="3">
      <x v="2500"/>
    </i>
    <i r="2">
      <x v="212"/>
    </i>
    <i r="3">
      <x v="49"/>
    </i>
    <i r="3">
      <x v="691"/>
    </i>
    <i r="3">
      <x v="1143"/>
    </i>
    <i r="2">
      <x v="213"/>
    </i>
    <i r="3">
      <x v="1206"/>
    </i>
    <i r="3">
      <x v="2369"/>
    </i>
    <i r="2">
      <x v="215"/>
    </i>
    <i r="3">
      <x v="786"/>
    </i>
    <i r="3">
      <x v="1155"/>
    </i>
    <i r="3">
      <x v="2408"/>
    </i>
    <i r="3">
      <x v="2567"/>
    </i>
    <i r="2">
      <x v="216"/>
    </i>
    <i r="3">
      <x v="368"/>
    </i>
    <i r="3">
      <x v="404"/>
    </i>
    <i r="3">
      <x v="1970"/>
    </i>
    <i r="3">
      <x v="2383"/>
    </i>
    <i r="2">
      <x v="217"/>
    </i>
    <i r="3">
      <x v="14"/>
    </i>
    <i r="3">
      <x v="2453"/>
    </i>
    <i r="2">
      <x v="218"/>
    </i>
    <i r="3">
      <x v="2356"/>
    </i>
    <i r="3">
      <x v="2470"/>
    </i>
    <i r="1">
      <x v="48"/>
    </i>
    <i r="2">
      <x v="131"/>
    </i>
    <i r="3">
      <x v="1946"/>
    </i>
    <i r="2">
      <x v="132"/>
    </i>
    <i r="3">
      <x v="1302"/>
    </i>
    <i r="2">
      <x v="150"/>
    </i>
    <i r="3">
      <x v="1810"/>
    </i>
    <i r="2">
      <x v="160"/>
    </i>
    <i r="3">
      <x v="1095"/>
    </i>
    <i r="3">
      <x v="1609"/>
    </i>
    <i r="2">
      <x v="167"/>
    </i>
    <i r="3">
      <x v="2618"/>
    </i>
    <i r="2">
      <x v="176"/>
    </i>
    <i r="3">
      <x v="369"/>
    </i>
    <i r="2">
      <x v="179"/>
    </i>
    <i r="3">
      <x v="1111"/>
    </i>
    <i r="2">
      <x v="186"/>
    </i>
    <i r="3">
      <x v="592"/>
    </i>
    <i r="2">
      <x v="192"/>
    </i>
    <i r="3">
      <x v="2010"/>
    </i>
    <i r="3">
      <x v="2350"/>
    </i>
    <i r="2">
      <x v="194"/>
    </i>
    <i r="3">
      <x v="598"/>
    </i>
    <i r="2">
      <x v="195"/>
    </i>
    <i r="3">
      <x v="2496"/>
    </i>
    <i r="2">
      <x v="196"/>
    </i>
    <i r="3">
      <x v="541"/>
    </i>
    <i r="3">
      <x v="1172"/>
    </i>
    <i r="3">
      <x v="2303"/>
    </i>
    <i r="2">
      <x v="197"/>
    </i>
    <i r="3">
      <x v="1074"/>
    </i>
    <i r="3">
      <x v="2534"/>
    </i>
    <i r="2">
      <x v="200"/>
    </i>
    <i r="3">
      <x v="552"/>
    </i>
    <i r="2">
      <x v="202"/>
    </i>
    <i r="3">
      <x v="210"/>
    </i>
    <i r="2">
      <x v="203"/>
    </i>
    <i r="3">
      <x v="174"/>
    </i>
    <i r="3">
      <x v="980"/>
    </i>
    <i r="2">
      <x v="204"/>
    </i>
    <i r="3">
      <x v="2507"/>
    </i>
    <i r="2">
      <x v="205"/>
    </i>
    <i r="3">
      <x v="400"/>
    </i>
    <i r="2">
      <x v="207"/>
    </i>
    <i r="3">
      <x v="1228"/>
    </i>
    <i r="3">
      <x v="2080"/>
    </i>
    <i r="3">
      <x v="2490"/>
    </i>
    <i r="2">
      <x v="208"/>
    </i>
    <i r="3">
      <x v="1714"/>
    </i>
    <i r="2">
      <x v="209"/>
    </i>
    <i r="3">
      <x v="454"/>
    </i>
    <i r="3">
      <x v="540"/>
    </i>
    <i r="3">
      <x v="1275"/>
    </i>
    <i r="2">
      <x v="210"/>
    </i>
    <i r="3">
      <x v="216"/>
    </i>
    <i r="3">
      <x v="1795"/>
    </i>
    <i r="2">
      <x v="211"/>
    </i>
    <i r="3">
      <x v="1197"/>
    </i>
    <i r="3">
      <x v="1265"/>
    </i>
    <i r="3">
      <x v="1473"/>
    </i>
    <i r="3">
      <x v="2164"/>
    </i>
    <i r="3">
      <x v="2588"/>
    </i>
    <i r="2">
      <x v="212"/>
    </i>
    <i r="3">
      <x v="75"/>
    </i>
    <i r="3">
      <x v="193"/>
    </i>
    <i r="3">
      <x v="2461"/>
    </i>
    <i r="2">
      <x v="213"/>
    </i>
    <i r="3">
      <x v="199"/>
    </i>
    <i r="3">
      <x v="971"/>
    </i>
    <i r="3">
      <x v="2068"/>
    </i>
    <i r="2">
      <x v="214"/>
    </i>
    <i r="3">
      <x v="88"/>
    </i>
    <i r="3">
      <x v="765"/>
    </i>
    <i r="3">
      <x v="1389"/>
    </i>
    <i r="3">
      <x v="2445"/>
    </i>
    <i r="2">
      <x v="215"/>
    </i>
    <i r="3">
      <x/>
    </i>
    <i r="3">
      <x v="2503"/>
    </i>
    <i r="2">
      <x v="216"/>
    </i>
    <i r="3">
      <x v="1327"/>
    </i>
    <i r="2">
      <x v="217"/>
    </i>
    <i r="3">
      <x v="1540"/>
    </i>
    <i r="3">
      <x v="1841"/>
    </i>
    <i r="3">
      <x v="1969"/>
    </i>
    <i r="3">
      <x v="2449"/>
    </i>
    <i r="3">
      <x v="2512"/>
    </i>
    <i r="2">
      <x v="218"/>
    </i>
    <i r="3">
      <x v="256"/>
    </i>
    <i r="3">
      <x v="927"/>
    </i>
    <i r="3">
      <x v="1470"/>
    </i>
    <i r="3">
      <x v="2300"/>
    </i>
    <i r="3">
      <x v="2364"/>
    </i>
    <i r="3">
      <x v="2504"/>
    </i>
    <i r="1">
      <x v="49"/>
    </i>
    <i r="2">
      <x v="54"/>
    </i>
    <i r="3">
      <x v="1445"/>
    </i>
    <i r="2">
      <x v="64"/>
    </i>
    <i r="3">
      <x v="588"/>
    </i>
    <i r="2">
      <x v="66"/>
    </i>
    <i r="3">
      <x v="2379"/>
    </i>
    <i r="2">
      <x v="141"/>
    </i>
    <i r="3">
      <x v="347"/>
    </i>
    <i r="2">
      <x v="149"/>
    </i>
    <i r="3">
      <x v="518"/>
    </i>
    <i r="3">
      <x v="1706"/>
    </i>
    <i r="2">
      <x v="153"/>
    </i>
    <i r="3">
      <x v="2596"/>
    </i>
    <i r="2">
      <x v="172"/>
    </i>
    <i r="3">
      <x v="1266"/>
    </i>
    <i r="2">
      <x v="181"/>
    </i>
    <i r="3">
      <x v="2250"/>
    </i>
    <i r="2">
      <x v="182"/>
    </i>
    <i r="3">
      <x v="1977"/>
    </i>
    <i r="2">
      <x v="194"/>
    </i>
    <i r="3">
      <x v="898"/>
    </i>
    <i r="3">
      <x v="1512"/>
    </i>
    <i r="3">
      <x v="2527"/>
    </i>
    <i r="2">
      <x v="196"/>
    </i>
    <i r="3">
      <x v="1290"/>
    </i>
    <i r="3">
      <x v="1953"/>
    </i>
    <i r="2">
      <x v="197"/>
    </i>
    <i r="3">
      <x v="15"/>
    </i>
    <i r="2">
      <x v="199"/>
    </i>
    <i r="3">
      <x v="2326"/>
    </i>
    <i r="2">
      <x v="200"/>
    </i>
    <i r="3">
      <x v="609"/>
    </i>
    <i r="2">
      <x v="201"/>
    </i>
    <i r="3">
      <x v="2239"/>
    </i>
    <i r="2">
      <x v="202"/>
    </i>
    <i r="3">
      <x v="858"/>
    </i>
    <i r="3">
      <x v="1413"/>
    </i>
    <i r="3">
      <x v="2114"/>
    </i>
    <i r="2">
      <x v="206"/>
    </i>
    <i r="3">
      <x v="33"/>
    </i>
    <i r="3">
      <x v="312"/>
    </i>
    <i r="3">
      <x v="542"/>
    </i>
    <i r="3">
      <x v="1811"/>
    </i>
    <i r="3">
      <x v="2220"/>
    </i>
    <i r="2">
      <x v="207"/>
    </i>
    <i r="3">
      <x v="373"/>
    </i>
    <i r="3">
      <x v="2283"/>
    </i>
    <i r="2">
      <x v="208"/>
    </i>
    <i r="3">
      <x v="892"/>
    </i>
    <i r="2">
      <x v="209"/>
    </i>
    <i r="3">
      <x v="893"/>
    </i>
    <i r="2">
      <x v="210"/>
    </i>
    <i r="3">
      <x v="93"/>
    </i>
    <i r="3">
      <x v="716"/>
    </i>
    <i r="2">
      <x v="211"/>
    </i>
    <i r="3">
      <x v="1707"/>
    </i>
    <i r="2">
      <x v="212"/>
    </i>
    <i r="3">
      <x v="666"/>
    </i>
    <i r="3">
      <x v="2519"/>
    </i>
    <i r="2">
      <x v="213"/>
    </i>
    <i r="3">
      <x v="397"/>
    </i>
    <i r="3">
      <x v="851"/>
    </i>
    <i r="3">
      <x v="1006"/>
    </i>
    <i r="2">
      <x v="214"/>
    </i>
    <i r="3">
      <x v="99"/>
    </i>
    <i r="3">
      <x v="279"/>
    </i>
    <i r="3">
      <x v="1005"/>
    </i>
    <i r="3">
      <x v="1674"/>
    </i>
    <i r="3">
      <x v="2547"/>
    </i>
    <i r="2">
      <x v="215"/>
    </i>
    <i r="3">
      <x v="135"/>
    </i>
    <i r="3">
      <x v="1759"/>
    </i>
    <i r="3">
      <x v="1823"/>
    </i>
    <i r="2">
      <x v="216"/>
    </i>
    <i r="3">
      <x v="179"/>
    </i>
    <i r="3">
      <x v="519"/>
    </i>
    <i r="3">
      <x v="597"/>
    </i>
    <i r="3">
      <x v="1603"/>
    </i>
    <i r="3">
      <x v="2007"/>
    </i>
    <i r="3">
      <x v="2460"/>
    </i>
    <i r="2">
      <x v="217"/>
    </i>
    <i r="3">
      <x v="881"/>
    </i>
    <i r="3">
      <x v="1412"/>
    </i>
    <i r="3">
      <x v="2012"/>
    </i>
    <i r="3">
      <x v="2195"/>
    </i>
    <i r="2">
      <x v="218"/>
    </i>
    <i r="3">
      <x v="408"/>
    </i>
    <i r="3">
      <x v="1444"/>
    </i>
    <i r="1">
      <x v="50"/>
    </i>
    <i r="2">
      <x v="1"/>
    </i>
    <i r="3">
      <x v="586"/>
    </i>
    <i r="2">
      <x v="31"/>
    </i>
    <i r="3">
      <x v="1442"/>
    </i>
    <i r="2">
      <x v="47"/>
    </i>
    <i r="3">
      <x v="2421"/>
    </i>
    <i r="2">
      <x v="52"/>
    </i>
    <i r="3">
      <x v="127"/>
    </i>
    <i r="2">
      <x v="121"/>
    </i>
    <i r="3">
      <x v="2597"/>
    </i>
    <i r="2">
      <x v="131"/>
    </i>
    <i r="3">
      <x v="943"/>
    </i>
    <i r="2">
      <x v="163"/>
    </i>
    <i r="3">
      <x v="1828"/>
    </i>
    <i r="2">
      <x v="166"/>
    </i>
    <i r="3">
      <x v="1968"/>
    </i>
    <i r="2">
      <x v="171"/>
    </i>
    <i r="3">
      <x v="446"/>
    </i>
    <i r="2">
      <x v="172"/>
    </i>
    <i r="3">
      <x v="2206"/>
    </i>
    <i r="2">
      <x v="188"/>
    </i>
    <i r="3">
      <x v="426"/>
    </i>
    <i r="2">
      <x v="191"/>
    </i>
    <i r="3">
      <x v="815"/>
    </i>
    <i r="2">
      <x v="197"/>
    </i>
    <i r="3">
      <x v="2046"/>
    </i>
    <i r="2">
      <x v="198"/>
    </i>
    <i r="3">
      <x v="577"/>
    </i>
    <i r="2">
      <x v="202"/>
    </i>
    <i r="3">
      <x v="1060"/>
    </i>
    <i r="3">
      <x v="1151"/>
    </i>
    <i r="2">
      <x v="204"/>
    </i>
    <i r="3">
      <x v="259"/>
    </i>
    <i r="2">
      <x v="208"/>
    </i>
    <i r="3">
      <x v="1494"/>
    </i>
    <i r="2">
      <x v="210"/>
    </i>
    <i r="3">
      <x v="470"/>
    </i>
    <i r="3">
      <x v="613"/>
    </i>
    <i r="3">
      <x v="2416"/>
    </i>
    <i r="2">
      <x v="211"/>
    </i>
    <i r="3">
      <x v="1463"/>
    </i>
    <i r="2">
      <x v="212"/>
    </i>
    <i r="3">
      <x v="433"/>
    </i>
    <i r="3">
      <x v="1357"/>
    </i>
    <i r="3">
      <x v="2037"/>
    </i>
    <i r="2">
      <x v="214"/>
    </i>
    <i r="3">
      <x v="2045"/>
    </i>
    <i r="2">
      <x v="216"/>
    </i>
    <i r="3">
      <x v="1471"/>
    </i>
    <i r="3">
      <x v="2321"/>
    </i>
    <i r="3">
      <x v="2634"/>
    </i>
    <i r="2">
      <x v="217"/>
    </i>
    <i r="3">
      <x v="1130"/>
    </i>
    <i r="3">
      <x v="2170"/>
    </i>
    <i r="3">
      <x v="2349"/>
    </i>
    <i r="3">
      <x v="2539"/>
    </i>
    <i r="3">
      <x v="2590"/>
    </i>
    <i r="2">
      <x v="218"/>
    </i>
    <i r="3">
      <x v="116"/>
    </i>
    <i r="3">
      <x v="2048"/>
    </i>
    <i r="3">
      <x v="2280"/>
    </i>
    <i r="3">
      <x v="2544"/>
    </i>
    <i r="1">
      <x v="51"/>
    </i>
    <i r="2">
      <x v="11"/>
    </i>
    <i r="3">
      <x v="1274"/>
    </i>
    <i r="2">
      <x v="112"/>
    </i>
    <i r="3">
      <x v="430"/>
    </i>
    <i r="2">
      <x v="118"/>
    </i>
    <i r="3">
      <x v="1583"/>
    </i>
    <i r="2">
      <x v="149"/>
    </i>
    <i r="3">
      <x v="710"/>
    </i>
    <i r="2">
      <x v="155"/>
    </i>
    <i r="3">
      <x v="104"/>
    </i>
    <i r="2">
      <x v="178"/>
    </i>
    <i r="3">
      <x v="966"/>
    </i>
    <i r="3">
      <x v="2328"/>
    </i>
    <i r="2">
      <x v="179"/>
    </i>
    <i r="3">
      <x v="2585"/>
    </i>
    <i r="2">
      <x v="180"/>
    </i>
    <i r="3">
      <x v="2271"/>
    </i>
    <i r="2">
      <x v="181"/>
    </i>
    <i r="3">
      <x v="1324"/>
    </i>
    <i r="2">
      <x v="184"/>
    </i>
    <i r="3">
      <x v="2121"/>
    </i>
    <i r="2">
      <x v="189"/>
    </i>
    <i r="3">
      <x v="294"/>
    </i>
    <i r="2">
      <x v="191"/>
    </i>
    <i r="3">
      <x v="973"/>
    </i>
    <i r="2">
      <x v="194"/>
    </i>
    <i r="3">
      <x v="9"/>
    </i>
    <i r="2">
      <x v="197"/>
    </i>
    <i r="3">
      <x v="2043"/>
    </i>
    <i r="2">
      <x v="198"/>
    </i>
    <i r="3">
      <x v="1303"/>
    </i>
    <i r="2">
      <x v="199"/>
    </i>
    <i r="3">
      <x v="752"/>
    </i>
    <i r="2">
      <x v="200"/>
    </i>
    <i r="3">
      <x v="1858"/>
    </i>
    <i r="2">
      <x v="202"/>
    </i>
    <i r="3">
      <x v="2411"/>
    </i>
    <i r="2">
      <x v="206"/>
    </i>
    <i r="3">
      <x v="1825"/>
    </i>
    <i r="2">
      <x v="207"/>
    </i>
    <i r="3">
      <x v="725"/>
    </i>
    <i r="3">
      <x v="789"/>
    </i>
    <i r="2">
      <x v="208"/>
    </i>
    <i r="3">
      <x v="1519"/>
    </i>
    <i r="2">
      <x v="210"/>
    </i>
    <i r="3">
      <x v="2505"/>
    </i>
    <i r="2">
      <x v="211"/>
    </i>
    <i r="3">
      <x v="197"/>
    </i>
    <i r="2">
      <x v="212"/>
    </i>
    <i r="3">
      <x v="386"/>
    </i>
    <i r="2">
      <x v="213"/>
    </i>
    <i r="3">
      <x v="993"/>
    </i>
    <i r="3">
      <x v="1330"/>
    </i>
    <i r="3">
      <x v="2494"/>
    </i>
    <i r="2">
      <x v="214"/>
    </i>
    <i r="3">
      <x v="904"/>
    </i>
    <i r="3">
      <x v="1813"/>
    </i>
    <i r="2">
      <x v="215"/>
    </i>
    <i r="3">
      <x v="362"/>
    </i>
    <i r="3">
      <x v="495"/>
    </i>
    <i r="3">
      <x v="2146"/>
    </i>
    <i r="3">
      <x v="2454"/>
    </i>
    <i r="2">
      <x v="216"/>
    </i>
    <i r="3">
      <x v="1560"/>
    </i>
    <i r="3">
      <x v="2026"/>
    </i>
    <i r="2">
      <x v="217"/>
    </i>
    <i r="3">
      <x v="1214"/>
    </i>
    <i r="3">
      <x v="1542"/>
    </i>
    <i r="3">
      <x v="2627"/>
    </i>
    <i r="2">
      <x v="218"/>
    </i>
    <i r="3">
      <x v="553"/>
    </i>
    <i r="1">
      <x v="52"/>
    </i>
    <i r="2">
      <x v="13"/>
    </i>
    <i r="3">
      <x v="2049"/>
    </i>
    <i r="2">
      <x v="140"/>
    </i>
    <i r="3">
      <x v="1897"/>
    </i>
    <i r="2">
      <x v="175"/>
    </i>
    <i r="3">
      <x v="2260"/>
    </i>
    <i r="2">
      <x v="176"/>
    </i>
    <i r="3">
      <x v="1507"/>
    </i>
    <i r="2">
      <x v="177"/>
    </i>
    <i r="3">
      <x v="623"/>
    </i>
    <i r="3">
      <x v="1262"/>
    </i>
    <i r="2">
      <x v="185"/>
    </i>
    <i r="3">
      <x v="1122"/>
    </i>
    <i r="2">
      <x v="195"/>
    </i>
    <i r="3">
      <x v="1067"/>
    </i>
    <i r="2">
      <x v="199"/>
    </i>
    <i r="3">
      <x v="1294"/>
    </i>
    <i r="2">
      <x v="203"/>
    </i>
    <i r="3">
      <x v="2270"/>
    </i>
    <i r="2">
      <x v="205"/>
    </i>
    <i r="3">
      <x v="1401"/>
    </i>
    <i r="2">
      <x v="207"/>
    </i>
    <i r="3">
      <x v="879"/>
    </i>
    <i r="3">
      <x v="2051"/>
    </i>
    <i r="3">
      <x v="2070"/>
    </i>
    <i r="3">
      <x v="2584"/>
    </i>
    <i r="2">
      <x v="208"/>
    </i>
    <i r="3">
      <x v="126"/>
    </i>
    <i r="2">
      <x v="210"/>
    </i>
    <i r="3">
      <x v="1987"/>
    </i>
    <i r="2">
      <x v="211"/>
    </i>
    <i r="3">
      <x v="488"/>
    </i>
    <i r="3">
      <x v="819"/>
    </i>
    <i r="3">
      <x v="2450"/>
    </i>
    <i r="3">
      <x v="2479"/>
    </i>
    <i r="2">
      <x v="212"/>
    </i>
    <i r="3">
      <x v="694"/>
    </i>
    <i r="3">
      <x v="2058"/>
    </i>
    <i r="3">
      <x v="2613"/>
    </i>
    <i r="2">
      <x v="213"/>
    </i>
    <i r="3">
      <x v="94"/>
    </i>
    <i r="3">
      <x v="474"/>
    </i>
    <i r="3">
      <x v="576"/>
    </i>
    <i r="2">
      <x v="214"/>
    </i>
    <i r="3">
      <x v="1686"/>
    </i>
    <i r="2">
      <x v="215"/>
    </i>
    <i r="3">
      <x v="903"/>
    </i>
    <i r="3">
      <x v="1247"/>
    </i>
    <i r="2">
      <x v="216"/>
    </i>
    <i r="3">
      <x v="5"/>
    </i>
    <i r="3">
      <x v="425"/>
    </i>
    <i r="2">
      <x v="217"/>
    </i>
    <i r="3">
      <x v="1381"/>
    </i>
    <i r="3">
      <x v="2163"/>
    </i>
    <i r="3">
      <x v="2629"/>
    </i>
    <i r="2">
      <x v="218"/>
    </i>
    <i r="3">
      <x v="2246"/>
    </i>
    <i r="1">
      <x v="53"/>
    </i>
    <i r="2">
      <x v="188"/>
    </i>
    <i r="3">
      <x v="211"/>
    </i>
    <i r="2">
      <x v="195"/>
    </i>
    <i r="3">
      <x v="1002"/>
    </i>
    <i r="2">
      <x v="196"/>
    </i>
    <i r="3">
      <x v="802"/>
    </i>
    <i r="2">
      <x v="199"/>
    </i>
    <i r="3">
      <x v="1181"/>
    </i>
    <i r="2">
      <x v="202"/>
    </i>
    <i r="3">
      <x v="1613"/>
    </i>
    <i r="2">
      <x v="204"/>
    </i>
    <i r="3">
      <x v="986"/>
    </i>
    <i r="2">
      <x v="206"/>
    </i>
    <i r="3">
      <x v="1267"/>
    </i>
    <i r="2">
      <x v="207"/>
    </i>
    <i r="3">
      <x v="166"/>
    </i>
    <i r="2">
      <x v="208"/>
    </i>
    <i r="3">
      <x v="857"/>
    </i>
    <i r="3">
      <x v="1541"/>
    </i>
    <i r="2">
      <x v="211"/>
    </i>
    <i r="3">
      <x v="71"/>
    </i>
    <i r="2">
      <x v="212"/>
    </i>
    <i r="3">
      <x v="2569"/>
    </i>
    <i r="2">
      <x v="213"/>
    </i>
    <i r="3">
      <x v="760"/>
    </i>
    <i r="3">
      <x v="1179"/>
    </i>
    <i r="2">
      <x v="214"/>
    </i>
    <i r="3">
      <x v="970"/>
    </i>
    <i r="3">
      <x v="2428"/>
    </i>
    <i r="2">
      <x v="215"/>
    </i>
    <i r="3">
      <x v="2120"/>
    </i>
    <i r="2">
      <x v="216"/>
    </i>
    <i r="3">
      <x v="1114"/>
    </i>
    <i r="2">
      <x v="217"/>
    </i>
    <i r="3">
      <x v="2591"/>
    </i>
    <i r="2">
      <x v="218"/>
    </i>
    <i r="3">
      <x v="1222"/>
    </i>
    <i r="1">
      <x v="54"/>
    </i>
    <i r="2">
      <x v="105"/>
    </i>
    <i r="3">
      <x v="964"/>
    </i>
    <i r="2">
      <x v="137"/>
    </i>
    <i r="3">
      <x v="438"/>
    </i>
    <i r="2">
      <x v="140"/>
    </i>
    <i r="3">
      <x v="2203"/>
    </i>
    <i r="2">
      <x v="143"/>
    </i>
    <i r="3">
      <x v="340"/>
    </i>
    <i r="2">
      <x v="161"/>
    </i>
    <i r="3">
      <x v="2093"/>
    </i>
    <i r="2">
      <x v="162"/>
    </i>
    <i r="3">
      <x v="1643"/>
    </i>
    <i r="3">
      <x v="1832"/>
    </i>
    <i r="2">
      <x v="191"/>
    </i>
    <i r="3">
      <x v="1606"/>
    </i>
    <i r="2">
      <x v="192"/>
    </i>
    <i r="3">
      <x v="1670"/>
    </i>
    <i r="2">
      <x v="202"/>
    </i>
    <i r="3">
      <x v="364"/>
    </i>
    <i r="3">
      <x v="1352"/>
    </i>
    <i r="2">
      <x v="205"/>
    </i>
    <i r="3">
      <x v="2112"/>
    </i>
    <i r="2">
      <x v="207"/>
    </i>
    <i r="3">
      <x v="115"/>
    </i>
    <i r="2">
      <x v="208"/>
    </i>
    <i r="3">
      <x v="1086"/>
    </i>
    <i r="3">
      <x v="2208"/>
    </i>
    <i r="2">
      <x v="210"/>
    </i>
    <i r="3">
      <x v="1433"/>
    </i>
    <i r="2">
      <x v="211"/>
    </i>
    <i r="3">
      <x v="1079"/>
    </i>
    <i r="3">
      <x v="2555"/>
    </i>
    <i r="2">
      <x v="212"/>
    </i>
    <i r="3">
      <x v="278"/>
    </i>
    <i r="2">
      <x v="213"/>
    </i>
    <i r="3">
      <x v="1622"/>
    </i>
    <i r="3">
      <x v="2475"/>
    </i>
    <i r="2">
      <x v="215"/>
    </i>
    <i r="3">
      <x v="2399"/>
    </i>
    <i r="2">
      <x v="216"/>
    </i>
    <i r="3">
      <x v="2593"/>
    </i>
    <i r="2">
      <x v="217"/>
    </i>
    <i r="3">
      <x v="1380"/>
    </i>
    <i r="3">
      <x v="1399"/>
    </i>
    <i r="3">
      <x v="1753"/>
    </i>
    <i r="3">
      <x v="2247"/>
    </i>
    <i r="1">
      <x v="55"/>
    </i>
    <i r="2">
      <x v="168"/>
    </i>
    <i r="3">
      <x v="1881"/>
    </i>
    <i r="2">
      <x v="182"/>
    </i>
    <i r="3">
      <x v="939"/>
    </i>
    <i r="2">
      <x v="185"/>
    </i>
    <i r="3">
      <x v="209"/>
    </i>
    <i r="2">
      <x v="188"/>
    </i>
    <i r="3">
      <x v="2284"/>
    </i>
    <i r="2">
      <x v="197"/>
    </i>
    <i r="3">
      <x v="992"/>
    </i>
    <i r="3">
      <x v="1862"/>
    </i>
    <i r="2">
      <x v="199"/>
    </i>
    <i r="3">
      <x v="444"/>
    </i>
    <i r="2">
      <x v="202"/>
    </i>
    <i r="3">
      <x v="45"/>
    </i>
    <i r="3">
      <x v="2559"/>
    </i>
    <i r="2">
      <x v="206"/>
    </i>
    <i r="3">
      <x v="2057"/>
    </i>
    <i r="2">
      <x v="208"/>
    </i>
    <i r="3">
      <x v="46"/>
    </i>
    <i r="3">
      <x v="234"/>
    </i>
    <i r="3">
      <x v="2616"/>
    </i>
    <i r="2">
      <x v="210"/>
    </i>
    <i r="3">
      <x v="1701"/>
    </i>
    <i r="3">
      <x v="1884"/>
    </i>
    <i r="3">
      <x v="2314"/>
    </i>
    <i r="2">
      <x v="212"/>
    </i>
    <i r="3">
      <x v="1347"/>
    </i>
    <i r="2">
      <x v="213"/>
    </i>
    <i r="3">
      <x v="1991"/>
    </i>
    <i r="2">
      <x v="214"/>
    </i>
    <i r="3">
      <x v="337"/>
    </i>
    <i r="2">
      <x v="215"/>
    </i>
    <i r="3">
      <x v="1354"/>
    </i>
    <i r="2">
      <x v="216"/>
    </i>
    <i r="3">
      <x v="229"/>
    </i>
    <i r="3">
      <x v="1286"/>
    </i>
    <i r="3">
      <x v="2511"/>
    </i>
    <i r="2">
      <x v="217"/>
    </i>
    <i r="3">
      <x v="1277"/>
    </i>
    <i r="3">
      <x v="2094"/>
    </i>
    <i r="2">
      <x v="218"/>
    </i>
    <i r="3">
      <x v="853"/>
    </i>
    <i r="1">
      <x v="56"/>
    </i>
    <i r="2">
      <x v="91"/>
    </i>
    <i r="3">
      <x v="1931"/>
    </i>
    <i r="2">
      <x v="125"/>
    </i>
    <i r="3">
      <x v="321"/>
    </i>
    <i r="2">
      <x v="182"/>
    </i>
    <i r="3">
      <x v="645"/>
    </i>
    <i r="2">
      <x v="193"/>
    </i>
    <i r="3">
      <x v="2027"/>
    </i>
    <i r="2">
      <x v="203"/>
    </i>
    <i r="3">
      <x v="2520"/>
    </i>
    <i r="2">
      <x v="204"/>
    </i>
    <i r="3">
      <x v="1710"/>
    </i>
    <i r="2">
      <x v="205"/>
    </i>
    <i r="3">
      <x v="873"/>
    </i>
    <i r="3">
      <x v="1158"/>
    </i>
    <i r="2">
      <x v="209"/>
    </i>
    <i r="3">
      <x v="530"/>
    </i>
    <i r="2">
      <x v="210"/>
    </i>
    <i r="3">
      <x v="1244"/>
    </i>
    <i r="2">
      <x v="212"/>
    </i>
    <i r="3">
      <x v="733"/>
    </i>
    <i r="3">
      <x v="1298"/>
    </i>
    <i r="2">
      <x v="214"/>
    </i>
    <i r="3">
      <x v="817"/>
    </i>
    <i r="2">
      <x v="215"/>
    </i>
    <i r="3">
      <x v="1411"/>
    </i>
    <i r="3">
      <x v="1782"/>
    </i>
    <i r="3">
      <x v="2088"/>
    </i>
    <i r="2">
      <x v="216"/>
    </i>
    <i r="3">
      <x v="1296"/>
    </i>
    <i r="2">
      <x v="217"/>
    </i>
    <i r="3">
      <x v="1491"/>
    </i>
    <i r="3">
      <x v="1611"/>
    </i>
    <i r="2">
      <x v="218"/>
    </i>
    <i r="3">
      <x v="448"/>
    </i>
    <i r="3">
      <x v="1345"/>
    </i>
    <i r="3">
      <x v="1974"/>
    </i>
    <i r="1">
      <x v="57"/>
    </i>
    <i r="2">
      <x v="135"/>
    </i>
    <i r="3">
      <x v="2384"/>
    </i>
    <i r="2">
      <x v="161"/>
    </i>
    <i r="3">
      <x v="2228"/>
    </i>
    <i r="2">
      <x v="189"/>
    </i>
    <i r="3">
      <x v="1150"/>
    </i>
    <i r="2">
      <x v="200"/>
    </i>
    <i r="3">
      <x v="693"/>
    </i>
    <i r="2">
      <x v="205"/>
    </i>
    <i r="3">
      <x v="251"/>
    </i>
    <i r="2">
      <x v="206"/>
    </i>
    <i r="3">
      <x v="11"/>
    </i>
    <i r="2">
      <x v="208"/>
    </i>
    <i r="3">
      <x v="285"/>
    </i>
    <i r="2">
      <x v="212"/>
    </i>
    <i r="3">
      <x v="120"/>
    </i>
    <i r="3">
      <x v="1981"/>
    </i>
    <i r="2">
      <x v="214"/>
    </i>
    <i r="3">
      <x v="78"/>
    </i>
    <i r="3">
      <x v="187"/>
    </i>
    <i r="2">
      <x v="215"/>
    </i>
    <i r="3">
      <x v="1935"/>
    </i>
    <i r="2">
      <x v="218"/>
    </i>
    <i r="3">
      <x v="134"/>
    </i>
    <i r="3">
      <x v="385"/>
    </i>
    <i r="1">
      <x v="58"/>
    </i>
    <i r="2">
      <x v="39"/>
    </i>
    <i r="3">
      <x v="415"/>
    </i>
    <i r="2">
      <x v="127"/>
    </i>
    <i r="3">
      <x v="1601"/>
    </i>
    <i r="2">
      <x v="128"/>
    </i>
    <i r="3">
      <x v="2023"/>
    </i>
    <i r="2">
      <x v="174"/>
    </i>
    <i r="3">
      <x v="1537"/>
    </i>
    <i r="2">
      <x v="178"/>
    </i>
    <i r="3">
      <x v="53"/>
    </i>
    <i r="2">
      <x v="199"/>
    </i>
    <i r="3">
      <x v="70"/>
    </i>
    <i r="2">
      <x v="200"/>
    </i>
    <i r="3">
      <x v="2030"/>
    </i>
    <i r="2">
      <x v="201"/>
    </i>
    <i r="3">
      <x v="1685"/>
    </i>
    <i r="2">
      <x v="205"/>
    </i>
    <i r="3">
      <x v="1068"/>
    </i>
    <i r="2">
      <x v="206"/>
    </i>
    <i r="3">
      <x v="50"/>
    </i>
    <i r="3">
      <x v="1546"/>
    </i>
    <i r="2">
      <x v="207"/>
    </i>
    <i r="3">
      <x v="1631"/>
    </i>
    <i r="2">
      <x v="210"/>
    </i>
    <i r="3">
      <x v="282"/>
    </i>
    <i r="3">
      <x v="1408"/>
    </i>
    <i r="2">
      <x v="213"/>
    </i>
    <i r="3">
      <x v="2570"/>
    </i>
    <i r="2">
      <x v="214"/>
    </i>
    <i r="3">
      <x v="2178"/>
    </i>
    <i r="2">
      <x v="216"/>
    </i>
    <i r="3">
      <x v="60"/>
    </i>
    <i r="3">
      <x v="1340"/>
    </i>
    <i r="3">
      <x v="1513"/>
    </i>
    <i r="3">
      <x v="1705"/>
    </i>
    <i r="3">
      <x v="2182"/>
    </i>
    <i r="2">
      <x v="218"/>
    </i>
    <i r="3">
      <x v="1064"/>
    </i>
    <i r="1">
      <x v="59"/>
    </i>
    <i r="2">
      <x v="151"/>
    </i>
    <i r="3">
      <x v="1487"/>
    </i>
    <i r="2">
      <x v="185"/>
    </i>
    <i r="3">
      <x v="660"/>
    </i>
    <i r="2">
      <x v="188"/>
    </i>
    <i r="3">
      <x v="2259"/>
    </i>
    <i r="2">
      <x v="198"/>
    </i>
    <i r="3">
      <x v="688"/>
    </i>
    <i r="2">
      <x v="210"/>
    </i>
    <i r="3">
      <x v="1729"/>
    </i>
    <i r="2">
      <x v="211"/>
    </i>
    <i r="3">
      <x v="569"/>
    </i>
    <i r="2">
      <x v="214"/>
    </i>
    <i r="3">
      <x v="2032"/>
    </i>
    <i r="2">
      <x v="215"/>
    </i>
    <i r="3">
      <x v="1248"/>
    </i>
    <i r="2">
      <x v="216"/>
    </i>
    <i r="3">
      <x v="617"/>
    </i>
    <i r="3">
      <x v="1225"/>
    </i>
    <i r="2">
      <x v="217"/>
    </i>
    <i r="3">
      <x v="6"/>
    </i>
    <i r="3">
      <x v="1745"/>
    </i>
    <i r="1">
      <x v="60"/>
    </i>
    <i r="2">
      <x v="127"/>
    </i>
    <i r="3">
      <x v="565"/>
    </i>
    <i r="2">
      <x v="136"/>
    </i>
    <i r="3">
      <x v="261"/>
    </i>
    <i r="2">
      <x v="146"/>
    </i>
    <i r="3">
      <x v="2506"/>
    </i>
    <i r="2">
      <x v="152"/>
    </i>
    <i r="3">
      <x v="1052"/>
    </i>
    <i r="2">
      <x v="156"/>
    </i>
    <i r="3">
      <x v="773"/>
    </i>
    <i r="2">
      <x v="158"/>
    </i>
    <i r="3">
      <x v="899"/>
    </i>
    <i r="2">
      <x v="172"/>
    </i>
    <i r="3">
      <x v="1478"/>
    </i>
    <i r="2">
      <x v="183"/>
    </i>
    <i r="3">
      <x v="485"/>
    </i>
    <i r="2">
      <x v="190"/>
    </i>
    <i r="3">
      <x v="1348"/>
    </i>
    <i r="2">
      <x v="200"/>
    </i>
    <i r="3">
      <x v="2151"/>
    </i>
    <i r="2">
      <x v="205"/>
    </i>
    <i r="3">
      <x v="2009"/>
    </i>
    <i r="2">
      <x v="207"/>
    </i>
    <i r="3">
      <x v="1182"/>
    </i>
    <i r="3">
      <x v="1860"/>
    </i>
    <i r="3">
      <x v="1900"/>
    </i>
    <i r="2">
      <x v="215"/>
    </i>
    <i r="3">
      <x v="1988"/>
    </i>
    <i r="2">
      <x v="216"/>
    </i>
    <i r="3">
      <x v="283"/>
    </i>
    <i r="3">
      <x v="2275"/>
    </i>
    <i r="3">
      <x v="2301"/>
    </i>
    <i r="2">
      <x v="217"/>
    </i>
    <i r="3">
      <x v="2560"/>
    </i>
    <i r="1">
      <x v="61"/>
    </i>
    <i r="2">
      <x v="160"/>
    </i>
    <i r="3">
      <x v="2022"/>
    </i>
    <i r="2">
      <x v="186"/>
    </i>
    <i r="3">
      <x v="1438"/>
    </i>
    <i r="2">
      <x v="202"/>
    </i>
    <i r="3">
      <x v="10"/>
    </i>
    <i r="2">
      <x v="205"/>
    </i>
    <i r="3">
      <x v="434"/>
    </i>
    <i r="2">
      <x v="206"/>
    </i>
    <i r="3">
      <x v="260"/>
    </i>
    <i r="2">
      <x v="207"/>
    </i>
    <i r="3">
      <x v="969"/>
    </i>
    <i r="3">
      <x v="1316"/>
    </i>
    <i r="2">
      <x v="208"/>
    </i>
    <i r="3">
      <x v="1358"/>
    </i>
    <i r="2">
      <x v="212"/>
    </i>
    <i r="3">
      <x v="2140"/>
    </i>
    <i r="2">
      <x v="213"/>
    </i>
    <i r="3">
      <x v="213"/>
    </i>
    <i r="3">
      <x v="2197"/>
    </i>
    <i r="2">
      <x v="214"/>
    </i>
    <i r="3">
      <x v="242"/>
    </i>
    <i r="3">
      <x v="550"/>
    </i>
    <i r="2">
      <x v="215"/>
    </i>
    <i r="3">
      <x v="141"/>
    </i>
    <i r="2">
      <x v="216"/>
    </i>
    <i r="3">
      <x v="1240"/>
    </i>
    <i r="2">
      <x v="217"/>
    </i>
    <i r="3">
      <x v="318"/>
    </i>
    <i r="3">
      <x v="2566"/>
    </i>
    <i r="2">
      <x v="218"/>
    </i>
    <i r="3">
      <x v="1176"/>
    </i>
    <i r="1">
      <x v="62"/>
    </i>
    <i r="2">
      <x v="24"/>
    </i>
    <i r="3">
      <x v="2594"/>
    </i>
    <i r="2">
      <x v="125"/>
    </i>
    <i r="3">
      <x v="2090"/>
    </i>
    <i r="2">
      <x v="148"/>
    </i>
    <i r="3">
      <x v="1653"/>
    </i>
    <i r="2">
      <x v="161"/>
    </i>
    <i r="3">
      <x v="16"/>
    </i>
    <i r="2">
      <x v="203"/>
    </i>
    <i r="3">
      <x v="370"/>
    </i>
    <i r="2">
      <x v="209"/>
    </i>
    <i r="3">
      <x v="305"/>
    </i>
    <i r="2">
      <x v="210"/>
    </i>
    <i r="3">
      <x v="13"/>
    </i>
    <i r="2">
      <x v="213"/>
    </i>
    <i r="3">
      <x v="1215"/>
    </i>
    <i r="3">
      <x v="1230"/>
    </i>
    <i r="2">
      <x v="216"/>
    </i>
    <i r="3">
      <x v="668"/>
    </i>
    <i r="1">
      <x v="63"/>
    </i>
    <i r="2">
      <x v="15"/>
    </i>
    <i r="3">
      <x v="1511"/>
    </i>
    <i r="2">
      <x v="117"/>
    </i>
    <i r="3">
      <x v="1752"/>
    </i>
    <i r="2">
      <x v="140"/>
    </i>
    <i r="3">
      <x v="556"/>
    </i>
    <i r="2">
      <x v="195"/>
    </i>
    <i r="3">
      <x v="1676"/>
    </i>
    <i r="2">
      <x v="199"/>
    </i>
    <i r="3">
      <x v="913"/>
    </i>
    <i r="2">
      <x v="212"/>
    </i>
    <i r="3">
      <x v="356"/>
    </i>
    <i r="2">
      <x v="214"/>
    </i>
    <i r="3">
      <x v="2268"/>
    </i>
    <i r="2">
      <x v="215"/>
    </i>
    <i r="3">
      <x v="1820"/>
    </i>
    <i r="2">
      <x v="218"/>
    </i>
    <i r="3">
      <x v="1288"/>
    </i>
    <i r="1">
      <x v="64"/>
    </i>
    <i r="2">
      <x v="158"/>
    </i>
    <i r="3">
      <x v="523"/>
    </i>
    <i r="2">
      <x v="192"/>
    </i>
    <i r="3">
      <x v="411"/>
    </i>
    <i r="3">
      <x v="1138"/>
    </i>
    <i r="2">
      <x v="197"/>
    </i>
    <i r="3">
      <x v="1980"/>
    </i>
    <i r="2">
      <x v="201"/>
    </i>
    <i r="3">
      <x v="705"/>
    </i>
    <i r="2">
      <x v="208"/>
    </i>
    <i r="3">
      <x v="859"/>
    </i>
    <i r="2">
      <x v="211"/>
    </i>
    <i r="3">
      <x v="396"/>
    </i>
    <i r="2">
      <x v="214"/>
    </i>
    <i r="3">
      <x v="138"/>
    </i>
    <i r="2">
      <x v="216"/>
    </i>
    <i r="3">
      <x v="1538"/>
    </i>
    <i r="1">
      <x v="65"/>
    </i>
    <i r="2">
      <x v="66"/>
    </i>
    <i r="3">
      <x v="1431"/>
    </i>
    <i r="2">
      <x v="203"/>
    </i>
    <i r="3">
      <x v="1415"/>
    </i>
    <i r="2">
      <x v="208"/>
    </i>
    <i r="3">
      <x v="739"/>
    </i>
    <i r="2">
      <x v="212"/>
    </i>
    <i r="3">
      <x v="1680"/>
    </i>
    <i r="2">
      <x v="215"/>
    </i>
    <i r="3">
      <x v="824"/>
    </i>
    <i r="2">
      <x v="216"/>
    </i>
    <i r="3">
      <x v="610"/>
    </i>
    <i r="2">
      <x v="217"/>
    </i>
    <i r="3">
      <x v="1677"/>
    </i>
    <i r="2">
      <x v="218"/>
    </i>
    <i r="3">
      <x v="157"/>
    </i>
    <i r="1">
      <x v="66"/>
    </i>
    <i r="2">
      <x v="192"/>
    </i>
    <i r="3">
      <x v="1551"/>
    </i>
    <i r="2">
      <x v="197"/>
    </i>
    <i r="3">
      <x v="2257"/>
    </i>
    <i r="2">
      <x v="210"/>
    </i>
    <i r="3">
      <x v="1678"/>
    </i>
    <i r="2">
      <x v="214"/>
    </i>
    <i r="3">
      <x v="1909"/>
    </i>
    <i r="2">
      <x v="217"/>
    </i>
    <i r="3">
      <x v="2363"/>
    </i>
    <i r="2">
      <x v="218"/>
    </i>
    <i r="3">
      <x v="661"/>
    </i>
    <i r="1">
      <x v="67"/>
    </i>
    <i r="2">
      <x v="173"/>
    </i>
    <i r="3">
      <x v="1733"/>
    </i>
    <i r="2">
      <x v="182"/>
    </i>
    <i r="3">
      <x v="1547"/>
    </i>
    <i r="2">
      <x v="203"/>
    </i>
    <i r="3">
      <x v="250"/>
    </i>
    <i r="2">
      <x v="217"/>
    </i>
    <i r="3">
      <x v="1990"/>
    </i>
    <i r="1">
      <x v="68"/>
    </i>
    <i r="2">
      <x v="193"/>
    </i>
    <i r="3">
      <x v="1942"/>
    </i>
    <i r="2">
      <x v="210"/>
    </i>
    <i r="3">
      <x v="1055"/>
    </i>
    <i r="2">
      <x v="218"/>
    </i>
    <i r="3">
      <x v="1428"/>
    </i>
    <i r="1">
      <x v="69"/>
    </i>
    <i r="2">
      <x v="173"/>
    </i>
    <i r="3">
      <x v="1075"/>
    </i>
    <i r="2">
      <x v="201"/>
    </i>
    <i r="3">
      <x v="612"/>
    </i>
    <i r="1">
      <x v="70"/>
    </i>
    <i r="2">
      <x v="201"/>
    </i>
    <i r="3">
      <x v="1112"/>
    </i>
    <i r="1">
      <x v="71"/>
    </i>
    <i r="2">
      <x v="33"/>
    </i>
    <i r="3">
      <x v="1504"/>
    </i>
    <i r="2">
      <x v="208"/>
    </i>
    <i r="3">
      <x v="1592"/>
    </i>
    <i r="2">
      <x v="211"/>
    </i>
    <i r="3">
      <x v="1717"/>
    </i>
    <i r="2">
      <x v="216"/>
    </i>
    <i r="3">
      <x v="212"/>
    </i>
    <i r="1">
      <x v="72"/>
    </i>
    <i r="2">
      <x v="201"/>
    </i>
    <i r="3">
      <x v="777"/>
    </i>
    <i r="1">
      <x v="73"/>
    </i>
    <i r="2">
      <x v="217"/>
    </i>
    <i r="3">
      <x v="1979"/>
    </i>
    <i r="1">
      <x v="74"/>
    </i>
    <i r="2">
      <x v="193"/>
    </i>
    <i r="3">
      <x v="1312"/>
    </i>
    <i r="2">
      <x v="213"/>
    </i>
    <i r="3">
      <x v="1183"/>
    </i>
    <i r="1">
      <x v="75"/>
    </i>
    <i r="2">
      <x v="213"/>
    </i>
    <i r="3">
      <x v="63"/>
    </i>
    <i r="2">
      <x v="214"/>
    </i>
    <i r="3">
      <x v="2387"/>
    </i>
    <i r="1">
      <x v="76"/>
    </i>
    <i r="2">
      <x v="193"/>
    </i>
    <i r="3">
      <x v="1420"/>
    </i>
    <i r="2">
      <x v="211"/>
    </i>
    <i r="3">
      <x v="1221"/>
    </i>
    <i r="1">
      <x v="77"/>
    </i>
    <i r="2">
      <x v="205"/>
    </i>
    <i r="3">
      <x v="1213"/>
    </i>
    <i r="1">
      <x v="78"/>
    </i>
    <i r="2">
      <x v="211"/>
    </i>
    <i r="3">
      <x v="1223"/>
    </i>
    <i r="1">
      <x v="79"/>
    </i>
    <i r="2">
      <x v="193"/>
    </i>
    <i r="3">
      <x v="410"/>
    </i>
    <i t="grand">
      <x/>
    </i>
  </rowItems>
  <colItems count="1">
    <i/>
  </colItems>
  <formats count="2">
    <format dxfId="39">
      <pivotArea outline="0" collapsedLevelsAreSubtotals="1"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8DE6B0-9EA8-428E-A4BD-35F71C2DDED5}" sourceName="gender">
  <pivotTables>
    <pivotTable tabId="4" name="PivotTable10"/>
    <pivotTable tabId="4" name="PivotTable11"/>
    <pivotTable tabId="4" name="PivotTable12"/>
    <pivotTable tabId="4" name="PivotTable14"/>
    <pivotTable tabId="4" name="PivotTable19"/>
    <pivotTable tabId="4" name="PivotTable21"/>
    <pivotTable tabId="4" name="PivotTable6"/>
    <pivotTable tabId="4" name="PivotTable9"/>
    <pivotTable tabId="4" name="PivotTable2"/>
    <pivotTable tabId="4" name="PivotTable4"/>
    <pivotTable tabId="4" name="PivotTable5"/>
    <pivotTable tabId="4" name="PivotTable7"/>
    <pivotTable tabId="4" name="PivotTable8"/>
  </pivotTables>
  <data>
    <tabular pivotCacheId="164968139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BF65CC7F-1D12-46CA-A31F-8B3F69C9C56D}" sourceName="industries">
  <pivotTables>
    <pivotTable tabId="4" name="PivotTable11"/>
    <pivotTable tabId="4" name="PivotTable10"/>
    <pivotTable tabId="4" name="PivotTable12"/>
    <pivotTable tabId="4" name="PivotTable14"/>
    <pivotTable tabId="4" name="PivotTable19"/>
    <pivotTable tabId="4" name="PivotTable21"/>
    <pivotTable tabId="4" name="PivotTable6"/>
    <pivotTable tabId="4" name="PivotTable9"/>
    <pivotTable tabId="4" name="PivotTable2"/>
    <pivotTable tabId="4" name="PivotTable4"/>
    <pivotTable tabId="4" name="PivotTable5"/>
    <pivotTable tabId="4" name="PivotTable7"/>
    <pivotTable tabId="4" name="PivotTable8"/>
  </pivotTables>
  <data>
    <tabular pivotCacheId="1649681399">
      <items count="18">
        <i x="1" s="1"/>
        <i x="16" s="1"/>
        <i x="6" s="1"/>
        <i x="13" s="1"/>
        <i x="0" s="1"/>
        <i x="3" s="1"/>
        <i x="7" s="1"/>
        <i x="9" s="1"/>
        <i x="14" s="1"/>
        <i x="8" s="1"/>
        <i x="10" s="1"/>
        <i x="4" s="1"/>
        <i x="12" s="1"/>
        <i x="11" s="1"/>
        <i x="15" s="1"/>
        <i x="17"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BAA64C56-DD8F-4784-8592-280A59B092F8}" sourceName="source">
  <pivotTables>
    <pivotTable tabId="4" name="PivotTable11"/>
    <pivotTable tabId="4" name="PivotTable10"/>
    <pivotTable tabId="4" name="PivotTable12"/>
    <pivotTable tabId="4" name="PivotTable14"/>
    <pivotTable tabId="4" name="PivotTable19"/>
    <pivotTable tabId="4" name="PivotTable21"/>
    <pivotTable tabId="4" name="PivotTable6"/>
    <pivotTable tabId="4" name="PivotTable9"/>
    <pivotTable tabId="4" name="PivotTable2"/>
    <pivotTable tabId="4" name="PivotTable4"/>
    <pivotTable tabId="4" name="PivotTable5"/>
    <pivotTable tabId="4" name="PivotTable7"/>
    <pivotTable tabId="4" name="PivotTable8"/>
  </pivotTables>
  <data>
    <tabular pivotCacheId="1649681399">
      <items count="898">
        <i x="472" s="1"/>
        <i x="574" s="1"/>
        <i x="293" s="1"/>
        <i x="463" s="1"/>
        <i x="363" s="1"/>
        <i x="517" s="1"/>
        <i x="105" s="1"/>
        <i x="167" s="1"/>
        <i x="539" s="1"/>
        <i x="481" s="1"/>
        <i x="837" s="1"/>
        <i x="128" s="1"/>
        <i x="358" s="1"/>
        <i x="353" s="1"/>
        <i x="557" s="1"/>
        <i x="494" s="1"/>
        <i x="492" s="1"/>
        <i x="617" s="1"/>
        <i x="740" s="1"/>
        <i x="700" s="1"/>
        <i x="86" s="1"/>
        <i x="133" s="1"/>
        <i x="76" s="1"/>
        <i x="870" s="1"/>
        <i x="335" s="1"/>
        <i x="144" s="1"/>
        <i x="280" s="1"/>
        <i x="510" s="1"/>
        <i x="2" s="1"/>
        <i x="598" s="1"/>
        <i x="568" s="1"/>
        <i x="753" s="1"/>
        <i x="185" s="1"/>
        <i x="634" s="1"/>
        <i x="102" s="1"/>
        <i x="579" s="1"/>
        <i x="642" s="1"/>
        <i x="462" s="1"/>
        <i x="434" s="1"/>
        <i x="786" s="1"/>
        <i x="524" s="1"/>
        <i x="496" s="1"/>
        <i x="174" s="1"/>
        <i x="101" s="1"/>
        <i x="367" s="1"/>
        <i x="520" s="1"/>
        <i x="64" s="1"/>
        <i x="97" s="1"/>
        <i x="552" s="1"/>
        <i x="441" s="1"/>
        <i x="738" s="1"/>
        <i x="350" s="1"/>
        <i x="495" s="1"/>
        <i x="522" s="1"/>
        <i x="75" s="1"/>
        <i x="604" s="1"/>
        <i x="776" s="1"/>
        <i x="608" s="1"/>
        <i x="471" s="1"/>
        <i x="618" s="1"/>
        <i x="324" s="1"/>
        <i x="715" s="1"/>
        <i x="119" s="1"/>
        <i x="339" s="1"/>
        <i x="694" s="1"/>
        <i x="885" s="1"/>
        <i x="47" s="1"/>
        <i x="116" s="1"/>
        <i x="679" s="1"/>
        <i x="882" s="1"/>
        <i x="30" s="1"/>
        <i x="68" s="1"/>
        <i x="702" s="1"/>
        <i x="493" s="1"/>
        <i x="336" s="1"/>
        <i x="755" s="1"/>
        <i x="489" s="1"/>
        <i x="488" s="1"/>
        <i x="82" s="1"/>
        <i x="736" s="1"/>
        <i x="211" s="1"/>
        <i x="4" s="1"/>
        <i x="366" s="1"/>
        <i x="178" s="1"/>
        <i x="12" s="1"/>
        <i x="325" s="1"/>
        <i x="301" s="1"/>
        <i x="205" s="1"/>
        <i x="879" s="1"/>
        <i x="384" s="1"/>
        <i x="233" s="1"/>
        <i x="257" s="1"/>
        <i x="479" s="1"/>
        <i x="126" s="1"/>
        <i x="296" s="1"/>
        <i x="265" s="1"/>
        <i x="651" s="1"/>
        <i x="640" s="1"/>
        <i x="6" s="1"/>
        <i x="46" s="1"/>
        <i x="39" s="1"/>
        <i x="355" s="1"/>
        <i x="503" s="1"/>
        <i x="748" s="1"/>
        <i x="563" s="1"/>
        <i x="467" s="1"/>
        <i x="93" s="1"/>
        <i x="842" s="1"/>
        <i x="118" s="1"/>
        <i x="868" s="1"/>
        <i x="131" s="1"/>
        <i x="764" s="1"/>
        <i x="881" s="1"/>
        <i x="676" s="1"/>
        <i x="323" s="1"/>
        <i x="476" s="1"/>
        <i x="25" s="1"/>
        <i x="337" s="1"/>
        <i x="827" s="1"/>
        <i x="774" s="1"/>
        <i x="188" s="1"/>
        <i x="234" s="1"/>
        <i x="244" s="1"/>
        <i x="416" s="1"/>
        <i x="27" s="1"/>
        <i x="566" s="1"/>
        <i x="423" s="1"/>
        <i x="457" s="1"/>
        <i x="456" s="1"/>
        <i x="401" s="1"/>
        <i x="92" s="1"/>
        <i x="783" s="1"/>
        <i x="168" s="1"/>
        <i x="351" s="1"/>
        <i x="91" s="1"/>
        <i x="33" s="1"/>
        <i x="599" s="1"/>
        <i x="54" s="1"/>
        <i x="648" s="1"/>
        <i x="430" s="1"/>
        <i x="785" s="1"/>
        <i x="50" s="1"/>
        <i x="498" s="1"/>
        <i x="627" s="1"/>
        <i x="295" s="1"/>
        <i x="454" s="1"/>
        <i x="544" s="1"/>
        <i x="202" s="1"/>
        <i x="815" s="1"/>
        <i x="277" s="1"/>
        <i x="766" s="1"/>
        <i x="572" s="1"/>
        <i x="645" s="1"/>
        <i x="760" s="1"/>
        <i x="43" s="1"/>
        <i x="151" s="1"/>
        <i x="828" s="1"/>
        <i x="523" s="1"/>
        <i x="831" s="1"/>
        <i x="614" s="1"/>
        <i x="564" s="1"/>
        <i x="216" s="1"/>
        <i x="345" s="1"/>
        <i x="515" s="1"/>
        <i x="680" s="1"/>
        <i x="535" s="1"/>
        <i x="671" s="1"/>
        <i x="90" s="1"/>
        <i x="688" s="1"/>
        <i x="613" s="1"/>
        <i x="812" s="1"/>
        <i x="823" s="1"/>
        <i x="200" s="1"/>
        <i x="543" s="1"/>
        <i x="297" s="1"/>
        <i x="331" s="1"/>
        <i x="300" s="1"/>
        <i x="182" s="1"/>
        <i x="327" s="1"/>
        <i x="460" s="1"/>
        <i x="506" s="1"/>
        <i x="166" s="1"/>
        <i x="565" s="1"/>
        <i x="207" s="1"/>
        <i x="546" s="1"/>
        <i x="382" s="1"/>
        <i x="771" s="1"/>
        <i x="850" s="1"/>
        <i x="866" s="1"/>
        <i x="722" s="1"/>
        <i x="243" s="1"/>
        <i x="450" s="1"/>
        <i x="723" s="1"/>
        <i x="746" s="1"/>
        <i x="444" s="1"/>
        <i x="221" s="1"/>
        <i x="765" s="1"/>
        <i x="437" s="1"/>
        <i x="477" s="1"/>
        <i x="427" s="1"/>
        <i x="759" s="1"/>
        <i x="530" s="1"/>
        <i x="115" s="1"/>
        <i x="328" s="1"/>
        <i x="294" s="1"/>
        <i x="649" s="1"/>
        <i x="95" s="1"/>
        <i x="555" s="1"/>
        <i x="756" s="1"/>
        <i x="607" s="1"/>
        <i x="819" s="1"/>
        <i x="298" s="1"/>
        <i x="606" s="1"/>
        <i x="796" s="1"/>
        <i x="447" s="1"/>
        <i x="17" s="1"/>
        <i x="266" s="1"/>
        <i x="547" s="1"/>
        <i x="600" s="1"/>
        <i x="411" s="1"/>
        <i x="386" s="1"/>
        <i x="143" s="1"/>
        <i x="586" s="1"/>
        <i x="424" s="1"/>
        <i x="691" s="1"/>
        <i x="44" s="1"/>
        <i x="8" s="1"/>
        <i x="270" s="1"/>
        <i x="540" s="1"/>
        <i x="309" s="1"/>
        <i x="464" s="1"/>
        <i x="146" s="1"/>
        <i x="843" s="1"/>
        <i x="313" s="1"/>
        <i x="138" s="1"/>
        <i x="491" s="1"/>
        <i x="136" s="1"/>
        <i x="34" s="1"/>
        <i x="836" s="1"/>
        <i x="587" s="1"/>
        <i x="426" s="1"/>
        <i x="581" s="1"/>
        <i x="372" s="1"/>
        <i x="698" s="1"/>
        <i x="407" s="1"/>
        <i x="356" s="1"/>
        <i x="875" s="1"/>
        <i x="332" s="1"/>
        <i x="719" s="1"/>
        <i x="710" s="1"/>
        <i x="421" s="1"/>
        <i x="172" s="1"/>
        <i x="171" s="1"/>
        <i x="319" s="1"/>
        <i x="329" s="1"/>
        <i x="100" s="1"/>
        <i x="657" s="1"/>
        <i x="290" s="1"/>
        <i x="768" s="1"/>
        <i x="678" s="1"/>
        <i x="716" s="1"/>
        <i x="594" s="1"/>
        <i x="130" s="1"/>
        <i x="602" s="1"/>
        <i x="264" s="1"/>
        <i x="110" s="1"/>
        <i x="449" s="1"/>
        <i x="683" s="1"/>
        <i x="508" s="1"/>
        <i x="825" s="1"/>
        <i x="475" s="1"/>
        <i x="872" s="1"/>
        <i x="59" s="1"/>
        <i x="261" s="1"/>
        <i x="690" s="1"/>
        <i x="664" s="1"/>
        <i x="376" s="1"/>
        <i x="373" s="1"/>
        <i x="13" s="1"/>
        <i x="315" s="1"/>
        <i x="406" s="1"/>
        <i x="369" s="1"/>
        <i x="31" s="1"/>
        <i x="403" s="1"/>
        <i x="762" s="1"/>
        <i x="583" s="1"/>
        <i x="469" s="1"/>
        <i x="35" s="1"/>
        <i x="288" s="1"/>
        <i x="744" s="1"/>
        <i x="206" s="1"/>
        <i x="107" s="1"/>
        <i x="121" s="1"/>
        <i x="45" s="1"/>
        <i x="658" s="1"/>
        <i x="773" s="1"/>
        <i x="55" s="1"/>
        <i x="224" s="1"/>
        <i x="402" s="1"/>
        <i x="794" s="1"/>
        <i x="246" s="1"/>
        <i x="894" s="1"/>
        <i x="718" s="1"/>
        <i x="77" s="1"/>
        <i x="157" s="1"/>
        <i x="285" s="1"/>
        <i x="876" s="1"/>
        <i x="682" s="1"/>
        <i x="732" s="1"/>
        <i x="176" s="1"/>
        <i x="487" s="1"/>
        <i x="822" s="1"/>
        <i x="808" s="1"/>
        <i x="706" s="1"/>
        <i x="391" s="1"/>
        <i x="750" s="1"/>
        <i x="851" s="1"/>
        <i x="267" s="1"/>
        <i x="813" s="1"/>
        <i x="127" s="1"/>
        <i x="186" s="1"/>
        <i x="504" s="1"/>
        <i x="321" s="1"/>
        <i x="316" s="1"/>
        <i x="225" s="1"/>
        <i x="798" s="1"/>
        <i x="577" s="1"/>
        <i x="612" s="1"/>
        <i x="446" s="1"/>
        <i x="253" s="1"/>
        <i x="250" s="1"/>
        <i x="158" s="1"/>
        <i x="809" s="1"/>
        <i x="589" s="1"/>
        <i x="180" s="1"/>
        <i x="711" s="1"/>
        <i x="232" s="1"/>
        <i x="287" s="1"/>
        <i x="528" s="1"/>
        <i x="111" s="1"/>
        <i x="276" s="1"/>
        <i x="56" s="1"/>
        <i x="790" s="1"/>
        <i x="374" s="1"/>
        <i x="570" s="1"/>
        <i x="349" s="1"/>
        <i x="114" s="1"/>
        <i x="799" s="1"/>
        <i x="639" s="1"/>
        <i x="865" s="1"/>
        <i x="10" s="1"/>
        <i x="588" s="1"/>
        <i x="888" s="1"/>
        <i x="883" s="1"/>
        <i x="312" s="1"/>
        <i x="714" s="1"/>
        <i x="79" s="1"/>
        <i x="435" s="1"/>
        <i x="279" s="1"/>
        <i x="445" s="1"/>
        <i x="531" s="1"/>
        <i x="684" s="1"/>
        <i x="132" s="1"/>
        <i x="183" s="1"/>
        <i x="896" s="1"/>
        <i x="559" s="1"/>
        <i x="800" s="1"/>
        <i x="291" s="1"/>
        <i x="745" s="1"/>
        <i x="737" s="1"/>
        <i x="179" s="1"/>
        <i x="394" s="1"/>
        <i x="505" s="1"/>
        <i x="289" s="1"/>
        <i x="189" s="1"/>
        <i x="28" s="1"/>
        <i x="87" s="1"/>
        <i x="527" s="1"/>
        <i x="120" s="1"/>
        <i x="49" s="1"/>
        <i x="149" s="1"/>
        <i x="400" s="1"/>
        <i x="73" s="1"/>
        <i x="632" s="1"/>
        <i x="673" s="1"/>
        <i x="398" s="1"/>
        <i x="187" s="1"/>
        <i x="624" s="1"/>
        <i x="304" s="1"/>
        <i x="816" s="1"/>
        <i x="63" s="1"/>
        <i x="895" s="1"/>
        <i x="368" s="1"/>
        <i x="630" s="1"/>
        <i x="217" s="1"/>
        <i x="231" s="1"/>
        <i x="362" s="1"/>
        <i x="405" s="1"/>
        <i x="147" s="1"/>
        <i x="134" s="1"/>
        <i x="889" s="1"/>
        <i x="650" s="1"/>
        <i x="344" s="1"/>
        <i x="846" s="1"/>
        <i x="360" s="1"/>
        <i x="347" s="1"/>
        <i x="779" s="1"/>
        <i x="643" s="1"/>
        <i x="878" s="1"/>
        <i x="775" s="1"/>
        <i x="381" s="1"/>
        <i x="512" s="1"/>
        <i x="582" s="1"/>
        <i x="18" s="1"/>
        <i x="314" s="1"/>
        <i x="743" s="1"/>
        <i x="150" s="1"/>
        <i x="343" s="1"/>
        <i x="661" s="1"/>
        <i x="675" s="1"/>
        <i x="194" s="1"/>
        <i x="633" s="1"/>
        <i x="853" s="1"/>
        <i x="26" s="1"/>
        <i x="161" s="1"/>
        <i x="567" s="1"/>
        <i x="52" s="1"/>
        <i x="377" s="1"/>
        <i x="412" s="1"/>
        <i x="419" s="1"/>
        <i x="303" s="1"/>
        <i x="38" s="1"/>
        <i x="747" s="1"/>
        <i x="795" s="1"/>
        <i x="203" s="1"/>
        <i x="667" s="1"/>
        <i x="720" s="1"/>
        <i x="892" s="1"/>
        <i x="223" s="1"/>
        <i x="623" s="1"/>
        <i x="455" s="1"/>
        <i x="387" s="1"/>
        <i x="242" s="1"/>
        <i x="14" s="1"/>
        <i x="439" s="1"/>
        <i x="615" s="1"/>
        <i x="887" s="1"/>
        <i x="197" s="1"/>
        <i x="644" s="1"/>
        <i x="638" s="1"/>
        <i x="820" s="1"/>
        <i x="619" s="1"/>
        <i x="502" s="1"/>
        <i x="370" s="1"/>
        <i x="741" s="1"/>
        <i x="413" s="1"/>
        <i x="190" s="1"/>
        <i x="803" s="1"/>
        <i x="728" s="1"/>
        <i x="307" s="1"/>
        <i x="448" s="1"/>
        <i x="361" s="1"/>
        <i x="686" s="1"/>
        <i x="410" s="1"/>
        <i x="9" s="1"/>
        <i x="595" s="1"/>
        <i x="268" s="1"/>
        <i x="824" s="1"/>
        <i x="22" s="1"/>
        <i x="0" s="1"/>
        <i x="727" s="1"/>
        <i x="532" s="1"/>
        <i x="490" s="1"/>
        <i x="108" s="1"/>
        <i x="558" s="1"/>
        <i x="165" s="1"/>
        <i x="113" s="1"/>
        <i x="184" s="1"/>
        <i x="338" s="1"/>
        <i x="708" s="1"/>
        <i x="841" s="1"/>
        <i x="542" s="1"/>
        <i x="429" s="1"/>
        <i x="16" s="1"/>
        <i x="142" s="1"/>
        <i x="525" s="1"/>
        <i x="646" s="1"/>
        <i x="891" s="1"/>
        <i x="584" s="1"/>
        <i x="78" s="1"/>
        <i x="767" s="1"/>
        <i x="849" s="1"/>
        <i x="191" s="1"/>
        <i x="239" s="1"/>
        <i x="641" s="1"/>
        <i x="665" s="1"/>
        <i x="818" s="1"/>
        <i x="526" s="1"/>
        <i x="104" s="1"/>
        <i x="778" s="1"/>
        <i x="590" s="1"/>
        <i x="48" s="1"/>
        <i x="154" s="1"/>
        <i x="578" s="1"/>
        <i x="466" s="1"/>
        <i x="195" s="1"/>
        <i x="468" s="1"/>
        <i x="893" s="1"/>
        <i x="210" s="1"/>
        <i x="375" s="1"/>
        <i x="5" s="1"/>
        <i x="781" s="1"/>
        <i x="40" s="1"/>
        <i x="871" s="1"/>
        <i x="486" s="1"/>
        <i x="415" s="1"/>
        <i x="65" s="1"/>
        <i x="169" s="1"/>
        <i x="470" s="1"/>
        <i x="696" s="1"/>
        <i x="357" s="1"/>
        <i x="442" s="1"/>
        <i x="196" s="1"/>
        <i x="240" s="1"/>
        <i x="229" s="1"/>
        <i x="659" s="1"/>
        <i x="364" s="1"/>
        <i x="399" s="1"/>
        <i x="340" s="1"/>
        <i x="724" s="1"/>
        <i x="485" s="1"/>
        <i x="160" s="1"/>
        <i x="890" s="1"/>
        <i x="513" s="1"/>
        <i x="32" s="1"/>
        <i x="770" s="1"/>
        <i x="655" s="1"/>
        <i x="636" s="1"/>
        <i x="199" s="1"/>
        <i x="209" s="1"/>
        <i x="311" s="1"/>
        <i x="425" s="1"/>
        <i x="443" s="1"/>
        <i x="269" s="1"/>
        <i x="278" s="1"/>
        <i x="74" s="1"/>
        <i x="752" s="1"/>
        <i x="19" s="1"/>
        <i x="692" s="1"/>
        <i x="24" s="1"/>
        <i x="433" s="1"/>
        <i x="474" s="1"/>
        <i x="877" s="1"/>
        <i x="62" s="1"/>
        <i x="69" s="1"/>
        <i x="96" s="1"/>
        <i x="418" s="1"/>
        <i x="626" s="1"/>
        <i x="148" s="1"/>
        <i x="697" s="1"/>
        <i x="569" s="1"/>
        <i x="341" s="1"/>
        <i x="629" s="1"/>
        <i x="99" s="1"/>
        <i x="379" s="1"/>
        <i x="70" s="1"/>
        <i x="256" s="1"/>
        <i x="549" s="1"/>
        <i x="228" s="1"/>
        <i x="685" s="1"/>
        <i x="862" s="1"/>
        <i x="826" s="1"/>
        <i x="591" s="1"/>
        <i x="873" s="1"/>
        <i x="192" s="1"/>
        <i x="41" s="1"/>
        <i x="519" s="1"/>
        <i x="663" s="1"/>
        <i x="352" s="1"/>
        <i x="283" s="1"/>
        <i x="784" s="1"/>
        <i x="801" s="1"/>
        <i x="106" s="1"/>
        <i x="537" s="1"/>
        <i x="260" s="1"/>
        <i x="880" s="1"/>
        <i x="730" s="1"/>
        <i x="346" s="1"/>
        <i x="3" s="1"/>
        <i x="845" s="1"/>
        <i x="57" s="1"/>
        <i x="135" s="1"/>
        <i x="359" s="1"/>
        <i x="320" s="1"/>
        <i x="89" s="1"/>
        <i x="428" s="1"/>
        <i x="272" s="1"/>
        <i x="459" s="1"/>
        <i x="103" s="1"/>
        <i x="380" s="1"/>
        <i x="514" s="1"/>
        <i x="833" s="1"/>
        <i x="573" s="1"/>
        <i x="236" s="1"/>
        <i x="235" s="1"/>
        <i x="789" s="1"/>
        <i x="561" s="1"/>
        <i x="271" s="1"/>
        <i x="501" s="1"/>
        <i x="545" s="1"/>
        <i x="177" s="1"/>
        <i x="245" s="1"/>
        <i x="538" s="1"/>
        <i x="817" s="1"/>
        <i x="793" s="1"/>
        <i x="156" s="1"/>
        <i x="713" s="1"/>
        <i x="725" s="1"/>
        <i x="670" s="1"/>
        <i x="230" s="1"/>
        <i x="703" s="1"/>
        <i x="83" s="1"/>
        <i x="616" s="1"/>
        <i x="777" s="1"/>
        <i x="414" s="1"/>
        <i x="308" s="1"/>
        <i x="832" s="1"/>
        <i x="302" s="1"/>
        <i x="162" s="1"/>
        <i x="625" s="1"/>
        <i x="67" s="1"/>
        <i x="859" s="1"/>
        <i x="478" s="1"/>
        <i x="175" s="1"/>
        <i x="511" s="1"/>
        <i x="609" s="1"/>
        <i x="251" s="1"/>
        <i x="830" s="1"/>
        <i x="874" s="1"/>
        <i x="170" s="1"/>
        <i x="551" s="1"/>
        <i x="839" s="1"/>
        <i x="247" s="1"/>
        <i x="354" s="1"/>
        <i x="763" s="1"/>
        <i x="886" s="1"/>
        <i x="603" s="1"/>
        <i x="214" s="1"/>
        <i x="213" s="1"/>
        <i x="575" s="1"/>
        <i x="782" s="1"/>
        <i x="628" s="1"/>
        <i x="548" s="1"/>
        <i x="622" s="1"/>
        <i x="844" s="1"/>
        <i x="484" s="1"/>
        <i x="122" s="1"/>
        <i x="804" s="1"/>
        <i x="499" s="1"/>
        <i x="317" s="1"/>
        <i x="807" s="1"/>
        <i x="701" s="1"/>
        <i x="395" s="1"/>
        <i x="71" s="1"/>
        <i x="431" s="1"/>
        <i x="36" s="1"/>
        <i x="674" s="1"/>
        <i x="660" s="1"/>
        <i x="248" s="1"/>
        <i x="677" s="1"/>
        <i x="482" s="1"/>
        <i x="155" s="1"/>
        <i x="856" s="1"/>
        <i x="780" s="1"/>
        <i x="787" s="1"/>
        <i x="541" s="1"/>
        <i x="726" s="1"/>
        <i x="173" s="1"/>
        <i x="751" s="1"/>
        <i x="533" s="1"/>
        <i x="252" s="1"/>
        <i x="220" s="1"/>
        <i x="66" s="1"/>
        <i x="227" s="1"/>
        <i x="29" s="1"/>
        <i x="840" s="1"/>
        <i x="772" s="1"/>
        <i x="286" s="1"/>
        <i x="757" s="1"/>
        <i x="163" s="1"/>
        <i x="21" s="1"/>
        <i x="721" s="1"/>
        <i x="550" s="1"/>
        <i x="85" s="1"/>
        <i x="112" s="1"/>
        <i x="139" s="1"/>
        <i x="693" s="1"/>
        <i x="500" s="1"/>
        <i x="707" s="1"/>
        <i x="637" s="1"/>
        <i x="153" s="1"/>
        <i x="255" s="1"/>
        <i x="666" s="1"/>
        <i x="553" s="1"/>
        <i x="408" s="1"/>
        <i x="393" s="1"/>
        <i x="473" s="1"/>
        <i x="864" s="1"/>
        <i x="621" s="1"/>
        <i x="592" s="1"/>
        <i x="858" s="1"/>
        <i x="222" s="1"/>
        <i x="791" s="1"/>
        <i x="181" s="1"/>
        <i x="601" s="1"/>
        <i x="695" s="1"/>
        <i x="802" s="1"/>
        <i x="58" s="1"/>
        <i x="534" s="1"/>
        <i x="458" s="1"/>
        <i x="60" s="1"/>
        <i x="814" s="1"/>
        <i x="656" s="1"/>
        <i x="23" s="1"/>
        <i x="717" s="1"/>
        <i x="254" s="1"/>
        <i x="159" s="1"/>
        <i x="436" s="1"/>
        <i x="397" s="1"/>
        <i x="597" s="1"/>
        <i x="378" s="1"/>
        <i x="507" s="1"/>
        <i x="371" s="1"/>
        <i x="218" s="1"/>
        <i x="123" s="1"/>
        <i x="576" s="1"/>
        <i x="712" s="1"/>
        <i x="201" s="1"/>
        <i x="483" s="1"/>
        <i x="806" s="1"/>
        <i x="739" s="1"/>
        <i x="140" s="1"/>
        <i x="117" s="1"/>
        <i x="788" s="1"/>
        <i x="42" s="1"/>
        <i x="259" s="1"/>
        <i x="749" s="1"/>
        <i x="838" s="1"/>
        <i x="611" s="1"/>
        <i x="208" s="1"/>
        <i x="310" s="1"/>
        <i x="198" s="1"/>
        <i x="440" s="1"/>
        <i x="125" s="1"/>
        <i x="860" s="1"/>
        <i x="141" s="1"/>
        <i x="80" s="1"/>
        <i x="571" s="1"/>
        <i x="835" s="1"/>
        <i x="805" s="1"/>
        <i x="318" s="1"/>
        <i x="262" s="1"/>
        <i x="145" s="1"/>
        <i x="333" s="1"/>
        <i x="152" s="1"/>
        <i x="848" s="1"/>
        <i x="735" s="1"/>
        <i x="275" s="1"/>
        <i x="834" s="1"/>
        <i x="631" s="1"/>
        <i x="560" s="1"/>
        <i x="98" s="1"/>
        <i x="451" s="1"/>
        <i x="299" s="1"/>
        <i x="204" s="1"/>
        <i x="729" s="1"/>
        <i x="263" s="1"/>
        <i x="365" s="1"/>
        <i x="593" s="1"/>
        <i x="72" s="1"/>
        <i x="647" s="1"/>
        <i x="580" s="1"/>
        <i x="518" s="1"/>
        <i x="810" s="1"/>
        <i x="699" s="1"/>
        <i x="226" s="1"/>
        <i x="792" s="1"/>
        <i x="61" s="1"/>
        <i x="219" s="1"/>
        <i x="88" s="1"/>
        <i x="53" s="1"/>
        <i x="432" s="1"/>
        <i x="861" s="1"/>
        <i x="821" s="1"/>
        <i x="620" s="1"/>
        <i x="330" s="1"/>
        <i x="733" s="1"/>
        <i x="554" s="1"/>
        <i x="81" s="1"/>
        <i x="404" s="1"/>
        <i x="396" s="1"/>
        <i x="390" s="1"/>
        <i x="193" s="1"/>
        <i x="596" s="1"/>
        <i x="480" s="1"/>
        <i x="7" s="1"/>
        <i x="681" s="1"/>
        <i x="215" s="1"/>
        <i x="852" s="1"/>
        <i x="689" s="1"/>
        <i x="249" s="1"/>
        <i x="212" s="1"/>
        <i x="653" s="1"/>
        <i x="292" s="1"/>
        <i x="1" s="1"/>
        <i x="754" s="1"/>
        <i x="829" s="1"/>
        <i x="761" s="1"/>
        <i x="164" s="1"/>
        <i x="758" s="1"/>
        <i x="241" s="1"/>
        <i x="417" s="1"/>
        <i x="20" s="1"/>
        <i x="884" s="1"/>
        <i x="237" s="1"/>
        <i x="769" s="1"/>
        <i x="452" s="1"/>
        <i x="536" s="1"/>
        <i x="855" s="1"/>
        <i x="305" s="1"/>
        <i x="388" s="1"/>
        <i x="322" s="1"/>
        <i x="734" s="1"/>
        <i x="610" s="1"/>
        <i x="869" s="1"/>
        <i x="238" s="1"/>
        <i x="705" s="1"/>
        <i x="516" s="1"/>
        <i x="258" s="1"/>
        <i x="37" s="1"/>
        <i x="326" s="1"/>
        <i x="420" s="1"/>
        <i x="687" s="1"/>
        <i x="662" s="1"/>
        <i x="497" s="1"/>
        <i x="306" s="1"/>
        <i x="605" s="1"/>
        <i x="453" s="1"/>
        <i x="635" s="1"/>
        <i x="521" s="1"/>
        <i x="704" s="1"/>
        <i x="652" s="1"/>
        <i x="284" s="1"/>
        <i x="854" s="1"/>
        <i x="585" s="1"/>
        <i x="897" s="1"/>
        <i x="334" s="1"/>
        <i x="273" s="1"/>
        <i x="857" s="1"/>
        <i x="811" s="1"/>
        <i x="438" s="1"/>
        <i x="731" s="1"/>
        <i x="742" s="1"/>
        <i x="51" s="1"/>
        <i x="129" s="1"/>
        <i x="529" s="1"/>
        <i x="342" s="1"/>
        <i x="137" s="1"/>
        <i x="654" s="1"/>
        <i x="562" s="1"/>
        <i x="281" s="1"/>
        <i x="797" s="1"/>
        <i x="465" s="1"/>
        <i x="509" s="1"/>
        <i x="109" s="1"/>
        <i x="348" s="1"/>
        <i x="385" s="1"/>
        <i x="668" s="1"/>
        <i x="867" s="1"/>
        <i x="282" s="1"/>
        <i x="672" s="1"/>
        <i x="15" s="1"/>
        <i x="461" s="1"/>
        <i x="124" s="1"/>
        <i x="274" s="1"/>
        <i x="709" s="1"/>
        <i x="847" s="1"/>
        <i x="389" s="1"/>
        <i x="669" s="1"/>
        <i x="556" s="1"/>
        <i x="94" s="1"/>
        <i x="422" s="1"/>
        <i x="383" s="1"/>
        <i x="863" s="1"/>
        <i x="84" s="1"/>
        <i x="409" s="1"/>
        <i x="11" s="1"/>
        <i x="39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C141580-23FB-40E5-9E4F-9AEACA7A80B8}" cache="Slicer_gender" caption="gender" rowHeight="241300"/>
  <slicer name="industries 1" xr10:uid="{732DC14C-6CE1-4DD4-9224-2117EADF8156}" cache="Slicer_industries" caption="industries" rowHeight="241300"/>
  <slicer name="source" xr10:uid="{910B3580-479D-44D6-843B-CD7CDA86A48F}" cache="Slicer_source" caption="source" startItem="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DF2EFE-1C82-4094-B637-7996C2C6C380}" name="Table1" displayName="Table1" ref="A1:AD2641" totalsRowShown="0" headerRowDxfId="43">
  <autoFilter ref="A1:AD2641" xr:uid="{7DDF2EFE-1C82-4094-B637-7996C2C6C380}">
    <filterColumn colId="5">
      <customFilters>
        <customFilter operator="notEqual" val=" "/>
      </customFilters>
    </filterColumn>
    <filterColumn colId="10">
      <customFilters>
        <customFilter operator="notEqual" val=" "/>
      </customFilters>
    </filterColumn>
    <filterColumn colId="14">
      <customFilters>
        <customFilter operator="notEqual" val=" "/>
      </customFilters>
    </filterColumn>
    <filterColumn colId="17">
      <customFilters>
        <customFilter operator="notEqual" val=" "/>
      </customFilters>
    </filterColumn>
    <filterColumn colId="19">
      <customFilters>
        <customFilter operator="notEqual" val=" "/>
      </customFilters>
    </filterColumn>
    <filterColumn colId="20">
      <customFilters>
        <customFilter operator="notEqual" val=" "/>
      </customFilters>
    </filterColumn>
  </autoFilter>
  <sortState xmlns:xlrd2="http://schemas.microsoft.com/office/spreadsheetml/2017/richdata2" ref="A3:AD2610">
    <sortCondition ref="A1:A2641"/>
  </sortState>
  <tableColumns count="30">
    <tableColumn id="1" xr3:uid="{EB035FE0-2A03-495C-BAAF-ABDE432A777E}" name="Rank"/>
    <tableColumn id="2" xr3:uid="{57ADFC8B-DB84-42F7-963E-20C500FABA01}" name="Net Worth"/>
    <tableColumn id="3" xr3:uid="{C7A20E72-3878-45D4-87CE-3D5D1D1FB7B7}" name="category"/>
    <tableColumn id="4" xr3:uid="{5BAD7BA2-BD24-4851-B0C1-184AE6B746BC}" name="Name"/>
    <tableColumn id="5" xr3:uid="{332CF72E-AA50-47E5-96CF-A9A39A57F5DE}" name="age"/>
    <tableColumn id="6" xr3:uid="{9C08530F-3CCC-4881-B682-17E81DB94A0A}" name="country"/>
    <tableColumn id="7" xr3:uid="{B6E9372D-771F-4704-B54A-5790C2F8AD6E}" name="city"/>
    <tableColumn id="8" xr3:uid="{738FDADA-1961-46E0-8ADA-A3EB359DC58E}" name="source"/>
    <tableColumn id="9" xr3:uid="{0E2BEAA8-AA40-4D48-B6B2-882873B953AC}" name="industries"/>
    <tableColumn id="10" xr3:uid="{0C689072-C735-449B-AF86-682417731B8E}" name="countryOfCitizenship"/>
    <tableColumn id="11" xr3:uid="{1C2F703E-921F-4A90-8786-9F15D582D911}" name="organization"/>
    <tableColumn id="12" xr3:uid="{819ED01E-5FA9-4DCD-80CA-B0ECF6B71AC6}" name="selfMade"/>
    <tableColumn id="13" xr3:uid="{F8D1F447-1A36-46BA-BD92-02277CB1CA97}" name="status"/>
    <tableColumn id="14" xr3:uid="{272ED725-C1FC-49A3-BC78-7E9FD955A05B}" name="gender"/>
    <tableColumn id="15" xr3:uid="{F8899FEA-DDBA-44B8-B59B-4211991DA4D6}" name="birthDate" dataDxfId="42"/>
    <tableColumn id="16" xr3:uid="{BD0FC43E-14B4-41B5-9D74-73FD6946B32B}" name="last Name"/>
    <tableColumn id="17" xr3:uid="{39617531-4525-4C9D-96DD-0BC501E7945F}" name="first Name"/>
    <tableColumn id="18" xr3:uid="{370C37B1-10E5-403C-9FE4-F23EADBBD5E8}" name="title"/>
    <tableColumn id="19" xr3:uid="{945B8089-F941-4660-9A01-D6C8C6E10FFE}" name="date" dataDxfId="41"/>
    <tableColumn id="20" xr3:uid="{AAD093F9-9BD9-408B-8CFB-B816222A544A}" name="state"/>
    <tableColumn id="21" xr3:uid="{0E232319-1E76-46B9-AF9B-649CC109F5FB}" name="residence State Region"/>
    <tableColumn id="22" xr3:uid="{41516B7D-888D-4057-9F17-9D1ECB211E77}" name="birth Year"/>
    <tableColumn id="25" xr3:uid="{36AFDB6E-D357-4A93-B8F6-910294E5CEA1}" name="cpi_country"/>
    <tableColumn id="26" xr3:uid="{04F08F63-E6A8-4578-BEE7-26676812EC16}" name="cpi_change_country"/>
    <tableColumn id="27" xr3:uid="{5FF9A1E5-E155-4740-819F-93ED83FA69D8}" name="gdp_country" dataDxfId="40"/>
    <tableColumn id="28" xr3:uid="{D4E8593E-7CDC-49B8-B7B3-95E54AAEA4E9}" name="gross_tertiary_education_enrollment"/>
    <tableColumn id="29" xr3:uid="{08443882-6AEC-4F3E-B008-A5892A83F77A}" name="gross_primary_education_enrollment_country"/>
    <tableColumn id="31" xr3:uid="{0C8673C2-4C2A-4E0F-BD76-F07FB20EBB3B}" name="tax_revenue_country_country"/>
    <tableColumn id="32" xr3:uid="{81F68AF4-C9EE-4849-A51A-C5B6C91200A8}" name="total_tax_rate_country"/>
    <tableColumn id="33" xr3:uid="{A1B824CB-F88F-4790-9B79-746BA120794D}" name="population_country"/>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48F8-69F9-482B-B43B-33DF782B1194}">
  <sheetPr>
    <tabColor theme="4"/>
  </sheetPr>
  <dimension ref="A1:AD2648"/>
  <sheetViews>
    <sheetView workbookViewId="0">
      <selection activeCell="B2643" sqref="B2643"/>
    </sheetView>
  </sheetViews>
  <sheetFormatPr defaultRowHeight="14.25" x14ac:dyDescent="0.45"/>
  <cols>
    <col min="1" max="1" width="23.46484375" bestFit="1" customWidth="1"/>
    <col min="2" max="2" width="12.86328125" style="6" customWidth="1"/>
    <col min="3" max="3" width="25.73046875" bestFit="1" customWidth="1"/>
    <col min="4" max="4" width="40.73046875" bestFit="1" customWidth="1"/>
    <col min="5" max="5" width="7.265625" customWidth="1"/>
    <col min="6" max="6" width="22.3984375" bestFit="1" customWidth="1"/>
    <col min="7" max="7" width="24.86328125" bestFit="1" customWidth="1"/>
    <col min="8" max="8" width="34.59765625" bestFit="1" customWidth="1"/>
    <col min="9" max="9" width="25.73046875" bestFit="1" customWidth="1"/>
    <col min="10" max="10" width="21.86328125" customWidth="1"/>
    <col min="11" max="11" width="44.1328125" bestFit="1" customWidth="1"/>
    <col min="12" max="12" width="11.59765625" customWidth="1"/>
    <col min="13" max="13" width="19" bestFit="1" customWidth="1"/>
    <col min="14" max="14" width="9.3984375" customWidth="1"/>
    <col min="15" max="15" width="16.265625" style="10" bestFit="1" customWidth="1"/>
    <col min="16" max="16" width="24.73046875" bestFit="1" customWidth="1"/>
    <col min="17" max="17" width="25.59765625" bestFit="1" customWidth="1"/>
    <col min="18" max="18" width="57" bestFit="1" customWidth="1"/>
    <col min="19" max="19" width="15.265625" style="8" bestFit="1" customWidth="1"/>
    <col min="20" max="20" width="16.86328125" bestFit="1" customWidth="1"/>
    <col min="21" max="21" width="22.59765625" customWidth="1"/>
    <col min="22" max="22" width="11.3984375" customWidth="1"/>
    <col min="23" max="23" width="13.3984375" style="12" customWidth="1"/>
    <col min="24" max="24" width="20.73046875" customWidth="1"/>
    <col min="25" max="25" width="19.265625" style="14" bestFit="1" customWidth="1"/>
    <col min="26" max="26" width="36.1328125" customWidth="1"/>
    <col min="27" max="27" width="44.1328125" customWidth="1"/>
    <col min="28" max="28" width="29.73046875" customWidth="1"/>
    <col min="29" max="29" width="23.265625" customWidth="1"/>
    <col min="30" max="30" width="20.59765625" customWidth="1"/>
  </cols>
  <sheetData>
    <row r="1" spans="1:30" s="3" customFormat="1" ht="15.75" x14ac:dyDescent="0.5">
      <c r="A1" s="3" t="s">
        <v>8247</v>
      </c>
      <c r="B1" s="5" t="s">
        <v>8239</v>
      </c>
      <c r="C1" s="3" t="s">
        <v>0</v>
      </c>
      <c r="D1" s="4" t="s">
        <v>8240</v>
      </c>
      <c r="E1" s="3" t="s">
        <v>1</v>
      </c>
      <c r="F1" s="3" t="s">
        <v>2</v>
      </c>
      <c r="G1" s="3" t="s">
        <v>3</v>
      </c>
      <c r="H1" s="3" t="s">
        <v>4</v>
      </c>
      <c r="I1" s="3" t="s">
        <v>5</v>
      </c>
      <c r="J1" s="3" t="s">
        <v>6</v>
      </c>
      <c r="K1" s="3" t="s">
        <v>7</v>
      </c>
      <c r="L1" s="3" t="s">
        <v>8</v>
      </c>
      <c r="M1" s="3" t="s">
        <v>9</v>
      </c>
      <c r="N1" s="3" t="s">
        <v>10</v>
      </c>
      <c r="O1" s="9" t="s">
        <v>11</v>
      </c>
      <c r="P1" s="3" t="s">
        <v>8241</v>
      </c>
      <c r="Q1" s="3" t="s">
        <v>8242</v>
      </c>
      <c r="R1" s="3" t="s">
        <v>12</v>
      </c>
      <c r="S1" s="7" t="s">
        <v>13</v>
      </c>
      <c r="T1" s="3" t="s">
        <v>14</v>
      </c>
      <c r="U1" s="3" t="s">
        <v>8243</v>
      </c>
      <c r="V1" s="3" t="s">
        <v>8244</v>
      </c>
      <c r="W1" s="11" t="s">
        <v>15</v>
      </c>
      <c r="X1" s="3" t="s">
        <v>16</v>
      </c>
      <c r="Y1" s="13" t="s">
        <v>17</v>
      </c>
      <c r="Z1" s="3" t="s">
        <v>18</v>
      </c>
      <c r="AA1" s="3" t="s">
        <v>19</v>
      </c>
      <c r="AB1" s="3" t="s">
        <v>20</v>
      </c>
      <c r="AC1" s="3" t="s">
        <v>21</v>
      </c>
      <c r="AD1" s="3" t="s">
        <v>22</v>
      </c>
    </row>
    <row r="2" spans="1:30" hidden="1" x14ac:dyDescent="0.45">
      <c r="A2">
        <v>1</v>
      </c>
      <c r="B2">
        <v>211000</v>
      </c>
      <c r="C2" t="s">
        <v>23</v>
      </c>
      <c r="D2" t="s">
        <v>24</v>
      </c>
      <c r="E2">
        <v>74</v>
      </c>
      <c r="F2" t="s">
        <v>25</v>
      </c>
      <c r="G2" t="s">
        <v>26</v>
      </c>
      <c r="H2" t="s">
        <v>27</v>
      </c>
      <c r="I2" t="s">
        <v>23</v>
      </c>
      <c r="J2" t="s">
        <v>25</v>
      </c>
      <c r="K2" t="s">
        <v>28</v>
      </c>
      <c r="L2" t="b">
        <v>0</v>
      </c>
      <c r="M2" t="s">
        <v>29</v>
      </c>
      <c r="N2" t="s">
        <v>8245</v>
      </c>
      <c r="O2" s="1">
        <v>17962</v>
      </c>
      <c r="P2" t="s">
        <v>30</v>
      </c>
      <c r="Q2" t="s">
        <v>31</v>
      </c>
      <c r="R2" t="s">
        <v>32</v>
      </c>
      <c r="S2" s="1">
        <v>45020.209027777775</v>
      </c>
      <c r="V2">
        <v>1949</v>
      </c>
      <c r="W2">
        <v>110.05</v>
      </c>
      <c r="X2">
        <v>1.1000000000000001</v>
      </c>
      <c r="Y2" s="2">
        <v>2715518274227</v>
      </c>
      <c r="Z2">
        <v>65.599999999999994</v>
      </c>
      <c r="AA2">
        <v>102.5</v>
      </c>
      <c r="AB2">
        <v>24.2</v>
      </c>
      <c r="AC2">
        <v>60.7</v>
      </c>
      <c r="AD2">
        <v>67059887</v>
      </c>
    </row>
    <row r="3" spans="1:30" x14ac:dyDescent="0.45">
      <c r="A3">
        <v>2</v>
      </c>
      <c r="B3" s="6">
        <v>180000</v>
      </c>
      <c r="C3" t="s">
        <v>33</v>
      </c>
      <c r="D3" t="s">
        <v>34</v>
      </c>
      <c r="E3">
        <v>51</v>
      </c>
      <c r="F3" t="s">
        <v>35</v>
      </c>
      <c r="G3" t="s">
        <v>36</v>
      </c>
      <c r="H3" t="s">
        <v>37</v>
      </c>
      <c r="I3" t="s">
        <v>33</v>
      </c>
      <c r="J3" t="s">
        <v>35</v>
      </c>
      <c r="K3" t="s">
        <v>38</v>
      </c>
      <c r="L3" t="b">
        <v>1</v>
      </c>
      <c r="M3" t="s">
        <v>39</v>
      </c>
      <c r="N3" t="s">
        <v>8245</v>
      </c>
      <c r="O3" s="10">
        <v>26112</v>
      </c>
      <c r="P3" t="s">
        <v>40</v>
      </c>
      <c r="Q3" t="s">
        <v>41</v>
      </c>
      <c r="R3" t="s">
        <v>42</v>
      </c>
      <c r="S3" s="8">
        <v>45020.209027777775</v>
      </c>
      <c r="T3" t="s">
        <v>43</v>
      </c>
      <c r="U3" t="s">
        <v>44</v>
      </c>
      <c r="V3">
        <v>1971</v>
      </c>
      <c r="W3" s="12">
        <v>117.24</v>
      </c>
      <c r="X3">
        <v>7.5</v>
      </c>
      <c r="Y3" s="14">
        <v>21427700000000</v>
      </c>
      <c r="Z3">
        <v>88.2</v>
      </c>
      <c r="AA3">
        <v>101.8</v>
      </c>
      <c r="AB3">
        <v>9.6</v>
      </c>
      <c r="AC3">
        <v>36.6</v>
      </c>
      <c r="AD3">
        <v>328239523</v>
      </c>
    </row>
    <row r="4" spans="1:30" x14ac:dyDescent="0.45">
      <c r="A4">
        <v>3</v>
      </c>
      <c r="B4" s="6">
        <v>114000</v>
      </c>
      <c r="C4" t="s">
        <v>45</v>
      </c>
      <c r="D4" t="s">
        <v>46</v>
      </c>
      <c r="E4">
        <v>59</v>
      </c>
      <c r="F4" t="s">
        <v>35</v>
      </c>
      <c r="G4" t="s">
        <v>47</v>
      </c>
      <c r="H4" t="s">
        <v>48</v>
      </c>
      <c r="I4" t="s">
        <v>45</v>
      </c>
      <c r="J4" t="s">
        <v>35</v>
      </c>
      <c r="K4" t="s">
        <v>48</v>
      </c>
      <c r="L4" t="b">
        <v>1</v>
      </c>
      <c r="M4" t="s">
        <v>39</v>
      </c>
      <c r="N4" t="s">
        <v>8245</v>
      </c>
      <c r="O4" s="10">
        <v>23388</v>
      </c>
      <c r="P4" t="s">
        <v>49</v>
      </c>
      <c r="Q4" t="s">
        <v>50</v>
      </c>
      <c r="R4" t="s">
        <v>51</v>
      </c>
      <c r="S4" s="8">
        <v>45020.209027777775</v>
      </c>
      <c r="T4" t="s">
        <v>52</v>
      </c>
      <c r="U4" t="s">
        <v>53</v>
      </c>
      <c r="V4">
        <v>1964</v>
      </c>
      <c r="W4" s="12">
        <v>117.24</v>
      </c>
      <c r="X4">
        <v>7.5</v>
      </c>
      <c r="Y4" s="14">
        <v>21427700000000</v>
      </c>
      <c r="Z4">
        <v>88.2</v>
      </c>
      <c r="AA4">
        <v>101.8</v>
      </c>
      <c r="AB4">
        <v>9.6</v>
      </c>
      <c r="AC4">
        <v>36.6</v>
      </c>
      <c r="AD4">
        <v>328239523</v>
      </c>
    </row>
    <row r="5" spans="1:30" x14ac:dyDescent="0.45">
      <c r="A5">
        <v>4</v>
      </c>
      <c r="B5" s="6">
        <v>107000</v>
      </c>
      <c r="C5" t="s">
        <v>45</v>
      </c>
      <c r="D5" t="s">
        <v>54</v>
      </c>
      <c r="E5">
        <v>78</v>
      </c>
      <c r="F5" t="s">
        <v>35</v>
      </c>
      <c r="G5" t="s">
        <v>55</v>
      </c>
      <c r="H5" t="s">
        <v>56</v>
      </c>
      <c r="I5" t="s">
        <v>45</v>
      </c>
      <c r="J5" t="s">
        <v>35</v>
      </c>
      <c r="K5" t="s">
        <v>56</v>
      </c>
      <c r="L5" t="b">
        <v>1</v>
      </c>
      <c r="M5" t="s">
        <v>29</v>
      </c>
      <c r="N5" t="s">
        <v>8245</v>
      </c>
      <c r="O5" s="10">
        <v>16301</v>
      </c>
      <c r="P5" t="s">
        <v>57</v>
      </c>
      <c r="Q5" t="s">
        <v>58</v>
      </c>
      <c r="R5" t="s">
        <v>59</v>
      </c>
      <c r="S5" s="8">
        <v>45020.209027777775</v>
      </c>
      <c r="T5" t="s">
        <v>60</v>
      </c>
      <c r="U5" t="s">
        <v>53</v>
      </c>
      <c r="V5">
        <v>1944</v>
      </c>
      <c r="W5" s="12">
        <v>117.24</v>
      </c>
      <c r="X5">
        <v>7.5</v>
      </c>
      <c r="Y5" s="14">
        <v>21427700000000</v>
      </c>
      <c r="Z5">
        <v>88.2</v>
      </c>
      <c r="AA5">
        <v>101.8</v>
      </c>
      <c r="AB5">
        <v>9.6</v>
      </c>
      <c r="AC5">
        <v>36.6</v>
      </c>
      <c r="AD5">
        <v>328239523</v>
      </c>
    </row>
    <row r="6" spans="1:30" x14ac:dyDescent="0.45">
      <c r="A6">
        <v>5</v>
      </c>
      <c r="B6" s="6">
        <v>106000</v>
      </c>
      <c r="C6" t="s">
        <v>61</v>
      </c>
      <c r="D6" t="s">
        <v>62</v>
      </c>
      <c r="E6">
        <v>92</v>
      </c>
      <c r="F6" t="s">
        <v>35</v>
      </c>
      <c r="G6" t="s">
        <v>63</v>
      </c>
      <c r="H6" t="s">
        <v>64</v>
      </c>
      <c r="I6" t="s">
        <v>61</v>
      </c>
      <c r="J6" t="s">
        <v>35</v>
      </c>
      <c r="K6" t="s">
        <v>65</v>
      </c>
      <c r="L6" t="b">
        <v>1</v>
      </c>
      <c r="M6" t="s">
        <v>39</v>
      </c>
      <c r="N6" t="s">
        <v>8245</v>
      </c>
      <c r="O6" s="10">
        <v>11200</v>
      </c>
      <c r="P6" t="s">
        <v>66</v>
      </c>
      <c r="Q6" t="s">
        <v>67</v>
      </c>
      <c r="R6" t="s">
        <v>42</v>
      </c>
      <c r="S6" s="8">
        <v>45020.209027777775</v>
      </c>
      <c r="T6" t="s">
        <v>68</v>
      </c>
      <c r="U6" t="s">
        <v>69</v>
      </c>
      <c r="V6">
        <v>1930</v>
      </c>
      <c r="W6" s="12">
        <v>117.24</v>
      </c>
      <c r="X6">
        <v>7.5</v>
      </c>
      <c r="Y6" s="14">
        <v>21427700000000</v>
      </c>
      <c r="Z6">
        <v>88.2</v>
      </c>
      <c r="AA6">
        <v>101.8</v>
      </c>
      <c r="AB6">
        <v>9.6</v>
      </c>
      <c r="AC6">
        <v>36.6</v>
      </c>
      <c r="AD6">
        <v>328239523</v>
      </c>
    </row>
    <row r="7" spans="1:30" x14ac:dyDescent="0.45">
      <c r="A7">
        <v>6</v>
      </c>
      <c r="B7" s="6">
        <v>104000</v>
      </c>
      <c r="C7" t="s">
        <v>45</v>
      </c>
      <c r="D7" t="s">
        <v>70</v>
      </c>
      <c r="E7">
        <v>67</v>
      </c>
      <c r="F7" t="s">
        <v>35</v>
      </c>
      <c r="G7" t="s">
        <v>47</v>
      </c>
      <c r="H7" t="s">
        <v>71</v>
      </c>
      <c r="I7" t="s">
        <v>45</v>
      </c>
      <c r="J7" t="s">
        <v>35</v>
      </c>
      <c r="K7" t="s">
        <v>72</v>
      </c>
      <c r="L7" t="b">
        <v>1</v>
      </c>
      <c r="M7" t="s">
        <v>39</v>
      </c>
      <c r="N7" t="s">
        <v>8245</v>
      </c>
      <c r="O7" s="10">
        <v>20390</v>
      </c>
      <c r="P7" t="s">
        <v>73</v>
      </c>
      <c r="Q7" t="s">
        <v>74</v>
      </c>
      <c r="R7" t="s">
        <v>75</v>
      </c>
      <c r="S7" s="8">
        <v>45020.209027777775</v>
      </c>
      <c r="T7" t="s">
        <v>52</v>
      </c>
      <c r="U7" t="s">
        <v>53</v>
      </c>
      <c r="V7">
        <v>1955</v>
      </c>
      <c r="W7" s="12">
        <v>117.24</v>
      </c>
      <c r="X7">
        <v>7.5</v>
      </c>
      <c r="Y7" s="14">
        <v>21427700000000</v>
      </c>
      <c r="Z7">
        <v>88.2</v>
      </c>
      <c r="AA7">
        <v>101.8</v>
      </c>
      <c r="AB7">
        <v>9.6</v>
      </c>
      <c r="AC7">
        <v>36.6</v>
      </c>
      <c r="AD7">
        <v>328239523</v>
      </c>
    </row>
    <row r="8" spans="1:30" x14ac:dyDescent="0.45">
      <c r="A8">
        <v>7</v>
      </c>
      <c r="B8" s="6">
        <v>94500</v>
      </c>
      <c r="C8" t="s">
        <v>76</v>
      </c>
      <c r="D8" t="s">
        <v>77</v>
      </c>
      <c r="E8">
        <v>81</v>
      </c>
      <c r="F8" t="s">
        <v>35</v>
      </c>
      <c r="G8" t="s">
        <v>78</v>
      </c>
      <c r="H8" t="s">
        <v>79</v>
      </c>
      <c r="I8" t="s">
        <v>76</v>
      </c>
      <c r="J8" t="s">
        <v>35</v>
      </c>
      <c r="K8" t="s">
        <v>80</v>
      </c>
      <c r="L8" t="b">
        <v>1</v>
      </c>
      <c r="M8" t="s">
        <v>29</v>
      </c>
      <c r="N8" t="s">
        <v>8245</v>
      </c>
      <c r="O8" s="10">
        <v>15386</v>
      </c>
      <c r="P8" t="s">
        <v>80</v>
      </c>
      <c r="Q8" t="s">
        <v>81</v>
      </c>
      <c r="R8" t="s">
        <v>42</v>
      </c>
      <c r="S8" s="8">
        <v>45020.209027777775</v>
      </c>
      <c r="T8" t="s">
        <v>78</v>
      </c>
      <c r="U8" t="s">
        <v>82</v>
      </c>
      <c r="V8">
        <v>1942</v>
      </c>
      <c r="W8" s="12">
        <v>117.24</v>
      </c>
      <c r="X8">
        <v>7.5</v>
      </c>
      <c r="Y8" s="14">
        <v>21427700000000</v>
      </c>
      <c r="Z8">
        <v>88.2</v>
      </c>
      <c r="AA8">
        <v>101.8</v>
      </c>
      <c r="AB8">
        <v>9.6</v>
      </c>
      <c r="AC8">
        <v>36.6</v>
      </c>
      <c r="AD8">
        <v>328239523</v>
      </c>
    </row>
    <row r="9" spans="1:30" hidden="1" x14ac:dyDescent="0.45">
      <c r="A9">
        <v>8</v>
      </c>
      <c r="B9">
        <v>93000</v>
      </c>
      <c r="C9" t="s">
        <v>83</v>
      </c>
      <c r="D9" t="s">
        <v>84</v>
      </c>
      <c r="E9">
        <v>83</v>
      </c>
      <c r="F9" t="s">
        <v>85</v>
      </c>
      <c r="G9" t="s">
        <v>86</v>
      </c>
      <c r="H9" t="s">
        <v>83</v>
      </c>
      <c r="I9" t="s">
        <v>83</v>
      </c>
      <c r="J9" t="s">
        <v>85</v>
      </c>
      <c r="K9" t="s">
        <v>87</v>
      </c>
      <c r="L9" t="b">
        <v>1</v>
      </c>
      <c r="M9" t="s">
        <v>29</v>
      </c>
      <c r="N9" t="s">
        <v>8245</v>
      </c>
      <c r="O9" s="1">
        <v>14638</v>
      </c>
      <c r="P9" t="s">
        <v>88</v>
      </c>
      <c r="Q9" t="s">
        <v>89</v>
      </c>
      <c r="R9" t="s">
        <v>90</v>
      </c>
      <c r="S9" s="1">
        <v>45020.209027777775</v>
      </c>
      <c r="V9">
        <v>1940</v>
      </c>
      <c r="W9">
        <v>141.54</v>
      </c>
      <c r="X9">
        <v>3.6</v>
      </c>
      <c r="Y9" s="2">
        <v>1258286717125</v>
      </c>
      <c r="Z9">
        <v>40.200000000000003</v>
      </c>
      <c r="AA9">
        <v>105.8</v>
      </c>
      <c r="AB9">
        <v>13.1</v>
      </c>
      <c r="AC9">
        <v>55.1</v>
      </c>
      <c r="AD9">
        <v>126014024</v>
      </c>
    </row>
    <row r="10" spans="1:30" hidden="1" x14ac:dyDescent="0.45">
      <c r="A10">
        <v>9</v>
      </c>
      <c r="B10">
        <v>83400</v>
      </c>
      <c r="C10" t="s">
        <v>91</v>
      </c>
      <c r="D10" t="s">
        <v>92</v>
      </c>
      <c r="E10">
        <v>65</v>
      </c>
      <c r="F10" t="s">
        <v>93</v>
      </c>
      <c r="G10" t="s">
        <v>94</v>
      </c>
      <c r="H10" t="s">
        <v>91</v>
      </c>
      <c r="I10" t="s">
        <v>91</v>
      </c>
      <c r="J10" t="s">
        <v>93</v>
      </c>
      <c r="K10" t="s">
        <v>95</v>
      </c>
      <c r="L10" t="b">
        <v>0</v>
      </c>
      <c r="M10" t="s">
        <v>39</v>
      </c>
      <c r="N10" t="s">
        <v>8245</v>
      </c>
      <c r="O10" s="1">
        <v>20929</v>
      </c>
      <c r="P10" t="s">
        <v>96</v>
      </c>
      <c r="Q10" t="s">
        <v>97</v>
      </c>
      <c r="R10" t="s">
        <v>98</v>
      </c>
      <c r="S10" s="1">
        <v>45020.209027777775</v>
      </c>
      <c r="V10">
        <v>1957</v>
      </c>
      <c r="W10">
        <v>180.44</v>
      </c>
      <c r="X10">
        <v>7.7</v>
      </c>
      <c r="Y10" s="2">
        <v>2611000000000</v>
      </c>
      <c r="Z10">
        <v>28.1</v>
      </c>
      <c r="AA10">
        <v>113</v>
      </c>
      <c r="AB10">
        <v>11.2</v>
      </c>
      <c r="AC10">
        <v>49.7</v>
      </c>
      <c r="AD10">
        <v>1366417754</v>
      </c>
    </row>
    <row r="11" spans="1:30" x14ac:dyDescent="0.45">
      <c r="A11">
        <v>10</v>
      </c>
      <c r="B11" s="6">
        <v>80700</v>
      </c>
      <c r="C11" t="s">
        <v>45</v>
      </c>
      <c r="D11" t="s">
        <v>99</v>
      </c>
      <c r="E11">
        <v>67</v>
      </c>
      <c r="F11" t="s">
        <v>35</v>
      </c>
      <c r="G11" t="s">
        <v>100</v>
      </c>
      <c r="H11" t="s">
        <v>71</v>
      </c>
      <c r="I11" t="s">
        <v>45</v>
      </c>
      <c r="J11" t="s">
        <v>35</v>
      </c>
      <c r="K11" t="s">
        <v>101</v>
      </c>
      <c r="L11" t="b">
        <v>1</v>
      </c>
      <c r="M11" t="s">
        <v>39</v>
      </c>
      <c r="N11" t="s">
        <v>8245</v>
      </c>
      <c r="O11" s="10">
        <v>20538</v>
      </c>
      <c r="P11" t="s">
        <v>102</v>
      </c>
      <c r="Q11" t="s">
        <v>103</v>
      </c>
      <c r="R11" t="s">
        <v>104</v>
      </c>
      <c r="S11" s="8">
        <v>45020.209027777775</v>
      </c>
      <c r="T11" t="s">
        <v>52</v>
      </c>
      <c r="U11" t="s">
        <v>53</v>
      </c>
      <c r="V11">
        <v>1956</v>
      </c>
      <c r="W11" s="12">
        <v>117.24</v>
      </c>
      <c r="X11">
        <v>7.5</v>
      </c>
      <c r="Y11" s="14">
        <v>21427700000000</v>
      </c>
      <c r="Z11">
        <v>88.2</v>
      </c>
      <c r="AA11">
        <v>101.8</v>
      </c>
      <c r="AB11">
        <v>9.6</v>
      </c>
      <c r="AC11">
        <v>36.6</v>
      </c>
      <c r="AD11">
        <v>328239523</v>
      </c>
    </row>
    <row r="12" spans="1:30" hidden="1" x14ac:dyDescent="0.45">
      <c r="A12">
        <v>11</v>
      </c>
      <c r="B12">
        <v>80500</v>
      </c>
      <c r="C12" t="s">
        <v>23</v>
      </c>
      <c r="D12" t="s">
        <v>105</v>
      </c>
      <c r="E12">
        <v>69</v>
      </c>
      <c r="F12" t="s">
        <v>25</v>
      </c>
      <c r="G12" t="s">
        <v>26</v>
      </c>
      <c r="H12" t="s">
        <v>106</v>
      </c>
      <c r="I12" t="s">
        <v>23</v>
      </c>
      <c r="J12" t="s">
        <v>25</v>
      </c>
      <c r="L12" t="b">
        <v>0</v>
      </c>
      <c r="M12" t="s">
        <v>29</v>
      </c>
      <c r="N12" t="s">
        <v>8246</v>
      </c>
      <c r="O12" s="1">
        <v>19550</v>
      </c>
      <c r="P12" t="s">
        <v>107</v>
      </c>
      <c r="Q12" t="s">
        <v>108</v>
      </c>
      <c r="S12" s="1">
        <v>45020.209027777775</v>
      </c>
      <c r="V12">
        <v>1953</v>
      </c>
      <c r="W12">
        <v>110.05</v>
      </c>
      <c r="X12">
        <v>1.1000000000000001</v>
      </c>
      <c r="Y12" s="2">
        <v>2715518274227</v>
      </c>
      <c r="Z12">
        <v>65.599999999999994</v>
      </c>
      <c r="AA12">
        <v>102.5</v>
      </c>
      <c r="AB12">
        <v>24.2</v>
      </c>
      <c r="AC12">
        <v>60.7</v>
      </c>
      <c r="AD12">
        <v>67059887</v>
      </c>
    </row>
    <row r="13" spans="1:30" x14ac:dyDescent="0.45">
      <c r="A13">
        <v>12</v>
      </c>
      <c r="B13" s="6">
        <v>79200</v>
      </c>
      <c r="C13" t="s">
        <v>45</v>
      </c>
      <c r="D13" t="s">
        <v>109</v>
      </c>
      <c r="E13">
        <v>50</v>
      </c>
      <c r="F13" t="s">
        <v>35</v>
      </c>
      <c r="G13" t="s">
        <v>110</v>
      </c>
      <c r="H13" t="s">
        <v>111</v>
      </c>
      <c r="I13" t="s">
        <v>45</v>
      </c>
      <c r="J13" t="s">
        <v>35</v>
      </c>
      <c r="K13" t="s">
        <v>112</v>
      </c>
      <c r="L13" t="b">
        <v>1</v>
      </c>
      <c r="M13" t="s">
        <v>39</v>
      </c>
      <c r="N13" t="s">
        <v>8245</v>
      </c>
      <c r="O13" s="10">
        <v>26749</v>
      </c>
      <c r="P13" t="s">
        <v>113</v>
      </c>
      <c r="Q13" t="s">
        <v>58</v>
      </c>
      <c r="R13" t="s">
        <v>114</v>
      </c>
      <c r="S13" s="8">
        <v>45020.209027777775</v>
      </c>
      <c r="T13" t="s">
        <v>115</v>
      </c>
      <c r="U13" t="s">
        <v>53</v>
      </c>
      <c r="V13">
        <v>1973</v>
      </c>
      <c r="W13" s="12">
        <v>117.24</v>
      </c>
      <c r="X13">
        <v>7.5</v>
      </c>
      <c r="Y13" s="14">
        <v>21427700000000</v>
      </c>
      <c r="Z13">
        <v>88.2</v>
      </c>
      <c r="AA13">
        <v>101.8</v>
      </c>
      <c r="AB13">
        <v>9.6</v>
      </c>
      <c r="AC13">
        <v>36.6</v>
      </c>
      <c r="AD13">
        <v>328239523</v>
      </c>
    </row>
    <row r="14" spans="1:30" hidden="1" x14ac:dyDescent="0.45">
      <c r="A14">
        <v>13</v>
      </c>
      <c r="B14">
        <v>77300</v>
      </c>
      <c r="C14" t="s">
        <v>23</v>
      </c>
      <c r="D14" t="s">
        <v>116</v>
      </c>
      <c r="E14">
        <v>87</v>
      </c>
      <c r="F14" t="s">
        <v>117</v>
      </c>
      <c r="G14" t="s">
        <v>118</v>
      </c>
      <c r="H14" t="s">
        <v>119</v>
      </c>
      <c r="I14" t="s">
        <v>23</v>
      </c>
      <c r="J14" t="s">
        <v>117</v>
      </c>
      <c r="L14" t="b">
        <v>1</v>
      </c>
      <c r="M14" t="s">
        <v>29</v>
      </c>
      <c r="N14" t="s">
        <v>8245</v>
      </c>
      <c r="O14" s="1">
        <v>13237</v>
      </c>
      <c r="P14" t="s">
        <v>120</v>
      </c>
      <c r="Q14" t="s">
        <v>121</v>
      </c>
      <c r="S14" s="1">
        <v>45020.209027777775</v>
      </c>
      <c r="V14">
        <v>1936</v>
      </c>
      <c r="W14">
        <v>110.96</v>
      </c>
      <c r="X14">
        <v>0.7</v>
      </c>
      <c r="Y14" s="2">
        <v>1394116310769</v>
      </c>
      <c r="Z14">
        <v>88.9</v>
      </c>
      <c r="AA14">
        <v>102.7</v>
      </c>
      <c r="AB14">
        <v>14.2</v>
      </c>
      <c r="AC14">
        <v>47</v>
      </c>
      <c r="AD14">
        <v>47076781</v>
      </c>
    </row>
    <row r="15" spans="1:30" x14ac:dyDescent="0.45">
      <c r="A15">
        <v>14</v>
      </c>
      <c r="B15" s="6">
        <v>76000</v>
      </c>
      <c r="C15" t="s">
        <v>45</v>
      </c>
      <c r="D15" t="s">
        <v>122</v>
      </c>
      <c r="E15">
        <v>49</v>
      </c>
      <c r="F15" t="s">
        <v>35</v>
      </c>
      <c r="G15" t="s">
        <v>123</v>
      </c>
      <c r="H15" t="s">
        <v>111</v>
      </c>
      <c r="I15" t="s">
        <v>45</v>
      </c>
      <c r="J15" t="s">
        <v>35</v>
      </c>
      <c r="K15" t="s">
        <v>112</v>
      </c>
      <c r="L15" t="b">
        <v>1</v>
      </c>
      <c r="M15" t="s">
        <v>39</v>
      </c>
      <c r="N15" t="s">
        <v>8245</v>
      </c>
      <c r="O15" s="10">
        <v>26897</v>
      </c>
      <c r="P15" t="s">
        <v>124</v>
      </c>
      <c r="Q15" t="s">
        <v>125</v>
      </c>
      <c r="R15" t="s">
        <v>114</v>
      </c>
      <c r="S15" s="8">
        <v>45020.209027777775</v>
      </c>
      <c r="T15" t="s">
        <v>115</v>
      </c>
      <c r="U15" t="s">
        <v>53</v>
      </c>
      <c r="V15">
        <v>1973</v>
      </c>
      <c r="W15" s="12">
        <v>117.24</v>
      </c>
      <c r="X15">
        <v>7.5</v>
      </c>
      <c r="Y15" s="14">
        <v>21427700000000</v>
      </c>
      <c r="Z15">
        <v>88.2</v>
      </c>
      <c r="AA15">
        <v>101.8</v>
      </c>
      <c r="AB15">
        <v>9.6</v>
      </c>
      <c r="AC15">
        <v>36.6</v>
      </c>
      <c r="AD15">
        <v>328239523</v>
      </c>
    </row>
    <row r="16" spans="1:30" hidden="1" x14ac:dyDescent="0.45">
      <c r="A16">
        <v>15</v>
      </c>
      <c r="B16">
        <v>68000</v>
      </c>
      <c r="C16" t="s">
        <v>126</v>
      </c>
      <c r="D16" t="s">
        <v>127</v>
      </c>
      <c r="E16">
        <v>68</v>
      </c>
      <c r="F16" t="s">
        <v>128</v>
      </c>
      <c r="G16" t="s">
        <v>129</v>
      </c>
      <c r="H16" t="s">
        <v>130</v>
      </c>
      <c r="I16" t="s">
        <v>126</v>
      </c>
      <c r="J16" t="s">
        <v>128</v>
      </c>
      <c r="L16" t="b">
        <v>1</v>
      </c>
      <c r="M16" t="s">
        <v>29</v>
      </c>
      <c r="N16" t="s">
        <v>8245</v>
      </c>
      <c r="O16" s="1">
        <v>20059</v>
      </c>
      <c r="P16" t="s">
        <v>131</v>
      </c>
      <c r="Q16" t="s">
        <v>132</v>
      </c>
      <c r="S16" s="1">
        <v>45020.209027777775</v>
      </c>
      <c r="V16">
        <v>1954</v>
      </c>
      <c r="W16">
        <v>125.08</v>
      </c>
      <c r="X16">
        <v>2.9</v>
      </c>
      <c r="Y16" s="2">
        <v>19910000000000</v>
      </c>
      <c r="Z16">
        <v>50.6</v>
      </c>
      <c r="AA16">
        <v>100.2</v>
      </c>
      <c r="AB16">
        <v>9.4</v>
      </c>
      <c r="AC16">
        <v>59.2</v>
      </c>
      <c r="AD16">
        <v>1397715000</v>
      </c>
    </row>
    <row r="17" spans="1:30" x14ac:dyDescent="0.45">
      <c r="A17">
        <v>16</v>
      </c>
      <c r="B17" s="6">
        <v>64400</v>
      </c>
      <c r="C17" t="s">
        <v>45</v>
      </c>
      <c r="D17" t="s">
        <v>133</v>
      </c>
      <c r="E17">
        <v>38</v>
      </c>
      <c r="F17" t="s">
        <v>35</v>
      </c>
      <c r="G17" t="s">
        <v>110</v>
      </c>
      <c r="H17" t="s">
        <v>134</v>
      </c>
      <c r="I17" t="s">
        <v>45</v>
      </c>
      <c r="J17" t="s">
        <v>35</v>
      </c>
      <c r="K17" t="s">
        <v>135</v>
      </c>
      <c r="L17" t="b">
        <v>1</v>
      </c>
      <c r="M17" t="s">
        <v>39</v>
      </c>
      <c r="N17" t="s">
        <v>8245</v>
      </c>
      <c r="O17" s="10">
        <v>30816</v>
      </c>
      <c r="P17" t="s">
        <v>136</v>
      </c>
      <c r="Q17" t="s">
        <v>137</v>
      </c>
      <c r="R17" t="s">
        <v>138</v>
      </c>
      <c r="S17" s="8">
        <v>45020.209027777775</v>
      </c>
      <c r="T17" t="s">
        <v>115</v>
      </c>
      <c r="U17" t="s">
        <v>53</v>
      </c>
      <c r="V17">
        <v>1984</v>
      </c>
      <c r="W17" s="12">
        <v>117.24</v>
      </c>
      <c r="X17">
        <v>7.5</v>
      </c>
      <c r="Y17" s="14">
        <v>21427700000000</v>
      </c>
      <c r="Z17">
        <v>88.2</v>
      </c>
      <c r="AA17">
        <v>101.8</v>
      </c>
      <c r="AB17">
        <v>9.6</v>
      </c>
      <c r="AC17">
        <v>36.6</v>
      </c>
      <c r="AD17">
        <v>328239523</v>
      </c>
    </row>
    <row r="18" spans="1:30" x14ac:dyDescent="0.45">
      <c r="A18">
        <v>17</v>
      </c>
      <c r="B18" s="6">
        <v>59000</v>
      </c>
      <c r="C18" t="s">
        <v>91</v>
      </c>
      <c r="D18" t="s">
        <v>139</v>
      </c>
      <c r="E18">
        <v>87</v>
      </c>
      <c r="F18" t="s">
        <v>35</v>
      </c>
      <c r="G18" t="s">
        <v>140</v>
      </c>
      <c r="H18" t="s">
        <v>141</v>
      </c>
      <c r="I18" t="s">
        <v>91</v>
      </c>
      <c r="J18" t="s">
        <v>35</v>
      </c>
      <c r="K18" t="s">
        <v>142</v>
      </c>
      <c r="L18" t="b">
        <v>0</v>
      </c>
      <c r="M18" t="s">
        <v>39</v>
      </c>
      <c r="N18" t="s">
        <v>8245</v>
      </c>
      <c r="O18" s="10">
        <v>13089</v>
      </c>
      <c r="P18" t="s">
        <v>143</v>
      </c>
      <c r="Q18" t="s">
        <v>144</v>
      </c>
      <c r="R18" t="s">
        <v>32</v>
      </c>
      <c r="S18" s="8">
        <v>45020.209027777775</v>
      </c>
      <c r="T18" t="s">
        <v>145</v>
      </c>
      <c r="U18" t="s">
        <v>69</v>
      </c>
      <c r="V18">
        <v>1935</v>
      </c>
      <c r="W18" s="12">
        <v>117.24</v>
      </c>
      <c r="X18">
        <v>7.5</v>
      </c>
      <c r="Y18" s="14">
        <v>21427700000000</v>
      </c>
      <c r="Z18">
        <v>88.2</v>
      </c>
      <c r="AA18">
        <v>101.8</v>
      </c>
      <c r="AB18">
        <v>9.6</v>
      </c>
      <c r="AC18">
        <v>36.6</v>
      </c>
      <c r="AD18">
        <v>328239523</v>
      </c>
    </row>
    <row r="19" spans="1:30" hidden="1" x14ac:dyDescent="0.45">
      <c r="A19">
        <v>17</v>
      </c>
      <c r="B19">
        <v>59000</v>
      </c>
      <c r="C19" t="s">
        <v>91</v>
      </c>
      <c r="D19" t="s">
        <v>146</v>
      </c>
      <c r="E19">
        <v>60</v>
      </c>
      <c r="F19" t="s">
        <v>35</v>
      </c>
      <c r="G19" t="s">
        <v>78</v>
      </c>
      <c r="H19" t="s">
        <v>141</v>
      </c>
      <c r="I19" t="s">
        <v>91</v>
      </c>
      <c r="J19" t="s">
        <v>35</v>
      </c>
      <c r="L19" t="b">
        <v>0</v>
      </c>
      <c r="M19" t="s">
        <v>39</v>
      </c>
      <c r="N19" t="s">
        <v>8246</v>
      </c>
      <c r="O19" s="1">
        <v>22748</v>
      </c>
      <c r="P19" t="s">
        <v>143</v>
      </c>
      <c r="Q19" t="s">
        <v>147</v>
      </c>
      <c r="S19" s="1">
        <v>45020.209027777775</v>
      </c>
      <c r="T19" t="s">
        <v>78</v>
      </c>
      <c r="U19" t="s">
        <v>82</v>
      </c>
      <c r="V19">
        <v>1962</v>
      </c>
      <c r="W19">
        <v>117.24</v>
      </c>
      <c r="X19">
        <v>7.5</v>
      </c>
      <c r="Y19" s="2">
        <v>21427700000000</v>
      </c>
      <c r="Z19">
        <v>88.2</v>
      </c>
      <c r="AA19">
        <v>101.8</v>
      </c>
      <c r="AB19">
        <v>9.6</v>
      </c>
      <c r="AC19">
        <v>36.6</v>
      </c>
      <c r="AD19">
        <v>328239523</v>
      </c>
    </row>
    <row r="20" spans="1:30" x14ac:dyDescent="0.45">
      <c r="A20">
        <v>19</v>
      </c>
      <c r="B20" s="6">
        <v>58800</v>
      </c>
      <c r="C20" t="s">
        <v>23</v>
      </c>
      <c r="D20" t="s">
        <v>148</v>
      </c>
      <c r="E20">
        <v>74</v>
      </c>
      <c r="F20" t="s">
        <v>35</v>
      </c>
      <c r="G20" t="s">
        <v>149</v>
      </c>
      <c r="H20" t="s">
        <v>150</v>
      </c>
      <c r="I20" t="s">
        <v>23</v>
      </c>
      <c r="J20" t="s">
        <v>35</v>
      </c>
      <c r="K20" t="s">
        <v>151</v>
      </c>
      <c r="L20" t="b">
        <v>0</v>
      </c>
      <c r="M20" t="s">
        <v>39</v>
      </c>
      <c r="N20" t="s">
        <v>8245</v>
      </c>
      <c r="O20" s="10">
        <v>17691</v>
      </c>
      <c r="P20" t="s">
        <v>152</v>
      </c>
      <c r="Q20" t="s">
        <v>153</v>
      </c>
      <c r="R20" t="s">
        <v>32</v>
      </c>
      <c r="S20" s="8">
        <v>45020.209027777775</v>
      </c>
      <c r="T20" t="s">
        <v>154</v>
      </c>
      <c r="U20" t="s">
        <v>44</v>
      </c>
      <c r="V20">
        <v>1948</v>
      </c>
      <c r="W20" s="12">
        <v>117.24</v>
      </c>
      <c r="X20">
        <v>7.5</v>
      </c>
      <c r="Y20" s="14">
        <v>21427700000000</v>
      </c>
      <c r="Z20">
        <v>88.2</v>
      </c>
      <c r="AA20">
        <v>101.8</v>
      </c>
      <c r="AB20">
        <v>9.6</v>
      </c>
      <c r="AC20">
        <v>36.6</v>
      </c>
      <c r="AD20">
        <v>328239523</v>
      </c>
    </row>
    <row r="21" spans="1:30" x14ac:dyDescent="0.45">
      <c r="A21">
        <v>20</v>
      </c>
      <c r="B21" s="6">
        <v>57600</v>
      </c>
      <c r="C21" t="s">
        <v>23</v>
      </c>
      <c r="D21" t="s">
        <v>155</v>
      </c>
      <c r="E21">
        <v>78</v>
      </c>
      <c r="F21" t="s">
        <v>35</v>
      </c>
      <c r="G21" t="s">
        <v>149</v>
      </c>
      <c r="H21" t="s">
        <v>150</v>
      </c>
      <c r="I21" t="s">
        <v>23</v>
      </c>
      <c r="J21" t="s">
        <v>35</v>
      </c>
      <c r="K21" t="s">
        <v>150</v>
      </c>
      <c r="L21" t="b">
        <v>0</v>
      </c>
      <c r="M21" t="s">
        <v>39</v>
      </c>
      <c r="N21" t="s">
        <v>8245</v>
      </c>
      <c r="O21" s="10">
        <v>16372</v>
      </c>
      <c r="P21" t="s">
        <v>152</v>
      </c>
      <c r="Q21" t="s">
        <v>156</v>
      </c>
      <c r="R21" t="s">
        <v>157</v>
      </c>
      <c r="S21" s="8">
        <v>45020.209027777775</v>
      </c>
      <c r="T21" t="s">
        <v>154</v>
      </c>
      <c r="U21" t="s">
        <v>44</v>
      </c>
      <c r="V21">
        <v>1944</v>
      </c>
      <c r="W21" s="12">
        <v>117.24</v>
      </c>
      <c r="X21">
        <v>7.5</v>
      </c>
      <c r="Y21" s="14">
        <v>21427700000000</v>
      </c>
      <c r="Z21">
        <v>88.2</v>
      </c>
      <c r="AA21">
        <v>101.8</v>
      </c>
      <c r="AB21">
        <v>9.6</v>
      </c>
      <c r="AC21">
        <v>36.6</v>
      </c>
      <c r="AD21">
        <v>328239523</v>
      </c>
    </row>
    <row r="22" spans="1:30" x14ac:dyDescent="0.45">
      <c r="A22">
        <v>21</v>
      </c>
      <c r="B22" s="6">
        <v>56700</v>
      </c>
      <c r="C22" t="s">
        <v>23</v>
      </c>
      <c r="D22" t="s">
        <v>158</v>
      </c>
      <c r="E22">
        <v>73</v>
      </c>
      <c r="F22" t="s">
        <v>35</v>
      </c>
      <c r="G22" t="s">
        <v>159</v>
      </c>
      <c r="H22" t="s">
        <v>150</v>
      </c>
      <c r="I22" t="s">
        <v>23</v>
      </c>
      <c r="J22" t="s">
        <v>35</v>
      </c>
      <c r="K22" t="s">
        <v>160</v>
      </c>
      <c r="L22" t="b">
        <v>0</v>
      </c>
      <c r="M22" t="s">
        <v>39</v>
      </c>
      <c r="N22" t="s">
        <v>8246</v>
      </c>
      <c r="O22" s="10">
        <v>18178</v>
      </c>
      <c r="P22" t="s">
        <v>152</v>
      </c>
      <c r="Q22" t="s">
        <v>161</v>
      </c>
      <c r="R22" t="s">
        <v>162</v>
      </c>
      <c r="S22" s="8">
        <v>45020.209027777775</v>
      </c>
      <c r="T22" t="s">
        <v>43</v>
      </c>
      <c r="U22" t="s">
        <v>44</v>
      </c>
      <c r="V22">
        <v>1949</v>
      </c>
      <c r="W22" s="12">
        <v>117.24</v>
      </c>
      <c r="X22">
        <v>7.5</v>
      </c>
      <c r="Y22" s="14">
        <v>21427700000000</v>
      </c>
      <c r="Z22">
        <v>88.2</v>
      </c>
      <c r="AA22">
        <v>101.8</v>
      </c>
      <c r="AB22">
        <v>9.6</v>
      </c>
      <c r="AC22">
        <v>36.6</v>
      </c>
      <c r="AD22">
        <v>328239523</v>
      </c>
    </row>
    <row r="23" spans="1:30" hidden="1" x14ac:dyDescent="0.45">
      <c r="A23">
        <v>22</v>
      </c>
      <c r="B23">
        <v>54400</v>
      </c>
      <c r="C23" t="s">
        <v>76</v>
      </c>
      <c r="D23" t="s">
        <v>163</v>
      </c>
      <c r="E23">
        <v>65</v>
      </c>
      <c r="F23" t="s">
        <v>164</v>
      </c>
      <c r="G23" t="s">
        <v>165</v>
      </c>
      <c r="H23" t="s">
        <v>166</v>
      </c>
      <c r="I23" t="s">
        <v>76</v>
      </c>
      <c r="J23" t="s">
        <v>164</v>
      </c>
      <c r="K23" t="s">
        <v>167</v>
      </c>
      <c r="L23" t="b">
        <v>0</v>
      </c>
      <c r="M23" t="s">
        <v>29</v>
      </c>
      <c r="N23" t="s">
        <v>8245</v>
      </c>
      <c r="O23" s="1">
        <v>20983</v>
      </c>
      <c r="P23" t="s">
        <v>168</v>
      </c>
      <c r="Q23" t="s">
        <v>169</v>
      </c>
      <c r="R23" t="s">
        <v>170</v>
      </c>
      <c r="S23" s="1">
        <v>45020.209027777775</v>
      </c>
      <c r="V23">
        <v>1957</v>
      </c>
      <c r="W23">
        <v>116.76</v>
      </c>
      <c r="X23">
        <v>1.9</v>
      </c>
      <c r="Y23" s="2">
        <v>1736425629520</v>
      </c>
      <c r="Z23">
        <v>68.900000000000006</v>
      </c>
      <c r="AA23">
        <v>100.9</v>
      </c>
      <c r="AB23">
        <v>12.8</v>
      </c>
      <c r="AC23">
        <v>24.5</v>
      </c>
      <c r="AD23">
        <v>36991981</v>
      </c>
    </row>
    <row r="24" spans="1:30" x14ac:dyDescent="0.45">
      <c r="A24">
        <v>23</v>
      </c>
      <c r="B24" s="6">
        <v>50100</v>
      </c>
      <c r="C24" t="s">
        <v>45</v>
      </c>
      <c r="D24" t="s">
        <v>171</v>
      </c>
      <c r="E24">
        <v>58</v>
      </c>
      <c r="F24" t="s">
        <v>35</v>
      </c>
      <c r="G24" t="s">
        <v>36</v>
      </c>
      <c r="H24" t="s">
        <v>172</v>
      </c>
      <c r="I24" t="s">
        <v>45</v>
      </c>
      <c r="J24" t="s">
        <v>35</v>
      </c>
      <c r="K24" t="s">
        <v>173</v>
      </c>
      <c r="L24" t="b">
        <v>1</v>
      </c>
      <c r="M24" t="s">
        <v>39</v>
      </c>
      <c r="N24" t="s">
        <v>8245</v>
      </c>
      <c r="O24" s="10">
        <v>23796</v>
      </c>
      <c r="P24" t="s">
        <v>174</v>
      </c>
      <c r="Q24" t="s">
        <v>81</v>
      </c>
      <c r="R24" t="s">
        <v>32</v>
      </c>
      <c r="S24" s="8">
        <v>45020.209027777775</v>
      </c>
      <c r="T24" t="s">
        <v>43</v>
      </c>
      <c r="U24" t="s">
        <v>44</v>
      </c>
      <c r="V24">
        <v>1965</v>
      </c>
      <c r="W24" s="12">
        <v>117.24</v>
      </c>
      <c r="X24">
        <v>7.5</v>
      </c>
      <c r="Y24" s="14">
        <v>21427700000000</v>
      </c>
      <c r="Z24">
        <v>88.2</v>
      </c>
      <c r="AA24">
        <v>101.8</v>
      </c>
      <c r="AB24">
        <v>9.6</v>
      </c>
      <c r="AC24">
        <v>36.6</v>
      </c>
      <c r="AD24">
        <v>328239523</v>
      </c>
    </row>
    <row r="25" spans="1:30" hidden="1" x14ac:dyDescent="0.45">
      <c r="A25">
        <v>24</v>
      </c>
      <c r="B25">
        <v>47200</v>
      </c>
      <c r="C25" t="s">
        <v>91</v>
      </c>
      <c r="D25" t="s">
        <v>175</v>
      </c>
      <c r="E25">
        <v>60</v>
      </c>
      <c r="F25" t="s">
        <v>93</v>
      </c>
      <c r="G25" t="s">
        <v>176</v>
      </c>
      <c r="H25" t="s">
        <v>177</v>
      </c>
      <c r="I25" t="s">
        <v>91</v>
      </c>
      <c r="J25" t="s">
        <v>93</v>
      </c>
      <c r="L25" t="b">
        <v>1</v>
      </c>
      <c r="M25" t="s">
        <v>39</v>
      </c>
      <c r="N25" t="s">
        <v>8245</v>
      </c>
      <c r="O25" s="1">
        <v>22821</v>
      </c>
      <c r="P25" t="s">
        <v>178</v>
      </c>
      <c r="Q25" t="s">
        <v>179</v>
      </c>
      <c r="S25" s="1">
        <v>45020.209027777775</v>
      </c>
      <c r="V25">
        <v>1962</v>
      </c>
      <c r="W25">
        <v>180.44</v>
      </c>
      <c r="X25">
        <v>7.7</v>
      </c>
      <c r="Y25" s="2">
        <v>2611000000000</v>
      </c>
      <c r="Z25">
        <v>28.1</v>
      </c>
      <c r="AA25">
        <v>113</v>
      </c>
      <c r="AB25">
        <v>11.2</v>
      </c>
      <c r="AC25">
        <v>49.7</v>
      </c>
      <c r="AD25">
        <v>1366417754</v>
      </c>
    </row>
    <row r="26" spans="1:30" x14ac:dyDescent="0.45">
      <c r="A26">
        <v>25</v>
      </c>
      <c r="B26" s="6">
        <v>45100</v>
      </c>
      <c r="C26" t="s">
        <v>23</v>
      </c>
      <c r="D26" t="s">
        <v>180</v>
      </c>
      <c r="E26">
        <v>85</v>
      </c>
      <c r="F26" t="s">
        <v>35</v>
      </c>
      <c r="G26" t="s">
        <v>181</v>
      </c>
      <c r="H26" t="s">
        <v>182</v>
      </c>
      <c r="I26" t="s">
        <v>23</v>
      </c>
      <c r="J26" t="s">
        <v>35</v>
      </c>
      <c r="K26" t="s">
        <v>182</v>
      </c>
      <c r="L26" t="b">
        <v>1</v>
      </c>
      <c r="M26" t="s">
        <v>39</v>
      </c>
      <c r="N26" t="s">
        <v>8245</v>
      </c>
      <c r="O26" s="10">
        <v>13935</v>
      </c>
      <c r="P26" t="s">
        <v>183</v>
      </c>
      <c r="Q26" t="s">
        <v>184</v>
      </c>
      <c r="R26" t="s">
        <v>170</v>
      </c>
      <c r="S26" s="8">
        <v>45020.209027777775</v>
      </c>
      <c r="T26" t="s">
        <v>185</v>
      </c>
      <c r="U26" t="s">
        <v>53</v>
      </c>
      <c r="V26">
        <v>1938</v>
      </c>
      <c r="W26" s="12">
        <v>117.24</v>
      </c>
      <c r="X26">
        <v>7.5</v>
      </c>
      <c r="Y26" s="14">
        <v>21427700000000</v>
      </c>
      <c r="Z26">
        <v>88.2</v>
      </c>
      <c r="AA26">
        <v>101.8</v>
      </c>
      <c r="AB26">
        <v>9.6</v>
      </c>
      <c r="AC26">
        <v>36.6</v>
      </c>
      <c r="AD26">
        <v>328239523</v>
      </c>
    </row>
    <row r="27" spans="1:30" hidden="1" x14ac:dyDescent="0.45">
      <c r="A27">
        <v>26</v>
      </c>
      <c r="B27">
        <v>45000</v>
      </c>
      <c r="C27" t="s">
        <v>45</v>
      </c>
      <c r="D27" t="s">
        <v>186</v>
      </c>
      <c r="E27">
        <v>39</v>
      </c>
      <c r="F27" t="s">
        <v>128</v>
      </c>
      <c r="G27" t="s">
        <v>187</v>
      </c>
      <c r="H27" t="s">
        <v>188</v>
      </c>
      <c r="I27" t="s">
        <v>45</v>
      </c>
      <c r="J27" t="s">
        <v>128</v>
      </c>
      <c r="K27" t="s">
        <v>189</v>
      </c>
      <c r="L27" t="b">
        <v>1</v>
      </c>
      <c r="M27" t="s">
        <v>39</v>
      </c>
      <c r="N27" t="s">
        <v>8245</v>
      </c>
      <c r="O27" s="1">
        <v>30682</v>
      </c>
      <c r="P27" t="s">
        <v>190</v>
      </c>
      <c r="Q27" t="s">
        <v>191</v>
      </c>
      <c r="R27" t="s">
        <v>192</v>
      </c>
      <c r="S27" s="1">
        <v>45020.209027777775</v>
      </c>
      <c r="V27">
        <v>1984</v>
      </c>
      <c r="W27">
        <v>125.08</v>
      </c>
      <c r="X27">
        <v>2.9</v>
      </c>
      <c r="Y27" s="2">
        <v>19910000000000</v>
      </c>
      <c r="Z27">
        <v>50.6</v>
      </c>
      <c r="AA27">
        <v>100.2</v>
      </c>
      <c r="AB27">
        <v>9.4</v>
      </c>
      <c r="AC27">
        <v>59.2</v>
      </c>
      <c r="AD27">
        <v>1397715000</v>
      </c>
    </row>
    <row r="28" spans="1:30" hidden="1" x14ac:dyDescent="0.45">
      <c r="A28">
        <v>27</v>
      </c>
      <c r="B28">
        <v>42900</v>
      </c>
      <c r="C28" t="s">
        <v>23</v>
      </c>
      <c r="D28" t="s">
        <v>193</v>
      </c>
      <c r="E28">
        <v>83</v>
      </c>
      <c r="F28" t="s">
        <v>194</v>
      </c>
      <c r="G28" t="s">
        <v>195</v>
      </c>
      <c r="H28" t="s">
        <v>196</v>
      </c>
      <c r="I28" t="s">
        <v>23</v>
      </c>
      <c r="J28" t="s">
        <v>194</v>
      </c>
      <c r="L28" t="b">
        <v>0</v>
      </c>
      <c r="M28" t="s">
        <v>39</v>
      </c>
      <c r="N28" t="s">
        <v>8245</v>
      </c>
      <c r="O28" s="1">
        <v>14512</v>
      </c>
      <c r="P28" t="s">
        <v>197</v>
      </c>
      <c r="Q28" t="s">
        <v>198</v>
      </c>
      <c r="S28" s="1">
        <v>45020.209027777775</v>
      </c>
      <c r="V28">
        <v>1939</v>
      </c>
      <c r="W28">
        <v>112.85</v>
      </c>
      <c r="X28">
        <v>1.4</v>
      </c>
      <c r="Y28" s="2">
        <v>3845630030824</v>
      </c>
      <c r="Z28">
        <v>70.2</v>
      </c>
      <c r="AA28">
        <v>104</v>
      </c>
      <c r="AB28">
        <v>11.5</v>
      </c>
      <c r="AC28">
        <v>48.8</v>
      </c>
      <c r="AD28">
        <v>83132799</v>
      </c>
    </row>
    <row r="29" spans="1:30" hidden="1" x14ac:dyDescent="0.45">
      <c r="A29">
        <v>28</v>
      </c>
      <c r="B29">
        <v>40100</v>
      </c>
      <c r="C29" t="s">
        <v>23</v>
      </c>
      <c r="D29" t="s">
        <v>199</v>
      </c>
      <c r="E29">
        <v>86</v>
      </c>
      <c r="F29" t="s">
        <v>25</v>
      </c>
      <c r="G29" t="s">
        <v>26</v>
      </c>
      <c r="H29" t="s">
        <v>200</v>
      </c>
      <c r="I29" t="s">
        <v>23</v>
      </c>
      <c r="J29" t="s">
        <v>25</v>
      </c>
      <c r="L29" t="b">
        <v>1</v>
      </c>
      <c r="M29" t="s">
        <v>39</v>
      </c>
      <c r="N29" t="s">
        <v>8245</v>
      </c>
      <c r="O29" s="1">
        <v>13383</v>
      </c>
      <c r="P29" t="s">
        <v>201</v>
      </c>
      <c r="Q29" t="s">
        <v>202</v>
      </c>
      <c r="S29" s="1">
        <v>45020.209027777775</v>
      </c>
      <c r="V29">
        <v>1936</v>
      </c>
      <c r="W29">
        <v>110.05</v>
      </c>
      <c r="X29">
        <v>1.1000000000000001</v>
      </c>
      <c r="Y29" s="2">
        <v>2715518274227</v>
      </c>
      <c r="Z29">
        <v>65.599999999999994</v>
      </c>
      <c r="AA29">
        <v>102.5</v>
      </c>
      <c r="AB29">
        <v>24.2</v>
      </c>
      <c r="AC29">
        <v>60.7</v>
      </c>
      <c r="AD29">
        <v>67059887</v>
      </c>
    </row>
    <row r="30" spans="1:30" hidden="1" x14ac:dyDescent="0.45">
      <c r="A30">
        <v>29</v>
      </c>
      <c r="B30">
        <v>39100</v>
      </c>
      <c r="C30" t="s">
        <v>203</v>
      </c>
      <c r="D30" t="s">
        <v>204</v>
      </c>
      <c r="E30">
        <v>85</v>
      </c>
      <c r="F30" t="s">
        <v>205</v>
      </c>
      <c r="G30" t="s">
        <v>206</v>
      </c>
      <c r="H30" t="s">
        <v>207</v>
      </c>
      <c r="I30" t="s">
        <v>203</v>
      </c>
      <c r="J30" t="s">
        <v>194</v>
      </c>
      <c r="L30" t="b">
        <v>0</v>
      </c>
      <c r="M30" t="s">
        <v>29</v>
      </c>
      <c r="N30" t="s">
        <v>8245</v>
      </c>
      <c r="O30" s="1">
        <v>13668</v>
      </c>
      <c r="P30" t="s">
        <v>208</v>
      </c>
      <c r="Q30" t="s">
        <v>209</v>
      </c>
      <c r="S30" s="1">
        <v>45020.209027777775</v>
      </c>
      <c r="V30">
        <v>1937</v>
      </c>
      <c r="W30">
        <v>99.55</v>
      </c>
      <c r="X30">
        <v>0.4</v>
      </c>
      <c r="Y30" s="2">
        <v>703082435360</v>
      </c>
      <c r="Z30">
        <v>59.6</v>
      </c>
      <c r="AA30">
        <v>105.2</v>
      </c>
      <c r="AB30">
        <v>10.1</v>
      </c>
      <c r="AC30">
        <v>28.8</v>
      </c>
      <c r="AD30">
        <v>8574832</v>
      </c>
    </row>
    <row r="31" spans="1:30" hidden="1" x14ac:dyDescent="0.45">
      <c r="A31">
        <v>30</v>
      </c>
      <c r="B31">
        <v>38900</v>
      </c>
      <c r="C31" t="s">
        <v>126</v>
      </c>
      <c r="D31" t="s">
        <v>210</v>
      </c>
      <c r="E31">
        <v>58</v>
      </c>
      <c r="F31" t="s">
        <v>211</v>
      </c>
      <c r="G31" t="s">
        <v>212</v>
      </c>
      <c r="H31" t="s">
        <v>213</v>
      </c>
      <c r="I31" t="s">
        <v>126</v>
      </c>
      <c r="J31" t="s">
        <v>214</v>
      </c>
      <c r="L31" t="b">
        <v>0</v>
      </c>
      <c r="M31" t="s">
        <v>29</v>
      </c>
      <c r="N31" t="s">
        <v>8245</v>
      </c>
      <c r="O31" s="1">
        <v>23641</v>
      </c>
      <c r="P31" t="s">
        <v>215</v>
      </c>
      <c r="Q31" t="s">
        <v>216</v>
      </c>
      <c r="S31" s="1">
        <v>45020.209027777775</v>
      </c>
      <c r="V31">
        <v>1964</v>
      </c>
      <c r="W31">
        <v>117.11</v>
      </c>
      <c r="X31">
        <v>1.4</v>
      </c>
      <c r="Y31" s="2">
        <v>529606710418</v>
      </c>
      <c r="Z31">
        <v>79.7</v>
      </c>
      <c r="AA31">
        <v>103.9</v>
      </c>
      <c r="AB31">
        <v>24</v>
      </c>
      <c r="AC31">
        <v>55.4</v>
      </c>
      <c r="AD31">
        <v>11484055</v>
      </c>
    </row>
    <row r="32" spans="1:30" hidden="1" x14ac:dyDescent="0.45">
      <c r="A32">
        <v>31</v>
      </c>
      <c r="B32">
        <v>38300</v>
      </c>
      <c r="C32" t="s">
        <v>126</v>
      </c>
      <c r="D32" t="s">
        <v>217</v>
      </c>
      <c r="E32">
        <v>83</v>
      </c>
      <c r="F32" t="s">
        <v>35</v>
      </c>
      <c r="G32" t="s">
        <v>218</v>
      </c>
      <c r="H32" t="s">
        <v>219</v>
      </c>
      <c r="I32" t="s">
        <v>126</v>
      </c>
      <c r="J32" t="s">
        <v>35</v>
      </c>
      <c r="L32" t="b">
        <v>0</v>
      </c>
      <c r="M32" t="s">
        <v>29</v>
      </c>
      <c r="N32" t="s">
        <v>8246</v>
      </c>
      <c r="O32" s="1">
        <v>14528</v>
      </c>
      <c r="P32" t="s">
        <v>220</v>
      </c>
      <c r="Q32" t="s">
        <v>221</v>
      </c>
      <c r="S32" s="1">
        <v>45020.209027777775</v>
      </c>
      <c r="T32" t="s">
        <v>222</v>
      </c>
      <c r="U32" t="s">
        <v>44</v>
      </c>
      <c r="V32">
        <v>1939</v>
      </c>
      <c r="W32">
        <v>117.24</v>
      </c>
      <c r="X32">
        <v>7.5</v>
      </c>
      <c r="Y32" s="2">
        <v>21427700000000</v>
      </c>
      <c r="Z32">
        <v>88.2</v>
      </c>
      <c r="AA32">
        <v>101.8</v>
      </c>
      <c r="AB32">
        <v>9.6</v>
      </c>
      <c r="AC32">
        <v>36.6</v>
      </c>
      <c r="AD32">
        <v>328239523</v>
      </c>
    </row>
    <row r="33" spans="1:30" hidden="1" x14ac:dyDescent="0.45">
      <c r="A33">
        <v>31</v>
      </c>
      <c r="B33">
        <v>38300</v>
      </c>
      <c r="C33" t="s">
        <v>126</v>
      </c>
      <c r="D33" t="s">
        <v>223</v>
      </c>
      <c r="E33">
        <v>87</v>
      </c>
      <c r="F33" t="s">
        <v>35</v>
      </c>
      <c r="G33" t="s">
        <v>224</v>
      </c>
      <c r="H33" t="s">
        <v>219</v>
      </c>
      <c r="I33" t="s">
        <v>126</v>
      </c>
      <c r="J33" t="s">
        <v>35</v>
      </c>
      <c r="L33" t="b">
        <v>0</v>
      </c>
      <c r="M33" t="s">
        <v>29</v>
      </c>
      <c r="N33" t="s">
        <v>8245</v>
      </c>
      <c r="O33" s="1">
        <v>13072</v>
      </c>
      <c r="P33" t="s">
        <v>220</v>
      </c>
      <c r="Q33" t="s">
        <v>225</v>
      </c>
      <c r="S33" s="1">
        <v>45020.209027777775</v>
      </c>
      <c r="T33" t="s">
        <v>226</v>
      </c>
      <c r="U33" t="s">
        <v>44</v>
      </c>
      <c r="V33">
        <v>1935</v>
      </c>
      <c r="W33">
        <v>117.24</v>
      </c>
      <c r="X33">
        <v>7.5</v>
      </c>
      <c r="Y33" s="2">
        <v>21427700000000</v>
      </c>
      <c r="Z33">
        <v>88.2</v>
      </c>
      <c r="AA33">
        <v>101.8</v>
      </c>
      <c r="AB33">
        <v>9.6</v>
      </c>
      <c r="AC33">
        <v>36.6</v>
      </c>
      <c r="AD33">
        <v>328239523</v>
      </c>
    </row>
    <row r="34" spans="1:30" hidden="1" x14ac:dyDescent="0.45">
      <c r="A34">
        <v>33</v>
      </c>
      <c r="B34">
        <v>38000</v>
      </c>
      <c r="C34" t="s">
        <v>91</v>
      </c>
      <c r="D34" t="s">
        <v>227</v>
      </c>
      <c r="E34">
        <v>94</v>
      </c>
      <c r="F34" t="s">
        <v>228</v>
      </c>
      <c r="H34" t="s">
        <v>91</v>
      </c>
      <c r="I34" t="s">
        <v>91</v>
      </c>
      <c r="J34" t="s">
        <v>228</v>
      </c>
      <c r="K34" t="s">
        <v>229</v>
      </c>
      <c r="L34" t="b">
        <v>1</v>
      </c>
      <c r="M34" t="s">
        <v>29</v>
      </c>
      <c r="N34" t="s">
        <v>8245</v>
      </c>
      <c r="O34" s="1">
        <v>10392</v>
      </c>
      <c r="P34" t="s">
        <v>230</v>
      </c>
      <c r="Q34" t="s">
        <v>231</v>
      </c>
      <c r="R34" t="s">
        <v>232</v>
      </c>
      <c r="S34" s="1">
        <v>45020.209027777775</v>
      </c>
      <c r="V34">
        <v>1928</v>
      </c>
      <c r="W34"/>
      <c r="Y34"/>
    </row>
    <row r="35" spans="1:30" hidden="1" x14ac:dyDescent="0.45">
      <c r="A35">
        <v>34</v>
      </c>
      <c r="B35">
        <v>35300</v>
      </c>
      <c r="C35" t="s">
        <v>45</v>
      </c>
      <c r="D35" t="s">
        <v>233</v>
      </c>
      <c r="E35">
        <v>51</v>
      </c>
      <c r="F35" t="s">
        <v>128</v>
      </c>
      <c r="G35" t="s">
        <v>234</v>
      </c>
      <c r="H35" t="s">
        <v>235</v>
      </c>
      <c r="I35" t="s">
        <v>45</v>
      </c>
      <c r="J35" t="s">
        <v>128</v>
      </c>
      <c r="K35" t="s">
        <v>236</v>
      </c>
      <c r="L35" t="b">
        <v>1</v>
      </c>
      <c r="M35" t="s">
        <v>39</v>
      </c>
      <c r="N35" t="s">
        <v>8245</v>
      </c>
      <c r="O35" s="1">
        <v>26235</v>
      </c>
      <c r="P35" t="s">
        <v>237</v>
      </c>
      <c r="Q35" t="s">
        <v>238</v>
      </c>
      <c r="R35" t="s">
        <v>32</v>
      </c>
      <c r="S35" s="1">
        <v>45020.209027777775</v>
      </c>
      <c r="V35">
        <v>1971</v>
      </c>
      <c r="W35">
        <v>125.08</v>
      </c>
      <c r="X35">
        <v>2.9</v>
      </c>
      <c r="Y35" s="2">
        <v>19910000000000</v>
      </c>
      <c r="Z35">
        <v>50.6</v>
      </c>
      <c r="AA35">
        <v>100.2</v>
      </c>
      <c r="AB35">
        <v>9.4</v>
      </c>
      <c r="AC35">
        <v>59.2</v>
      </c>
      <c r="AD35">
        <v>1397715000</v>
      </c>
    </row>
    <row r="36" spans="1:30" hidden="1" x14ac:dyDescent="0.45">
      <c r="A36">
        <v>35</v>
      </c>
      <c r="B36">
        <v>35000</v>
      </c>
      <c r="C36" t="s">
        <v>239</v>
      </c>
      <c r="D36" t="s">
        <v>240</v>
      </c>
      <c r="E36">
        <v>77</v>
      </c>
      <c r="F36" t="s">
        <v>35</v>
      </c>
      <c r="G36" t="s">
        <v>241</v>
      </c>
      <c r="H36" t="s">
        <v>242</v>
      </c>
      <c r="I36" t="s">
        <v>239</v>
      </c>
      <c r="J36" t="s">
        <v>35</v>
      </c>
      <c r="L36" t="b">
        <v>0</v>
      </c>
      <c r="M36" t="s">
        <v>29</v>
      </c>
      <c r="N36" t="s">
        <v>8246</v>
      </c>
      <c r="O36" s="1">
        <v>16720</v>
      </c>
      <c r="P36" t="s">
        <v>243</v>
      </c>
      <c r="Q36" t="s">
        <v>244</v>
      </c>
      <c r="S36" s="1">
        <v>45020.209027777775</v>
      </c>
      <c r="T36" t="s">
        <v>245</v>
      </c>
      <c r="U36" t="s">
        <v>53</v>
      </c>
      <c r="V36">
        <v>1945</v>
      </c>
      <c r="W36">
        <v>117.24</v>
      </c>
      <c r="X36">
        <v>7.5</v>
      </c>
      <c r="Y36" s="2">
        <v>21427700000000</v>
      </c>
      <c r="Z36">
        <v>88.2</v>
      </c>
      <c r="AA36">
        <v>101.8</v>
      </c>
      <c r="AB36">
        <v>9.6</v>
      </c>
      <c r="AC36">
        <v>36.6</v>
      </c>
      <c r="AD36">
        <v>328239523</v>
      </c>
    </row>
    <row r="37" spans="1:30" x14ac:dyDescent="0.45">
      <c r="A37">
        <v>35</v>
      </c>
      <c r="B37" s="6">
        <v>35000</v>
      </c>
      <c r="C37" t="s">
        <v>61</v>
      </c>
      <c r="D37" t="s">
        <v>246</v>
      </c>
      <c r="E37">
        <v>54</v>
      </c>
      <c r="F37" t="s">
        <v>35</v>
      </c>
      <c r="G37" t="s">
        <v>247</v>
      </c>
      <c r="H37" t="s">
        <v>248</v>
      </c>
      <c r="I37" t="s">
        <v>61</v>
      </c>
      <c r="J37" t="s">
        <v>35</v>
      </c>
      <c r="K37" t="s">
        <v>249</v>
      </c>
      <c r="L37" t="b">
        <v>1</v>
      </c>
      <c r="M37" t="s">
        <v>29</v>
      </c>
      <c r="N37" t="s">
        <v>8245</v>
      </c>
      <c r="O37" s="10">
        <v>25126</v>
      </c>
      <c r="P37" t="s">
        <v>250</v>
      </c>
      <c r="Q37" t="s">
        <v>251</v>
      </c>
      <c r="R37" t="s">
        <v>252</v>
      </c>
      <c r="S37" s="8">
        <v>45020.209027777775</v>
      </c>
      <c r="T37" t="s">
        <v>253</v>
      </c>
      <c r="U37" t="s">
        <v>44</v>
      </c>
      <c r="V37">
        <v>1968</v>
      </c>
      <c r="W37" s="12">
        <v>117.24</v>
      </c>
      <c r="X37">
        <v>7.5</v>
      </c>
      <c r="Y37" s="14">
        <v>21427700000000</v>
      </c>
      <c r="Z37">
        <v>88.2</v>
      </c>
      <c r="AA37">
        <v>101.8</v>
      </c>
      <c r="AB37">
        <v>9.6</v>
      </c>
      <c r="AC37">
        <v>36.6</v>
      </c>
      <c r="AD37">
        <v>328239523</v>
      </c>
    </row>
    <row r="38" spans="1:30" hidden="1" x14ac:dyDescent="0.45">
      <c r="A38">
        <v>37</v>
      </c>
      <c r="B38">
        <v>34700</v>
      </c>
      <c r="C38" t="s">
        <v>126</v>
      </c>
      <c r="D38" t="s">
        <v>254</v>
      </c>
      <c r="E38">
        <v>30</v>
      </c>
      <c r="F38" t="s">
        <v>255</v>
      </c>
      <c r="G38" t="s">
        <v>256</v>
      </c>
      <c r="H38" t="s">
        <v>257</v>
      </c>
      <c r="I38" t="s">
        <v>126</v>
      </c>
      <c r="J38" t="s">
        <v>255</v>
      </c>
      <c r="L38" t="b">
        <v>0</v>
      </c>
      <c r="M38" t="s">
        <v>258</v>
      </c>
      <c r="N38" t="s">
        <v>8245</v>
      </c>
      <c r="O38" s="1">
        <v>33731</v>
      </c>
      <c r="P38" t="s">
        <v>259</v>
      </c>
      <c r="Q38" t="s">
        <v>137</v>
      </c>
      <c r="S38" s="1">
        <v>45020.209027777775</v>
      </c>
      <c r="V38">
        <v>1992</v>
      </c>
      <c r="W38">
        <v>118.06</v>
      </c>
      <c r="X38">
        <v>1.5</v>
      </c>
      <c r="Y38" s="2">
        <v>446314739528</v>
      </c>
      <c r="Z38">
        <v>85.1</v>
      </c>
      <c r="AA38">
        <v>103.1</v>
      </c>
      <c r="AB38">
        <v>25.4</v>
      </c>
      <c r="AC38">
        <v>51.4</v>
      </c>
      <c r="AD38">
        <v>8877067</v>
      </c>
    </row>
    <row r="39" spans="1:30" hidden="1" x14ac:dyDescent="0.45">
      <c r="A39">
        <v>38</v>
      </c>
      <c r="B39">
        <v>33400</v>
      </c>
      <c r="C39" t="s">
        <v>33</v>
      </c>
      <c r="D39" t="s">
        <v>260</v>
      </c>
      <c r="E39">
        <v>54</v>
      </c>
      <c r="F39" t="s">
        <v>128</v>
      </c>
      <c r="G39" t="s">
        <v>261</v>
      </c>
      <c r="H39" t="s">
        <v>262</v>
      </c>
      <c r="I39" t="s">
        <v>33</v>
      </c>
      <c r="J39" t="s">
        <v>228</v>
      </c>
      <c r="L39" t="b">
        <v>1</v>
      </c>
      <c r="M39" t="s">
        <v>39</v>
      </c>
      <c r="N39" t="s">
        <v>8245</v>
      </c>
      <c r="O39" s="1">
        <v>25204</v>
      </c>
      <c r="P39" t="s">
        <v>263</v>
      </c>
      <c r="Q39" t="s">
        <v>264</v>
      </c>
      <c r="S39" s="1">
        <v>45020.209027777775</v>
      </c>
      <c r="V39">
        <v>1969</v>
      </c>
      <c r="W39">
        <v>125.08</v>
      </c>
      <c r="X39">
        <v>2.9</v>
      </c>
      <c r="Y39" s="2">
        <v>19910000000000</v>
      </c>
      <c r="Z39">
        <v>50.6</v>
      </c>
      <c r="AA39">
        <v>100.2</v>
      </c>
      <c r="AB39">
        <v>9.4</v>
      </c>
      <c r="AC39">
        <v>59.2</v>
      </c>
      <c r="AD39">
        <v>1397715000</v>
      </c>
    </row>
    <row r="40" spans="1:30" hidden="1" x14ac:dyDescent="0.45">
      <c r="A40">
        <v>39</v>
      </c>
      <c r="B40">
        <v>32600</v>
      </c>
      <c r="C40" t="s">
        <v>23</v>
      </c>
      <c r="D40" t="s">
        <v>265</v>
      </c>
      <c r="E40">
        <v>74</v>
      </c>
      <c r="F40" t="s">
        <v>266</v>
      </c>
      <c r="G40" t="s">
        <v>267</v>
      </c>
      <c r="H40" t="s">
        <v>268</v>
      </c>
      <c r="I40" t="s">
        <v>23</v>
      </c>
      <c r="J40" t="s">
        <v>266</v>
      </c>
      <c r="L40" t="b">
        <v>1</v>
      </c>
      <c r="M40" t="s">
        <v>29</v>
      </c>
      <c r="N40" t="s">
        <v>8245</v>
      </c>
      <c r="O40" s="1">
        <v>17936</v>
      </c>
      <c r="P40" t="s">
        <v>269</v>
      </c>
      <c r="Q40" t="s">
        <v>270</v>
      </c>
      <c r="S40" s="1">
        <v>45020.209027777775</v>
      </c>
      <c r="V40">
        <v>1949</v>
      </c>
      <c r="W40">
        <v>105.48</v>
      </c>
      <c r="X40">
        <v>0.5</v>
      </c>
      <c r="Y40" s="2">
        <v>5081769542380</v>
      </c>
      <c r="Z40">
        <v>63.2</v>
      </c>
      <c r="AA40">
        <v>98.8</v>
      </c>
      <c r="AB40">
        <v>11.9</v>
      </c>
      <c r="AC40">
        <v>46.7</v>
      </c>
      <c r="AD40">
        <v>126226568</v>
      </c>
    </row>
    <row r="41" spans="1:30" hidden="1" x14ac:dyDescent="0.45">
      <c r="A41">
        <v>40</v>
      </c>
      <c r="B41">
        <v>32100</v>
      </c>
      <c r="C41" t="s">
        <v>91</v>
      </c>
      <c r="D41" t="s">
        <v>271</v>
      </c>
      <c r="E41">
        <v>65</v>
      </c>
      <c r="F41" t="s">
        <v>272</v>
      </c>
      <c r="G41" t="s">
        <v>273</v>
      </c>
      <c r="H41" t="s">
        <v>274</v>
      </c>
      <c r="I41" t="s">
        <v>91</v>
      </c>
      <c r="J41" t="s">
        <v>35</v>
      </c>
      <c r="L41" t="b">
        <v>1</v>
      </c>
      <c r="M41" t="s">
        <v>39</v>
      </c>
      <c r="N41" t="s">
        <v>8245</v>
      </c>
      <c r="O41" s="1">
        <v>20972</v>
      </c>
      <c r="P41" t="s">
        <v>275</v>
      </c>
      <c r="Q41" t="s">
        <v>276</v>
      </c>
      <c r="S41" s="1">
        <v>45020.209027777775</v>
      </c>
      <c r="V41">
        <v>1957</v>
      </c>
      <c r="W41">
        <v>119.62</v>
      </c>
      <c r="X41">
        <v>1.7</v>
      </c>
      <c r="Y41" s="2">
        <v>2827113184696</v>
      </c>
      <c r="Z41">
        <v>60</v>
      </c>
      <c r="AA41">
        <v>101.2</v>
      </c>
      <c r="AB41">
        <v>25.5</v>
      </c>
      <c r="AC41">
        <v>30.6</v>
      </c>
      <c r="AD41">
        <v>66834405</v>
      </c>
    </row>
    <row r="42" spans="1:30" hidden="1" x14ac:dyDescent="0.45">
      <c r="A42">
        <v>41</v>
      </c>
      <c r="B42">
        <v>31600</v>
      </c>
      <c r="C42" t="s">
        <v>23</v>
      </c>
      <c r="D42" t="s">
        <v>277</v>
      </c>
      <c r="E42">
        <v>74</v>
      </c>
      <c r="F42" t="s">
        <v>35</v>
      </c>
      <c r="G42" t="s">
        <v>78</v>
      </c>
      <c r="H42" t="s">
        <v>278</v>
      </c>
      <c r="I42" t="s">
        <v>23</v>
      </c>
      <c r="J42" t="s">
        <v>25</v>
      </c>
      <c r="L42" t="b">
        <v>0</v>
      </c>
      <c r="M42" t="s">
        <v>29</v>
      </c>
      <c r="N42" t="s">
        <v>8245</v>
      </c>
      <c r="O42" s="1">
        <v>17773</v>
      </c>
      <c r="P42" t="s">
        <v>279</v>
      </c>
      <c r="Q42" t="s">
        <v>280</v>
      </c>
      <c r="S42" s="1">
        <v>45020.209027777775</v>
      </c>
      <c r="T42" t="s">
        <v>78</v>
      </c>
      <c r="U42" t="s">
        <v>82</v>
      </c>
      <c r="V42">
        <v>1948</v>
      </c>
      <c r="W42">
        <v>117.24</v>
      </c>
      <c r="X42">
        <v>7.5</v>
      </c>
      <c r="Y42" s="2">
        <v>21427700000000</v>
      </c>
      <c r="Z42">
        <v>88.2</v>
      </c>
      <c r="AA42">
        <v>101.8</v>
      </c>
      <c r="AB42">
        <v>9.6</v>
      </c>
      <c r="AC42">
        <v>36.6</v>
      </c>
      <c r="AD42">
        <v>328239523</v>
      </c>
    </row>
    <row r="43" spans="1:30" hidden="1" x14ac:dyDescent="0.45">
      <c r="A43">
        <v>41</v>
      </c>
      <c r="B43">
        <v>31600</v>
      </c>
      <c r="C43" t="s">
        <v>23</v>
      </c>
      <c r="D43" t="s">
        <v>281</v>
      </c>
      <c r="E43">
        <v>72</v>
      </c>
      <c r="F43" t="s">
        <v>35</v>
      </c>
      <c r="G43" t="s">
        <v>78</v>
      </c>
      <c r="H43" t="s">
        <v>278</v>
      </c>
      <c r="I43" t="s">
        <v>23</v>
      </c>
      <c r="J43" t="s">
        <v>25</v>
      </c>
      <c r="L43" t="b">
        <v>0</v>
      </c>
      <c r="M43" t="s">
        <v>29</v>
      </c>
      <c r="N43" t="s">
        <v>8245</v>
      </c>
      <c r="O43" s="1">
        <v>18637</v>
      </c>
      <c r="P43" t="s">
        <v>279</v>
      </c>
      <c r="Q43" t="s">
        <v>282</v>
      </c>
      <c r="S43" s="1">
        <v>45020.209027777775</v>
      </c>
      <c r="T43" t="s">
        <v>78</v>
      </c>
      <c r="U43" t="s">
        <v>82</v>
      </c>
      <c r="V43">
        <v>1951</v>
      </c>
      <c r="W43">
        <v>117.24</v>
      </c>
      <c r="X43">
        <v>7.5</v>
      </c>
      <c r="Y43" s="2">
        <v>21427700000000</v>
      </c>
      <c r="Z43">
        <v>88.2</v>
      </c>
      <c r="AA43">
        <v>101.8</v>
      </c>
      <c r="AB43">
        <v>9.6</v>
      </c>
      <c r="AC43">
        <v>36.6</v>
      </c>
      <c r="AD43">
        <v>328239523</v>
      </c>
    </row>
    <row r="44" spans="1:30" hidden="1" x14ac:dyDescent="0.45">
      <c r="A44">
        <v>43</v>
      </c>
      <c r="B44">
        <v>31200</v>
      </c>
      <c r="C44" t="s">
        <v>203</v>
      </c>
      <c r="D44" t="s">
        <v>283</v>
      </c>
      <c r="E44">
        <v>82</v>
      </c>
      <c r="F44" t="s">
        <v>205</v>
      </c>
      <c r="G44" t="s">
        <v>284</v>
      </c>
      <c r="H44" t="s">
        <v>207</v>
      </c>
      <c r="I44" t="s">
        <v>203</v>
      </c>
      <c r="J44" t="s">
        <v>205</v>
      </c>
      <c r="L44" t="b">
        <v>1</v>
      </c>
      <c r="M44" t="s">
        <v>285</v>
      </c>
      <c r="N44" t="s">
        <v>8245</v>
      </c>
      <c r="O44" s="1">
        <v>14789</v>
      </c>
      <c r="P44" t="s">
        <v>286</v>
      </c>
      <c r="Q44" t="s">
        <v>287</v>
      </c>
      <c r="S44" s="1">
        <v>45020.209027777775</v>
      </c>
      <c r="V44">
        <v>1940</v>
      </c>
      <c r="W44">
        <v>99.55</v>
      </c>
      <c r="X44">
        <v>0.4</v>
      </c>
      <c r="Y44" s="2">
        <v>703082435360</v>
      </c>
      <c r="Z44">
        <v>59.6</v>
      </c>
      <c r="AA44">
        <v>105.2</v>
      </c>
      <c r="AB44">
        <v>10.1</v>
      </c>
      <c r="AC44">
        <v>28.8</v>
      </c>
      <c r="AD44">
        <v>8574832</v>
      </c>
    </row>
    <row r="45" spans="1:30" hidden="1" x14ac:dyDescent="0.45">
      <c r="A45">
        <v>43</v>
      </c>
      <c r="B45">
        <v>31200</v>
      </c>
      <c r="C45" t="s">
        <v>203</v>
      </c>
      <c r="D45" t="s">
        <v>288</v>
      </c>
      <c r="E45">
        <v>78</v>
      </c>
      <c r="F45" t="s">
        <v>205</v>
      </c>
      <c r="G45" t="s">
        <v>284</v>
      </c>
      <c r="H45" t="s">
        <v>207</v>
      </c>
      <c r="I45" t="s">
        <v>203</v>
      </c>
      <c r="J45" t="s">
        <v>205</v>
      </c>
      <c r="L45" t="b">
        <v>1</v>
      </c>
      <c r="M45" t="s">
        <v>285</v>
      </c>
      <c r="N45" t="s">
        <v>8246</v>
      </c>
      <c r="O45" s="1">
        <v>16522</v>
      </c>
      <c r="P45" t="s">
        <v>289</v>
      </c>
      <c r="Q45" t="s">
        <v>290</v>
      </c>
      <c r="S45" s="1">
        <v>45020.209027777775</v>
      </c>
      <c r="V45">
        <v>1945</v>
      </c>
      <c r="W45">
        <v>99.55</v>
      </c>
      <c r="X45">
        <v>0.4</v>
      </c>
      <c r="Y45" s="2">
        <v>703082435360</v>
      </c>
      <c r="Z45">
        <v>59.6</v>
      </c>
      <c r="AA45">
        <v>105.2</v>
      </c>
      <c r="AB45">
        <v>10.1</v>
      </c>
      <c r="AC45">
        <v>28.8</v>
      </c>
      <c r="AD45">
        <v>8574832</v>
      </c>
    </row>
    <row r="46" spans="1:30" hidden="1" x14ac:dyDescent="0.45">
      <c r="A46">
        <v>45</v>
      </c>
      <c r="B46">
        <v>30200</v>
      </c>
      <c r="C46" t="s">
        <v>45</v>
      </c>
      <c r="D46" t="s">
        <v>291</v>
      </c>
      <c r="E46">
        <v>43</v>
      </c>
      <c r="F46" t="s">
        <v>128</v>
      </c>
      <c r="G46" t="s">
        <v>292</v>
      </c>
      <c r="H46" t="s">
        <v>293</v>
      </c>
      <c r="I46" t="s">
        <v>45</v>
      </c>
      <c r="J46" t="s">
        <v>128</v>
      </c>
      <c r="L46" t="b">
        <v>1</v>
      </c>
      <c r="M46" t="s">
        <v>29</v>
      </c>
      <c r="N46" t="s">
        <v>8245</v>
      </c>
      <c r="O46" s="1">
        <v>29253</v>
      </c>
      <c r="P46" t="s">
        <v>294</v>
      </c>
      <c r="Q46" t="s">
        <v>295</v>
      </c>
      <c r="S46" s="1">
        <v>45020.209027777775</v>
      </c>
      <c r="V46">
        <v>1980</v>
      </c>
      <c r="W46">
        <v>125.08</v>
      </c>
      <c r="X46">
        <v>2.9</v>
      </c>
      <c r="Y46" s="2">
        <v>19910000000000</v>
      </c>
      <c r="Z46">
        <v>50.6</v>
      </c>
      <c r="AA46">
        <v>100.2</v>
      </c>
      <c r="AB46">
        <v>9.4</v>
      </c>
      <c r="AC46">
        <v>59.2</v>
      </c>
      <c r="AD46">
        <v>1397715000</v>
      </c>
    </row>
    <row r="47" spans="1:30" hidden="1" x14ac:dyDescent="0.45">
      <c r="A47">
        <v>46</v>
      </c>
      <c r="B47">
        <v>29700</v>
      </c>
      <c r="C47" t="s">
        <v>296</v>
      </c>
      <c r="D47" t="s">
        <v>297</v>
      </c>
      <c r="E47">
        <v>87</v>
      </c>
      <c r="F47" t="s">
        <v>194</v>
      </c>
      <c r="G47" t="s">
        <v>298</v>
      </c>
      <c r="H47" t="s">
        <v>299</v>
      </c>
      <c r="I47" t="s">
        <v>296</v>
      </c>
      <c r="J47" t="s">
        <v>194</v>
      </c>
      <c r="L47" t="b">
        <v>1</v>
      </c>
      <c r="M47" t="s">
        <v>29</v>
      </c>
      <c r="N47" t="s">
        <v>8245</v>
      </c>
      <c r="O47" s="1">
        <v>12894</v>
      </c>
      <c r="P47" t="s">
        <v>300</v>
      </c>
      <c r="Q47" t="s">
        <v>301</v>
      </c>
      <c r="S47" s="1">
        <v>45020.209027777775</v>
      </c>
      <c r="V47">
        <v>1935</v>
      </c>
      <c r="W47">
        <v>112.85</v>
      </c>
      <c r="X47">
        <v>1.4</v>
      </c>
      <c r="Y47" s="2">
        <v>3845630030824</v>
      </c>
      <c r="Z47">
        <v>70.2</v>
      </c>
      <c r="AA47">
        <v>104</v>
      </c>
      <c r="AB47">
        <v>11.5</v>
      </c>
      <c r="AC47">
        <v>48.8</v>
      </c>
      <c r="AD47">
        <v>83132799</v>
      </c>
    </row>
    <row r="48" spans="1:30" hidden="1" x14ac:dyDescent="0.45">
      <c r="A48">
        <v>47</v>
      </c>
      <c r="B48">
        <v>29500</v>
      </c>
      <c r="C48" t="s">
        <v>302</v>
      </c>
      <c r="D48" t="s">
        <v>303</v>
      </c>
      <c r="E48">
        <v>95</v>
      </c>
      <c r="F48" t="s">
        <v>228</v>
      </c>
      <c r="G48" t="s">
        <v>228</v>
      </c>
      <c r="H48" t="s">
        <v>304</v>
      </c>
      <c r="I48" t="s">
        <v>302</v>
      </c>
      <c r="J48" t="s">
        <v>228</v>
      </c>
      <c r="L48" t="b">
        <v>1</v>
      </c>
      <c r="M48" t="s">
        <v>39</v>
      </c>
      <c r="N48" t="s">
        <v>8245</v>
      </c>
      <c r="O48" s="1">
        <v>10256</v>
      </c>
      <c r="P48" t="s">
        <v>305</v>
      </c>
      <c r="Q48" t="s">
        <v>306</v>
      </c>
      <c r="S48" s="1">
        <v>45020.209027777775</v>
      </c>
      <c r="V48">
        <v>1928</v>
      </c>
      <c r="W48"/>
      <c r="Y48"/>
    </row>
    <row r="49" spans="1:30" hidden="1" x14ac:dyDescent="0.45">
      <c r="A49">
        <v>48</v>
      </c>
      <c r="B49">
        <v>28500</v>
      </c>
      <c r="C49" t="s">
        <v>61</v>
      </c>
      <c r="D49" t="s">
        <v>307</v>
      </c>
      <c r="E49">
        <v>64</v>
      </c>
      <c r="F49" t="s">
        <v>35</v>
      </c>
      <c r="G49" t="s">
        <v>308</v>
      </c>
      <c r="H49" t="s">
        <v>309</v>
      </c>
      <c r="I49" t="s">
        <v>61</v>
      </c>
      <c r="J49" t="s">
        <v>35</v>
      </c>
      <c r="L49" t="b">
        <v>1</v>
      </c>
      <c r="M49" t="s">
        <v>29</v>
      </c>
      <c r="N49" t="s">
        <v>8245</v>
      </c>
      <c r="O49" s="1">
        <v>21383</v>
      </c>
      <c r="P49" t="s">
        <v>310</v>
      </c>
      <c r="Q49" t="s">
        <v>50</v>
      </c>
      <c r="S49" s="1">
        <v>45020.209027777775</v>
      </c>
      <c r="T49" t="s">
        <v>311</v>
      </c>
      <c r="U49" t="s">
        <v>82</v>
      </c>
      <c r="V49">
        <v>1958</v>
      </c>
      <c r="W49">
        <v>117.24</v>
      </c>
      <c r="X49">
        <v>7.5</v>
      </c>
      <c r="Y49" s="2">
        <v>21427700000000</v>
      </c>
      <c r="Z49">
        <v>88.2</v>
      </c>
      <c r="AA49">
        <v>101.8</v>
      </c>
      <c r="AB49">
        <v>9.6</v>
      </c>
      <c r="AC49">
        <v>36.6</v>
      </c>
      <c r="AD49">
        <v>328239523</v>
      </c>
    </row>
    <row r="50" spans="1:30" x14ac:dyDescent="0.45">
      <c r="A50">
        <v>49</v>
      </c>
      <c r="B50" s="6">
        <v>28100</v>
      </c>
      <c r="C50" t="s">
        <v>61</v>
      </c>
      <c r="D50" t="s">
        <v>312</v>
      </c>
      <c r="E50">
        <v>84</v>
      </c>
      <c r="F50" t="s">
        <v>35</v>
      </c>
      <c r="G50" t="s">
        <v>313</v>
      </c>
      <c r="H50" t="s">
        <v>248</v>
      </c>
      <c r="I50" t="s">
        <v>61</v>
      </c>
      <c r="J50" t="s">
        <v>35</v>
      </c>
      <c r="K50" t="s">
        <v>314</v>
      </c>
      <c r="L50" t="b">
        <v>1</v>
      </c>
      <c r="M50" t="s">
        <v>39</v>
      </c>
      <c r="N50" t="s">
        <v>8245</v>
      </c>
      <c r="O50" s="10">
        <v>13995</v>
      </c>
      <c r="P50" t="s">
        <v>315</v>
      </c>
      <c r="Q50" t="s">
        <v>153</v>
      </c>
      <c r="R50" t="s">
        <v>192</v>
      </c>
      <c r="S50" s="8">
        <v>45020.209027777775</v>
      </c>
      <c r="T50" t="s">
        <v>78</v>
      </c>
      <c r="U50" t="s">
        <v>82</v>
      </c>
      <c r="V50">
        <v>1938</v>
      </c>
      <c r="W50" s="12">
        <v>117.24</v>
      </c>
      <c r="X50">
        <v>7.5</v>
      </c>
      <c r="Y50" s="14">
        <v>21427700000000</v>
      </c>
      <c r="Z50">
        <v>88.2</v>
      </c>
      <c r="AA50">
        <v>101.8</v>
      </c>
      <c r="AB50">
        <v>9.6</v>
      </c>
      <c r="AC50">
        <v>36.6</v>
      </c>
      <c r="AD50">
        <v>328239523</v>
      </c>
    </row>
    <row r="51" spans="1:30" x14ac:dyDescent="0.45">
      <c r="A51">
        <v>50</v>
      </c>
      <c r="B51" s="6">
        <v>27800</v>
      </c>
      <c r="C51" t="s">
        <v>61</v>
      </c>
      <c r="D51" t="s">
        <v>316</v>
      </c>
      <c r="E51">
        <v>76</v>
      </c>
      <c r="F51" t="s">
        <v>35</v>
      </c>
      <c r="G51" t="s">
        <v>78</v>
      </c>
      <c r="H51" t="s">
        <v>317</v>
      </c>
      <c r="I51" t="s">
        <v>61</v>
      </c>
      <c r="J51" t="s">
        <v>35</v>
      </c>
      <c r="K51" t="s">
        <v>318</v>
      </c>
      <c r="L51" t="b">
        <v>1</v>
      </c>
      <c r="M51" t="s">
        <v>39</v>
      </c>
      <c r="N51" t="s">
        <v>8245</v>
      </c>
      <c r="O51" s="10">
        <v>17212</v>
      </c>
      <c r="P51" t="s">
        <v>319</v>
      </c>
      <c r="Q51" t="s">
        <v>320</v>
      </c>
      <c r="R51" t="s">
        <v>32</v>
      </c>
      <c r="S51" s="8">
        <v>45020.209027777775</v>
      </c>
      <c r="T51" t="s">
        <v>78</v>
      </c>
      <c r="U51" t="s">
        <v>82</v>
      </c>
      <c r="V51">
        <v>1947</v>
      </c>
      <c r="W51" s="12">
        <v>117.24</v>
      </c>
      <c r="X51">
        <v>7.5</v>
      </c>
      <c r="Y51" s="14">
        <v>21427700000000</v>
      </c>
      <c r="Z51">
        <v>88.2</v>
      </c>
      <c r="AA51">
        <v>101.8</v>
      </c>
      <c r="AB51">
        <v>9.6</v>
      </c>
      <c r="AC51">
        <v>36.6</v>
      </c>
      <c r="AD51">
        <v>328239523</v>
      </c>
    </row>
    <row r="52" spans="1:30" hidden="1" x14ac:dyDescent="0.45">
      <c r="A52">
        <v>51</v>
      </c>
      <c r="B52">
        <v>27400</v>
      </c>
      <c r="C52" t="s">
        <v>33</v>
      </c>
      <c r="D52" t="s">
        <v>321</v>
      </c>
      <c r="E52">
        <v>60</v>
      </c>
      <c r="F52" t="s">
        <v>194</v>
      </c>
      <c r="G52" t="s">
        <v>322</v>
      </c>
      <c r="H52" t="s">
        <v>323</v>
      </c>
      <c r="I52" t="s">
        <v>33</v>
      </c>
      <c r="J52" t="s">
        <v>194</v>
      </c>
      <c r="L52" t="b">
        <v>0</v>
      </c>
      <c r="M52" t="s">
        <v>29</v>
      </c>
      <c r="N52" t="s">
        <v>8246</v>
      </c>
      <c r="O52" s="1">
        <v>22764</v>
      </c>
      <c r="P52" t="s">
        <v>324</v>
      </c>
      <c r="Q52" t="s">
        <v>325</v>
      </c>
      <c r="S52" s="1">
        <v>45020.209027777775</v>
      </c>
      <c r="V52">
        <v>1962</v>
      </c>
      <c r="W52">
        <v>112.85</v>
      </c>
      <c r="X52">
        <v>1.4</v>
      </c>
      <c r="Y52" s="2">
        <v>3845630030824</v>
      </c>
      <c r="Z52">
        <v>70.2</v>
      </c>
      <c r="AA52">
        <v>104</v>
      </c>
      <c r="AB52">
        <v>11.5</v>
      </c>
      <c r="AC52">
        <v>48.8</v>
      </c>
      <c r="AD52">
        <v>83132799</v>
      </c>
    </row>
    <row r="53" spans="1:30" hidden="1" x14ac:dyDescent="0.45">
      <c r="A53">
        <v>52</v>
      </c>
      <c r="B53">
        <v>27000</v>
      </c>
      <c r="C53" t="s">
        <v>326</v>
      </c>
      <c r="D53" t="s">
        <v>327</v>
      </c>
      <c r="E53">
        <v>69</v>
      </c>
      <c r="F53" t="s">
        <v>328</v>
      </c>
      <c r="G53" t="s">
        <v>329</v>
      </c>
      <c r="H53" t="s">
        <v>330</v>
      </c>
      <c r="I53" t="s">
        <v>326</v>
      </c>
      <c r="J53" t="s">
        <v>328</v>
      </c>
      <c r="K53" t="s">
        <v>331</v>
      </c>
      <c r="L53" t="b">
        <v>0</v>
      </c>
      <c r="M53" t="s">
        <v>39</v>
      </c>
      <c r="N53" t="s">
        <v>8246</v>
      </c>
      <c r="O53" s="1">
        <v>19764</v>
      </c>
      <c r="P53" t="s">
        <v>332</v>
      </c>
      <c r="Q53" t="s">
        <v>333</v>
      </c>
      <c r="R53" t="s">
        <v>334</v>
      </c>
      <c r="S53" s="1">
        <v>45020.209027777775</v>
      </c>
      <c r="V53">
        <v>1954</v>
      </c>
      <c r="W53">
        <v>119.8</v>
      </c>
      <c r="X53">
        <v>1.6</v>
      </c>
      <c r="Y53" s="2">
        <v>1392680589329</v>
      </c>
      <c r="Z53">
        <v>113.1</v>
      </c>
      <c r="AA53">
        <v>100.3</v>
      </c>
      <c r="AB53">
        <v>23</v>
      </c>
      <c r="AC53">
        <v>47.4</v>
      </c>
      <c r="AD53">
        <v>25766605</v>
      </c>
    </row>
    <row r="54" spans="1:30" hidden="1" x14ac:dyDescent="0.45">
      <c r="A54">
        <v>53</v>
      </c>
      <c r="B54">
        <v>26700</v>
      </c>
      <c r="C54" t="s">
        <v>45</v>
      </c>
      <c r="D54" t="s">
        <v>335</v>
      </c>
      <c r="E54">
        <v>51</v>
      </c>
      <c r="F54" t="s">
        <v>128</v>
      </c>
      <c r="G54" t="s">
        <v>129</v>
      </c>
      <c r="H54" t="s">
        <v>336</v>
      </c>
      <c r="I54" t="s">
        <v>45</v>
      </c>
      <c r="J54" t="s">
        <v>128</v>
      </c>
      <c r="L54" t="b">
        <v>1</v>
      </c>
      <c r="M54" t="s">
        <v>29</v>
      </c>
      <c r="N54" t="s">
        <v>8245</v>
      </c>
      <c r="O54" s="1">
        <v>26207</v>
      </c>
      <c r="P54" t="s">
        <v>337</v>
      </c>
      <c r="Q54" t="s">
        <v>338</v>
      </c>
      <c r="S54" s="1">
        <v>45020.209027777775</v>
      </c>
      <c r="V54">
        <v>1971</v>
      </c>
      <c r="W54">
        <v>125.08</v>
      </c>
      <c r="X54">
        <v>2.9</v>
      </c>
      <c r="Y54" s="2">
        <v>19910000000000</v>
      </c>
      <c r="Z54">
        <v>50.6</v>
      </c>
      <c r="AA54">
        <v>100.2</v>
      </c>
      <c r="AB54">
        <v>9.4</v>
      </c>
      <c r="AC54">
        <v>59.2</v>
      </c>
      <c r="AD54">
        <v>1397715000</v>
      </c>
    </row>
    <row r="55" spans="1:30" hidden="1" x14ac:dyDescent="0.45">
      <c r="A55">
        <v>54</v>
      </c>
      <c r="B55">
        <v>26600</v>
      </c>
      <c r="C55" t="s">
        <v>326</v>
      </c>
      <c r="D55" t="s">
        <v>339</v>
      </c>
      <c r="E55">
        <v>69</v>
      </c>
      <c r="F55" t="s">
        <v>85</v>
      </c>
      <c r="G55" t="s">
        <v>86</v>
      </c>
      <c r="H55" t="s">
        <v>330</v>
      </c>
      <c r="I55" t="s">
        <v>326</v>
      </c>
      <c r="J55" t="s">
        <v>85</v>
      </c>
      <c r="L55" t="b">
        <v>0</v>
      </c>
      <c r="M55" t="s">
        <v>39</v>
      </c>
      <c r="N55" t="s">
        <v>8245</v>
      </c>
      <c r="O55" s="1">
        <v>19658</v>
      </c>
      <c r="P55" t="s">
        <v>340</v>
      </c>
      <c r="Q55" t="s">
        <v>341</v>
      </c>
      <c r="S55" s="1">
        <v>45020.209027777775</v>
      </c>
      <c r="V55">
        <v>1953</v>
      </c>
      <c r="W55">
        <v>141.54</v>
      </c>
      <c r="X55">
        <v>3.6</v>
      </c>
      <c r="Y55" s="2">
        <v>1258286717125</v>
      </c>
      <c r="Z55">
        <v>40.200000000000003</v>
      </c>
      <c r="AA55">
        <v>105.8</v>
      </c>
      <c r="AB55">
        <v>13.1</v>
      </c>
      <c r="AC55">
        <v>55.1</v>
      </c>
      <c r="AD55">
        <v>126014024</v>
      </c>
    </row>
    <row r="56" spans="1:30" hidden="1" x14ac:dyDescent="0.45">
      <c r="A56">
        <v>55</v>
      </c>
      <c r="B56">
        <v>25600</v>
      </c>
      <c r="C56" t="s">
        <v>45</v>
      </c>
      <c r="D56" t="s">
        <v>342</v>
      </c>
      <c r="E56">
        <v>77</v>
      </c>
      <c r="F56" t="s">
        <v>93</v>
      </c>
      <c r="G56" t="s">
        <v>343</v>
      </c>
      <c r="H56" t="s">
        <v>344</v>
      </c>
      <c r="I56" t="s">
        <v>45</v>
      </c>
      <c r="J56" t="s">
        <v>93</v>
      </c>
      <c r="L56" t="b">
        <v>1</v>
      </c>
      <c r="M56" t="s">
        <v>39</v>
      </c>
      <c r="N56" t="s">
        <v>8245</v>
      </c>
      <c r="O56" s="1">
        <v>16636</v>
      </c>
      <c r="P56" t="s">
        <v>345</v>
      </c>
      <c r="Q56" t="s">
        <v>346</v>
      </c>
      <c r="S56" s="1">
        <v>45020.209027777775</v>
      </c>
      <c r="V56">
        <v>1945</v>
      </c>
      <c r="W56">
        <v>180.44</v>
      </c>
      <c r="X56">
        <v>7.7</v>
      </c>
      <c r="Y56" s="2">
        <v>2611000000000</v>
      </c>
      <c r="Z56">
        <v>28.1</v>
      </c>
      <c r="AA56">
        <v>113</v>
      </c>
      <c r="AB56">
        <v>11.2</v>
      </c>
      <c r="AC56">
        <v>49.7</v>
      </c>
      <c r="AD56">
        <v>1366417754</v>
      </c>
    </row>
    <row r="57" spans="1:30" hidden="1" x14ac:dyDescent="0.45">
      <c r="A57">
        <v>56</v>
      </c>
      <c r="B57">
        <v>25500</v>
      </c>
      <c r="C57" t="s">
        <v>347</v>
      </c>
      <c r="D57" t="s">
        <v>348</v>
      </c>
      <c r="E57">
        <v>74</v>
      </c>
      <c r="F57" t="s">
        <v>349</v>
      </c>
      <c r="G57" t="s">
        <v>350</v>
      </c>
      <c r="H57" t="s">
        <v>351</v>
      </c>
      <c r="I57" t="s">
        <v>347</v>
      </c>
      <c r="J57" t="s">
        <v>349</v>
      </c>
      <c r="L57" t="b">
        <v>1</v>
      </c>
      <c r="M57" t="s">
        <v>29</v>
      </c>
      <c r="N57" t="s">
        <v>8245</v>
      </c>
      <c r="O57" s="1">
        <v>17640</v>
      </c>
      <c r="P57" t="s">
        <v>352</v>
      </c>
      <c r="Q57" t="s">
        <v>353</v>
      </c>
      <c r="S57" s="1">
        <v>45020.209027777775</v>
      </c>
      <c r="V57">
        <v>1948</v>
      </c>
      <c r="W57">
        <v>151.18</v>
      </c>
      <c r="X57">
        <v>3</v>
      </c>
      <c r="Y57" s="2">
        <v>1119190780753</v>
      </c>
      <c r="Z57">
        <v>36.299999999999997</v>
      </c>
      <c r="AA57">
        <v>106.4</v>
      </c>
      <c r="AB57">
        <v>10.199999999999999</v>
      </c>
      <c r="AC57">
        <v>30.1</v>
      </c>
      <c r="AD57">
        <v>270203917</v>
      </c>
    </row>
    <row r="58" spans="1:30" hidden="1" x14ac:dyDescent="0.45">
      <c r="A58">
        <v>57</v>
      </c>
      <c r="B58">
        <v>25300</v>
      </c>
      <c r="C58" t="s">
        <v>61</v>
      </c>
      <c r="D58" t="s">
        <v>354</v>
      </c>
      <c r="E58">
        <v>78</v>
      </c>
      <c r="F58" t="s">
        <v>35</v>
      </c>
      <c r="G58" t="s">
        <v>355</v>
      </c>
      <c r="H58" t="s">
        <v>356</v>
      </c>
      <c r="I58" t="s">
        <v>61</v>
      </c>
      <c r="J58" t="s">
        <v>35</v>
      </c>
      <c r="L58" t="b">
        <v>1</v>
      </c>
      <c r="M58" t="s">
        <v>29</v>
      </c>
      <c r="N58" t="s">
        <v>8245</v>
      </c>
      <c r="O58" s="1">
        <v>16345</v>
      </c>
      <c r="P58" t="s">
        <v>357</v>
      </c>
      <c r="Q58" t="s">
        <v>358</v>
      </c>
      <c r="S58" s="1">
        <v>45020.209027777775</v>
      </c>
      <c r="T58" t="s">
        <v>253</v>
      </c>
      <c r="U58" t="s">
        <v>44</v>
      </c>
      <c r="V58">
        <v>1944</v>
      </c>
      <c r="W58">
        <v>117.24</v>
      </c>
      <c r="X58">
        <v>7.5</v>
      </c>
      <c r="Y58" s="2">
        <v>21427700000000</v>
      </c>
      <c r="Z58">
        <v>88.2</v>
      </c>
      <c r="AA58">
        <v>101.8</v>
      </c>
      <c r="AB58">
        <v>9.6</v>
      </c>
      <c r="AC58">
        <v>36.6</v>
      </c>
      <c r="AD58">
        <v>328239523</v>
      </c>
    </row>
    <row r="59" spans="1:30" hidden="1" x14ac:dyDescent="0.45">
      <c r="A59">
        <v>58</v>
      </c>
      <c r="B59">
        <v>25200</v>
      </c>
      <c r="C59" t="s">
        <v>326</v>
      </c>
      <c r="D59" t="s">
        <v>359</v>
      </c>
      <c r="E59">
        <v>51</v>
      </c>
      <c r="F59" t="s">
        <v>360</v>
      </c>
      <c r="G59" t="s">
        <v>361</v>
      </c>
      <c r="H59" t="s">
        <v>362</v>
      </c>
      <c r="I59" t="s">
        <v>326</v>
      </c>
      <c r="J59" t="s">
        <v>363</v>
      </c>
      <c r="L59" t="b">
        <v>1</v>
      </c>
      <c r="M59" t="s">
        <v>29</v>
      </c>
      <c r="N59" t="s">
        <v>8245</v>
      </c>
      <c r="O59" s="1">
        <v>26366</v>
      </c>
      <c r="P59" t="s">
        <v>364</v>
      </c>
      <c r="Q59" t="s">
        <v>365</v>
      </c>
      <c r="S59" s="1">
        <v>45020.209027777775</v>
      </c>
      <c r="V59">
        <v>1972</v>
      </c>
      <c r="W59">
        <v>114.52</v>
      </c>
      <c r="X59">
        <v>-1.9</v>
      </c>
      <c r="Y59" s="2">
        <v>421142267938</v>
      </c>
      <c r="Z59">
        <v>36.799999999999997</v>
      </c>
      <c r="AA59">
        <v>108.4</v>
      </c>
      <c r="AB59">
        <v>0.1</v>
      </c>
      <c r="AC59">
        <v>15.9</v>
      </c>
      <c r="AD59">
        <v>9770529</v>
      </c>
    </row>
    <row r="60" spans="1:30" hidden="1" x14ac:dyDescent="0.45">
      <c r="A60">
        <v>59</v>
      </c>
      <c r="B60">
        <v>24600</v>
      </c>
      <c r="C60" t="s">
        <v>33</v>
      </c>
      <c r="D60" t="s">
        <v>366</v>
      </c>
      <c r="E60">
        <v>56</v>
      </c>
      <c r="F60" t="s">
        <v>194</v>
      </c>
      <c r="G60" t="s">
        <v>367</v>
      </c>
      <c r="H60" t="s">
        <v>368</v>
      </c>
      <c r="I60" t="s">
        <v>33</v>
      </c>
      <c r="J60" t="s">
        <v>194</v>
      </c>
      <c r="L60" t="b">
        <v>0</v>
      </c>
      <c r="M60" t="s">
        <v>29</v>
      </c>
      <c r="N60" t="s">
        <v>8245</v>
      </c>
      <c r="O60" s="1">
        <v>24236</v>
      </c>
      <c r="P60" t="s">
        <v>369</v>
      </c>
      <c r="Q60" t="s">
        <v>370</v>
      </c>
      <c r="S60" s="1">
        <v>45020.209027777775</v>
      </c>
      <c r="V60">
        <v>1966</v>
      </c>
      <c r="W60">
        <v>112.85</v>
      </c>
      <c r="X60">
        <v>1.4</v>
      </c>
      <c r="Y60" s="2">
        <v>3845630030824</v>
      </c>
      <c r="Z60">
        <v>70.2</v>
      </c>
      <c r="AA60">
        <v>104</v>
      </c>
      <c r="AB60">
        <v>11.5</v>
      </c>
      <c r="AC60">
        <v>48.8</v>
      </c>
      <c r="AD60">
        <v>83132799</v>
      </c>
    </row>
    <row r="61" spans="1:30" hidden="1" x14ac:dyDescent="0.45">
      <c r="A61">
        <v>60</v>
      </c>
      <c r="B61">
        <v>24400</v>
      </c>
      <c r="C61" t="s">
        <v>45</v>
      </c>
      <c r="D61" t="s">
        <v>371</v>
      </c>
      <c r="E61">
        <v>52</v>
      </c>
      <c r="F61" t="s">
        <v>35</v>
      </c>
      <c r="G61" t="s">
        <v>372</v>
      </c>
      <c r="H61" t="s">
        <v>48</v>
      </c>
      <c r="I61" t="s">
        <v>45</v>
      </c>
      <c r="J61" t="s">
        <v>35</v>
      </c>
      <c r="L61" t="b">
        <v>0</v>
      </c>
      <c r="M61" t="s">
        <v>39</v>
      </c>
      <c r="N61" t="s">
        <v>8246</v>
      </c>
      <c r="O61" s="1">
        <v>25665</v>
      </c>
      <c r="P61" t="s">
        <v>373</v>
      </c>
      <c r="Q61" t="s">
        <v>374</v>
      </c>
      <c r="R61" t="s">
        <v>162</v>
      </c>
      <c r="S61" s="1">
        <v>45020.209027777775</v>
      </c>
      <c r="T61" t="s">
        <v>52</v>
      </c>
      <c r="U61" t="s">
        <v>53</v>
      </c>
      <c r="V61">
        <v>1970</v>
      </c>
      <c r="W61">
        <v>117.24</v>
      </c>
      <c r="X61">
        <v>7.5</v>
      </c>
      <c r="Y61" s="2">
        <v>21427700000000</v>
      </c>
      <c r="Z61">
        <v>88.2</v>
      </c>
      <c r="AA61">
        <v>101.8</v>
      </c>
      <c r="AB61">
        <v>9.6</v>
      </c>
      <c r="AC61">
        <v>36.6</v>
      </c>
      <c r="AD61">
        <v>328239523</v>
      </c>
    </row>
    <row r="62" spans="1:30" hidden="1" x14ac:dyDescent="0.45">
      <c r="A62">
        <v>61</v>
      </c>
      <c r="B62">
        <v>24200</v>
      </c>
      <c r="C62" t="s">
        <v>61</v>
      </c>
      <c r="D62" t="s">
        <v>375</v>
      </c>
      <c r="E62">
        <v>82</v>
      </c>
      <c r="F62" t="s">
        <v>349</v>
      </c>
      <c r="G62" t="s">
        <v>376</v>
      </c>
      <c r="H62" t="s">
        <v>377</v>
      </c>
      <c r="I62" t="s">
        <v>61</v>
      </c>
      <c r="J62" t="s">
        <v>349</v>
      </c>
      <c r="L62" t="b">
        <v>0</v>
      </c>
      <c r="M62" t="s">
        <v>29</v>
      </c>
      <c r="N62" t="s">
        <v>8245</v>
      </c>
      <c r="O62" s="1">
        <v>14977</v>
      </c>
      <c r="P62" t="s">
        <v>378</v>
      </c>
      <c r="Q62" t="s">
        <v>379</v>
      </c>
      <c r="S62" s="1">
        <v>45020.209027777775</v>
      </c>
      <c r="V62">
        <v>1941</v>
      </c>
      <c r="W62">
        <v>151.18</v>
      </c>
      <c r="X62">
        <v>3</v>
      </c>
      <c r="Y62" s="2">
        <v>1119190780753</v>
      </c>
      <c r="Z62">
        <v>36.299999999999997</v>
      </c>
      <c r="AA62">
        <v>106.4</v>
      </c>
      <c r="AB62">
        <v>10.199999999999999</v>
      </c>
      <c r="AC62">
        <v>30.1</v>
      </c>
      <c r="AD62">
        <v>270203917</v>
      </c>
    </row>
    <row r="63" spans="1:30" hidden="1" x14ac:dyDescent="0.45">
      <c r="A63">
        <v>62</v>
      </c>
      <c r="B63">
        <v>23700</v>
      </c>
      <c r="C63" t="s">
        <v>326</v>
      </c>
      <c r="D63" t="s">
        <v>380</v>
      </c>
      <c r="E63">
        <v>62</v>
      </c>
      <c r="F63" t="s">
        <v>363</v>
      </c>
      <c r="G63" t="s">
        <v>381</v>
      </c>
      <c r="H63" t="s">
        <v>382</v>
      </c>
      <c r="I63" t="s">
        <v>326</v>
      </c>
      <c r="J63" t="s">
        <v>363</v>
      </c>
      <c r="L63" t="b">
        <v>1</v>
      </c>
      <c r="M63" t="s">
        <v>29</v>
      </c>
      <c r="N63" t="s">
        <v>8245</v>
      </c>
      <c r="O63" s="1">
        <v>22284</v>
      </c>
      <c r="P63" t="s">
        <v>383</v>
      </c>
      <c r="Q63" t="s">
        <v>384</v>
      </c>
      <c r="S63" s="1">
        <v>45020.209027777775</v>
      </c>
      <c r="V63">
        <v>1961</v>
      </c>
      <c r="W63">
        <v>180.75</v>
      </c>
      <c r="X63">
        <v>4.5</v>
      </c>
      <c r="Y63" s="2">
        <v>1699876578871</v>
      </c>
      <c r="Z63">
        <v>81.900000000000006</v>
      </c>
      <c r="AA63">
        <v>102.6</v>
      </c>
      <c r="AB63">
        <v>11.4</v>
      </c>
      <c r="AC63">
        <v>46.2</v>
      </c>
      <c r="AD63">
        <v>144373535</v>
      </c>
    </row>
    <row r="64" spans="1:30" hidden="1" x14ac:dyDescent="0.45">
      <c r="A64">
        <v>63</v>
      </c>
      <c r="B64">
        <v>23500</v>
      </c>
      <c r="C64" t="s">
        <v>45</v>
      </c>
      <c r="D64" t="s">
        <v>385</v>
      </c>
      <c r="E64">
        <v>58</v>
      </c>
      <c r="F64" t="s">
        <v>128</v>
      </c>
      <c r="G64" t="s">
        <v>129</v>
      </c>
      <c r="H64" t="s">
        <v>293</v>
      </c>
      <c r="I64" t="s">
        <v>45</v>
      </c>
      <c r="J64" t="s">
        <v>128</v>
      </c>
      <c r="L64" t="b">
        <v>1</v>
      </c>
      <c r="M64" t="s">
        <v>29</v>
      </c>
      <c r="N64" t="s">
        <v>8245</v>
      </c>
      <c r="O64" s="1">
        <v>23630</v>
      </c>
      <c r="P64" t="s">
        <v>237</v>
      </c>
      <c r="Q64" t="s">
        <v>386</v>
      </c>
      <c r="S64" s="1">
        <v>45020.209027777775</v>
      </c>
      <c r="V64">
        <v>1964</v>
      </c>
      <c r="W64">
        <v>125.08</v>
      </c>
      <c r="X64">
        <v>2.9</v>
      </c>
      <c r="Y64" s="2">
        <v>19910000000000</v>
      </c>
      <c r="Z64">
        <v>50.6</v>
      </c>
      <c r="AA64">
        <v>100.2</v>
      </c>
      <c r="AB64">
        <v>9.4</v>
      </c>
      <c r="AC64">
        <v>59.2</v>
      </c>
      <c r="AD64">
        <v>1397715000</v>
      </c>
    </row>
    <row r="65" spans="1:30" hidden="1" x14ac:dyDescent="0.45">
      <c r="A65">
        <v>64</v>
      </c>
      <c r="B65">
        <v>23400</v>
      </c>
      <c r="C65" t="s">
        <v>296</v>
      </c>
      <c r="D65" t="s">
        <v>387</v>
      </c>
      <c r="E65">
        <v>80</v>
      </c>
      <c r="F65" t="s">
        <v>128</v>
      </c>
      <c r="G65" t="s">
        <v>388</v>
      </c>
      <c r="H65" t="s">
        <v>389</v>
      </c>
      <c r="I65" t="s">
        <v>296</v>
      </c>
      <c r="J65" t="s">
        <v>128</v>
      </c>
      <c r="L65" t="b">
        <v>1</v>
      </c>
      <c r="M65" t="s">
        <v>39</v>
      </c>
      <c r="N65" t="s">
        <v>8245</v>
      </c>
      <c r="O65" s="1">
        <v>15564</v>
      </c>
      <c r="P65" t="s">
        <v>390</v>
      </c>
      <c r="Q65" t="s">
        <v>391</v>
      </c>
      <c r="S65" s="1">
        <v>45020.209027777775</v>
      </c>
      <c r="V65">
        <v>1942</v>
      </c>
      <c r="W65">
        <v>125.08</v>
      </c>
      <c r="X65">
        <v>2.9</v>
      </c>
      <c r="Y65" s="2">
        <v>19910000000000</v>
      </c>
      <c r="Z65">
        <v>50.6</v>
      </c>
      <c r="AA65">
        <v>100.2</v>
      </c>
      <c r="AB65">
        <v>9.4</v>
      </c>
      <c r="AC65">
        <v>59.2</v>
      </c>
      <c r="AD65">
        <v>1397715000</v>
      </c>
    </row>
    <row r="66" spans="1:30" hidden="1" x14ac:dyDescent="0.45">
      <c r="A66">
        <v>65</v>
      </c>
      <c r="B66">
        <v>23100</v>
      </c>
      <c r="C66" t="s">
        <v>326</v>
      </c>
      <c r="D66" t="s">
        <v>392</v>
      </c>
      <c r="E66">
        <v>80</v>
      </c>
      <c r="F66" t="s">
        <v>393</v>
      </c>
      <c r="G66" t="s">
        <v>394</v>
      </c>
      <c r="H66" t="s">
        <v>330</v>
      </c>
      <c r="I66" t="s">
        <v>326</v>
      </c>
      <c r="J66" t="s">
        <v>393</v>
      </c>
      <c r="L66" t="b">
        <v>0</v>
      </c>
      <c r="M66" t="s">
        <v>29</v>
      </c>
      <c r="N66" t="s">
        <v>8246</v>
      </c>
      <c r="O66" s="1">
        <v>15707</v>
      </c>
      <c r="P66" t="s">
        <v>395</v>
      </c>
      <c r="Q66" t="s">
        <v>396</v>
      </c>
      <c r="S66" s="1">
        <v>45020.209027777775</v>
      </c>
      <c r="V66">
        <v>1943</v>
      </c>
      <c r="W66">
        <v>131.91</v>
      </c>
      <c r="X66">
        <v>2.6</v>
      </c>
      <c r="Y66" s="2">
        <v>282318159745</v>
      </c>
      <c r="Z66">
        <v>88.5</v>
      </c>
      <c r="AA66">
        <v>101.4</v>
      </c>
      <c r="AB66">
        <v>18.2</v>
      </c>
      <c r="AC66">
        <v>34</v>
      </c>
      <c r="AD66">
        <v>18952038</v>
      </c>
    </row>
    <row r="67" spans="1:30" hidden="1" x14ac:dyDescent="0.45">
      <c r="A67">
        <v>65</v>
      </c>
      <c r="B67">
        <v>23100</v>
      </c>
      <c r="C67" t="s">
        <v>296</v>
      </c>
      <c r="D67" t="s">
        <v>397</v>
      </c>
      <c r="E67">
        <v>83</v>
      </c>
      <c r="F67" t="s">
        <v>349</v>
      </c>
      <c r="G67" t="s">
        <v>376</v>
      </c>
      <c r="H67" t="s">
        <v>377</v>
      </c>
      <c r="I67" t="s">
        <v>296</v>
      </c>
      <c r="J67" t="s">
        <v>349</v>
      </c>
      <c r="L67" t="b">
        <v>0</v>
      </c>
      <c r="M67" t="s">
        <v>29</v>
      </c>
      <c r="N67" t="s">
        <v>8245</v>
      </c>
      <c r="O67" s="1">
        <v>14520</v>
      </c>
      <c r="P67" t="s">
        <v>378</v>
      </c>
      <c r="Q67" t="s">
        <v>81</v>
      </c>
      <c r="S67" s="1">
        <v>45020.209027777775</v>
      </c>
      <c r="V67">
        <v>1939</v>
      </c>
      <c r="W67">
        <v>151.18</v>
      </c>
      <c r="X67">
        <v>3</v>
      </c>
      <c r="Y67" s="2">
        <v>1119190780753</v>
      </c>
      <c r="Z67">
        <v>36.299999999999997</v>
      </c>
      <c r="AA67">
        <v>106.4</v>
      </c>
      <c r="AB67">
        <v>10.199999999999999</v>
      </c>
      <c r="AC67">
        <v>30.1</v>
      </c>
      <c r="AD67">
        <v>270203917</v>
      </c>
    </row>
    <row r="68" spans="1:30" hidden="1" x14ac:dyDescent="0.45">
      <c r="A68">
        <v>67</v>
      </c>
      <c r="B68">
        <v>22900</v>
      </c>
      <c r="C68" t="s">
        <v>296</v>
      </c>
      <c r="D68" t="s">
        <v>398</v>
      </c>
      <c r="E68">
        <v>70</v>
      </c>
      <c r="F68" t="s">
        <v>272</v>
      </c>
      <c r="G68" t="s">
        <v>273</v>
      </c>
      <c r="H68" t="s">
        <v>399</v>
      </c>
      <c r="I68" t="s">
        <v>296</v>
      </c>
      <c r="J68" t="s">
        <v>272</v>
      </c>
      <c r="L68" t="b">
        <v>1</v>
      </c>
      <c r="M68" t="s">
        <v>29</v>
      </c>
      <c r="N68" t="s">
        <v>8245</v>
      </c>
      <c r="O68" s="1">
        <v>19360</v>
      </c>
      <c r="P68" t="s">
        <v>400</v>
      </c>
      <c r="Q68" t="s">
        <v>401</v>
      </c>
      <c r="S68" s="1">
        <v>45020.209027777775</v>
      </c>
      <c r="V68">
        <v>1953</v>
      </c>
      <c r="W68">
        <v>119.62</v>
      </c>
      <c r="X68">
        <v>1.7</v>
      </c>
      <c r="Y68" s="2">
        <v>2827113184696</v>
      </c>
      <c r="Z68">
        <v>60</v>
      </c>
      <c r="AA68">
        <v>101.2</v>
      </c>
      <c r="AB68">
        <v>25.5</v>
      </c>
      <c r="AC68">
        <v>30.6</v>
      </c>
      <c r="AD68">
        <v>66834405</v>
      </c>
    </row>
    <row r="69" spans="1:30" hidden="1" x14ac:dyDescent="0.45">
      <c r="A69">
        <v>68</v>
      </c>
      <c r="B69">
        <v>22600</v>
      </c>
      <c r="C69" t="s">
        <v>402</v>
      </c>
      <c r="D69" t="s">
        <v>403</v>
      </c>
      <c r="E69">
        <v>81</v>
      </c>
      <c r="F69" t="s">
        <v>93</v>
      </c>
      <c r="G69" t="s">
        <v>404</v>
      </c>
      <c r="H69" t="s">
        <v>405</v>
      </c>
      <c r="I69" t="s">
        <v>402</v>
      </c>
      <c r="J69" t="s">
        <v>93</v>
      </c>
      <c r="L69" t="b">
        <v>0</v>
      </c>
      <c r="M69" t="s">
        <v>39</v>
      </c>
      <c r="N69" t="s">
        <v>8245</v>
      </c>
      <c r="O69" s="1">
        <v>15107</v>
      </c>
      <c r="P69" t="s">
        <v>406</v>
      </c>
      <c r="Q69" t="s">
        <v>407</v>
      </c>
      <c r="S69" s="1">
        <v>45020.209027777775</v>
      </c>
      <c r="V69">
        <v>1941</v>
      </c>
      <c r="W69">
        <v>180.44</v>
      </c>
      <c r="X69">
        <v>7.7</v>
      </c>
      <c r="Y69" s="2">
        <v>2611000000000</v>
      </c>
      <c r="Z69">
        <v>28.1</v>
      </c>
      <c r="AA69">
        <v>113</v>
      </c>
      <c r="AB69">
        <v>11.2</v>
      </c>
      <c r="AC69">
        <v>49.7</v>
      </c>
      <c r="AD69">
        <v>1366417754</v>
      </c>
    </row>
    <row r="70" spans="1:30" hidden="1" x14ac:dyDescent="0.45">
      <c r="A70">
        <v>69</v>
      </c>
      <c r="B70">
        <v>22400</v>
      </c>
      <c r="C70" t="s">
        <v>83</v>
      </c>
      <c r="D70" t="s">
        <v>408</v>
      </c>
      <c r="E70">
        <v>65</v>
      </c>
      <c r="F70" t="s">
        <v>266</v>
      </c>
      <c r="G70" t="s">
        <v>267</v>
      </c>
      <c r="H70" t="s">
        <v>409</v>
      </c>
      <c r="I70" t="s">
        <v>83</v>
      </c>
      <c r="J70" t="s">
        <v>266</v>
      </c>
      <c r="K70" t="s">
        <v>410</v>
      </c>
      <c r="L70" t="b">
        <v>1</v>
      </c>
      <c r="M70" t="s">
        <v>29</v>
      </c>
      <c r="N70" t="s">
        <v>8245</v>
      </c>
      <c r="O70" s="1">
        <v>21043</v>
      </c>
      <c r="P70" t="s">
        <v>411</v>
      </c>
      <c r="Q70" t="s">
        <v>412</v>
      </c>
      <c r="R70" t="s">
        <v>42</v>
      </c>
      <c r="S70" s="1">
        <v>45020.209027777775</v>
      </c>
      <c r="V70">
        <v>1957</v>
      </c>
      <c r="W70">
        <v>105.48</v>
      </c>
      <c r="X70">
        <v>0.5</v>
      </c>
      <c r="Y70" s="2">
        <v>5081769542380</v>
      </c>
      <c r="Z70">
        <v>63.2</v>
      </c>
      <c r="AA70">
        <v>98.8</v>
      </c>
      <c r="AB70">
        <v>11.9</v>
      </c>
      <c r="AC70">
        <v>46.7</v>
      </c>
      <c r="AD70">
        <v>126226568</v>
      </c>
    </row>
    <row r="71" spans="1:30" hidden="1" x14ac:dyDescent="0.45">
      <c r="A71">
        <v>70</v>
      </c>
      <c r="B71">
        <v>22100</v>
      </c>
      <c r="C71" t="s">
        <v>326</v>
      </c>
      <c r="D71" t="s">
        <v>413</v>
      </c>
      <c r="E71">
        <v>66</v>
      </c>
      <c r="F71" t="s">
        <v>363</v>
      </c>
      <c r="G71" t="s">
        <v>381</v>
      </c>
      <c r="H71" t="s">
        <v>414</v>
      </c>
      <c r="I71" t="s">
        <v>326</v>
      </c>
      <c r="J71" t="s">
        <v>363</v>
      </c>
      <c r="L71" t="b">
        <v>1</v>
      </c>
      <c r="M71" t="s">
        <v>29</v>
      </c>
      <c r="N71" t="s">
        <v>8245</v>
      </c>
      <c r="O71" s="1">
        <v>20582</v>
      </c>
      <c r="P71" t="s">
        <v>415</v>
      </c>
      <c r="Q71" t="s">
        <v>384</v>
      </c>
      <c r="S71" s="1">
        <v>45020.209027777775</v>
      </c>
      <c r="V71">
        <v>1956</v>
      </c>
      <c r="W71">
        <v>180.75</v>
      </c>
      <c r="X71">
        <v>4.5</v>
      </c>
      <c r="Y71" s="2">
        <v>1699876578871</v>
      </c>
      <c r="Z71">
        <v>81.900000000000006</v>
      </c>
      <c r="AA71">
        <v>102.6</v>
      </c>
      <c r="AB71">
        <v>11.4</v>
      </c>
      <c r="AC71">
        <v>46.2</v>
      </c>
      <c r="AD71">
        <v>144373535</v>
      </c>
    </row>
    <row r="72" spans="1:30" hidden="1" x14ac:dyDescent="0.45">
      <c r="A72">
        <v>71</v>
      </c>
      <c r="B72">
        <v>22000</v>
      </c>
      <c r="C72" t="s">
        <v>126</v>
      </c>
      <c r="D72" t="s">
        <v>416</v>
      </c>
      <c r="E72">
        <v>52</v>
      </c>
      <c r="F72" t="s">
        <v>25</v>
      </c>
      <c r="G72" t="s">
        <v>417</v>
      </c>
      <c r="H72" t="s">
        <v>418</v>
      </c>
      <c r="I72" t="s">
        <v>126</v>
      </c>
      <c r="J72" t="s">
        <v>25</v>
      </c>
      <c r="L72" t="b">
        <v>0</v>
      </c>
      <c r="M72" t="s">
        <v>39</v>
      </c>
      <c r="N72" t="s">
        <v>8245</v>
      </c>
      <c r="O72" s="1">
        <v>25829</v>
      </c>
      <c r="P72" t="s">
        <v>419</v>
      </c>
      <c r="Q72" t="s">
        <v>420</v>
      </c>
      <c r="S72" s="1">
        <v>45020.209027777775</v>
      </c>
      <c r="V72">
        <v>1970</v>
      </c>
      <c r="W72">
        <v>110.05</v>
      </c>
      <c r="X72">
        <v>1.1000000000000001</v>
      </c>
      <c r="Y72" s="2">
        <v>2715518274227</v>
      </c>
      <c r="Z72">
        <v>65.599999999999994</v>
      </c>
      <c r="AA72">
        <v>102.5</v>
      </c>
      <c r="AB72">
        <v>24.2</v>
      </c>
      <c r="AC72">
        <v>60.7</v>
      </c>
      <c r="AD72">
        <v>67059887</v>
      </c>
    </row>
    <row r="73" spans="1:30" x14ac:dyDescent="0.45">
      <c r="A73">
        <v>72</v>
      </c>
      <c r="B73" s="6">
        <v>21600</v>
      </c>
      <c r="C73" t="s">
        <v>61</v>
      </c>
      <c r="D73" t="s">
        <v>421</v>
      </c>
      <c r="E73">
        <v>61</v>
      </c>
      <c r="F73" t="s">
        <v>35</v>
      </c>
      <c r="G73" t="s">
        <v>422</v>
      </c>
      <c r="H73" t="s">
        <v>423</v>
      </c>
      <c r="I73" t="s">
        <v>61</v>
      </c>
      <c r="J73" t="s">
        <v>35</v>
      </c>
      <c r="K73" t="s">
        <v>424</v>
      </c>
      <c r="L73" t="b">
        <v>0</v>
      </c>
      <c r="M73" t="s">
        <v>29</v>
      </c>
      <c r="N73" t="s">
        <v>8246</v>
      </c>
      <c r="O73" s="10">
        <v>22634</v>
      </c>
      <c r="P73" t="s">
        <v>425</v>
      </c>
      <c r="Q73" t="s">
        <v>426</v>
      </c>
      <c r="R73" t="s">
        <v>42</v>
      </c>
      <c r="S73" s="8">
        <v>45020.209027777775</v>
      </c>
      <c r="T73" t="s">
        <v>427</v>
      </c>
      <c r="U73" t="s">
        <v>82</v>
      </c>
      <c r="V73">
        <v>1961</v>
      </c>
      <c r="W73" s="12">
        <v>117.24</v>
      </c>
      <c r="X73">
        <v>7.5</v>
      </c>
      <c r="Y73" s="14">
        <v>21427700000000</v>
      </c>
      <c r="Z73">
        <v>88.2</v>
      </c>
      <c r="AA73">
        <v>101.8</v>
      </c>
      <c r="AB73">
        <v>9.6</v>
      </c>
      <c r="AC73">
        <v>36.6</v>
      </c>
      <c r="AD73">
        <v>328239523</v>
      </c>
    </row>
    <row r="74" spans="1:30" hidden="1" x14ac:dyDescent="0.45">
      <c r="A74">
        <v>72</v>
      </c>
      <c r="B74">
        <v>21600</v>
      </c>
      <c r="C74" t="s">
        <v>347</v>
      </c>
      <c r="D74" t="s">
        <v>428</v>
      </c>
      <c r="E74">
        <v>67</v>
      </c>
      <c r="F74" t="s">
        <v>363</v>
      </c>
      <c r="G74" t="s">
        <v>381</v>
      </c>
      <c r="H74" t="s">
        <v>429</v>
      </c>
      <c r="I74" t="s">
        <v>347</v>
      </c>
      <c r="J74" t="s">
        <v>363</v>
      </c>
      <c r="L74" t="b">
        <v>1</v>
      </c>
      <c r="M74" t="s">
        <v>29</v>
      </c>
      <c r="N74" t="s">
        <v>8245</v>
      </c>
      <c r="O74" s="1">
        <v>20312</v>
      </c>
      <c r="P74" t="s">
        <v>430</v>
      </c>
      <c r="Q74" t="s">
        <v>431</v>
      </c>
      <c r="S74" s="1">
        <v>45020.209027777775</v>
      </c>
      <c r="V74">
        <v>1955</v>
      </c>
      <c r="W74">
        <v>180.75</v>
      </c>
      <c r="X74">
        <v>4.5</v>
      </c>
      <c r="Y74" s="2">
        <v>1699876578871</v>
      </c>
      <c r="Z74">
        <v>81.900000000000006</v>
      </c>
      <c r="AA74">
        <v>102.6</v>
      </c>
      <c r="AB74">
        <v>11.4</v>
      </c>
      <c r="AC74">
        <v>46.2</v>
      </c>
      <c r="AD74">
        <v>144373535</v>
      </c>
    </row>
    <row r="75" spans="1:30" hidden="1" x14ac:dyDescent="0.45">
      <c r="A75">
        <v>74</v>
      </c>
      <c r="B75">
        <v>21200</v>
      </c>
      <c r="C75" t="s">
        <v>23</v>
      </c>
      <c r="D75" t="s">
        <v>432</v>
      </c>
      <c r="E75">
        <v>36</v>
      </c>
      <c r="F75" t="s">
        <v>35</v>
      </c>
      <c r="G75" t="s">
        <v>433</v>
      </c>
      <c r="H75" t="s">
        <v>150</v>
      </c>
      <c r="I75" t="s">
        <v>23</v>
      </c>
      <c r="J75" t="s">
        <v>35</v>
      </c>
      <c r="L75" t="b">
        <v>0</v>
      </c>
      <c r="M75" t="s">
        <v>29</v>
      </c>
      <c r="N75" t="s">
        <v>8245</v>
      </c>
      <c r="O75" s="1">
        <v>31674</v>
      </c>
      <c r="P75" t="s">
        <v>152</v>
      </c>
      <c r="Q75" t="s">
        <v>434</v>
      </c>
      <c r="S75" s="1">
        <v>45020.209027777775</v>
      </c>
      <c r="T75" t="s">
        <v>435</v>
      </c>
      <c r="U75" t="s">
        <v>69</v>
      </c>
      <c r="V75">
        <v>1986</v>
      </c>
      <c r="W75">
        <v>117.24</v>
      </c>
      <c r="X75">
        <v>7.5</v>
      </c>
      <c r="Y75" s="2">
        <v>21427700000000</v>
      </c>
      <c r="Z75">
        <v>88.2</v>
      </c>
      <c r="AA75">
        <v>101.8</v>
      </c>
      <c r="AB75">
        <v>9.6</v>
      </c>
      <c r="AC75">
        <v>36.6</v>
      </c>
      <c r="AD75">
        <v>328239523</v>
      </c>
    </row>
    <row r="76" spans="1:30" hidden="1" x14ac:dyDescent="0.45">
      <c r="A76">
        <v>74</v>
      </c>
      <c r="B76">
        <v>21200</v>
      </c>
      <c r="C76" t="s">
        <v>436</v>
      </c>
      <c r="D76" t="s">
        <v>437</v>
      </c>
      <c r="E76">
        <v>52</v>
      </c>
      <c r="F76" t="s">
        <v>128</v>
      </c>
      <c r="G76" t="s">
        <v>234</v>
      </c>
      <c r="H76" t="s">
        <v>438</v>
      </c>
      <c r="I76" t="s">
        <v>436</v>
      </c>
      <c r="J76" t="s">
        <v>128</v>
      </c>
      <c r="L76" t="b">
        <v>1</v>
      </c>
      <c r="M76" t="s">
        <v>39</v>
      </c>
      <c r="N76" t="s">
        <v>8245</v>
      </c>
      <c r="O76" s="1">
        <v>25842</v>
      </c>
      <c r="P76" t="s">
        <v>439</v>
      </c>
      <c r="Q76" t="s">
        <v>440</v>
      </c>
      <c r="S76" s="1">
        <v>45020.209027777775</v>
      </c>
      <c r="V76">
        <v>1970</v>
      </c>
      <c r="W76">
        <v>125.08</v>
      </c>
      <c r="X76">
        <v>2.9</v>
      </c>
      <c r="Y76" s="2">
        <v>19910000000000</v>
      </c>
      <c r="Z76">
        <v>50.6</v>
      </c>
      <c r="AA76">
        <v>100.2</v>
      </c>
      <c r="AB76">
        <v>9.4</v>
      </c>
      <c r="AC76">
        <v>59.2</v>
      </c>
      <c r="AD76">
        <v>1397715000</v>
      </c>
    </row>
    <row r="77" spans="1:30" x14ac:dyDescent="0.45">
      <c r="A77">
        <v>76</v>
      </c>
      <c r="B77" s="6">
        <v>21100</v>
      </c>
      <c r="C77" t="s">
        <v>45</v>
      </c>
      <c r="D77" t="s">
        <v>441</v>
      </c>
      <c r="E77">
        <v>60</v>
      </c>
      <c r="F77" t="s">
        <v>35</v>
      </c>
      <c r="G77" t="s">
        <v>123</v>
      </c>
      <c r="H77" t="s">
        <v>442</v>
      </c>
      <c r="I77" t="s">
        <v>45</v>
      </c>
      <c r="J77" t="s">
        <v>35</v>
      </c>
      <c r="K77" t="s">
        <v>443</v>
      </c>
      <c r="L77" t="b">
        <v>1</v>
      </c>
      <c r="M77" t="s">
        <v>29</v>
      </c>
      <c r="N77" t="s">
        <v>8245</v>
      </c>
      <c r="O77" s="10">
        <v>23059</v>
      </c>
      <c r="P77" t="s">
        <v>294</v>
      </c>
      <c r="Q77" t="s">
        <v>444</v>
      </c>
      <c r="R77" t="s">
        <v>445</v>
      </c>
      <c r="S77" s="8">
        <v>45020.209027777775</v>
      </c>
      <c r="T77" t="s">
        <v>115</v>
      </c>
      <c r="U77" t="s">
        <v>53</v>
      </c>
      <c r="V77">
        <v>1963</v>
      </c>
      <c r="W77" s="12">
        <v>117.24</v>
      </c>
      <c r="X77">
        <v>7.5</v>
      </c>
      <c r="Y77" s="14">
        <v>21427700000000</v>
      </c>
      <c r="Z77">
        <v>88.2</v>
      </c>
      <c r="AA77">
        <v>101.8</v>
      </c>
      <c r="AB77">
        <v>9.6</v>
      </c>
      <c r="AC77">
        <v>36.6</v>
      </c>
      <c r="AD77">
        <v>328239523</v>
      </c>
    </row>
    <row r="78" spans="1:30" x14ac:dyDescent="0.45">
      <c r="A78">
        <v>77</v>
      </c>
      <c r="B78" s="6">
        <v>21000</v>
      </c>
      <c r="C78" t="s">
        <v>23</v>
      </c>
      <c r="D78" t="s">
        <v>446</v>
      </c>
      <c r="E78">
        <v>90</v>
      </c>
      <c r="F78" t="s">
        <v>35</v>
      </c>
      <c r="G78" t="s">
        <v>78</v>
      </c>
      <c r="H78" t="s">
        <v>447</v>
      </c>
      <c r="I78" t="s">
        <v>23</v>
      </c>
      <c r="J78" t="s">
        <v>35</v>
      </c>
      <c r="K78" t="s">
        <v>448</v>
      </c>
      <c r="L78" t="b">
        <v>0</v>
      </c>
      <c r="M78" t="s">
        <v>39</v>
      </c>
      <c r="N78" t="s">
        <v>8245</v>
      </c>
      <c r="O78" s="10">
        <v>12132</v>
      </c>
      <c r="P78" t="s">
        <v>449</v>
      </c>
      <c r="Q78" t="s">
        <v>450</v>
      </c>
      <c r="R78" t="s">
        <v>451</v>
      </c>
      <c r="S78" s="8">
        <v>45020.209027777775</v>
      </c>
      <c r="T78" t="s">
        <v>78</v>
      </c>
      <c r="U78" t="s">
        <v>82</v>
      </c>
      <c r="V78">
        <v>1933</v>
      </c>
      <c r="W78" s="12">
        <v>117.24</v>
      </c>
      <c r="X78">
        <v>7.5</v>
      </c>
      <c r="Y78" s="14">
        <v>21427700000000</v>
      </c>
      <c r="Z78">
        <v>88.2</v>
      </c>
      <c r="AA78">
        <v>101.8</v>
      </c>
      <c r="AB78">
        <v>9.6</v>
      </c>
      <c r="AC78">
        <v>36.6</v>
      </c>
      <c r="AD78">
        <v>328239523</v>
      </c>
    </row>
    <row r="79" spans="1:30" hidden="1" x14ac:dyDescent="0.45">
      <c r="A79">
        <v>77</v>
      </c>
      <c r="B79">
        <v>21000</v>
      </c>
      <c r="C79" t="s">
        <v>296</v>
      </c>
      <c r="D79" t="s">
        <v>452</v>
      </c>
      <c r="E79">
        <v>77</v>
      </c>
      <c r="F79" t="s">
        <v>266</v>
      </c>
      <c r="G79" t="s">
        <v>453</v>
      </c>
      <c r="H79" t="s">
        <v>454</v>
      </c>
      <c r="I79" t="s">
        <v>296</v>
      </c>
      <c r="J79" t="s">
        <v>266</v>
      </c>
      <c r="L79" t="b">
        <v>1</v>
      </c>
      <c r="M79" t="s">
        <v>39</v>
      </c>
      <c r="N79" t="s">
        <v>8245</v>
      </c>
      <c r="O79" s="1">
        <v>16598</v>
      </c>
      <c r="P79" t="s">
        <v>455</v>
      </c>
      <c r="Q79" t="s">
        <v>456</v>
      </c>
      <c r="S79" s="1">
        <v>45020.209027777775</v>
      </c>
      <c r="V79">
        <v>1945</v>
      </c>
      <c r="W79">
        <v>105.48</v>
      </c>
      <c r="X79">
        <v>0.5</v>
      </c>
      <c r="Y79" s="2">
        <v>5081769542380</v>
      </c>
      <c r="Z79">
        <v>63.2</v>
      </c>
      <c r="AA79">
        <v>98.8</v>
      </c>
      <c r="AB79">
        <v>11.9</v>
      </c>
      <c r="AC79">
        <v>46.7</v>
      </c>
      <c r="AD79">
        <v>126226568</v>
      </c>
    </row>
    <row r="80" spans="1:30" hidden="1" x14ac:dyDescent="0.45">
      <c r="A80">
        <v>79</v>
      </c>
      <c r="B80">
        <v>20900</v>
      </c>
      <c r="C80" t="s">
        <v>326</v>
      </c>
      <c r="D80" t="s">
        <v>457</v>
      </c>
      <c r="E80">
        <v>57</v>
      </c>
      <c r="F80" t="s">
        <v>363</v>
      </c>
      <c r="G80" t="s">
        <v>381</v>
      </c>
      <c r="H80" t="s">
        <v>458</v>
      </c>
      <c r="I80" t="s">
        <v>326</v>
      </c>
      <c r="J80" t="s">
        <v>363</v>
      </c>
      <c r="L80" t="b">
        <v>1</v>
      </c>
      <c r="M80" t="s">
        <v>29</v>
      </c>
      <c r="N80" t="s">
        <v>8245</v>
      </c>
      <c r="O80" s="1">
        <v>24011</v>
      </c>
      <c r="P80" t="s">
        <v>459</v>
      </c>
      <c r="Q80" t="s">
        <v>460</v>
      </c>
      <c r="S80" s="1">
        <v>45020.209027777775</v>
      </c>
      <c r="V80">
        <v>1965</v>
      </c>
      <c r="W80">
        <v>180.75</v>
      </c>
      <c r="X80">
        <v>4.5</v>
      </c>
      <c r="Y80" s="2">
        <v>1699876578871</v>
      </c>
      <c r="Z80">
        <v>81.900000000000006</v>
      </c>
      <c r="AA80">
        <v>102.6</v>
      </c>
      <c r="AB80">
        <v>11.4</v>
      </c>
      <c r="AC80">
        <v>46.2</v>
      </c>
      <c r="AD80">
        <v>144373535</v>
      </c>
    </row>
    <row r="81" spans="1:30" hidden="1" x14ac:dyDescent="0.45">
      <c r="A81">
        <v>80</v>
      </c>
      <c r="B81">
        <v>20500</v>
      </c>
      <c r="C81" t="s">
        <v>347</v>
      </c>
      <c r="D81" t="s">
        <v>461</v>
      </c>
      <c r="E81">
        <v>72</v>
      </c>
      <c r="F81" t="s">
        <v>363</v>
      </c>
      <c r="G81" t="s">
        <v>381</v>
      </c>
      <c r="H81" t="s">
        <v>462</v>
      </c>
      <c r="I81" t="s">
        <v>347</v>
      </c>
      <c r="J81" t="s">
        <v>363</v>
      </c>
      <c r="L81" t="b">
        <v>1</v>
      </c>
      <c r="M81" t="s">
        <v>29</v>
      </c>
      <c r="N81" t="s">
        <v>8245</v>
      </c>
      <c r="O81" s="1">
        <v>18507</v>
      </c>
      <c r="P81" t="s">
        <v>463</v>
      </c>
      <c r="Q81" t="s">
        <v>464</v>
      </c>
      <c r="S81" s="1">
        <v>45020.209027777775</v>
      </c>
      <c r="V81">
        <v>1950</v>
      </c>
      <c r="W81">
        <v>180.75</v>
      </c>
      <c r="X81">
        <v>4.5</v>
      </c>
      <c r="Y81" s="2">
        <v>1699876578871</v>
      </c>
      <c r="Z81">
        <v>81.900000000000006</v>
      </c>
      <c r="AA81">
        <v>102.6</v>
      </c>
      <c r="AB81">
        <v>11.4</v>
      </c>
      <c r="AC81">
        <v>46.2</v>
      </c>
      <c r="AD81">
        <v>144373535</v>
      </c>
    </row>
    <row r="82" spans="1:30" hidden="1" x14ac:dyDescent="0.45">
      <c r="A82">
        <v>81</v>
      </c>
      <c r="B82">
        <v>20200</v>
      </c>
      <c r="C82" t="s">
        <v>402</v>
      </c>
      <c r="D82" t="s">
        <v>465</v>
      </c>
      <c r="E82">
        <v>84</v>
      </c>
      <c r="F82" t="s">
        <v>35</v>
      </c>
      <c r="G82" t="s">
        <v>466</v>
      </c>
      <c r="H82" t="s">
        <v>467</v>
      </c>
      <c r="I82" t="s">
        <v>402</v>
      </c>
      <c r="J82" t="s">
        <v>35</v>
      </c>
      <c r="L82" t="b">
        <v>1</v>
      </c>
      <c r="M82" t="s">
        <v>39</v>
      </c>
      <c r="N82" t="s">
        <v>8245</v>
      </c>
      <c r="O82" s="1">
        <v>14104</v>
      </c>
      <c r="P82" t="s">
        <v>468</v>
      </c>
      <c r="Q82" t="s">
        <v>358</v>
      </c>
      <c r="S82" s="1">
        <v>45020.209027777775</v>
      </c>
      <c r="T82" t="s">
        <v>469</v>
      </c>
      <c r="U82" t="s">
        <v>44</v>
      </c>
      <c r="V82">
        <v>1938</v>
      </c>
      <c r="W82">
        <v>117.24</v>
      </c>
      <c r="X82">
        <v>7.5</v>
      </c>
      <c r="Y82" s="2">
        <v>21427700000000</v>
      </c>
      <c r="Z82">
        <v>88.2</v>
      </c>
      <c r="AA82">
        <v>101.8</v>
      </c>
      <c r="AB82">
        <v>9.6</v>
      </c>
      <c r="AC82">
        <v>36.6</v>
      </c>
      <c r="AD82">
        <v>328239523</v>
      </c>
    </row>
    <row r="83" spans="1:30" hidden="1" x14ac:dyDescent="0.45">
      <c r="A83">
        <v>82</v>
      </c>
      <c r="B83">
        <v>19600</v>
      </c>
      <c r="C83" t="s">
        <v>326</v>
      </c>
      <c r="D83" t="s">
        <v>470</v>
      </c>
      <c r="E83">
        <v>61</v>
      </c>
      <c r="F83" t="s">
        <v>328</v>
      </c>
      <c r="G83" t="s">
        <v>329</v>
      </c>
      <c r="H83" t="s">
        <v>330</v>
      </c>
      <c r="I83" t="s">
        <v>326</v>
      </c>
      <c r="J83" t="s">
        <v>328</v>
      </c>
      <c r="L83" t="b">
        <v>1</v>
      </c>
      <c r="M83" t="s">
        <v>29</v>
      </c>
      <c r="N83" t="s">
        <v>8245</v>
      </c>
      <c r="O83" s="1">
        <v>22603</v>
      </c>
      <c r="P83" t="s">
        <v>471</v>
      </c>
      <c r="Q83" t="s">
        <v>472</v>
      </c>
      <c r="S83" s="1">
        <v>45020.209027777775</v>
      </c>
      <c r="V83">
        <v>1961</v>
      </c>
      <c r="W83">
        <v>119.8</v>
      </c>
      <c r="X83">
        <v>1.6</v>
      </c>
      <c r="Y83" s="2">
        <v>1392680589329</v>
      </c>
      <c r="Z83">
        <v>113.1</v>
      </c>
      <c r="AA83">
        <v>100.3</v>
      </c>
      <c r="AB83">
        <v>23</v>
      </c>
      <c r="AC83">
        <v>47.4</v>
      </c>
      <c r="AD83">
        <v>25766605</v>
      </c>
    </row>
    <row r="84" spans="1:30" x14ac:dyDescent="0.45">
      <c r="A84">
        <v>83</v>
      </c>
      <c r="B84" s="6">
        <v>19100</v>
      </c>
      <c r="C84" t="s">
        <v>61</v>
      </c>
      <c r="D84" t="s">
        <v>473</v>
      </c>
      <c r="E84">
        <v>73</v>
      </c>
      <c r="F84" t="s">
        <v>35</v>
      </c>
      <c r="G84" t="s">
        <v>474</v>
      </c>
      <c r="H84" t="s">
        <v>248</v>
      </c>
      <c r="I84" t="s">
        <v>61</v>
      </c>
      <c r="J84" t="s">
        <v>35</v>
      </c>
      <c r="K84" t="s">
        <v>475</v>
      </c>
      <c r="L84" t="b">
        <v>1</v>
      </c>
      <c r="M84" t="s">
        <v>39</v>
      </c>
      <c r="N84" t="s">
        <v>8245</v>
      </c>
      <c r="O84" s="10">
        <v>18118</v>
      </c>
      <c r="P84" t="s">
        <v>476</v>
      </c>
      <c r="Q84" t="s">
        <v>477</v>
      </c>
      <c r="R84" t="s">
        <v>478</v>
      </c>
      <c r="S84" s="8">
        <v>45020.209027777775</v>
      </c>
      <c r="T84" t="s">
        <v>479</v>
      </c>
      <c r="U84" t="s">
        <v>82</v>
      </c>
      <c r="V84">
        <v>1949</v>
      </c>
      <c r="W84" s="12">
        <v>117.24</v>
      </c>
      <c r="X84">
        <v>7.5</v>
      </c>
      <c r="Y84" s="14">
        <v>21427700000000</v>
      </c>
      <c r="Z84">
        <v>88.2</v>
      </c>
      <c r="AA84">
        <v>101.8</v>
      </c>
      <c r="AB84">
        <v>9.6</v>
      </c>
      <c r="AC84">
        <v>36.6</v>
      </c>
      <c r="AD84">
        <v>328239523</v>
      </c>
    </row>
    <row r="85" spans="1:30" hidden="1" x14ac:dyDescent="0.45">
      <c r="A85">
        <v>84</v>
      </c>
      <c r="B85">
        <v>19000</v>
      </c>
      <c r="C85" t="s">
        <v>33</v>
      </c>
      <c r="D85" t="s">
        <v>480</v>
      </c>
      <c r="E85">
        <v>59</v>
      </c>
      <c r="F85" t="s">
        <v>128</v>
      </c>
      <c r="G85" t="s">
        <v>129</v>
      </c>
      <c r="H85" t="s">
        <v>481</v>
      </c>
      <c r="I85" t="s">
        <v>33</v>
      </c>
      <c r="J85" t="s">
        <v>128</v>
      </c>
      <c r="L85" t="b">
        <v>1</v>
      </c>
      <c r="M85" t="s">
        <v>39</v>
      </c>
      <c r="N85" t="s">
        <v>8245</v>
      </c>
      <c r="O85" s="1">
        <v>23163</v>
      </c>
      <c r="P85" t="s">
        <v>230</v>
      </c>
      <c r="Q85" t="s">
        <v>482</v>
      </c>
      <c r="S85" s="1">
        <v>45020.209027777775</v>
      </c>
      <c r="V85">
        <v>1963</v>
      </c>
      <c r="W85">
        <v>125.08</v>
      </c>
      <c r="X85">
        <v>2.9</v>
      </c>
      <c r="Y85" s="2">
        <v>19910000000000</v>
      </c>
      <c r="Z85">
        <v>50.6</v>
      </c>
      <c r="AA85">
        <v>100.2</v>
      </c>
      <c r="AB85">
        <v>9.4</v>
      </c>
      <c r="AC85">
        <v>59.2</v>
      </c>
      <c r="AD85">
        <v>1397715000</v>
      </c>
    </row>
    <row r="86" spans="1:30" hidden="1" x14ac:dyDescent="0.45">
      <c r="A86">
        <v>84</v>
      </c>
      <c r="B86">
        <v>19000</v>
      </c>
      <c r="C86" t="s">
        <v>326</v>
      </c>
      <c r="D86" t="s">
        <v>483</v>
      </c>
      <c r="E86">
        <v>55</v>
      </c>
      <c r="F86" t="s">
        <v>128</v>
      </c>
      <c r="G86" t="s">
        <v>234</v>
      </c>
      <c r="H86" t="s">
        <v>484</v>
      </c>
      <c r="I86" t="s">
        <v>326</v>
      </c>
      <c r="J86" t="s">
        <v>128</v>
      </c>
      <c r="L86" t="b">
        <v>1</v>
      </c>
      <c r="M86" t="s">
        <v>29</v>
      </c>
      <c r="N86" t="s">
        <v>8245</v>
      </c>
      <c r="O86" s="1">
        <v>24898</v>
      </c>
      <c r="P86" t="s">
        <v>439</v>
      </c>
      <c r="Q86" t="s">
        <v>485</v>
      </c>
      <c r="S86" s="1">
        <v>45020.209027777775</v>
      </c>
      <c r="V86">
        <v>1968</v>
      </c>
      <c r="W86">
        <v>125.08</v>
      </c>
      <c r="X86">
        <v>2.9</v>
      </c>
      <c r="Y86" s="2">
        <v>19910000000000</v>
      </c>
      <c r="Z86">
        <v>50.6</v>
      </c>
      <c r="AA86">
        <v>100.2</v>
      </c>
      <c r="AB86">
        <v>9.4</v>
      </c>
      <c r="AC86">
        <v>59.2</v>
      </c>
      <c r="AD86">
        <v>1397715000</v>
      </c>
    </row>
    <row r="87" spans="1:30" hidden="1" x14ac:dyDescent="0.45">
      <c r="A87">
        <v>86</v>
      </c>
      <c r="B87">
        <v>18900</v>
      </c>
      <c r="C87" t="s">
        <v>91</v>
      </c>
      <c r="D87" t="s">
        <v>486</v>
      </c>
      <c r="E87">
        <v>72</v>
      </c>
      <c r="F87" t="s">
        <v>487</v>
      </c>
      <c r="G87" t="s">
        <v>488</v>
      </c>
      <c r="H87" t="s">
        <v>489</v>
      </c>
      <c r="I87" t="s">
        <v>91</v>
      </c>
      <c r="J87" t="s">
        <v>490</v>
      </c>
      <c r="L87" t="b">
        <v>0</v>
      </c>
      <c r="M87" t="s">
        <v>29</v>
      </c>
      <c r="N87" t="s">
        <v>8245</v>
      </c>
      <c r="O87" s="1">
        <v>18416</v>
      </c>
      <c r="P87" t="s">
        <v>491</v>
      </c>
      <c r="Q87" t="s">
        <v>492</v>
      </c>
      <c r="S87" s="1">
        <v>45020.209027777775</v>
      </c>
      <c r="V87">
        <v>1950</v>
      </c>
      <c r="W87"/>
      <c r="Y87" s="2">
        <v>7184844193</v>
      </c>
      <c r="AD87">
        <v>38964</v>
      </c>
    </row>
    <row r="88" spans="1:30" hidden="1" x14ac:dyDescent="0.45">
      <c r="A88">
        <v>86</v>
      </c>
      <c r="B88">
        <v>18900</v>
      </c>
      <c r="C88" t="s">
        <v>126</v>
      </c>
      <c r="D88" t="s">
        <v>493</v>
      </c>
      <c r="E88">
        <v>57</v>
      </c>
      <c r="F88" t="s">
        <v>128</v>
      </c>
      <c r="G88" t="s">
        <v>494</v>
      </c>
      <c r="H88" t="s">
        <v>495</v>
      </c>
      <c r="I88" t="s">
        <v>126</v>
      </c>
      <c r="J88" t="s">
        <v>128</v>
      </c>
      <c r="L88" t="b">
        <v>1</v>
      </c>
      <c r="M88" t="s">
        <v>39</v>
      </c>
      <c r="N88" t="s">
        <v>8245</v>
      </c>
      <c r="O88" s="1">
        <v>23849</v>
      </c>
      <c r="P88" t="s">
        <v>496</v>
      </c>
      <c r="Q88" t="s">
        <v>497</v>
      </c>
      <c r="S88" s="1">
        <v>45020.209027777775</v>
      </c>
      <c r="V88">
        <v>1965</v>
      </c>
      <c r="W88">
        <v>125.08</v>
      </c>
      <c r="X88">
        <v>2.9</v>
      </c>
      <c r="Y88" s="2">
        <v>19910000000000</v>
      </c>
      <c r="Z88">
        <v>50.6</v>
      </c>
      <c r="AA88">
        <v>100.2</v>
      </c>
      <c r="AB88">
        <v>9.4</v>
      </c>
      <c r="AC88">
        <v>59.2</v>
      </c>
      <c r="AD88">
        <v>1397715000</v>
      </c>
    </row>
    <row r="89" spans="1:30" hidden="1" x14ac:dyDescent="0.45">
      <c r="A89">
        <v>88</v>
      </c>
      <c r="B89">
        <v>18700</v>
      </c>
      <c r="C89" t="s">
        <v>33</v>
      </c>
      <c r="D89" t="s">
        <v>498</v>
      </c>
      <c r="E89">
        <v>57</v>
      </c>
      <c r="F89" t="s">
        <v>128</v>
      </c>
      <c r="G89" t="s">
        <v>234</v>
      </c>
      <c r="H89" t="s">
        <v>499</v>
      </c>
      <c r="I89" t="s">
        <v>33</v>
      </c>
      <c r="J89" t="s">
        <v>128</v>
      </c>
      <c r="L89" t="b">
        <v>1</v>
      </c>
      <c r="M89" t="s">
        <v>39</v>
      </c>
      <c r="N89" t="s">
        <v>8245</v>
      </c>
      <c r="O89" s="1">
        <v>24153</v>
      </c>
      <c r="P89" t="s">
        <v>439</v>
      </c>
      <c r="Q89" t="s">
        <v>500</v>
      </c>
      <c r="S89" s="1">
        <v>45020.209027777775</v>
      </c>
      <c r="V89">
        <v>1966</v>
      </c>
      <c r="W89">
        <v>125.08</v>
      </c>
      <c r="X89">
        <v>2.9</v>
      </c>
      <c r="Y89" s="2">
        <v>19910000000000</v>
      </c>
      <c r="Z89">
        <v>50.6</v>
      </c>
      <c r="AA89">
        <v>100.2</v>
      </c>
      <c r="AB89">
        <v>9.4</v>
      </c>
      <c r="AC89">
        <v>59.2</v>
      </c>
      <c r="AD89">
        <v>1397715000</v>
      </c>
    </row>
    <row r="90" spans="1:30" x14ac:dyDescent="0.45">
      <c r="A90">
        <v>89</v>
      </c>
      <c r="B90" s="6">
        <v>18500</v>
      </c>
      <c r="C90" t="s">
        <v>347</v>
      </c>
      <c r="D90" t="s">
        <v>501</v>
      </c>
      <c r="E90">
        <v>77</v>
      </c>
      <c r="F90" t="s">
        <v>35</v>
      </c>
      <c r="G90" t="s">
        <v>502</v>
      </c>
      <c r="H90" t="s">
        <v>503</v>
      </c>
      <c r="I90" t="s">
        <v>347</v>
      </c>
      <c r="J90" t="s">
        <v>35</v>
      </c>
      <c r="K90" t="s">
        <v>504</v>
      </c>
      <c r="L90" t="b">
        <v>1</v>
      </c>
      <c r="M90" t="s">
        <v>29</v>
      </c>
      <c r="N90" t="s">
        <v>8245</v>
      </c>
      <c r="O90" s="10">
        <v>16782</v>
      </c>
      <c r="P90" t="s">
        <v>505</v>
      </c>
      <c r="Q90" t="s">
        <v>506</v>
      </c>
      <c r="R90" t="s">
        <v>32</v>
      </c>
      <c r="S90" s="8">
        <v>45020.209027777775</v>
      </c>
      <c r="T90" t="s">
        <v>507</v>
      </c>
      <c r="U90" t="s">
        <v>44</v>
      </c>
      <c r="V90">
        <v>1945</v>
      </c>
      <c r="W90" s="12">
        <v>117.24</v>
      </c>
      <c r="X90">
        <v>7.5</v>
      </c>
      <c r="Y90" s="14">
        <v>21427700000000</v>
      </c>
      <c r="Z90">
        <v>88.2</v>
      </c>
      <c r="AA90">
        <v>101.8</v>
      </c>
      <c r="AB90">
        <v>9.6</v>
      </c>
      <c r="AC90">
        <v>36.6</v>
      </c>
      <c r="AD90">
        <v>328239523</v>
      </c>
    </row>
    <row r="91" spans="1:30" x14ac:dyDescent="0.45">
      <c r="A91">
        <v>89</v>
      </c>
      <c r="B91" s="6">
        <v>18500</v>
      </c>
      <c r="C91" t="s">
        <v>61</v>
      </c>
      <c r="D91" t="s">
        <v>508</v>
      </c>
      <c r="E91">
        <v>65</v>
      </c>
      <c r="F91" t="s">
        <v>35</v>
      </c>
      <c r="G91" t="s">
        <v>355</v>
      </c>
      <c r="H91" t="s">
        <v>248</v>
      </c>
      <c r="I91" t="s">
        <v>61</v>
      </c>
      <c r="J91" t="s">
        <v>35</v>
      </c>
      <c r="K91" t="s">
        <v>509</v>
      </c>
      <c r="L91" t="b">
        <v>1</v>
      </c>
      <c r="M91" t="s">
        <v>29</v>
      </c>
      <c r="N91" t="s">
        <v>8245</v>
      </c>
      <c r="O91" s="10">
        <v>21074</v>
      </c>
      <c r="P91" t="s">
        <v>510</v>
      </c>
      <c r="Q91" t="s">
        <v>169</v>
      </c>
      <c r="R91" t="s">
        <v>511</v>
      </c>
      <c r="S91" s="8">
        <v>45020.209027777775</v>
      </c>
      <c r="T91" t="s">
        <v>253</v>
      </c>
      <c r="U91" t="s">
        <v>44</v>
      </c>
      <c r="V91">
        <v>1957</v>
      </c>
      <c r="W91" s="12">
        <v>117.24</v>
      </c>
      <c r="X91">
        <v>7.5</v>
      </c>
      <c r="Y91" s="14">
        <v>21427700000000</v>
      </c>
      <c r="Z91">
        <v>88.2</v>
      </c>
      <c r="AA91">
        <v>101.8</v>
      </c>
      <c r="AB91">
        <v>9.6</v>
      </c>
      <c r="AC91">
        <v>36.6</v>
      </c>
      <c r="AD91">
        <v>328239523</v>
      </c>
    </row>
    <row r="92" spans="1:30" hidden="1" x14ac:dyDescent="0.45">
      <c r="A92">
        <v>89</v>
      </c>
      <c r="B92">
        <v>18500</v>
      </c>
      <c r="C92" t="s">
        <v>347</v>
      </c>
      <c r="D92" t="s">
        <v>512</v>
      </c>
      <c r="E92">
        <v>70</v>
      </c>
      <c r="F92" t="s">
        <v>363</v>
      </c>
      <c r="G92" t="s">
        <v>381</v>
      </c>
      <c r="H92" t="s">
        <v>513</v>
      </c>
      <c r="I92" t="s">
        <v>347</v>
      </c>
      <c r="J92" t="s">
        <v>363</v>
      </c>
      <c r="L92" t="b">
        <v>1</v>
      </c>
      <c r="M92" t="s">
        <v>29</v>
      </c>
      <c r="N92" t="s">
        <v>8245</v>
      </c>
      <c r="O92" s="1">
        <v>19307</v>
      </c>
      <c r="P92" t="s">
        <v>514</v>
      </c>
      <c r="Q92" t="s">
        <v>515</v>
      </c>
      <c r="S92" s="1">
        <v>45020.209027777775</v>
      </c>
      <c r="V92">
        <v>1952</v>
      </c>
      <c r="W92">
        <v>180.75</v>
      </c>
      <c r="X92">
        <v>4.5</v>
      </c>
      <c r="Y92" s="2">
        <v>1699876578871</v>
      </c>
      <c r="Z92">
        <v>81.900000000000006</v>
      </c>
      <c r="AA92">
        <v>102.6</v>
      </c>
      <c r="AB92">
        <v>11.4</v>
      </c>
      <c r="AC92">
        <v>46.2</v>
      </c>
      <c r="AD92">
        <v>144373535</v>
      </c>
    </row>
    <row r="93" spans="1:30" hidden="1" x14ac:dyDescent="0.45">
      <c r="A93">
        <v>92</v>
      </c>
      <c r="B93">
        <v>18000</v>
      </c>
      <c r="C93" t="s">
        <v>61</v>
      </c>
      <c r="D93" t="s">
        <v>516</v>
      </c>
      <c r="E93">
        <v>61</v>
      </c>
      <c r="F93" t="s">
        <v>35</v>
      </c>
      <c r="G93" t="s">
        <v>517</v>
      </c>
      <c r="H93" t="s">
        <v>518</v>
      </c>
      <c r="I93" t="s">
        <v>61</v>
      </c>
      <c r="J93" t="s">
        <v>35</v>
      </c>
      <c r="L93" t="b">
        <v>1</v>
      </c>
      <c r="M93" t="s">
        <v>39</v>
      </c>
      <c r="N93" t="s">
        <v>8245</v>
      </c>
      <c r="O93" s="1">
        <v>22663</v>
      </c>
      <c r="P93" t="s">
        <v>519</v>
      </c>
      <c r="Q93" t="s">
        <v>520</v>
      </c>
      <c r="S93" s="1">
        <v>45020.209027777775</v>
      </c>
      <c r="T93" t="s">
        <v>521</v>
      </c>
      <c r="U93" t="s">
        <v>69</v>
      </c>
      <c r="V93">
        <v>1962</v>
      </c>
      <c r="W93">
        <v>117.24</v>
      </c>
      <c r="X93">
        <v>7.5</v>
      </c>
      <c r="Y93" s="2">
        <v>21427700000000</v>
      </c>
      <c r="Z93">
        <v>88.2</v>
      </c>
      <c r="AA93">
        <v>101.8</v>
      </c>
      <c r="AB93">
        <v>9.6</v>
      </c>
      <c r="AC93">
        <v>36.6</v>
      </c>
      <c r="AD93">
        <v>328239523</v>
      </c>
    </row>
    <row r="94" spans="1:30" hidden="1" x14ac:dyDescent="0.45">
      <c r="A94">
        <v>93</v>
      </c>
      <c r="B94">
        <v>17700</v>
      </c>
      <c r="C94" t="s">
        <v>326</v>
      </c>
      <c r="D94" t="s">
        <v>522</v>
      </c>
      <c r="E94">
        <v>72</v>
      </c>
      <c r="F94" t="s">
        <v>272</v>
      </c>
      <c r="G94" t="s">
        <v>273</v>
      </c>
      <c r="H94" t="s">
        <v>523</v>
      </c>
      <c r="I94" t="s">
        <v>326</v>
      </c>
      <c r="J94" t="s">
        <v>93</v>
      </c>
      <c r="K94" t="s">
        <v>524</v>
      </c>
      <c r="L94" t="b">
        <v>0</v>
      </c>
      <c r="M94" t="s">
        <v>39</v>
      </c>
      <c r="N94" t="s">
        <v>8245</v>
      </c>
      <c r="O94" s="1">
        <v>18429</v>
      </c>
      <c r="P94" t="s">
        <v>525</v>
      </c>
      <c r="Q94" t="s">
        <v>526</v>
      </c>
      <c r="R94" t="s">
        <v>32</v>
      </c>
      <c r="S94" s="1">
        <v>45020.209027777775</v>
      </c>
      <c r="V94">
        <v>1950</v>
      </c>
      <c r="W94">
        <v>119.62</v>
      </c>
      <c r="X94">
        <v>1.7</v>
      </c>
      <c r="Y94" s="2">
        <v>2827113184696</v>
      </c>
      <c r="Z94">
        <v>60</v>
      </c>
      <c r="AA94">
        <v>101.2</v>
      </c>
      <c r="AB94">
        <v>25.5</v>
      </c>
      <c r="AC94">
        <v>30.6</v>
      </c>
      <c r="AD94">
        <v>66834405</v>
      </c>
    </row>
    <row r="95" spans="1:30" x14ac:dyDescent="0.45">
      <c r="A95">
        <v>94</v>
      </c>
      <c r="B95" s="6">
        <v>17500</v>
      </c>
      <c r="C95" t="s">
        <v>61</v>
      </c>
      <c r="D95" t="s">
        <v>527</v>
      </c>
      <c r="E95">
        <v>66</v>
      </c>
      <c r="F95" t="s">
        <v>35</v>
      </c>
      <c r="G95" t="s">
        <v>474</v>
      </c>
      <c r="H95" t="s">
        <v>248</v>
      </c>
      <c r="I95" t="s">
        <v>61</v>
      </c>
      <c r="J95" t="s">
        <v>35</v>
      </c>
      <c r="K95" t="s">
        <v>528</v>
      </c>
      <c r="L95" t="b">
        <v>1</v>
      </c>
      <c r="M95" t="s">
        <v>29</v>
      </c>
      <c r="N95" t="s">
        <v>8245</v>
      </c>
      <c r="O95" s="10">
        <v>20617</v>
      </c>
      <c r="P95" t="s">
        <v>529</v>
      </c>
      <c r="Q95" t="s">
        <v>103</v>
      </c>
      <c r="R95" t="s">
        <v>192</v>
      </c>
      <c r="S95" s="8">
        <v>45020.209027777775</v>
      </c>
      <c r="T95" t="s">
        <v>479</v>
      </c>
      <c r="U95" t="s">
        <v>82</v>
      </c>
      <c r="V95">
        <v>1956</v>
      </c>
      <c r="W95" s="12">
        <v>117.24</v>
      </c>
      <c r="X95">
        <v>7.5</v>
      </c>
      <c r="Y95" s="14">
        <v>21427700000000</v>
      </c>
      <c r="Z95">
        <v>88.2</v>
      </c>
      <c r="AA95">
        <v>101.8</v>
      </c>
      <c r="AB95">
        <v>9.6</v>
      </c>
      <c r="AC95">
        <v>36.6</v>
      </c>
      <c r="AD95">
        <v>328239523</v>
      </c>
    </row>
    <row r="96" spans="1:30" x14ac:dyDescent="0.45">
      <c r="A96">
        <v>94</v>
      </c>
      <c r="B96" s="6">
        <v>17500</v>
      </c>
      <c r="C96" t="s">
        <v>61</v>
      </c>
      <c r="D96" t="s">
        <v>530</v>
      </c>
      <c r="E96">
        <v>87</v>
      </c>
      <c r="F96" t="s">
        <v>35</v>
      </c>
      <c r="G96" t="s">
        <v>531</v>
      </c>
      <c r="H96" t="s">
        <v>317</v>
      </c>
      <c r="I96" t="s">
        <v>61</v>
      </c>
      <c r="J96" t="s">
        <v>35</v>
      </c>
      <c r="K96" t="s">
        <v>532</v>
      </c>
      <c r="L96" t="b">
        <v>1</v>
      </c>
      <c r="M96" t="s">
        <v>29</v>
      </c>
      <c r="N96" t="s">
        <v>8245</v>
      </c>
      <c r="O96" s="10">
        <v>13196</v>
      </c>
      <c r="P96" t="s">
        <v>533</v>
      </c>
      <c r="Q96" t="s">
        <v>534</v>
      </c>
      <c r="R96" t="s">
        <v>192</v>
      </c>
      <c r="S96" s="8">
        <v>45020.209027777775</v>
      </c>
      <c r="T96" t="s">
        <v>253</v>
      </c>
      <c r="U96" t="s">
        <v>44</v>
      </c>
      <c r="V96">
        <v>1936</v>
      </c>
      <c r="W96" s="12">
        <v>117.24</v>
      </c>
      <c r="X96">
        <v>7.5</v>
      </c>
      <c r="Y96" s="14">
        <v>21427700000000</v>
      </c>
      <c r="Z96">
        <v>88.2</v>
      </c>
      <c r="AA96">
        <v>101.8</v>
      </c>
      <c r="AB96">
        <v>9.6</v>
      </c>
      <c r="AC96">
        <v>36.6</v>
      </c>
      <c r="AD96">
        <v>328239523</v>
      </c>
    </row>
    <row r="97" spans="1:30" hidden="1" x14ac:dyDescent="0.45">
      <c r="A97">
        <v>94</v>
      </c>
      <c r="B97">
        <v>17500</v>
      </c>
      <c r="C97" t="s">
        <v>326</v>
      </c>
      <c r="D97" t="s">
        <v>535</v>
      </c>
      <c r="E97">
        <v>73</v>
      </c>
      <c r="F97" t="s">
        <v>93</v>
      </c>
      <c r="G97" t="s">
        <v>536</v>
      </c>
      <c r="H97" t="s">
        <v>523</v>
      </c>
      <c r="I97" t="s">
        <v>326</v>
      </c>
      <c r="J97" t="s">
        <v>93</v>
      </c>
      <c r="L97" t="b">
        <v>0</v>
      </c>
      <c r="M97" t="s">
        <v>39</v>
      </c>
      <c r="N97" t="s">
        <v>8246</v>
      </c>
      <c r="O97" s="1">
        <v>18342</v>
      </c>
      <c r="P97" t="s">
        <v>537</v>
      </c>
      <c r="Q97" t="s">
        <v>538</v>
      </c>
      <c r="S97" s="1">
        <v>45020.209027777775</v>
      </c>
      <c r="V97">
        <v>1950</v>
      </c>
      <c r="W97">
        <v>180.44</v>
      </c>
      <c r="X97">
        <v>7.7</v>
      </c>
      <c r="Y97" s="2">
        <v>2611000000000</v>
      </c>
      <c r="Z97">
        <v>28.1</v>
      </c>
      <c r="AA97">
        <v>113</v>
      </c>
      <c r="AB97">
        <v>11.2</v>
      </c>
      <c r="AC97">
        <v>49.7</v>
      </c>
      <c r="AD97">
        <v>1366417754</v>
      </c>
    </row>
    <row r="98" spans="1:30" x14ac:dyDescent="0.45">
      <c r="A98">
        <v>97</v>
      </c>
      <c r="B98" s="6">
        <v>17400</v>
      </c>
      <c r="C98" t="s">
        <v>302</v>
      </c>
      <c r="D98" t="s">
        <v>539</v>
      </c>
      <c r="E98">
        <v>90</v>
      </c>
      <c r="F98" t="s">
        <v>35</v>
      </c>
      <c r="G98" t="s">
        <v>540</v>
      </c>
      <c r="H98" t="s">
        <v>304</v>
      </c>
      <c r="I98" t="s">
        <v>302</v>
      </c>
      <c r="J98" t="s">
        <v>35</v>
      </c>
      <c r="K98" t="s">
        <v>541</v>
      </c>
      <c r="L98" t="b">
        <v>1</v>
      </c>
      <c r="M98" t="s">
        <v>29</v>
      </c>
      <c r="N98" t="s">
        <v>8245</v>
      </c>
      <c r="O98" s="10">
        <v>11820</v>
      </c>
      <c r="P98" t="s">
        <v>542</v>
      </c>
      <c r="Q98" t="s">
        <v>543</v>
      </c>
      <c r="R98" t="s">
        <v>170</v>
      </c>
      <c r="S98" s="8">
        <v>45020.209027777775</v>
      </c>
      <c r="T98" t="s">
        <v>115</v>
      </c>
      <c r="U98" t="s">
        <v>53</v>
      </c>
      <c r="V98">
        <v>1932</v>
      </c>
      <c r="W98" s="12">
        <v>117.24</v>
      </c>
      <c r="X98">
        <v>7.5</v>
      </c>
      <c r="Y98" s="14">
        <v>21427700000000</v>
      </c>
      <c r="Z98">
        <v>88.2</v>
      </c>
      <c r="AA98">
        <v>101.8</v>
      </c>
      <c r="AB98">
        <v>9.6</v>
      </c>
      <c r="AC98">
        <v>36.6</v>
      </c>
      <c r="AD98">
        <v>328239523</v>
      </c>
    </row>
    <row r="99" spans="1:30" x14ac:dyDescent="0.45">
      <c r="A99">
        <v>97</v>
      </c>
      <c r="B99" s="6">
        <v>17400</v>
      </c>
      <c r="C99" t="s">
        <v>23</v>
      </c>
      <c r="D99" t="s">
        <v>544</v>
      </c>
      <c r="E99">
        <v>83</v>
      </c>
      <c r="F99" t="s">
        <v>35</v>
      </c>
      <c r="G99" t="s">
        <v>545</v>
      </c>
      <c r="H99" t="s">
        <v>546</v>
      </c>
      <c r="I99" t="s">
        <v>23</v>
      </c>
      <c r="J99" t="s">
        <v>35</v>
      </c>
      <c r="K99" t="s">
        <v>547</v>
      </c>
      <c r="L99" t="b">
        <v>1</v>
      </c>
      <c r="M99" t="s">
        <v>29</v>
      </c>
      <c r="N99" t="s">
        <v>8245</v>
      </c>
      <c r="O99" s="10">
        <v>14632</v>
      </c>
      <c r="P99" t="s">
        <v>548</v>
      </c>
      <c r="Q99" t="s">
        <v>225</v>
      </c>
      <c r="R99" t="s">
        <v>192</v>
      </c>
      <c r="S99" s="8">
        <v>45020.209027777775</v>
      </c>
      <c r="T99" t="s">
        <v>549</v>
      </c>
      <c r="U99" t="s">
        <v>69</v>
      </c>
      <c r="V99">
        <v>1940</v>
      </c>
      <c r="W99" s="12">
        <v>117.24</v>
      </c>
      <c r="X99">
        <v>7.5</v>
      </c>
      <c r="Y99" s="14">
        <v>21427700000000</v>
      </c>
      <c r="Z99">
        <v>88.2</v>
      </c>
      <c r="AA99">
        <v>101.8</v>
      </c>
      <c r="AB99">
        <v>9.6</v>
      </c>
      <c r="AC99">
        <v>36.6</v>
      </c>
      <c r="AD99">
        <v>328239523</v>
      </c>
    </row>
    <row r="100" spans="1:30" x14ac:dyDescent="0.45">
      <c r="A100">
        <v>99</v>
      </c>
      <c r="B100" s="6">
        <v>17100</v>
      </c>
      <c r="C100" t="s">
        <v>76</v>
      </c>
      <c r="D100" t="s">
        <v>550</v>
      </c>
      <c r="E100">
        <v>92</v>
      </c>
      <c r="F100" t="s">
        <v>35</v>
      </c>
      <c r="G100" t="s">
        <v>78</v>
      </c>
      <c r="H100" t="s">
        <v>551</v>
      </c>
      <c r="I100" t="s">
        <v>76</v>
      </c>
      <c r="J100" t="s">
        <v>35</v>
      </c>
      <c r="K100" t="s">
        <v>552</v>
      </c>
      <c r="L100" t="b">
        <v>0</v>
      </c>
      <c r="M100" t="s">
        <v>39</v>
      </c>
      <c r="N100" t="s">
        <v>8245</v>
      </c>
      <c r="O100" s="10">
        <v>11393</v>
      </c>
      <c r="P100" t="s">
        <v>553</v>
      </c>
      <c r="Q100" t="s">
        <v>554</v>
      </c>
      <c r="R100" t="s">
        <v>32</v>
      </c>
      <c r="S100" s="8">
        <v>45020.209027777775</v>
      </c>
      <c r="T100" t="s">
        <v>78</v>
      </c>
      <c r="U100" t="s">
        <v>82</v>
      </c>
      <c r="V100">
        <v>1931</v>
      </c>
      <c r="W100" s="12">
        <v>117.24</v>
      </c>
      <c r="X100">
        <v>7.5</v>
      </c>
      <c r="Y100" s="14">
        <v>21427700000000</v>
      </c>
      <c r="Z100">
        <v>88.2</v>
      </c>
      <c r="AA100">
        <v>101.8</v>
      </c>
      <c r="AB100">
        <v>9.6</v>
      </c>
      <c r="AC100">
        <v>36.6</v>
      </c>
      <c r="AD100">
        <v>328239523</v>
      </c>
    </row>
    <row r="101" spans="1:30" hidden="1" x14ac:dyDescent="0.45">
      <c r="A101">
        <v>100</v>
      </c>
      <c r="B101">
        <v>16700</v>
      </c>
      <c r="C101" t="s">
        <v>61</v>
      </c>
      <c r="D101" t="s">
        <v>555</v>
      </c>
      <c r="E101">
        <v>70</v>
      </c>
      <c r="F101" t="s">
        <v>205</v>
      </c>
      <c r="G101" t="s">
        <v>556</v>
      </c>
      <c r="H101" t="s">
        <v>557</v>
      </c>
      <c r="I101" t="s">
        <v>61</v>
      </c>
      <c r="J101" t="s">
        <v>558</v>
      </c>
      <c r="L101" t="b">
        <v>0</v>
      </c>
      <c r="M101" t="s">
        <v>29</v>
      </c>
      <c r="N101" t="s">
        <v>8246</v>
      </c>
      <c r="O101" s="1">
        <v>19360</v>
      </c>
      <c r="P101" t="s">
        <v>559</v>
      </c>
      <c r="Q101" t="s">
        <v>560</v>
      </c>
      <c r="S101" s="1">
        <v>45020.209027777775</v>
      </c>
      <c r="V101">
        <v>1953</v>
      </c>
      <c r="W101">
        <v>99.55</v>
      </c>
      <c r="X101">
        <v>0.4</v>
      </c>
      <c r="Y101" s="2">
        <v>703082435360</v>
      </c>
      <c r="Z101">
        <v>59.6</v>
      </c>
      <c r="AA101">
        <v>105.2</v>
      </c>
      <c r="AB101">
        <v>10.1</v>
      </c>
      <c r="AC101">
        <v>28.8</v>
      </c>
      <c r="AD101">
        <v>8574832</v>
      </c>
    </row>
    <row r="102" spans="1:30" hidden="1" x14ac:dyDescent="0.45">
      <c r="A102">
        <v>101</v>
      </c>
      <c r="B102">
        <v>16500</v>
      </c>
      <c r="C102" t="s">
        <v>23</v>
      </c>
      <c r="D102" t="s">
        <v>561</v>
      </c>
      <c r="E102">
        <v>72</v>
      </c>
      <c r="F102" t="s">
        <v>194</v>
      </c>
      <c r="G102" t="s">
        <v>562</v>
      </c>
      <c r="H102" t="s">
        <v>563</v>
      </c>
      <c r="I102" t="s">
        <v>23</v>
      </c>
      <c r="J102" t="s">
        <v>194</v>
      </c>
      <c r="L102" t="b">
        <v>0</v>
      </c>
      <c r="M102" t="s">
        <v>39</v>
      </c>
      <c r="N102" t="s">
        <v>8245</v>
      </c>
      <c r="O102" s="1">
        <v>18629</v>
      </c>
      <c r="P102" t="s">
        <v>564</v>
      </c>
      <c r="Q102" t="s">
        <v>565</v>
      </c>
      <c r="S102" s="1">
        <v>45020.209027777775</v>
      </c>
      <c r="V102">
        <v>1951</v>
      </c>
      <c r="W102">
        <v>112.85</v>
      </c>
      <c r="X102">
        <v>1.4</v>
      </c>
      <c r="Y102" s="2">
        <v>3845630030824</v>
      </c>
      <c r="Z102">
        <v>70.2</v>
      </c>
      <c r="AA102">
        <v>104</v>
      </c>
      <c r="AB102">
        <v>11.5</v>
      </c>
      <c r="AC102">
        <v>48.8</v>
      </c>
      <c r="AD102">
        <v>83132799</v>
      </c>
    </row>
    <row r="103" spans="1:30" hidden="1" x14ac:dyDescent="0.45">
      <c r="A103">
        <v>101</v>
      </c>
      <c r="B103">
        <v>16500</v>
      </c>
      <c r="C103" t="s">
        <v>61</v>
      </c>
      <c r="D103" t="s">
        <v>566</v>
      </c>
      <c r="E103">
        <v>55</v>
      </c>
      <c r="F103" t="s">
        <v>567</v>
      </c>
      <c r="G103" t="s">
        <v>568</v>
      </c>
      <c r="H103" t="s">
        <v>569</v>
      </c>
      <c r="I103" t="s">
        <v>61</v>
      </c>
      <c r="J103" t="s">
        <v>567</v>
      </c>
      <c r="L103" t="b">
        <v>0</v>
      </c>
      <c r="M103" t="s">
        <v>39</v>
      </c>
      <c r="N103" t="s">
        <v>8246</v>
      </c>
      <c r="O103" s="1">
        <v>24657</v>
      </c>
      <c r="P103" t="s">
        <v>570</v>
      </c>
      <c r="Q103" t="s">
        <v>571</v>
      </c>
      <c r="S103" s="1">
        <v>45020.209027777775</v>
      </c>
      <c r="V103">
        <v>1967</v>
      </c>
      <c r="W103">
        <v>116.48</v>
      </c>
      <c r="X103">
        <v>2.8</v>
      </c>
      <c r="Y103" s="2">
        <v>246489245495</v>
      </c>
      <c r="Z103">
        <v>64.099999999999994</v>
      </c>
      <c r="AA103">
        <v>100.7</v>
      </c>
      <c r="AB103">
        <v>14.9</v>
      </c>
      <c r="AC103">
        <v>46.1</v>
      </c>
      <c r="AD103">
        <v>10669709</v>
      </c>
    </row>
    <row r="104" spans="1:30" hidden="1" x14ac:dyDescent="0.45">
      <c r="A104">
        <v>103</v>
      </c>
      <c r="B104">
        <v>16300</v>
      </c>
      <c r="C104" t="s">
        <v>402</v>
      </c>
      <c r="D104" t="s">
        <v>572</v>
      </c>
      <c r="E104">
        <v>72</v>
      </c>
      <c r="F104" t="s">
        <v>128</v>
      </c>
      <c r="G104" t="s">
        <v>234</v>
      </c>
      <c r="H104" t="s">
        <v>573</v>
      </c>
      <c r="I104" t="s">
        <v>402</v>
      </c>
      <c r="J104" t="s">
        <v>574</v>
      </c>
      <c r="L104" t="b">
        <v>1</v>
      </c>
      <c r="M104" t="s">
        <v>39</v>
      </c>
      <c r="N104" t="s">
        <v>8245</v>
      </c>
      <c r="O104" s="1">
        <v>18629</v>
      </c>
      <c r="P104" t="s">
        <v>230</v>
      </c>
      <c r="Q104" t="s">
        <v>575</v>
      </c>
      <c r="S104" s="1">
        <v>45020.209027777775</v>
      </c>
      <c r="V104">
        <v>1951</v>
      </c>
      <c r="W104">
        <v>125.08</v>
      </c>
      <c r="X104">
        <v>2.9</v>
      </c>
      <c r="Y104" s="2">
        <v>19910000000000</v>
      </c>
      <c r="Z104">
        <v>50.6</v>
      </c>
      <c r="AA104">
        <v>100.2</v>
      </c>
      <c r="AB104">
        <v>9.4</v>
      </c>
      <c r="AC104">
        <v>59.2</v>
      </c>
      <c r="AD104">
        <v>1397715000</v>
      </c>
    </row>
    <row r="105" spans="1:30" hidden="1" x14ac:dyDescent="0.45">
      <c r="A105">
        <v>104</v>
      </c>
      <c r="B105">
        <v>16200</v>
      </c>
      <c r="C105" t="s">
        <v>23</v>
      </c>
      <c r="D105" t="s">
        <v>576</v>
      </c>
      <c r="E105">
        <v>75</v>
      </c>
      <c r="F105" t="s">
        <v>577</v>
      </c>
      <c r="G105" t="s">
        <v>578</v>
      </c>
      <c r="H105" t="s">
        <v>579</v>
      </c>
      <c r="I105" t="s">
        <v>23</v>
      </c>
      <c r="J105" t="s">
        <v>577</v>
      </c>
      <c r="K105" t="s">
        <v>580</v>
      </c>
      <c r="L105" t="b">
        <v>0</v>
      </c>
      <c r="M105" t="s">
        <v>39</v>
      </c>
      <c r="N105" t="s">
        <v>8245</v>
      </c>
      <c r="O105" s="1">
        <v>17444</v>
      </c>
      <c r="P105" t="s">
        <v>581</v>
      </c>
      <c r="Q105" t="s">
        <v>370</v>
      </c>
      <c r="R105" t="s">
        <v>170</v>
      </c>
      <c r="S105" s="1">
        <v>45020.209027777775</v>
      </c>
      <c r="V105">
        <v>1947</v>
      </c>
      <c r="W105">
        <v>110.51</v>
      </c>
      <c r="X105">
        <v>1.8</v>
      </c>
      <c r="Y105" s="2">
        <v>530832908738</v>
      </c>
      <c r="Z105">
        <v>67</v>
      </c>
      <c r="AA105">
        <v>126.6</v>
      </c>
      <c r="AB105">
        <v>27.9</v>
      </c>
      <c r="AC105">
        <v>49.1</v>
      </c>
      <c r="AD105">
        <v>10285453</v>
      </c>
    </row>
    <row r="106" spans="1:30" hidden="1" x14ac:dyDescent="0.45">
      <c r="A106">
        <v>104</v>
      </c>
      <c r="B106">
        <v>16200</v>
      </c>
      <c r="C106" t="s">
        <v>45</v>
      </c>
      <c r="D106" t="s">
        <v>582</v>
      </c>
      <c r="E106">
        <v>67</v>
      </c>
      <c r="F106" t="s">
        <v>35</v>
      </c>
      <c r="G106" t="s">
        <v>583</v>
      </c>
      <c r="H106" t="s">
        <v>111</v>
      </c>
      <c r="I106" t="s">
        <v>45</v>
      </c>
      <c r="J106" t="s">
        <v>35</v>
      </c>
      <c r="L106" t="b">
        <v>1</v>
      </c>
      <c r="M106" t="s">
        <v>39</v>
      </c>
      <c r="N106" t="s">
        <v>8245</v>
      </c>
      <c r="O106" s="1">
        <v>20206</v>
      </c>
      <c r="P106" t="s">
        <v>584</v>
      </c>
      <c r="Q106" t="s">
        <v>482</v>
      </c>
      <c r="S106" s="1">
        <v>45020.209027777775</v>
      </c>
      <c r="T106" t="s">
        <v>115</v>
      </c>
      <c r="U106" t="s">
        <v>53</v>
      </c>
      <c r="V106">
        <v>1955</v>
      </c>
      <c r="W106">
        <v>117.24</v>
      </c>
      <c r="X106">
        <v>7.5</v>
      </c>
      <c r="Y106" s="2">
        <v>21427700000000</v>
      </c>
      <c r="Z106">
        <v>88.2</v>
      </c>
      <c r="AA106">
        <v>101.8</v>
      </c>
      <c r="AB106">
        <v>9.6</v>
      </c>
      <c r="AC106">
        <v>36.6</v>
      </c>
      <c r="AD106">
        <v>328239523</v>
      </c>
    </row>
    <row r="107" spans="1:30" hidden="1" x14ac:dyDescent="0.45">
      <c r="A107">
        <v>106</v>
      </c>
      <c r="B107">
        <v>16000</v>
      </c>
      <c r="C107" t="s">
        <v>61</v>
      </c>
      <c r="D107" t="s">
        <v>585</v>
      </c>
      <c r="E107">
        <v>55</v>
      </c>
      <c r="F107" t="s">
        <v>205</v>
      </c>
      <c r="G107" t="s">
        <v>284</v>
      </c>
      <c r="H107" t="s">
        <v>248</v>
      </c>
      <c r="I107" t="s">
        <v>61</v>
      </c>
      <c r="J107" t="s">
        <v>272</v>
      </c>
      <c r="K107" t="s">
        <v>586</v>
      </c>
      <c r="L107" t="b">
        <v>1</v>
      </c>
      <c r="M107" t="s">
        <v>29</v>
      </c>
      <c r="N107" t="s">
        <v>8245</v>
      </c>
      <c r="O107" s="1">
        <v>24915</v>
      </c>
      <c r="P107" t="s">
        <v>587</v>
      </c>
      <c r="Q107" t="s">
        <v>81</v>
      </c>
      <c r="R107" t="s">
        <v>588</v>
      </c>
      <c r="S107" s="1">
        <v>45020.209027777775</v>
      </c>
      <c r="V107">
        <v>1968</v>
      </c>
      <c r="W107">
        <v>99.55</v>
      </c>
      <c r="X107">
        <v>0.4</v>
      </c>
      <c r="Y107" s="2">
        <v>703082435360</v>
      </c>
      <c r="Z107">
        <v>59.6</v>
      </c>
      <c r="AA107">
        <v>105.2</v>
      </c>
      <c r="AB107">
        <v>10.1</v>
      </c>
      <c r="AC107">
        <v>28.8</v>
      </c>
      <c r="AD107">
        <v>8574832</v>
      </c>
    </row>
    <row r="108" spans="1:30" hidden="1" x14ac:dyDescent="0.45">
      <c r="A108">
        <v>107</v>
      </c>
      <c r="B108">
        <v>15900</v>
      </c>
      <c r="C108" t="s">
        <v>126</v>
      </c>
      <c r="D108" t="s">
        <v>589</v>
      </c>
      <c r="E108">
        <v>67</v>
      </c>
      <c r="F108" t="s">
        <v>128</v>
      </c>
      <c r="G108" t="s">
        <v>388</v>
      </c>
      <c r="H108" t="s">
        <v>590</v>
      </c>
      <c r="I108" t="s">
        <v>126</v>
      </c>
      <c r="J108" t="s">
        <v>128</v>
      </c>
      <c r="L108" t="b">
        <v>1</v>
      </c>
      <c r="M108" t="s">
        <v>39</v>
      </c>
      <c r="N108" t="s">
        <v>8245</v>
      </c>
      <c r="O108" s="1">
        <v>20473</v>
      </c>
      <c r="P108" t="s">
        <v>591</v>
      </c>
      <c r="Q108" t="s">
        <v>592</v>
      </c>
      <c r="S108" s="1">
        <v>45020.209027777775</v>
      </c>
      <c r="V108">
        <v>1956</v>
      </c>
      <c r="W108">
        <v>125.08</v>
      </c>
      <c r="X108">
        <v>2.9</v>
      </c>
      <c r="Y108" s="2">
        <v>19910000000000</v>
      </c>
      <c r="Z108">
        <v>50.6</v>
      </c>
      <c r="AA108">
        <v>100.2</v>
      </c>
      <c r="AB108">
        <v>9.4</v>
      </c>
      <c r="AC108">
        <v>59.2</v>
      </c>
      <c r="AD108">
        <v>1397715000</v>
      </c>
    </row>
    <row r="109" spans="1:30" hidden="1" x14ac:dyDescent="0.45">
      <c r="A109">
        <v>108</v>
      </c>
      <c r="B109">
        <v>15800</v>
      </c>
      <c r="C109" t="s">
        <v>23</v>
      </c>
      <c r="D109" t="s">
        <v>593</v>
      </c>
      <c r="F109" t="s">
        <v>194</v>
      </c>
      <c r="H109" t="s">
        <v>594</v>
      </c>
      <c r="I109" t="s">
        <v>23</v>
      </c>
      <c r="J109" t="s">
        <v>194</v>
      </c>
      <c r="L109" t="b">
        <v>0</v>
      </c>
      <c r="M109" t="s">
        <v>285</v>
      </c>
      <c r="N109" t="s">
        <v>8245</v>
      </c>
      <c r="O109"/>
      <c r="P109" t="s">
        <v>595</v>
      </c>
      <c r="Q109" t="s">
        <v>596</v>
      </c>
      <c r="S109" s="1">
        <v>45020.209027777775</v>
      </c>
      <c r="W109">
        <v>112.85</v>
      </c>
      <c r="X109">
        <v>1.4</v>
      </c>
      <c r="Y109" s="2">
        <v>3845630030824</v>
      </c>
      <c r="Z109">
        <v>70.2</v>
      </c>
      <c r="AA109">
        <v>104</v>
      </c>
      <c r="AB109">
        <v>11.5</v>
      </c>
      <c r="AC109">
        <v>48.8</v>
      </c>
      <c r="AD109">
        <v>83132799</v>
      </c>
    </row>
    <row r="110" spans="1:30" hidden="1" x14ac:dyDescent="0.45">
      <c r="A110">
        <v>108</v>
      </c>
      <c r="B110">
        <v>15800</v>
      </c>
      <c r="C110" t="s">
        <v>23</v>
      </c>
      <c r="D110" t="s">
        <v>597</v>
      </c>
      <c r="H110" t="s">
        <v>594</v>
      </c>
      <c r="I110" t="s">
        <v>23</v>
      </c>
      <c r="J110" t="s">
        <v>194</v>
      </c>
      <c r="L110" t="b">
        <v>0</v>
      </c>
      <c r="M110" t="s">
        <v>285</v>
      </c>
      <c r="N110" t="s">
        <v>8246</v>
      </c>
      <c r="O110"/>
      <c r="P110" t="s">
        <v>598</v>
      </c>
      <c r="Q110" t="s">
        <v>599</v>
      </c>
      <c r="S110" s="1">
        <v>45020.209027777775</v>
      </c>
      <c r="W110"/>
      <c r="Y110"/>
    </row>
    <row r="111" spans="1:30" hidden="1" x14ac:dyDescent="0.45">
      <c r="A111">
        <v>108</v>
      </c>
      <c r="B111">
        <v>15800</v>
      </c>
      <c r="C111" t="s">
        <v>126</v>
      </c>
      <c r="D111" t="s">
        <v>600</v>
      </c>
      <c r="E111">
        <v>83</v>
      </c>
      <c r="F111" t="s">
        <v>205</v>
      </c>
      <c r="G111" t="s">
        <v>601</v>
      </c>
      <c r="H111" t="s">
        <v>602</v>
      </c>
      <c r="I111" t="s">
        <v>126</v>
      </c>
      <c r="J111" t="s">
        <v>558</v>
      </c>
      <c r="L111" t="b">
        <v>1</v>
      </c>
      <c r="M111" t="s">
        <v>29</v>
      </c>
      <c r="N111" t="s">
        <v>8245</v>
      </c>
      <c r="O111" s="1">
        <v>14483</v>
      </c>
      <c r="P111" t="s">
        <v>603</v>
      </c>
      <c r="Q111" t="s">
        <v>604</v>
      </c>
      <c r="R111" t="s">
        <v>605</v>
      </c>
      <c r="S111" s="1">
        <v>45020.209027777775</v>
      </c>
      <c r="V111">
        <v>1939</v>
      </c>
      <c r="W111">
        <v>99.55</v>
      </c>
      <c r="X111">
        <v>0.4</v>
      </c>
      <c r="Y111" s="2">
        <v>703082435360</v>
      </c>
      <c r="Z111">
        <v>59.6</v>
      </c>
      <c r="AA111">
        <v>105.2</v>
      </c>
      <c r="AB111">
        <v>10.1</v>
      </c>
      <c r="AC111">
        <v>28.8</v>
      </c>
      <c r="AD111">
        <v>8574832</v>
      </c>
    </row>
    <row r="112" spans="1:30" hidden="1" x14ac:dyDescent="0.45">
      <c r="A112">
        <v>108</v>
      </c>
      <c r="B112">
        <v>15800</v>
      </c>
      <c r="C112" t="s">
        <v>302</v>
      </c>
      <c r="D112" t="s">
        <v>606</v>
      </c>
      <c r="E112">
        <v>76</v>
      </c>
      <c r="F112" t="s">
        <v>228</v>
      </c>
      <c r="G112" t="s">
        <v>228</v>
      </c>
      <c r="H112" t="s">
        <v>304</v>
      </c>
      <c r="I112" t="s">
        <v>302</v>
      </c>
      <c r="J112" t="s">
        <v>228</v>
      </c>
      <c r="L112" t="b">
        <v>0</v>
      </c>
      <c r="M112" t="s">
        <v>39</v>
      </c>
      <c r="N112" t="s">
        <v>8245</v>
      </c>
      <c r="O112" s="1">
        <v>17050</v>
      </c>
      <c r="P112" t="s">
        <v>607</v>
      </c>
      <c r="Q112" t="s">
        <v>608</v>
      </c>
      <c r="S112" s="1">
        <v>45020.209027777775</v>
      </c>
      <c r="V112">
        <v>1946</v>
      </c>
      <c r="W112"/>
      <c r="Y112"/>
    </row>
    <row r="113" spans="1:30" hidden="1" x14ac:dyDescent="0.45">
      <c r="A113">
        <v>112</v>
      </c>
      <c r="B113">
        <v>15600</v>
      </c>
      <c r="C113" t="s">
        <v>402</v>
      </c>
      <c r="D113" t="s">
        <v>609</v>
      </c>
      <c r="E113">
        <v>67</v>
      </c>
      <c r="F113" t="s">
        <v>93</v>
      </c>
      <c r="G113" t="s">
        <v>94</v>
      </c>
      <c r="H113" t="s">
        <v>610</v>
      </c>
      <c r="I113" t="s">
        <v>402</v>
      </c>
      <c r="J113" t="s">
        <v>93</v>
      </c>
      <c r="L113" t="b">
        <v>1</v>
      </c>
      <c r="M113" t="s">
        <v>611</v>
      </c>
      <c r="N113" t="s">
        <v>8245</v>
      </c>
      <c r="O113" s="1">
        <v>20363</v>
      </c>
      <c r="P113" t="s">
        <v>612</v>
      </c>
      <c r="Q113" t="s">
        <v>613</v>
      </c>
      <c r="S113" s="1">
        <v>45020.209027777775</v>
      </c>
      <c r="V113">
        <v>1955</v>
      </c>
      <c r="W113">
        <v>180.44</v>
      </c>
      <c r="X113">
        <v>7.7</v>
      </c>
      <c r="Y113" s="2">
        <v>2611000000000</v>
      </c>
      <c r="Z113">
        <v>28.1</v>
      </c>
      <c r="AA113">
        <v>113</v>
      </c>
      <c r="AB113">
        <v>11.2</v>
      </c>
      <c r="AC113">
        <v>49.7</v>
      </c>
      <c r="AD113">
        <v>1366417754</v>
      </c>
    </row>
    <row r="114" spans="1:30" x14ac:dyDescent="0.45">
      <c r="A114">
        <v>113</v>
      </c>
      <c r="B114" s="6">
        <v>15500</v>
      </c>
      <c r="C114" t="s">
        <v>45</v>
      </c>
      <c r="D114" t="s">
        <v>614</v>
      </c>
      <c r="E114">
        <v>45</v>
      </c>
      <c r="F114" t="s">
        <v>35</v>
      </c>
      <c r="G114" t="s">
        <v>615</v>
      </c>
      <c r="H114" t="s">
        <v>616</v>
      </c>
      <c r="I114" t="s">
        <v>45</v>
      </c>
      <c r="J114" t="s">
        <v>35</v>
      </c>
      <c r="K114" t="s">
        <v>617</v>
      </c>
      <c r="L114" t="b">
        <v>1</v>
      </c>
      <c r="M114" t="s">
        <v>29</v>
      </c>
      <c r="N114" t="s">
        <v>8245</v>
      </c>
      <c r="O114" s="10">
        <v>28559</v>
      </c>
      <c r="P114" t="s">
        <v>618</v>
      </c>
      <c r="Q114" t="s">
        <v>619</v>
      </c>
      <c r="R114" t="s">
        <v>620</v>
      </c>
      <c r="S114" s="8">
        <v>45020.209027777775</v>
      </c>
      <c r="T114" t="s">
        <v>115</v>
      </c>
      <c r="U114" t="s">
        <v>53</v>
      </c>
      <c r="V114">
        <v>1978</v>
      </c>
      <c r="W114" s="12">
        <v>117.24</v>
      </c>
      <c r="X114">
        <v>7.5</v>
      </c>
      <c r="Y114" s="14">
        <v>21427700000000</v>
      </c>
      <c r="Z114">
        <v>88.2</v>
      </c>
      <c r="AA114">
        <v>101.8</v>
      </c>
      <c r="AB114">
        <v>9.6</v>
      </c>
      <c r="AC114">
        <v>36.6</v>
      </c>
      <c r="AD114">
        <v>328239523</v>
      </c>
    </row>
    <row r="115" spans="1:30" hidden="1" x14ac:dyDescent="0.45">
      <c r="A115">
        <v>114</v>
      </c>
      <c r="B115">
        <v>15300</v>
      </c>
      <c r="C115" t="s">
        <v>23</v>
      </c>
      <c r="D115" t="s">
        <v>621</v>
      </c>
      <c r="E115">
        <v>68</v>
      </c>
      <c r="F115" t="s">
        <v>93</v>
      </c>
      <c r="G115" t="s">
        <v>94</v>
      </c>
      <c r="H115" t="s">
        <v>622</v>
      </c>
      <c r="I115" t="s">
        <v>23</v>
      </c>
      <c r="J115" t="s">
        <v>93</v>
      </c>
      <c r="L115" t="b">
        <v>1</v>
      </c>
      <c r="M115" t="s">
        <v>39</v>
      </c>
      <c r="N115" t="s">
        <v>8245</v>
      </c>
      <c r="O115" s="1">
        <v>20090</v>
      </c>
      <c r="P115" t="s">
        <v>623</v>
      </c>
      <c r="Q115" t="s">
        <v>624</v>
      </c>
      <c r="S115" s="1">
        <v>45020.209027777775</v>
      </c>
      <c r="V115">
        <v>1955</v>
      </c>
      <c r="W115">
        <v>180.44</v>
      </c>
      <c r="X115">
        <v>7.7</v>
      </c>
      <c r="Y115" s="2">
        <v>2611000000000</v>
      </c>
      <c r="Z115">
        <v>28.1</v>
      </c>
      <c r="AA115">
        <v>113</v>
      </c>
      <c r="AB115">
        <v>11.2</v>
      </c>
      <c r="AC115">
        <v>49.7</v>
      </c>
      <c r="AD115">
        <v>1366417754</v>
      </c>
    </row>
    <row r="116" spans="1:30" hidden="1" x14ac:dyDescent="0.45">
      <c r="A116">
        <v>115</v>
      </c>
      <c r="B116">
        <v>15200</v>
      </c>
      <c r="C116" t="s">
        <v>33</v>
      </c>
      <c r="D116" t="s">
        <v>625</v>
      </c>
      <c r="E116">
        <v>56</v>
      </c>
      <c r="F116" t="s">
        <v>128</v>
      </c>
      <c r="G116" t="s">
        <v>261</v>
      </c>
      <c r="H116" t="s">
        <v>262</v>
      </c>
      <c r="I116" t="s">
        <v>33</v>
      </c>
      <c r="J116" t="s">
        <v>128</v>
      </c>
      <c r="L116" t="b">
        <v>1</v>
      </c>
      <c r="M116" t="s">
        <v>39</v>
      </c>
      <c r="N116" t="s">
        <v>8245</v>
      </c>
      <c r="O116" s="1">
        <v>24473</v>
      </c>
      <c r="P116" t="s">
        <v>294</v>
      </c>
      <c r="Q116" t="s">
        <v>626</v>
      </c>
      <c r="S116" s="1">
        <v>45020.209027777775</v>
      </c>
      <c r="V116">
        <v>1967</v>
      </c>
      <c r="W116">
        <v>125.08</v>
      </c>
      <c r="X116">
        <v>2.9</v>
      </c>
      <c r="Y116" s="2">
        <v>19910000000000</v>
      </c>
      <c r="Z116">
        <v>50.6</v>
      </c>
      <c r="AA116">
        <v>100.2</v>
      </c>
      <c r="AB116">
        <v>9.4</v>
      </c>
      <c r="AC116">
        <v>59.2</v>
      </c>
      <c r="AD116">
        <v>1397715000</v>
      </c>
    </row>
    <row r="117" spans="1:30" hidden="1" x14ac:dyDescent="0.45">
      <c r="A117">
        <v>116</v>
      </c>
      <c r="B117">
        <v>14900</v>
      </c>
      <c r="C117" t="s">
        <v>91</v>
      </c>
      <c r="D117" t="s">
        <v>627</v>
      </c>
      <c r="E117">
        <v>83</v>
      </c>
      <c r="F117" t="s">
        <v>628</v>
      </c>
      <c r="G117" t="s">
        <v>629</v>
      </c>
      <c r="H117" t="s">
        <v>91</v>
      </c>
      <c r="I117" t="s">
        <v>91</v>
      </c>
      <c r="J117" t="s">
        <v>628</v>
      </c>
      <c r="L117" t="b">
        <v>0</v>
      </c>
      <c r="M117" t="s">
        <v>29</v>
      </c>
      <c r="N117" t="s">
        <v>8245</v>
      </c>
      <c r="O117" s="1">
        <v>14354</v>
      </c>
      <c r="P117" t="s">
        <v>630</v>
      </c>
      <c r="Q117" t="s">
        <v>631</v>
      </c>
      <c r="S117" s="1">
        <v>45020.209027777775</v>
      </c>
      <c r="V117">
        <v>1939</v>
      </c>
      <c r="W117">
        <v>113.27</v>
      </c>
      <c r="X117">
        <v>0.7</v>
      </c>
      <c r="Y117" s="2">
        <v>543649976166</v>
      </c>
      <c r="Z117">
        <v>49.3</v>
      </c>
      <c r="AA117">
        <v>99.8</v>
      </c>
      <c r="AB117">
        <v>14.9</v>
      </c>
      <c r="AC117">
        <v>29.5</v>
      </c>
      <c r="AD117">
        <v>69625582</v>
      </c>
    </row>
    <row r="118" spans="1:30" x14ac:dyDescent="0.45">
      <c r="A118">
        <v>116</v>
      </c>
      <c r="B118" s="6">
        <v>14900</v>
      </c>
      <c r="C118" t="s">
        <v>23</v>
      </c>
      <c r="D118" t="s">
        <v>632</v>
      </c>
      <c r="E118">
        <v>81</v>
      </c>
      <c r="F118" t="s">
        <v>35</v>
      </c>
      <c r="G118" t="s">
        <v>502</v>
      </c>
      <c r="H118" t="s">
        <v>196</v>
      </c>
      <c r="I118" t="s">
        <v>23</v>
      </c>
      <c r="J118" t="s">
        <v>35</v>
      </c>
      <c r="K118" t="s">
        <v>633</v>
      </c>
      <c r="L118" t="b">
        <v>1</v>
      </c>
      <c r="M118" t="s">
        <v>29</v>
      </c>
      <c r="N118" t="s">
        <v>8245</v>
      </c>
      <c r="O118" s="10">
        <v>15293</v>
      </c>
      <c r="P118" t="s">
        <v>634</v>
      </c>
      <c r="Q118" t="s">
        <v>169</v>
      </c>
      <c r="R118" t="s">
        <v>42</v>
      </c>
      <c r="S118" s="8">
        <v>45020.209027777775</v>
      </c>
      <c r="T118" t="s">
        <v>507</v>
      </c>
      <c r="U118" t="s">
        <v>44</v>
      </c>
      <c r="V118">
        <v>1941</v>
      </c>
      <c r="W118" s="12">
        <v>117.24</v>
      </c>
      <c r="X118">
        <v>7.5</v>
      </c>
      <c r="Y118" s="14">
        <v>21427700000000</v>
      </c>
      <c r="Z118">
        <v>88.2</v>
      </c>
      <c r="AA118">
        <v>101.8</v>
      </c>
      <c r="AB118">
        <v>9.6</v>
      </c>
      <c r="AC118">
        <v>36.6</v>
      </c>
      <c r="AD118">
        <v>328239523</v>
      </c>
    </row>
    <row r="119" spans="1:30" hidden="1" x14ac:dyDescent="0.45">
      <c r="A119">
        <v>118</v>
      </c>
      <c r="B119">
        <v>14800</v>
      </c>
      <c r="C119" t="s">
        <v>126</v>
      </c>
      <c r="D119" t="s">
        <v>635</v>
      </c>
      <c r="E119">
        <v>78</v>
      </c>
      <c r="F119" t="s">
        <v>628</v>
      </c>
      <c r="G119" t="s">
        <v>629</v>
      </c>
      <c r="H119" t="s">
        <v>636</v>
      </c>
      <c r="I119" t="s">
        <v>126</v>
      </c>
      <c r="J119" t="s">
        <v>628</v>
      </c>
      <c r="L119" t="b">
        <v>1</v>
      </c>
      <c r="M119" t="s">
        <v>29</v>
      </c>
      <c r="N119" t="s">
        <v>8245</v>
      </c>
      <c r="O119" s="1">
        <v>16194</v>
      </c>
      <c r="P119" t="s">
        <v>637</v>
      </c>
      <c r="Q119" t="s">
        <v>638</v>
      </c>
      <c r="S119" s="1">
        <v>45020.209027777775</v>
      </c>
      <c r="V119">
        <v>1944</v>
      </c>
      <c r="W119">
        <v>113.27</v>
      </c>
      <c r="X119">
        <v>0.7</v>
      </c>
      <c r="Y119" s="2">
        <v>543649976166</v>
      </c>
      <c r="Z119">
        <v>49.3</v>
      </c>
      <c r="AA119">
        <v>99.8</v>
      </c>
      <c r="AB119">
        <v>14.9</v>
      </c>
      <c r="AC119">
        <v>29.5</v>
      </c>
      <c r="AD119">
        <v>69625582</v>
      </c>
    </row>
    <row r="120" spans="1:30" hidden="1" x14ac:dyDescent="0.45">
      <c r="A120">
        <v>119</v>
      </c>
      <c r="B120">
        <v>14700</v>
      </c>
      <c r="C120" t="s">
        <v>126</v>
      </c>
      <c r="D120" t="s">
        <v>639</v>
      </c>
      <c r="E120">
        <v>68</v>
      </c>
      <c r="F120" t="s">
        <v>272</v>
      </c>
      <c r="G120" t="s">
        <v>273</v>
      </c>
      <c r="H120" t="s">
        <v>640</v>
      </c>
      <c r="I120" t="s">
        <v>126</v>
      </c>
      <c r="J120" t="s">
        <v>641</v>
      </c>
      <c r="L120" t="b">
        <v>0</v>
      </c>
      <c r="M120" t="s">
        <v>39</v>
      </c>
      <c r="N120" t="s">
        <v>8246</v>
      </c>
      <c r="O120" s="1">
        <v>19905</v>
      </c>
      <c r="P120" t="s">
        <v>642</v>
      </c>
      <c r="Q120" t="s">
        <v>643</v>
      </c>
      <c r="S120" s="1">
        <v>45020.209027777775</v>
      </c>
      <c r="V120">
        <v>1954</v>
      </c>
      <c r="W120">
        <v>119.62</v>
      </c>
      <c r="X120">
        <v>1.7</v>
      </c>
      <c r="Y120" s="2">
        <v>2827113184696</v>
      </c>
      <c r="Z120">
        <v>60</v>
      </c>
      <c r="AA120">
        <v>101.2</v>
      </c>
      <c r="AB120">
        <v>25.5</v>
      </c>
      <c r="AC120">
        <v>30.6</v>
      </c>
      <c r="AD120">
        <v>66834405</v>
      </c>
    </row>
    <row r="121" spans="1:30" hidden="1" x14ac:dyDescent="0.45">
      <c r="A121">
        <v>120</v>
      </c>
      <c r="B121">
        <v>14600</v>
      </c>
      <c r="C121" t="s">
        <v>402</v>
      </c>
      <c r="D121" t="s">
        <v>644</v>
      </c>
      <c r="E121">
        <v>60</v>
      </c>
      <c r="F121" t="s">
        <v>128</v>
      </c>
      <c r="G121" t="s">
        <v>234</v>
      </c>
      <c r="H121" t="s">
        <v>645</v>
      </c>
      <c r="I121" t="s">
        <v>402</v>
      </c>
      <c r="J121" t="s">
        <v>228</v>
      </c>
      <c r="L121" t="b">
        <v>1</v>
      </c>
      <c r="M121" t="s">
        <v>39</v>
      </c>
      <c r="N121" t="s">
        <v>8245</v>
      </c>
      <c r="O121" s="1">
        <v>22788</v>
      </c>
      <c r="P121" t="s">
        <v>646</v>
      </c>
      <c r="Q121" t="s">
        <v>647</v>
      </c>
      <c r="S121" s="1">
        <v>45020.209027777775</v>
      </c>
      <c r="V121">
        <v>1962</v>
      </c>
      <c r="W121">
        <v>125.08</v>
      </c>
      <c r="X121">
        <v>2.9</v>
      </c>
      <c r="Y121" s="2">
        <v>19910000000000</v>
      </c>
      <c r="Z121">
        <v>50.6</v>
      </c>
      <c r="AA121">
        <v>100.2</v>
      </c>
      <c r="AB121">
        <v>9.4</v>
      </c>
      <c r="AC121">
        <v>59.2</v>
      </c>
      <c r="AD121">
        <v>1397715000</v>
      </c>
    </row>
    <row r="122" spans="1:30" hidden="1" x14ac:dyDescent="0.45">
      <c r="A122">
        <v>121</v>
      </c>
      <c r="B122">
        <v>14500</v>
      </c>
      <c r="C122" t="s">
        <v>33</v>
      </c>
      <c r="D122" t="s">
        <v>648</v>
      </c>
      <c r="E122">
        <v>59</v>
      </c>
      <c r="F122" t="s">
        <v>128</v>
      </c>
      <c r="G122" t="s">
        <v>649</v>
      </c>
      <c r="H122" t="s">
        <v>481</v>
      </c>
      <c r="I122" t="s">
        <v>33</v>
      </c>
      <c r="J122" t="s">
        <v>128</v>
      </c>
      <c r="L122" t="b">
        <v>1</v>
      </c>
      <c r="M122" t="s">
        <v>39</v>
      </c>
      <c r="N122" t="s">
        <v>8245</v>
      </c>
      <c r="O122" s="1">
        <v>23437</v>
      </c>
      <c r="P122" t="s">
        <v>440</v>
      </c>
      <c r="Q122" t="s">
        <v>650</v>
      </c>
      <c r="S122" s="1">
        <v>45020.209027777775</v>
      </c>
      <c r="V122">
        <v>1964</v>
      </c>
      <c r="W122">
        <v>125.08</v>
      </c>
      <c r="X122">
        <v>2.9</v>
      </c>
      <c r="Y122" s="2">
        <v>19910000000000</v>
      </c>
      <c r="Z122">
        <v>50.6</v>
      </c>
      <c r="AA122">
        <v>100.2</v>
      </c>
      <c r="AB122">
        <v>9.4</v>
      </c>
      <c r="AC122">
        <v>59.2</v>
      </c>
      <c r="AD122">
        <v>1397715000</v>
      </c>
    </row>
    <row r="123" spans="1:30" hidden="1" x14ac:dyDescent="0.45">
      <c r="A123">
        <v>122</v>
      </c>
      <c r="B123">
        <v>14400</v>
      </c>
      <c r="C123" t="s">
        <v>326</v>
      </c>
      <c r="D123" t="s">
        <v>651</v>
      </c>
      <c r="E123">
        <v>69</v>
      </c>
      <c r="F123" t="s">
        <v>652</v>
      </c>
      <c r="G123" t="s">
        <v>653</v>
      </c>
      <c r="H123" t="s">
        <v>654</v>
      </c>
      <c r="I123" t="s">
        <v>326</v>
      </c>
      <c r="J123" t="s">
        <v>363</v>
      </c>
      <c r="K123" t="s">
        <v>655</v>
      </c>
      <c r="L123" t="b">
        <v>1</v>
      </c>
      <c r="M123" t="s">
        <v>29</v>
      </c>
      <c r="N123" t="s">
        <v>8245</v>
      </c>
      <c r="O123" s="1">
        <v>19611</v>
      </c>
      <c r="P123" t="s">
        <v>656</v>
      </c>
      <c r="Q123" t="s">
        <v>657</v>
      </c>
      <c r="R123" t="s">
        <v>192</v>
      </c>
      <c r="S123" s="1">
        <v>45020.209027777775</v>
      </c>
      <c r="V123">
        <v>1953</v>
      </c>
      <c r="W123"/>
      <c r="Y123" s="2">
        <v>57921286440</v>
      </c>
      <c r="Z123">
        <v>10.1</v>
      </c>
      <c r="AA123">
        <v>104.2</v>
      </c>
      <c r="AB123">
        <v>14.8</v>
      </c>
      <c r="AC123">
        <v>31.6</v>
      </c>
      <c r="AD123">
        <v>33580650</v>
      </c>
    </row>
    <row r="124" spans="1:30" hidden="1" x14ac:dyDescent="0.45">
      <c r="A124">
        <v>123</v>
      </c>
      <c r="B124">
        <v>14300</v>
      </c>
      <c r="C124" t="s">
        <v>296</v>
      </c>
      <c r="D124" t="s">
        <v>658</v>
      </c>
      <c r="E124">
        <v>95</v>
      </c>
      <c r="F124" t="s">
        <v>574</v>
      </c>
      <c r="G124" t="s">
        <v>574</v>
      </c>
      <c r="H124" t="s">
        <v>659</v>
      </c>
      <c r="I124" t="s">
        <v>296</v>
      </c>
      <c r="J124" t="s">
        <v>574</v>
      </c>
      <c r="L124" t="b">
        <v>1</v>
      </c>
      <c r="M124" t="s">
        <v>29</v>
      </c>
      <c r="N124" t="s">
        <v>8245</v>
      </c>
      <c r="O124" s="1">
        <v>10040</v>
      </c>
      <c r="P124" t="s">
        <v>660</v>
      </c>
      <c r="Q124" t="s">
        <v>661</v>
      </c>
      <c r="S124" s="1">
        <v>45020.209027777775</v>
      </c>
      <c r="V124">
        <v>1927</v>
      </c>
      <c r="W124">
        <v>114.41</v>
      </c>
      <c r="X124">
        <v>0.6</v>
      </c>
      <c r="Y124" s="2">
        <v>372062527489</v>
      </c>
      <c r="Z124">
        <v>84.8</v>
      </c>
      <c r="AA124">
        <v>100.6</v>
      </c>
      <c r="AB124">
        <v>13.1</v>
      </c>
      <c r="AC124">
        <v>21</v>
      </c>
      <c r="AD124">
        <v>5703569</v>
      </c>
    </row>
    <row r="125" spans="1:30" hidden="1" x14ac:dyDescent="0.45">
      <c r="A125">
        <v>124</v>
      </c>
      <c r="B125">
        <v>14200</v>
      </c>
      <c r="C125" t="s">
        <v>91</v>
      </c>
      <c r="D125" t="s">
        <v>662</v>
      </c>
      <c r="E125">
        <v>55</v>
      </c>
      <c r="F125" t="s">
        <v>93</v>
      </c>
      <c r="G125" t="s">
        <v>94</v>
      </c>
      <c r="H125" t="s">
        <v>663</v>
      </c>
      <c r="I125" t="s">
        <v>91</v>
      </c>
      <c r="J125" t="s">
        <v>93</v>
      </c>
      <c r="L125" t="b">
        <v>0</v>
      </c>
      <c r="M125" t="s">
        <v>39</v>
      </c>
      <c r="N125" t="s">
        <v>8245</v>
      </c>
      <c r="O125" s="1">
        <v>24637</v>
      </c>
      <c r="P125" t="s">
        <v>664</v>
      </c>
      <c r="Q125" t="s">
        <v>665</v>
      </c>
      <c r="S125" s="1">
        <v>45020.209027777775</v>
      </c>
      <c r="V125">
        <v>1967</v>
      </c>
      <c r="W125">
        <v>180.44</v>
      </c>
      <c r="X125">
        <v>7.7</v>
      </c>
      <c r="Y125" s="2">
        <v>2611000000000</v>
      </c>
      <c r="Z125">
        <v>28.1</v>
      </c>
      <c r="AA125">
        <v>113</v>
      </c>
      <c r="AB125">
        <v>11.2</v>
      </c>
      <c r="AC125">
        <v>49.7</v>
      </c>
      <c r="AD125">
        <v>1366417754</v>
      </c>
    </row>
    <row r="126" spans="1:30" hidden="1" x14ac:dyDescent="0.45">
      <c r="A126">
        <v>124</v>
      </c>
      <c r="B126">
        <v>14200</v>
      </c>
      <c r="C126" t="s">
        <v>296</v>
      </c>
      <c r="D126" t="s">
        <v>666</v>
      </c>
      <c r="E126">
        <v>65</v>
      </c>
      <c r="F126" t="s">
        <v>667</v>
      </c>
      <c r="G126" t="s">
        <v>668</v>
      </c>
      <c r="H126" t="s">
        <v>669</v>
      </c>
      <c r="I126" t="s">
        <v>296</v>
      </c>
      <c r="J126" t="s">
        <v>667</v>
      </c>
      <c r="K126" t="s">
        <v>670</v>
      </c>
      <c r="L126" t="b">
        <v>1</v>
      </c>
      <c r="M126" t="s">
        <v>29</v>
      </c>
      <c r="N126" t="s">
        <v>8245</v>
      </c>
      <c r="O126" s="1">
        <v>20920</v>
      </c>
      <c r="P126" t="s">
        <v>671</v>
      </c>
      <c r="Q126" t="s">
        <v>672</v>
      </c>
      <c r="R126" t="s">
        <v>42</v>
      </c>
      <c r="S126" s="1">
        <v>45020.209027777775</v>
      </c>
      <c r="V126">
        <v>1957</v>
      </c>
      <c r="W126">
        <v>267.51</v>
      </c>
      <c r="X126">
        <v>11.4</v>
      </c>
      <c r="Y126" s="2">
        <v>448120428859</v>
      </c>
      <c r="Z126">
        <v>10.199999999999999</v>
      </c>
      <c r="AA126">
        <v>84.7</v>
      </c>
      <c r="AB126">
        <v>1.5</v>
      </c>
      <c r="AC126">
        <v>34.799999999999997</v>
      </c>
      <c r="AD126">
        <v>200963599</v>
      </c>
    </row>
    <row r="127" spans="1:30" hidden="1" x14ac:dyDescent="0.45">
      <c r="A127">
        <v>126</v>
      </c>
      <c r="B127">
        <v>14100</v>
      </c>
      <c r="C127" t="s">
        <v>302</v>
      </c>
      <c r="D127" t="s">
        <v>673</v>
      </c>
      <c r="E127">
        <v>93</v>
      </c>
      <c r="F127" t="s">
        <v>228</v>
      </c>
      <c r="G127" t="s">
        <v>228</v>
      </c>
      <c r="H127" t="s">
        <v>304</v>
      </c>
      <c r="I127" t="s">
        <v>302</v>
      </c>
      <c r="J127" t="s">
        <v>228</v>
      </c>
      <c r="L127" t="b">
        <v>0</v>
      </c>
      <c r="M127" t="s">
        <v>29</v>
      </c>
      <c r="N127" t="s">
        <v>8246</v>
      </c>
      <c r="O127" s="1">
        <v>10929</v>
      </c>
      <c r="P127" t="s">
        <v>353</v>
      </c>
      <c r="Q127" t="s">
        <v>674</v>
      </c>
      <c r="S127" s="1">
        <v>45020.209027777775</v>
      </c>
      <c r="V127">
        <v>1929</v>
      </c>
      <c r="W127"/>
      <c r="Y127"/>
    </row>
    <row r="128" spans="1:30" hidden="1" x14ac:dyDescent="0.45">
      <c r="A128">
        <v>127</v>
      </c>
      <c r="B128">
        <v>14000</v>
      </c>
      <c r="C128" t="s">
        <v>91</v>
      </c>
      <c r="D128" t="s">
        <v>675</v>
      </c>
      <c r="E128">
        <v>67</v>
      </c>
      <c r="F128" t="s">
        <v>272</v>
      </c>
      <c r="G128" t="s">
        <v>273</v>
      </c>
      <c r="H128" t="s">
        <v>207</v>
      </c>
      <c r="I128" t="s">
        <v>91</v>
      </c>
      <c r="J128" t="s">
        <v>490</v>
      </c>
      <c r="L128" t="b">
        <v>0</v>
      </c>
      <c r="M128" t="s">
        <v>29</v>
      </c>
      <c r="N128" t="s">
        <v>8245</v>
      </c>
      <c r="O128" s="1">
        <v>20364</v>
      </c>
      <c r="P128" t="s">
        <v>491</v>
      </c>
      <c r="Q128" t="s">
        <v>676</v>
      </c>
      <c r="S128" s="1">
        <v>45020.209027777775</v>
      </c>
      <c r="V128">
        <v>1955</v>
      </c>
      <c r="W128">
        <v>119.62</v>
      </c>
      <c r="X128">
        <v>1.7</v>
      </c>
      <c r="Y128" s="2">
        <v>2827113184696</v>
      </c>
      <c r="Z128">
        <v>60</v>
      </c>
      <c r="AA128">
        <v>101.2</v>
      </c>
      <c r="AB128">
        <v>25.5</v>
      </c>
      <c r="AC128">
        <v>30.6</v>
      </c>
      <c r="AD128">
        <v>66834405</v>
      </c>
    </row>
    <row r="129" spans="1:30" hidden="1" x14ac:dyDescent="0.45">
      <c r="A129">
        <v>128</v>
      </c>
      <c r="B129">
        <v>13900</v>
      </c>
      <c r="C129" t="s">
        <v>402</v>
      </c>
      <c r="D129" t="s">
        <v>677</v>
      </c>
      <c r="E129">
        <v>57</v>
      </c>
      <c r="F129" t="s">
        <v>128</v>
      </c>
      <c r="G129" t="s">
        <v>678</v>
      </c>
      <c r="H129" t="s">
        <v>467</v>
      </c>
      <c r="I129" t="s">
        <v>402</v>
      </c>
      <c r="J129" t="s">
        <v>128</v>
      </c>
      <c r="L129" t="b">
        <v>1</v>
      </c>
      <c r="M129" t="s">
        <v>29</v>
      </c>
      <c r="N129" t="s">
        <v>8245</v>
      </c>
      <c r="O129" s="1">
        <v>23986</v>
      </c>
      <c r="P129" t="s">
        <v>679</v>
      </c>
      <c r="Q129" t="s">
        <v>680</v>
      </c>
      <c r="S129" s="1">
        <v>45020.209027777775</v>
      </c>
      <c r="V129">
        <v>1965</v>
      </c>
      <c r="W129">
        <v>125.08</v>
      </c>
      <c r="X129">
        <v>2.9</v>
      </c>
      <c r="Y129" s="2">
        <v>19910000000000</v>
      </c>
      <c r="Z129">
        <v>50.6</v>
      </c>
      <c r="AA129">
        <v>100.2</v>
      </c>
      <c r="AB129">
        <v>9.4</v>
      </c>
      <c r="AC129">
        <v>59.2</v>
      </c>
      <c r="AD129">
        <v>1397715000</v>
      </c>
    </row>
    <row r="130" spans="1:30" hidden="1" x14ac:dyDescent="0.45">
      <c r="A130">
        <v>128</v>
      </c>
      <c r="B130">
        <v>13900</v>
      </c>
      <c r="C130" t="s">
        <v>239</v>
      </c>
      <c r="D130" t="s">
        <v>681</v>
      </c>
      <c r="E130">
        <v>94</v>
      </c>
      <c r="F130" t="s">
        <v>228</v>
      </c>
      <c r="G130" t="s">
        <v>228</v>
      </c>
      <c r="H130" t="s">
        <v>682</v>
      </c>
      <c r="I130" t="s">
        <v>239</v>
      </c>
      <c r="J130" t="s">
        <v>228</v>
      </c>
      <c r="L130" t="b">
        <v>1</v>
      </c>
      <c r="M130" t="s">
        <v>29</v>
      </c>
      <c r="N130" t="s">
        <v>8245</v>
      </c>
      <c r="O130" s="1">
        <v>10684</v>
      </c>
      <c r="P130" t="s">
        <v>683</v>
      </c>
      <c r="Q130" t="s">
        <v>684</v>
      </c>
      <c r="S130" s="1">
        <v>45020.209027777775</v>
      </c>
      <c r="V130">
        <v>1929</v>
      </c>
      <c r="W130"/>
      <c r="Y130"/>
    </row>
    <row r="131" spans="1:30" hidden="1" x14ac:dyDescent="0.45">
      <c r="A131">
        <v>130</v>
      </c>
      <c r="B131">
        <v>13700</v>
      </c>
      <c r="C131" t="s">
        <v>203</v>
      </c>
      <c r="D131" t="s">
        <v>685</v>
      </c>
      <c r="E131">
        <v>78</v>
      </c>
      <c r="F131" t="s">
        <v>272</v>
      </c>
      <c r="G131" t="s">
        <v>273</v>
      </c>
      <c r="H131" t="s">
        <v>207</v>
      </c>
      <c r="I131" t="s">
        <v>203</v>
      </c>
      <c r="J131" t="s">
        <v>686</v>
      </c>
      <c r="L131" t="b">
        <v>1</v>
      </c>
      <c r="M131" t="s">
        <v>29</v>
      </c>
      <c r="N131" t="s">
        <v>8245</v>
      </c>
      <c r="O131" s="1">
        <v>16469</v>
      </c>
      <c r="P131" t="s">
        <v>687</v>
      </c>
      <c r="Q131" t="s">
        <v>225</v>
      </c>
      <c r="R131" t="s">
        <v>688</v>
      </c>
      <c r="S131" s="1">
        <v>45020.209027777775</v>
      </c>
      <c r="V131">
        <v>1945</v>
      </c>
      <c r="W131">
        <v>119.62</v>
      </c>
      <c r="X131">
        <v>1.7</v>
      </c>
      <c r="Y131" s="2">
        <v>2827113184696</v>
      </c>
      <c r="Z131">
        <v>60</v>
      </c>
      <c r="AA131">
        <v>101.2</v>
      </c>
      <c r="AB131">
        <v>25.5</v>
      </c>
      <c r="AC131">
        <v>30.6</v>
      </c>
      <c r="AD131">
        <v>66834405</v>
      </c>
    </row>
    <row r="132" spans="1:30" x14ac:dyDescent="0.45">
      <c r="A132">
        <v>130</v>
      </c>
      <c r="B132" s="6">
        <v>13700</v>
      </c>
      <c r="C132" t="s">
        <v>689</v>
      </c>
      <c r="D132" t="s">
        <v>690</v>
      </c>
      <c r="E132">
        <v>76</v>
      </c>
      <c r="F132" t="s">
        <v>35</v>
      </c>
      <c r="G132" t="s">
        <v>691</v>
      </c>
      <c r="H132" t="s">
        <v>692</v>
      </c>
      <c r="I132" t="s">
        <v>689</v>
      </c>
      <c r="J132" t="s">
        <v>35</v>
      </c>
      <c r="K132" t="s">
        <v>693</v>
      </c>
      <c r="L132" t="b">
        <v>1</v>
      </c>
      <c r="M132" t="s">
        <v>29</v>
      </c>
      <c r="N132" t="s">
        <v>8246</v>
      </c>
      <c r="O132" s="10">
        <v>17228</v>
      </c>
      <c r="P132" t="s">
        <v>694</v>
      </c>
      <c r="Q132" t="s">
        <v>695</v>
      </c>
      <c r="R132" t="s">
        <v>138</v>
      </c>
      <c r="S132" s="8">
        <v>45020.209027777775</v>
      </c>
      <c r="T132" t="s">
        <v>549</v>
      </c>
      <c r="U132" t="s">
        <v>69</v>
      </c>
      <c r="V132">
        <v>1947</v>
      </c>
      <c r="W132" s="12">
        <v>117.24</v>
      </c>
      <c r="X132">
        <v>7.5</v>
      </c>
      <c r="Y132" s="14">
        <v>21427700000000</v>
      </c>
      <c r="Z132">
        <v>88.2</v>
      </c>
      <c r="AA132">
        <v>101.8</v>
      </c>
      <c r="AB132">
        <v>9.6</v>
      </c>
      <c r="AC132">
        <v>36.6</v>
      </c>
      <c r="AD132">
        <v>328239523</v>
      </c>
    </row>
    <row r="133" spans="1:30" x14ac:dyDescent="0.45">
      <c r="A133">
        <v>130</v>
      </c>
      <c r="B133" s="6">
        <v>13700</v>
      </c>
      <c r="C133" t="s">
        <v>45</v>
      </c>
      <c r="D133" t="s">
        <v>696</v>
      </c>
      <c r="E133">
        <v>47</v>
      </c>
      <c r="F133" t="s">
        <v>35</v>
      </c>
      <c r="G133" t="s">
        <v>583</v>
      </c>
      <c r="H133" t="s">
        <v>697</v>
      </c>
      <c r="I133" t="s">
        <v>45</v>
      </c>
      <c r="J133" t="s">
        <v>35</v>
      </c>
      <c r="K133" t="s">
        <v>698</v>
      </c>
      <c r="L133" t="b">
        <v>1</v>
      </c>
      <c r="M133" t="s">
        <v>29</v>
      </c>
      <c r="N133" t="s">
        <v>8245</v>
      </c>
      <c r="O133" s="10">
        <v>27814</v>
      </c>
      <c r="P133" t="s">
        <v>699</v>
      </c>
      <c r="Q133" t="s">
        <v>700</v>
      </c>
      <c r="R133" t="s">
        <v>701</v>
      </c>
      <c r="S133" s="8">
        <v>45020.209027777775</v>
      </c>
      <c r="T133" t="s">
        <v>115</v>
      </c>
      <c r="U133" t="s">
        <v>53</v>
      </c>
      <c r="V133">
        <v>1976</v>
      </c>
      <c r="W133" s="12">
        <v>117.24</v>
      </c>
      <c r="X133">
        <v>7.5</v>
      </c>
      <c r="Y133" s="14">
        <v>21427700000000</v>
      </c>
      <c r="Z133">
        <v>88.2</v>
      </c>
      <c r="AA133">
        <v>101.8</v>
      </c>
      <c r="AB133">
        <v>9.6</v>
      </c>
      <c r="AC133">
        <v>36.6</v>
      </c>
      <c r="AD133">
        <v>328239523</v>
      </c>
    </row>
    <row r="134" spans="1:30" x14ac:dyDescent="0.45">
      <c r="A134">
        <v>133</v>
      </c>
      <c r="B134" s="6">
        <v>13300</v>
      </c>
      <c r="C134" t="s">
        <v>702</v>
      </c>
      <c r="D134" t="s">
        <v>703</v>
      </c>
      <c r="E134">
        <v>80</v>
      </c>
      <c r="F134" t="s">
        <v>35</v>
      </c>
      <c r="G134" t="s">
        <v>704</v>
      </c>
      <c r="H134" t="s">
        <v>705</v>
      </c>
      <c r="I134" t="s">
        <v>702</v>
      </c>
      <c r="J134" t="s">
        <v>35</v>
      </c>
      <c r="K134" t="s">
        <v>705</v>
      </c>
      <c r="L134" t="b">
        <v>1</v>
      </c>
      <c r="M134" t="s">
        <v>29</v>
      </c>
      <c r="N134" t="s">
        <v>8245</v>
      </c>
      <c r="O134" s="10">
        <v>15627</v>
      </c>
      <c r="P134" t="s">
        <v>706</v>
      </c>
      <c r="Q134" t="s">
        <v>707</v>
      </c>
      <c r="R134" t="s">
        <v>708</v>
      </c>
      <c r="S134" s="8">
        <v>45020.209027777775</v>
      </c>
      <c r="T134" t="s">
        <v>43</v>
      </c>
      <c r="U134" t="s">
        <v>44</v>
      </c>
      <c r="V134">
        <v>1942</v>
      </c>
      <c r="W134" s="12">
        <v>117.24</v>
      </c>
      <c r="X134">
        <v>7.5</v>
      </c>
      <c r="Y134" s="14">
        <v>21427700000000</v>
      </c>
      <c r="Z134">
        <v>88.2</v>
      </c>
      <c r="AA134">
        <v>101.8</v>
      </c>
      <c r="AB134">
        <v>9.6</v>
      </c>
      <c r="AC134">
        <v>36.6</v>
      </c>
      <c r="AD134">
        <v>328239523</v>
      </c>
    </row>
    <row r="135" spans="1:30" x14ac:dyDescent="0.45">
      <c r="A135">
        <v>133</v>
      </c>
      <c r="B135" s="6">
        <v>13300</v>
      </c>
      <c r="C135" t="s">
        <v>347</v>
      </c>
      <c r="D135" t="s">
        <v>709</v>
      </c>
      <c r="E135">
        <v>80</v>
      </c>
      <c r="F135" t="s">
        <v>35</v>
      </c>
      <c r="G135" t="s">
        <v>710</v>
      </c>
      <c r="H135" t="s">
        <v>711</v>
      </c>
      <c r="I135" t="s">
        <v>347</v>
      </c>
      <c r="J135" t="s">
        <v>35</v>
      </c>
      <c r="K135" t="s">
        <v>712</v>
      </c>
      <c r="L135" t="b">
        <v>0</v>
      </c>
      <c r="M135" t="s">
        <v>29</v>
      </c>
      <c r="N135" t="s">
        <v>8245</v>
      </c>
      <c r="O135" s="10">
        <v>15551</v>
      </c>
      <c r="P135" t="s">
        <v>713</v>
      </c>
      <c r="Q135" t="s">
        <v>714</v>
      </c>
      <c r="R135" t="s">
        <v>170</v>
      </c>
      <c r="S135" s="8">
        <v>45020.209027777775</v>
      </c>
      <c r="T135" t="s">
        <v>507</v>
      </c>
      <c r="U135" t="s">
        <v>44</v>
      </c>
      <c r="V135">
        <v>1942</v>
      </c>
      <c r="W135" s="12">
        <v>117.24</v>
      </c>
      <c r="X135">
        <v>7.5</v>
      </c>
      <c r="Y135" s="14">
        <v>21427700000000</v>
      </c>
      <c r="Z135">
        <v>88.2</v>
      </c>
      <c r="AA135">
        <v>101.8</v>
      </c>
      <c r="AB135">
        <v>9.6</v>
      </c>
      <c r="AC135">
        <v>36.6</v>
      </c>
      <c r="AD135">
        <v>328239523</v>
      </c>
    </row>
    <row r="136" spans="1:30" hidden="1" x14ac:dyDescent="0.45">
      <c r="A136">
        <v>133</v>
      </c>
      <c r="B136">
        <v>13300</v>
      </c>
      <c r="C136" t="s">
        <v>302</v>
      </c>
      <c r="D136" t="s">
        <v>715</v>
      </c>
      <c r="E136">
        <v>71</v>
      </c>
      <c r="F136" t="s">
        <v>228</v>
      </c>
      <c r="G136" t="s">
        <v>228</v>
      </c>
      <c r="H136" t="s">
        <v>304</v>
      </c>
      <c r="I136" t="s">
        <v>302</v>
      </c>
      <c r="J136" t="s">
        <v>228</v>
      </c>
      <c r="L136" t="b">
        <v>1</v>
      </c>
      <c r="M136" t="s">
        <v>39</v>
      </c>
      <c r="N136" t="s">
        <v>8245</v>
      </c>
      <c r="O136" s="1">
        <v>18830</v>
      </c>
      <c r="P136" t="s">
        <v>716</v>
      </c>
      <c r="Q136" t="s">
        <v>717</v>
      </c>
      <c r="S136" s="1">
        <v>45020.209027777775</v>
      </c>
      <c r="V136">
        <v>1951</v>
      </c>
      <c r="W136"/>
      <c r="Y136"/>
    </row>
    <row r="137" spans="1:30" hidden="1" x14ac:dyDescent="0.45">
      <c r="A137">
        <v>136</v>
      </c>
      <c r="B137">
        <v>13200</v>
      </c>
      <c r="C137" t="s">
        <v>33</v>
      </c>
      <c r="D137" t="s">
        <v>718</v>
      </c>
      <c r="E137">
        <v>60</v>
      </c>
      <c r="F137" t="s">
        <v>128</v>
      </c>
      <c r="G137" t="s">
        <v>719</v>
      </c>
      <c r="H137" t="s">
        <v>720</v>
      </c>
      <c r="I137" t="s">
        <v>33</v>
      </c>
      <c r="J137" t="s">
        <v>128</v>
      </c>
      <c r="L137" t="b">
        <v>1</v>
      </c>
      <c r="M137" t="s">
        <v>39</v>
      </c>
      <c r="N137" t="s">
        <v>8245</v>
      </c>
      <c r="O137" s="1">
        <v>23008</v>
      </c>
      <c r="P137" t="s">
        <v>721</v>
      </c>
      <c r="Q137" t="s">
        <v>722</v>
      </c>
      <c r="S137" s="1">
        <v>45020.209027777775</v>
      </c>
      <c r="V137">
        <v>1962</v>
      </c>
      <c r="W137">
        <v>125.08</v>
      </c>
      <c r="X137">
        <v>2.9</v>
      </c>
      <c r="Y137" s="2">
        <v>19910000000000</v>
      </c>
      <c r="Z137">
        <v>50.6</v>
      </c>
      <c r="AA137">
        <v>100.2</v>
      </c>
      <c r="AB137">
        <v>9.4</v>
      </c>
      <c r="AC137">
        <v>59.2</v>
      </c>
      <c r="AD137">
        <v>1397715000</v>
      </c>
    </row>
    <row r="138" spans="1:30" hidden="1" x14ac:dyDescent="0.45">
      <c r="A138">
        <v>137</v>
      </c>
      <c r="B138">
        <v>13100</v>
      </c>
      <c r="C138" t="s">
        <v>302</v>
      </c>
      <c r="D138" t="s">
        <v>723</v>
      </c>
      <c r="E138">
        <v>90</v>
      </c>
      <c r="F138" t="s">
        <v>328</v>
      </c>
      <c r="G138" t="s">
        <v>724</v>
      </c>
      <c r="H138" t="s">
        <v>304</v>
      </c>
      <c r="I138" t="s">
        <v>302</v>
      </c>
      <c r="J138" t="s">
        <v>328</v>
      </c>
      <c r="L138" t="b">
        <v>1</v>
      </c>
      <c r="M138" t="s">
        <v>29</v>
      </c>
      <c r="N138" t="s">
        <v>8245</v>
      </c>
      <c r="O138" s="1">
        <v>12116</v>
      </c>
      <c r="P138" t="s">
        <v>725</v>
      </c>
      <c r="Q138" t="s">
        <v>726</v>
      </c>
      <c r="S138" s="1">
        <v>45020.209027777775</v>
      </c>
      <c r="V138">
        <v>1933</v>
      </c>
      <c r="W138">
        <v>119.8</v>
      </c>
      <c r="X138">
        <v>1.6</v>
      </c>
      <c r="Y138" s="2">
        <v>1392680589329</v>
      </c>
      <c r="Z138">
        <v>113.1</v>
      </c>
      <c r="AA138">
        <v>100.3</v>
      </c>
      <c r="AB138">
        <v>23</v>
      </c>
      <c r="AC138">
        <v>47.4</v>
      </c>
      <c r="AD138">
        <v>25766605</v>
      </c>
    </row>
    <row r="139" spans="1:30" hidden="1" x14ac:dyDescent="0.45">
      <c r="A139">
        <v>138</v>
      </c>
      <c r="B139">
        <v>12900</v>
      </c>
      <c r="C139" t="s">
        <v>61</v>
      </c>
      <c r="D139" t="s">
        <v>727</v>
      </c>
      <c r="E139">
        <v>64</v>
      </c>
      <c r="F139" t="s">
        <v>93</v>
      </c>
      <c r="G139" t="s">
        <v>94</v>
      </c>
      <c r="H139" t="s">
        <v>557</v>
      </c>
      <c r="I139" t="s">
        <v>61</v>
      </c>
      <c r="J139" t="s">
        <v>93</v>
      </c>
      <c r="L139" t="b">
        <v>1</v>
      </c>
      <c r="M139" t="s">
        <v>39</v>
      </c>
      <c r="N139" t="s">
        <v>8245</v>
      </c>
      <c r="O139" s="1">
        <v>21624</v>
      </c>
      <c r="P139" t="s">
        <v>728</v>
      </c>
      <c r="Q139" t="s">
        <v>729</v>
      </c>
      <c r="S139" s="1">
        <v>45020.209027777775</v>
      </c>
      <c r="V139">
        <v>1959</v>
      </c>
      <c r="W139">
        <v>180.44</v>
      </c>
      <c r="X139">
        <v>7.7</v>
      </c>
      <c r="Y139" s="2">
        <v>2611000000000</v>
      </c>
      <c r="Z139">
        <v>28.1</v>
      </c>
      <c r="AA139">
        <v>113</v>
      </c>
      <c r="AB139">
        <v>11.2</v>
      </c>
      <c r="AC139">
        <v>49.7</v>
      </c>
      <c r="AD139">
        <v>1366417754</v>
      </c>
    </row>
    <row r="140" spans="1:30" hidden="1" x14ac:dyDescent="0.45">
      <c r="A140">
        <v>138</v>
      </c>
      <c r="B140">
        <v>12900</v>
      </c>
      <c r="C140" t="s">
        <v>702</v>
      </c>
      <c r="D140" t="s">
        <v>730</v>
      </c>
      <c r="E140">
        <v>75</v>
      </c>
      <c r="F140" t="s">
        <v>35</v>
      </c>
      <c r="G140" t="s">
        <v>731</v>
      </c>
      <c r="H140" t="s">
        <v>732</v>
      </c>
      <c r="I140" t="s">
        <v>702</v>
      </c>
      <c r="J140" t="s">
        <v>35</v>
      </c>
      <c r="L140" t="b">
        <v>1</v>
      </c>
      <c r="M140" t="s">
        <v>29</v>
      </c>
      <c r="N140" t="s">
        <v>8245</v>
      </c>
      <c r="O140" s="1">
        <v>17377</v>
      </c>
      <c r="P140" t="s">
        <v>733</v>
      </c>
      <c r="Q140" t="s">
        <v>734</v>
      </c>
      <c r="S140" s="1">
        <v>45020.209027777775</v>
      </c>
      <c r="T140" t="s">
        <v>43</v>
      </c>
      <c r="U140" t="s">
        <v>44</v>
      </c>
      <c r="V140">
        <v>1947</v>
      </c>
      <c r="W140">
        <v>117.24</v>
      </c>
      <c r="X140">
        <v>7.5</v>
      </c>
      <c r="Y140" s="2">
        <v>21427700000000</v>
      </c>
      <c r="Z140">
        <v>88.2</v>
      </c>
      <c r="AA140">
        <v>101.8</v>
      </c>
      <c r="AB140">
        <v>9.6</v>
      </c>
      <c r="AC140">
        <v>36.6</v>
      </c>
      <c r="AD140">
        <v>328239523</v>
      </c>
    </row>
    <row r="141" spans="1:30" hidden="1" x14ac:dyDescent="0.45">
      <c r="A141">
        <v>140</v>
      </c>
      <c r="B141">
        <v>12600</v>
      </c>
      <c r="C141" t="s">
        <v>347</v>
      </c>
      <c r="D141" t="s">
        <v>735</v>
      </c>
      <c r="E141">
        <v>58</v>
      </c>
      <c r="F141" t="s">
        <v>272</v>
      </c>
      <c r="G141" t="s">
        <v>273</v>
      </c>
      <c r="H141" t="s">
        <v>736</v>
      </c>
      <c r="I141" t="s">
        <v>347</v>
      </c>
      <c r="J141" t="s">
        <v>363</v>
      </c>
      <c r="L141" t="b">
        <v>1</v>
      </c>
      <c r="M141" t="s">
        <v>29</v>
      </c>
      <c r="N141" t="s">
        <v>8245</v>
      </c>
      <c r="O141" s="1">
        <v>23488</v>
      </c>
      <c r="P141" t="s">
        <v>737</v>
      </c>
      <c r="Q141" t="s">
        <v>738</v>
      </c>
      <c r="S141" s="1">
        <v>45020.209027777775</v>
      </c>
      <c r="V141">
        <v>1964</v>
      </c>
      <c r="W141">
        <v>119.62</v>
      </c>
      <c r="X141">
        <v>1.7</v>
      </c>
      <c r="Y141" s="2">
        <v>2827113184696</v>
      </c>
      <c r="Z141">
        <v>60</v>
      </c>
      <c r="AA141">
        <v>101.2</v>
      </c>
      <c r="AB141">
        <v>25.5</v>
      </c>
      <c r="AC141">
        <v>30.6</v>
      </c>
      <c r="AD141">
        <v>66834405</v>
      </c>
    </row>
    <row r="142" spans="1:30" hidden="1" x14ac:dyDescent="0.45">
      <c r="A142">
        <v>141</v>
      </c>
      <c r="B142">
        <v>12300</v>
      </c>
      <c r="C142" t="s">
        <v>347</v>
      </c>
      <c r="D142" t="s">
        <v>739</v>
      </c>
      <c r="E142">
        <v>57</v>
      </c>
      <c r="F142" t="s">
        <v>628</v>
      </c>
      <c r="G142" t="s">
        <v>629</v>
      </c>
      <c r="H142" t="s">
        <v>347</v>
      </c>
      <c r="I142" t="s">
        <v>347</v>
      </c>
      <c r="J142" t="s">
        <v>628</v>
      </c>
      <c r="L142" t="b">
        <v>1</v>
      </c>
      <c r="M142" t="s">
        <v>29</v>
      </c>
      <c r="N142" t="s">
        <v>8245</v>
      </c>
      <c r="O142" s="1">
        <v>23935</v>
      </c>
      <c r="P142" t="s">
        <v>740</v>
      </c>
      <c r="Q142" t="s">
        <v>741</v>
      </c>
      <c r="S142" s="1">
        <v>45020.209027777775</v>
      </c>
      <c r="V142">
        <v>1965</v>
      </c>
      <c r="W142">
        <v>113.27</v>
      </c>
      <c r="X142">
        <v>0.7</v>
      </c>
      <c r="Y142" s="2">
        <v>543649976166</v>
      </c>
      <c r="Z142">
        <v>49.3</v>
      </c>
      <c r="AA142">
        <v>99.8</v>
      </c>
      <c r="AB142">
        <v>14.9</v>
      </c>
      <c r="AC142">
        <v>29.5</v>
      </c>
      <c r="AD142">
        <v>69625582</v>
      </c>
    </row>
    <row r="143" spans="1:30" hidden="1" x14ac:dyDescent="0.45">
      <c r="A143">
        <v>142</v>
      </c>
      <c r="B143">
        <v>12200</v>
      </c>
      <c r="C143" t="s">
        <v>326</v>
      </c>
      <c r="D143" t="s">
        <v>742</v>
      </c>
      <c r="E143">
        <v>50</v>
      </c>
      <c r="F143" t="s">
        <v>128</v>
      </c>
      <c r="G143" t="s">
        <v>743</v>
      </c>
      <c r="H143" t="s">
        <v>351</v>
      </c>
      <c r="I143" t="s">
        <v>326</v>
      </c>
      <c r="J143" t="s">
        <v>128</v>
      </c>
      <c r="L143" t="b">
        <v>1</v>
      </c>
      <c r="M143" t="s">
        <v>39</v>
      </c>
      <c r="N143" t="s">
        <v>8245</v>
      </c>
      <c r="O143" s="1">
        <v>26696</v>
      </c>
      <c r="P143" t="s">
        <v>744</v>
      </c>
      <c r="Q143" t="s">
        <v>745</v>
      </c>
      <c r="S143" s="1">
        <v>45020.209027777775</v>
      </c>
      <c r="V143">
        <v>1973</v>
      </c>
      <c r="W143">
        <v>125.08</v>
      </c>
      <c r="X143">
        <v>2.9</v>
      </c>
      <c r="Y143" s="2">
        <v>19910000000000</v>
      </c>
      <c r="Z143">
        <v>50.6</v>
      </c>
      <c r="AA143">
        <v>100.2</v>
      </c>
      <c r="AB143">
        <v>9.4</v>
      </c>
      <c r="AC143">
        <v>59.2</v>
      </c>
      <c r="AD143">
        <v>1397715000</v>
      </c>
    </row>
    <row r="144" spans="1:30" hidden="1" x14ac:dyDescent="0.45">
      <c r="A144">
        <v>142</v>
      </c>
      <c r="B144">
        <v>12200</v>
      </c>
      <c r="C144" t="s">
        <v>402</v>
      </c>
      <c r="D144" t="s">
        <v>746</v>
      </c>
      <c r="E144">
        <v>69</v>
      </c>
      <c r="F144" t="s">
        <v>128</v>
      </c>
      <c r="G144" t="s">
        <v>747</v>
      </c>
      <c r="H144" t="s">
        <v>405</v>
      </c>
      <c r="I144" t="s">
        <v>402</v>
      </c>
      <c r="J144" t="s">
        <v>128</v>
      </c>
      <c r="L144" t="b">
        <v>1</v>
      </c>
      <c r="M144" t="s">
        <v>39</v>
      </c>
      <c r="N144" t="s">
        <v>8245</v>
      </c>
      <c r="O144" s="1">
        <v>19640</v>
      </c>
      <c r="P144" t="s">
        <v>748</v>
      </c>
      <c r="Q144" t="s">
        <v>749</v>
      </c>
      <c r="S144" s="1">
        <v>45020.209027777775</v>
      </c>
      <c r="V144">
        <v>1953</v>
      </c>
      <c r="W144">
        <v>125.08</v>
      </c>
      <c r="X144">
        <v>2.9</v>
      </c>
      <c r="Y144" s="2">
        <v>19910000000000</v>
      </c>
      <c r="Z144">
        <v>50.6</v>
      </c>
      <c r="AA144">
        <v>100.2</v>
      </c>
      <c r="AB144">
        <v>9.4</v>
      </c>
      <c r="AC144">
        <v>59.2</v>
      </c>
      <c r="AD144">
        <v>1397715000</v>
      </c>
    </row>
    <row r="145" spans="1:30" hidden="1" x14ac:dyDescent="0.45">
      <c r="A145">
        <v>144</v>
      </c>
      <c r="B145">
        <v>12100</v>
      </c>
      <c r="C145" t="s">
        <v>33</v>
      </c>
      <c r="D145" t="s">
        <v>750</v>
      </c>
      <c r="E145">
        <v>72</v>
      </c>
      <c r="F145" t="s">
        <v>35</v>
      </c>
      <c r="G145" t="s">
        <v>751</v>
      </c>
      <c r="H145" t="s">
        <v>752</v>
      </c>
      <c r="I145" t="s">
        <v>33</v>
      </c>
      <c r="J145" t="s">
        <v>35</v>
      </c>
      <c r="L145" t="b">
        <v>1</v>
      </c>
      <c r="M145" t="s">
        <v>29</v>
      </c>
      <c r="N145" t="s">
        <v>8245</v>
      </c>
      <c r="O145" s="1">
        <v>18462</v>
      </c>
      <c r="P145" t="s">
        <v>753</v>
      </c>
      <c r="Q145" t="s">
        <v>754</v>
      </c>
      <c r="S145" s="1">
        <v>45020.209027777775</v>
      </c>
      <c r="T145" t="s">
        <v>253</v>
      </c>
      <c r="U145" t="s">
        <v>44</v>
      </c>
      <c r="V145">
        <v>1950</v>
      </c>
      <c r="W145">
        <v>117.24</v>
      </c>
      <c r="X145">
        <v>7.5</v>
      </c>
      <c r="Y145" s="2">
        <v>21427700000000</v>
      </c>
      <c r="Z145">
        <v>88.2</v>
      </c>
      <c r="AA145">
        <v>101.8</v>
      </c>
      <c r="AB145">
        <v>9.6</v>
      </c>
      <c r="AC145">
        <v>36.6</v>
      </c>
      <c r="AD145">
        <v>328239523</v>
      </c>
    </row>
    <row r="146" spans="1:30" x14ac:dyDescent="0.45">
      <c r="A146">
        <v>145</v>
      </c>
      <c r="B146" s="6">
        <v>12000</v>
      </c>
      <c r="C146" t="s">
        <v>45</v>
      </c>
      <c r="D146" t="s">
        <v>755</v>
      </c>
      <c r="E146">
        <v>59</v>
      </c>
      <c r="F146" t="s">
        <v>35</v>
      </c>
      <c r="G146" t="s">
        <v>110</v>
      </c>
      <c r="H146" t="s">
        <v>756</v>
      </c>
      <c r="I146" t="s">
        <v>45</v>
      </c>
      <c r="J146" t="s">
        <v>35</v>
      </c>
      <c r="K146" t="s">
        <v>757</v>
      </c>
      <c r="L146" t="b">
        <v>0</v>
      </c>
      <c r="M146" t="s">
        <v>39</v>
      </c>
      <c r="N146" t="s">
        <v>8246</v>
      </c>
      <c r="O146" s="10">
        <v>23321</v>
      </c>
      <c r="P146" t="s">
        <v>758</v>
      </c>
      <c r="Q146" t="s">
        <v>759</v>
      </c>
      <c r="R146" t="s">
        <v>605</v>
      </c>
      <c r="S146" s="8">
        <v>45020.209027777775</v>
      </c>
      <c r="T146" t="s">
        <v>115</v>
      </c>
      <c r="U146" t="s">
        <v>53</v>
      </c>
      <c r="V146">
        <v>1963</v>
      </c>
      <c r="W146" s="12">
        <v>117.24</v>
      </c>
      <c r="X146">
        <v>7.5</v>
      </c>
      <c r="Y146" s="14">
        <v>21427700000000</v>
      </c>
      <c r="Z146">
        <v>88.2</v>
      </c>
      <c r="AA146">
        <v>101.8</v>
      </c>
      <c r="AB146">
        <v>9.6</v>
      </c>
      <c r="AC146">
        <v>36.6</v>
      </c>
      <c r="AD146">
        <v>328239523</v>
      </c>
    </row>
    <row r="147" spans="1:30" hidden="1" x14ac:dyDescent="0.45">
      <c r="A147">
        <v>146</v>
      </c>
      <c r="B147">
        <v>11800</v>
      </c>
      <c r="C147" t="s">
        <v>91</v>
      </c>
      <c r="D147" t="s">
        <v>760</v>
      </c>
      <c r="E147">
        <v>99</v>
      </c>
      <c r="F147" t="s">
        <v>228</v>
      </c>
      <c r="G147" t="s">
        <v>228</v>
      </c>
      <c r="H147" t="s">
        <v>761</v>
      </c>
      <c r="I147" t="s">
        <v>91</v>
      </c>
      <c r="J147" t="s">
        <v>762</v>
      </c>
      <c r="L147" t="b">
        <v>1</v>
      </c>
      <c r="M147" t="s">
        <v>29</v>
      </c>
      <c r="N147" t="s">
        <v>8245</v>
      </c>
      <c r="O147" s="1">
        <v>8680</v>
      </c>
      <c r="P147" t="s">
        <v>763</v>
      </c>
      <c r="Q147" t="s">
        <v>619</v>
      </c>
      <c r="S147" s="1">
        <v>45020.209027777775</v>
      </c>
      <c r="V147">
        <v>1923</v>
      </c>
      <c r="W147"/>
      <c r="Y147"/>
    </row>
    <row r="148" spans="1:30" hidden="1" x14ac:dyDescent="0.45">
      <c r="A148">
        <v>147</v>
      </c>
      <c r="B148">
        <v>11600</v>
      </c>
      <c r="C148" t="s">
        <v>302</v>
      </c>
      <c r="D148" t="s">
        <v>764</v>
      </c>
      <c r="E148">
        <v>82</v>
      </c>
      <c r="F148" t="s">
        <v>35</v>
      </c>
      <c r="G148" t="s">
        <v>78</v>
      </c>
      <c r="H148" t="s">
        <v>304</v>
      </c>
      <c r="I148" t="s">
        <v>302</v>
      </c>
      <c r="J148" t="s">
        <v>35</v>
      </c>
      <c r="L148" t="b">
        <v>1</v>
      </c>
      <c r="M148" t="s">
        <v>29</v>
      </c>
      <c r="N148" t="s">
        <v>8245</v>
      </c>
      <c r="O148" s="1">
        <v>14741</v>
      </c>
      <c r="P148" t="s">
        <v>765</v>
      </c>
      <c r="Q148" t="s">
        <v>320</v>
      </c>
      <c r="S148" s="1">
        <v>45020.209027777775</v>
      </c>
      <c r="T148" t="s">
        <v>78</v>
      </c>
      <c r="U148" t="s">
        <v>82</v>
      </c>
      <c r="V148">
        <v>1940</v>
      </c>
      <c r="W148">
        <v>117.24</v>
      </c>
      <c r="X148">
        <v>7.5</v>
      </c>
      <c r="Y148" s="2">
        <v>21427700000000</v>
      </c>
      <c r="Z148">
        <v>88.2</v>
      </c>
      <c r="AA148">
        <v>101.8</v>
      </c>
      <c r="AB148">
        <v>9.6</v>
      </c>
      <c r="AC148">
        <v>36.6</v>
      </c>
      <c r="AD148">
        <v>328239523</v>
      </c>
    </row>
    <row r="149" spans="1:30" hidden="1" x14ac:dyDescent="0.45">
      <c r="A149">
        <v>148</v>
      </c>
      <c r="B149">
        <v>11500</v>
      </c>
      <c r="C149" t="s">
        <v>45</v>
      </c>
      <c r="D149" t="s">
        <v>766</v>
      </c>
      <c r="E149">
        <v>38</v>
      </c>
      <c r="F149" t="s">
        <v>360</v>
      </c>
      <c r="G149" t="s">
        <v>767</v>
      </c>
      <c r="H149" t="s">
        <v>768</v>
      </c>
      <c r="I149" t="s">
        <v>45</v>
      </c>
      <c r="J149" t="s">
        <v>360</v>
      </c>
      <c r="L149" t="b">
        <v>1</v>
      </c>
      <c r="M149" t="s">
        <v>39</v>
      </c>
      <c r="N149" t="s">
        <v>8245</v>
      </c>
      <c r="O149" s="1">
        <v>30965</v>
      </c>
      <c r="P149" t="s">
        <v>769</v>
      </c>
      <c r="Q149" t="s">
        <v>770</v>
      </c>
      <c r="S149" s="1">
        <v>45020.209027777775</v>
      </c>
      <c r="V149">
        <v>1984</v>
      </c>
      <c r="W149">
        <v>114.52</v>
      </c>
      <c r="X149">
        <v>-1.9</v>
      </c>
      <c r="Y149" s="2">
        <v>421142267938</v>
      </c>
      <c r="Z149">
        <v>36.799999999999997</v>
      </c>
      <c r="AA149">
        <v>108.4</v>
      </c>
      <c r="AB149">
        <v>0.1</v>
      </c>
      <c r="AC149">
        <v>15.9</v>
      </c>
      <c r="AD149">
        <v>9770529</v>
      </c>
    </row>
    <row r="150" spans="1:30" hidden="1" x14ac:dyDescent="0.45">
      <c r="A150">
        <v>148</v>
      </c>
      <c r="B150">
        <v>11500</v>
      </c>
      <c r="C150" t="s">
        <v>402</v>
      </c>
      <c r="D150" t="s">
        <v>771</v>
      </c>
      <c r="E150">
        <v>73</v>
      </c>
      <c r="F150" t="s">
        <v>194</v>
      </c>
      <c r="G150" t="s">
        <v>772</v>
      </c>
      <c r="H150" t="s">
        <v>610</v>
      </c>
      <c r="I150" t="s">
        <v>402</v>
      </c>
      <c r="J150" t="s">
        <v>194</v>
      </c>
      <c r="L150" t="b">
        <v>1</v>
      </c>
      <c r="M150" t="s">
        <v>39</v>
      </c>
      <c r="N150" t="s">
        <v>8245</v>
      </c>
      <c r="O150" s="1">
        <v>18310</v>
      </c>
      <c r="P150" t="s">
        <v>773</v>
      </c>
      <c r="Q150" t="s">
        <v>774</v>
      </c>
      <c r="S150" s="1">
        <v>45020.209027777775</v>
      </c>
      <c r="V150">
        <v>1950</v>
      </c>
      <c r="W150">
        <v>112.85</v>
      </c>
      <c r="X150">
        <v>1.4</v>
      </c>
      <c r="Y150" s="2">
        <v>3845630030824</v>
      </c>
      <c r="Z150">
        <v>70.2</v>
      </c>
      <c r="AA150">
        <v>104</v>
      </c>
      <c r="AB150">
        <v>11.5</v>
      </c>
      <c r="AC150">
        <v>48.8</v>
      </c>
      <c r="AD150">
        <v>83132799</v>
      </c>
    </row>
    <row r="151" spans="1:30" hidden="1" x14ac:dyDescent="0.45">
      <c r="A151">
        <v>148</v>
      </c>
      <c r="B151">
        <v>11500</v>
      </c>
      <c r="C151" t="s">
        <v>402</v>
      </c>
      <c r="D151" t="s">
        <v>775</v>
      </c>
      <c r="E151">
        <v>73</v>
      </c>
      <c r="F151" t="s">
        <v>194</v>
      </c>
      <c r="G151" t="s">
        <v>772</v>
      </c>
      <c r="H151" t="s">
        <v>610</v>
      </c>
      <c r="I151" t="s">
        <v>402</v>
      </c>
      <c r="J151" t="s">
        <v>194</v>
      </c>
      <c r="L151" t="b">
        <v>1</v>
      </c>
      <c r="M151" t="s">
        <v>39</v>
      </c>
      <c r="N151" t="s">
        <v>8245</v>
      </c>
      <c r="O151" s="1">
        <v>18310</v>
      </c>
      <c r="P151" t="s">
        <v>773</v>
      </c>
      <c r="Q151" t="s">
        <v>358</v>
      </c>
      <c r="S151" s="1">
        <v>45020.209027777775</v>
      </c>
      <c r="V151">
        <v>1950</v>
      </c>
      <c r="W151">
        <v>112.85</v>
      </c>
      <c r="X151">
        <v>1.4</v>
      </c>
      <c r="Y151" s="2">
        <v>3845630030824</v>
      </c>
      <c r="Z151">
        <v>70.2</v>
      </c>
      <c r="AA151">
        <v>104</v>
      </c>
      <c r="AB151">
        <v>11.5</v>
      </c>
      <c r="AC151">
        <v>48.8</v>
      </c>
      <c r="AD151">
        <v>83132799</v>
      </c>
    </row>
    <row r="152" spans="1:30" hidden="1" x14ac:dyDescent="0.45">
      <c r="A152">
        <v>151</v>
      </c>
      <c r="B152">
        <v>11400</v>
      </c>
      <c r="C152" t="s">
        <v>126</v>
      </c>
      <c r="D152" t="s">
        <v>776</v>
      </c>
      <c r="E152">
        <v>59</v>
      </c>
      <c r="F152" t="s">
        <v>128</v>
      </c>
      <c r="G152" t="s">
        <v>777</v>
      </c>
      <c r="H152" t="s">
        <v>778</v>
      </c>
      <c r="I152" t="s">
        <v>126</v>
      </c>
      <c r="J152" t="s">
        <v>128</v>
      </c>
      <c r="L152" t="b">
        <v>1</v>
      </c>
      <c r="M152" t="s">
        <v>39</v>
      </c>
      <c r="N152" t="s">
        <v>8245</v>
      </c>
      <c r="O152" s="1">
        <v>23377</v>
      </c>
      <c r="P152" t="s">
        <v>779</v>
      </c>
      <c r="Q152" t="s">
        <v>780</v>
      </c>
      <c r="S152" s="1">
        <v>45020.209027777775</v>
      </c>
      <c r="V152">
        <v>1964</v>
      </c>
      <c r="W152">
        <v>125.08</v>
      </c>
      <c r="X152">
        <v>2.9</v>
      </c>
      <c r="Y152" s="2">
        <v>19910000000000</v>
      </c>
      <c r="Z152">
        <v>50.6</v>
      </c>
      <c r="AA152">
        <v>100.2</v>
      </c>
      <c r="AB152">
        <v>9.4</v>
      </c>
      <c r="AC152">
        <v>59.2</v>
      </c>
      <c r="AD152">
        <v>1397715000</v>
      </c>
    </row>
    <row r="153" spans="1:30" x14ac:dyDescent="0.45">
      <c r="A153">
        <v>151</v>
      </c>
      <c r="B153" s="6">
        <v>11400</v>
      </c>
      <c r="C153" t="s">
        <v>23</v>
      </c>
      <c r="D153" t="s">
        <v>781</v>
      </c>
      <c r="E153">
        <v>50</v>
      </c>
      <c r="F153" t="s">
        <v>35</v>
      </c>
      <c r="G153" t="s">
        <v>782</v>
      </c>
      <c r="H153" t="s">
        <v>783</v>
      </c>
      <c r="I153" t="s">
        <v>23</v>
      </c>
      <c r="J153" t="s">
        <v>35</v>
      </c>
      <c r="K153" t="s">
        <v>784</v>
      </c>
      <c r="L153" t="b">
        <v>1</v>
      </c>
      <c r="M153" t="s">
        <v>29</v>
      </c>
      <c r="N153" t="s">
        <v>8245</v>
      </c>
      <c r="O153" s="10">
        <v>26501</v>
      </c>
      <c r="P153" t="s">
        <v>785</v>
      </c>
      <c r="Q153" t="s">
        <v>81</v>
      </c>
      <c r="R153" t="s">
        <v>42</v>
      </c>
      <c r="S153" s="8">
        <v>45020.209027777775</v>
      </c>
      <c r="T153" t="s">
        <v>311</v>
      </c>
      <c r="U153" t="s">
        <v>82</v>
      </c>
      <c r="V153">
        <v>1972</v>
      </c>
      <c r="W153" s="12">
        <v>117.24</v>
      </c>
      <c r="X153">
        <v>7.5</v>
      </c>
      <c r="Y153" s="14">
        <v>21427700000000</v>
      </c>
      <c r="Z153">
        <v>88.2</v>
      </c>
      <c r="AA153">
        <v>101.8</v>
      </c>
      <c r="AB153">
        <v>9.6</v>
      </c>
      <c r="AC153">
        <v>36.6</v>
      </c>
      <c r="AD153">
        <v>328239523</v>
      </c>
    </row>
    <row r="154" spans="1:30" x14ac:dyDescent="0.45">
      <c r="A154">
        <v>153</v>
      </c>
      <c r="B154" s="6">
        <v>11300</v>
      </c>
      <c r="C154" t="s">
        <v>61</v>
      </c>
      <c r="D154" t="s">
        <v>786</v>
      </c>
      <c r="E154">
        <v>74</v>
      </c>
      <c r="F154" t="s">
        <v>35</v>
      </c>
      <c r="G154" t="s">
        <v>78</v>
      </c>
      <c r="H154" t="s">
        <v>248</v>
      </c>
      <c r="I154" t="s">
        <v>61</v>
      </c>
      <c r="J154" t="s">
        <v>35</v>
      </c>
      <c r="K154" t="s">
        <v>787</v>
      </c>
      <c r="L154" t="b">
        <v>1</v>
      </c>
      <c r="M154" t="s">
        <v>39</v>
      </c>
      <c r="N154" t="s">
        <v>8245</v>
      </c>
      <c r="O154" s="10">
        <v>17806</v>
      </c>
      <c r="P154" t="s">
        <v>788</v>
      </c>
      <c r="Q154" t="s">
        <v>490</v>
      </c>
      <c r="R154" t="s">
        <v>192</v>
      </c>
      <c r="S154" s="8">
        <v>45020.209027777775</v>
      </c>
      <c r="T154" t="s">
        <v>78</v>
      </c>
      <c r="U154" t="s">
        <v>82</v>
      </c>
      <c r="V154">
        <v>1948</v>
      </c>
      <c r="W154" s="12">
        <v>117.24</v>
      </c>
      <c r="X154">
        <v>7.5</v>
      </c>
      <c r="Y154" s="14">
        <v>21427700000000</v>
      </c>
      <c r="Z154">
        <v>88.2</v>
      </c>
      <c r="AA154">
        <v>101.8</v>
      </c>
      <c r="AB154">
        <v>9.6</v>
      </c>
      <c r="AC154">
        <v>36.6</v>
      </c>
      <c r="AD154">
        <v>328239523</v>
      </c>
    </row>
    <row r="155" spans="1:30" hidden="1" x14ac:dyDescent="0.45">
      <c r="A155">
        <v>153</v>
      </c>
      <c r="B155">
        <v>11300</v>
      </c>
      <c r="C155" t="s">
        <v>296</v>
      </c>
      <c r="D155" t="s">
        <v>789</v>
      </c>
      <c r="E155">
        <v>69</v>
      </c>
      <c r="F155" t="s">
        <v>490</v>
      </c>
      <c r="G155" t="s">
        <v>790</v>
      </c>
      <c r="H155" t="s">
        <v>791</v>
      </c>
      <c r="I155" t="s">
        <v>296</v>
      </c>
      <c r="J155" t="s">
        <v>363</v>
      </c>
      <c r="L155" t="b">
        <v>1</v>
      </c>
      <c r="M155" t="s">
        <v>29</v>
      </c>
      <c r="N155" t="s">
        <v>8245</v>
      </c>
      <c r="O155" s="1">
        <v>19610</v>
      </c>
      <c r="P155" t="s">
        <v>792</v>
      </c>
      <c r="Q155" t="s">
        <v>793</v>
      </c>
      <c r="S155" s="1">
        <v>45020.209027777775</v>
      </c>
      <c r="V155">
        <v>1953</v>
      </c>
      <c r="W155">
        <v>108.15</v>
      </c>
      <c r="X155">
        <v>0.8</v>
      </c>
      <c r="Y155" s="2">
        <v>395098666122</v>
      </c>
      <c r="Z155">
        <v>63.4</v>
      </c>
      <c r="AA155">
        <v>104.9</v>
      </c>
      <c r="AB155">
        <v>23.1</v>
      </c>
      <c r="AC155">
        <v>25.3</v>
      </c>
      <c r="AD155">
        <v>9053300</v>
      </c>
    </row>
    <row r="156" spans="1:30" hidden="1" x14ac:dyDescent="0.45">
      <c r="A156">
        <v>153</v>
      </c>
      <c r="B156">
        <v>11300</v>
      </c>
      <c r="C156" t="s">
        <v>296</v>
      </c>
      <c r="D156" t="s">
        <v>794</v>
      </c>
      <c r="E156">
        <v>62</v>
      </c>
      <c r="F156" t="s">
        <v>328</v>
      </c>
      <c r="G156" t="s">
        <v>795</v>
      </c>
      <c r="H156" t="s">
        <v>296</v>
      </c>
      <c r="I156" t="s">
        <v>296</v>
      </c>
      <c r="J156" t="s">
        <v>328</v>
      </c>
      <c r="L156" t="b">
        <v>0</v>
      </c>
      <c r="M156" t="s">
        <v>39</v>
      </c>
      <c r="N156" t="s">
        <v>8245</v>
      </c>
      <c r="O156" s="1">
        <v>22017</v>
      </c>
      <c r="P156" t="s">
        <v>796</v>
      </c>
      <c r="Q156" t="s">
        <v>797</v>
      </c>
      <c r="S156" s="1">
        <v>45020.209027777775</v>
      </c>
      <c r="V156">
        <v>1960</v>
      </c>
      <c r="W156">
        <v>119.8</v>
      </c>
      <c r="X156">
        <v>1.6</v>
      </c>
      <c r="Y156" s="2">
        <v>1392680589329</v>
      </c>
      <c r="Z156">
        <v>113.1</v>
      </c>
      <c r="AA156">
        <v>100.3</v>
      </c>
      <c r="AB156">
        <v>23</v>
      </c>
      <c r="AC156">
        <v>47.4</v>
      </c>
      <c r="AD156">
        <v>25766605</v>
      </c>
    </row>
    <row r="157" spans="1:30" hidden="1" x14ac:dyDescent="0.45">
      <c r="A157">
        <v>153</v>
      </c>
      <c r="B157">
        <v>11300</v>
      </c>
      <c r="C157" t="s">
        <v>61</v>
      </c>
      <c r="D157" t="s">
        <v>798</v>
      </c>
      <c r="E157">
        <v>57</v>
      </c>
      <c r="F157" t="s">
        <v>205</v>
      </c>
      <c r="G157" t="s">
        <v>799</v>
      </c>
      <c r="H157" t="s">
        <v>317</v>
      </c>
      <c r="I157" t="s">
        <v>61</v>
      </c>
      <c r="J157" t="s">
        <v>363</v>
      </c>
      <c r="L157" t="b">
        <v>1</v>
      </c>
      <c r="M157" t="s">
        <v>29</v>
      </c>
      <c r="N157" t="s">
        <v>8245</v>
      </c>
      <c r="O157" s="1">
        <v>23865</v>
      </c>
      <c r="P157" t="s">
        <v>800</v>
      </c>
      <c r="Q157" t="s">
        <v>738</v>
      </c>
      <c r="S157" s="1">
        <v>45020.209027777775</v>
      </c>
      <c r="V157">
        <v>1965</v>
      </c>
      <c r="W157">
        <v>99.55</v>
      </c>
      <c r="X157">
        <v>0.4</v>
      </c>
      <c r="Y157" s="2">
        <v>703082435360</v>
      </c>
      <c r="Z157">
        <v>59.6</v>
      </c>
      <c r="AA157">
        <v>105.2</v>
      </c>
      <c r="AB157">
        <v>10.1</v>
      </c>
      <c r="AC157">
        <v>28.8</v>
      </c>
      <c r="AD157">
        <v>8574832</v>
      </c>
    </row>
    <row r="158" spans="1:30" hidden="1" x14ac:dyDescent="0.45">
      <c r="A158">
        <v>157</v>
      </c>
      <c r="B158">
        <v>11100</v>
      </c>
      <c r="C158" t="s">
        <v>23</v>
      </c>
      <c r="D158" t="s">
        <v>801</v>
      </c>
      <c r="E158">
        <v>88</v>
      </c>
      <c r="F158" t="s">
        <v>214</v>
      </c>
      <c r="G158" t="s">
        <v>802</v>
      </c>
      <c r="H158" t="s">
        <v>200</v>
      </c>
      <c r="I158" t="s">
        <v>23</v>
      </c>
      <c r="J158" t="s">
        <v>214</v>
      </c>
      <c r="L158" t="b">
        <v>1</v>
      </c>
      <c r="M158" t="s">
        <v>29</v>
      </c>
      <c r="N158" t="s">
        <v>8245</v>
      </c>
      <c r="O158" s="1">
        <v>12611</v>
      </c>
      <c r="P158" t="s">
        <v>803</v>
      </c>
      <c r="Q158" t="s">
        <v>804</v>
      </c>
      <c r="S158" s="1">
        <v>45020.209027777775</v>
      </c>
      <c r="V158">
        <v>1934</v>
      </c>
      <c r="W158">
        <v>110.62</v>
      </c>
      <c r="X158">
        <v>0.6</v>
      </c>
      <c r="Y158" s="2">
        <v>2001244392042</v>
      </c>
      <c r="Z158">
        <v>61.9</v>
      </c>
      <c r="AA158">
        <v>101.9</v>
      </c>
      <c r="AB158">
        <v>24.3</v>
      </c>
      <c r="AC158">
        <v>59.1</v>
      </c>
      <c r="AD158">
        <v>60297396</v>
      </c>
    </row>
    <row r="159" spans="1:30" hidden="1" x14ac:dyDescent="0.45">
      <c r="A159">
        <v>157</v>
      </c>
      <c r="B159">
        <v>11100</v>
      </c>
      <c r="C159" t="s">
        <v>23</v>
      </c>
      <c r="D159" t="s">
        <v>805</v>
      </c>
      <c r="E159">
        <v>72</v>
      </c>
      <c r="F159" t="s">
        <v>806</v>
      </c>
      <c r="G159" t="s">
        <v>807</v>
      </c>
      <c r="H159" t="s">
        <v>200</v>
      </c>
      <c r="I159" t="s">
        <v>23</v>
      </c>
      <c r="J159" t="s">
        <v>806</v>
      </c>
      <c r="L159" t="b">
        <v>0</v>
      </c>
      <c r="M159" t="s">
        <v>29</v>
      </c>
      <c r="N159" t="s">
        <v>8245</v>
      </c>
      <c r="O159" s="1">
        <v>18415</v>
      </c>
      <c r="P159" t="s">
        <v>554</v>
      </c>
      <c r="Q159" t="s">
        <v>808</v>
      </c>
      <c r="S159" s="1">
        <v>45020.209027777775</v>
      </c>
      <c r="V159">
        <v>1950</v>
      </c>
      <c r="W159">
        <v>158.93</v>
      </c>
      <c r="X159">
        <v>4.0999999999999996</v>
      </c>
      <c r="Y159" s="2">
        <v>351431649241</v>
      </c>
      <c r="Z159">
        <v>22.4</v>
      </c>
      <c r="AA159">
        <v>100.9</v>
      </c>
      <c r="AB159">
        <v>27.5</v>
      </c>
      <c r="AC159">
        <v>29.2</v>
      </c>
      <c r="AD159">
        <v>58558270</v>
      </c>
    </row>
    <row r="160" spans="1:30" hidden="1" x14ac:dyDescent="0.45">
      <c r="A160">
        <v>159</v>
      </c>
      <c r="B160">
        <v>11000</v>
      </c>
      <c r="C160" t="s">
        <v>61</v>
      </c>
      <c r="D160" t="s">
        <v>809</v>
      </c>
      <c r="E160">
        <v>58</v>
      </c>
      <c r="F160" t="s">
        <v>228</v>
      </c>
      <c r="G160" t="s">
        <v>228</v>
      </c>
      <c r="H160" t="s">
        <v>810</v>
      </c>
      <c r="I160" t="s">
        <v>61</v>
      </c>
      <c r="J160" t="s">
        <v>228</v>
      </c>
      <c r="L160" t="b">
        <v>1</v>
      </c>
      <c r="M160" t="s">
        <v>39</v>
      </c>
      <c r="N160" t="s">
        <v>8245</v>
      </c>
      <c r="O160" s="1">
        <v>23743</v>
      </c>
      <c r="P160" t="s">
        <v>811</v>
      </c>
      <c r="Q160" t="s">
        <v>812</v>
      </c>
      <c r="S160" s="1">
        <v>45020.209027777775</v>
      </c>
      <c r="V160">
        <v>1965</v>
      </c>
      <c r="W160"/>
      <c r="Y160"/>
    </row>
    <row r="161" spans="1:30" hidden="1" x14ac:dyDescent="0.45">
      <c r="A161">
        <v>159</v>
      </c>
      <c r="B161">
        <v>11000</v>
      </c>
      <c r="C161" t="s">
        <v>45</v>
      </c>
      <c r="D161" t="s">
        <v>813</v>
      </c>
      <c r="E161">
        <v>51</v>
      </c>
      <c r="F161" t="s">
        <v>128</v>
      </c>
      <c r="G161" t="s">
        <v>234</v>
      </c>
      <c r="H161" t="s">
        <v>235</v>
      </c>
      <c r="I161" t="s">
        <v>45</v>
      </c>
      <c r="J161" t="s">
        <v>128</v>
      </c>
      <c r="L161" t="b">
        <v>1</v>
      </c>
      <c r="M161" t="s">
        <v>39</v>
      </c>
      <c r="N161" t="s">
        <v>8245</v>
      </c>
      <c r="O161" s="1">
        <v>26299</v>
      </c>
      <c r="P161" t="s">
        <v>190</v>
      </c>
      <c r="Q161" t="s">
        <v>814</v>
      </c>
      <c r="S161" s="1">
        <v>45020.209027777775</v>
      </c>
      <c r="V161">
        <v>1972</v>
      </c>
      <c r="W161">
        <v>125.08</v>
      </c>
      <c r="X161">
        <v>2.9</v>
      </c>
      <c r="Y161" s="2">
        <v>19910000000000</v>
      </c>
      <c r="Z161">
        <v>50.6</v>
      </c>
      <c r="AA161">
        <v>100.2</v>
      </c>
      <c r="AB161">
        <v>9.4</v>
      </c>
      <c r="AC161">
        <v>59.2</v>
      </c>
      <c r="AD161">
        <v>1397715000</v>
      </c>
    </row>
    <row r="162" spans="1:30" hidden="1" x14ac:dyDescent="0.45">
      <c r="A162">
        <v>161</v>
      </c>
      <c r="B162">
        <v>10900</v>
      </c>
      <c r="C162" t="s">
        <v>61</v>
      </c>
      <c r="D162" t="s">
        <v>815</v>
      </c>
      <c r="E162">
        <v>83</v>
      </c>
      <c r="F162" t="s">
        <v>35</v>
      </c>
      <c r="G162" t="s">
        <v>816</v>
      </c>
      <c r="H162" t="s">
        <v>817</v>
      </c>
      <c r="I162" t="s">
        <v>61</v>
      </c>
      <c r="J162" t="s">
        <v>35</v>
      </c>
      <c r="L162" t="b">
        <v>0</v>
      </c>
      <c r="M162" t="s">
        <v>611</v>
      </c>
      <c r="N162" t="s">
        <v>8245</v>
      </c>
      <c r="O162" s="1">
        <v>14607</v>
      </c>
      <c r="P162" t="s">
        <v>818</v>
      </c>
      <c r="Q162" t="s">
        <v>819</v>
      </c>
      <c r="S162" s="1">
        <v>45020.209027777775</v>
      </c>
      <c r="T162" t="s">
        <v>820</v>
      </c>
      <c r="U162" t="s">
        <v>53</v>
      </c>
      <c r="V162">
        <v>1939</v>
      </c>
      <c r="W162">
        <v>117.24</v>
      </c>
      <c r="X162">
        <v>7.5</v>
      </c>
      <c r="Y162" s="2">
        <v>21427700000000</v>
      </c>
      <c r="Z162">
        <v>88.2</v>
      </c>
      <c r="AA162">
        <v>101.8</v>
      </c>
      <c r="AB162">
        <v>9.6</v>
      </c>
      <c r="AC162">
        <v>36.6</v>
      </c>
      <c r="AD162">
        <v>328239523</v>
      </c>
    </row>
    <row r="163" spans="1:30" x14ac:dyDescent="0.45">
      <c r="A163">
        <v>161</v>
      </c>
      <c r="B163" s="6">
        <v>10900</v>
      </c>
      <c r="C163" t="s">
        <v>23</v>
      </c>
      <c r="D163" t="s">
        <v>821</v>
      </c>
      <c r="E163">
        <v>85</v>
      </c>
      <c r="F163" t="s">
        <v>35</v>
      </c>
      <c r="G163" t="s">
        <v>502</v>
      </c>
      <c r="H163" t="s">
        <v>822</v>
      </c>
      <c r="I163" t="s">
        <v>23</v>
      </c>
      <c r="J163" t="s">
        <v>35</v>
      </c>
      <c r="K163" t="s">
        <v>823</v>
      </c>
      <c r="L163" t="b">
        <v>1</v>
      </c>
      <c r="M163" t="s">
        <v>29</v>
      </c>
      <c r="N163" t="s">
        <v>8246</v>
      </c>
      <c r="O163" s="10">
        <v>13683</v>
      </c>
      <c r="P163" t="s">
        <v>824</v>
      </c>
      <c r="Q163" t="s">
        <v>825</v>
      </c>
      <c r="R163" t="s">
        <v>32</v>
      </c>
      <c r="S163" s="8">
        <v>45020.209027777775</v>
      </c>
      <c r="T163" t="s">
        <v>507</v>
      </c>
      <c r="U163" t="s">
        <v>44</v>
      </c>
      <c r="V163">
        <v>1937</v>
      </c>
      <c r="W163" s="12">
        <v>117.24</v>
      </c>
      <c r="X163">
        <v>7.5</v>
      </c>
      <c r="Y163" s="14">
        <v>21427700000000</v>
      </c>
      <c r="Z163">
        <v>88.2</v>
      </c>
      <c r="AA163">
        <v>101.8</v>
      </c>
      <c r="AB163">
        <v>9.6</v>
      </c>
      <c r="AC163">
        <v>36.6</v>
      </c>
      <c r="AD163">
        <v>328239523</v>
      </c>
    </row>
    <row r="164" spans="1:30" hidden="1" x14ac:dyDescent="0.45">
      <c r="A164">
        <v>161</v>
      </c>
      <c r="B164">
        <v>10900</v>
      </c>
      <c r="C164" t="s">
        <v>23</v>
      </c>
      <c r="D164" t="s">
        <v>826</v>
      </c>
      <c r="E164">
        <v>67</v>
      </c>
      <c r="F164" t="s">
        <v>85</v>
      </c>
      <c r="G164" t="s">
        <v>86</v>
      </c>
      <c r="H164" t="s">
        <v>827</v>
      </c>
      <c r="I164" t="s">
        <v>23</v>
      </c>
      <c r="J164" t="s">
        <v>85</v>
      </c>
      <c r="L164" t="b">
        <v>0</v>
      </c>
      <c r="M164" t="s">
        <v>39</v>
      </c>
      <c r="N164" t="s">
        <v>8245</v>
      </c>
      <c r="O164" s="1">
        <v>20381</v>
      </c>
      <c r="P164" t="s">
        <v>828</v>
      </c>
      <c r="Q164" t="s">
        <v>829</v>
      </c>
      <c r="S164" s="1">
        <v>45020.209027777775</v>
      </c>
      <c r="V164">
        <v>1955</v>
      </c>
      <c r="W164">
        <v>141.54</v>
      </c>
      <c r="X164">
        <v>3.6</v>
      </c>
      <c r="Y164" s="2">
        <v>1258286717125</v>
      </c>
      <c r="Z164">
        <v>40.200000000000003</v>
      </c>
      <c r="AA164">
        <v>105.8</v>
      </c>
      <c r="AB164">
        <v>13.1</v>
      </c>
      <c r="AC164">
        <v>55.1</v>
      </c>
      <c r="AD164">
        <v>126014024</v>
      </c>
    </row>
    <row r="165" spans="1:30" hidden="1" x14ac:dyDescent="0.45">
      <c r="A165">
        <v>164</v>
      </c>
      <c r="B165">
        <v>10700</v>
      </c>
      <c r="C165" t="s">
        <v>76</v>
      </c>
      <c r="D165" t="s">
        <v>830</v>
      </c>
      <c r="E165">
        <v>93</v>
      </c>
      <c r="F165" t="s">
        <v>35</v>
      </c>
      <c r="G165" t="s">
        <v>78</v>
      </c>
      <c r="H165" t="s">
        <v>166</v>
      </c>
      <c r="I165" t="s">
        <v>76</v>
      </c>
      <c r="J165" t="s">
        <v>35</v>
      </c>
      <c r="L165" t="b">
        <v>0</v>
      </c>
      <c r="M165" t="s">
        <v>39</v>
      </c>
      <c r="N165" t="s">
        <v>8245</v>
      </c>
      <c r="O165" s="1">
        <v>10810</v>
      </c>
      <c r="P165" t="s">
        <v>831</v>
      </c>
      <c r="Q165" t="s">
        <v>543</v>
      </c>
      <c r="S165" s="1">
        <v>45020.209027777775</v>
      </c>
      <c r="T165" t="s">
        <v>78</v>
      </c>
      <c r="U165" t="s">
        <v>82</v>
      </c>
      <c r="V165">
        <v>1929</v>
      </c>
      <c r="W165">
        <v>117.24</v>
      </c>
      <c r="X165">
        <v>7.5</v>
      </c>
      <c r="Y165" s="2">
        <v>21427700000000</v>
      </c>
      <c r="Z165">
        <v>88.2</v>
      </c>
      <c r="AA165">
        <v>101.8</v>
      </c>
      <c r="AB165">
        <v>9.6</v>
      </c>
      <c r="AC165">
        <v>36.6</v>
      </c>
      <c r="AD165">
        <v>328239523</v>
      </c>
    </row>
    <row r="166" spans="1:30" x14ac:dyDescent="0.45">
      <c r="A166">
        <v>165</v>
      </c>
      <c r="B166" s="6">
        <v>10600</v>
      </c>
      <c r="C166" t="s">
        <v>702</v>
      </c>
      <c r="D166" t="s">
        <v>832</v>
      </c>
      <c r="E166">
        <v>81</v>
      </c>
      <c r="F166" t="s">
        <v>35</v>
      </c>
      <c r="G166" t="s">
        <v>833</v>
      </c>
      <c r="H166" t="s">
        <v>834</v>
      </c>
      <c r="I166" t="s">
        <v>702</v>
      </c>
      <c r="J166" t="s">
        <v>35</v>
      </c>
      <c r="K166" t="s">
        <v>835</v>
      </c>
      <c r="L166" t="b">
        <v>1</v>
      </c>
      <c r="M166" t="s">
        <v>29</v>
      </c>
      <c r="N166" t="s">
        <v>8245</v>
      </c>
      <c r="O166" s="10">
        <v>15132</v>
      </c>
      <c r="P166" t="s">
        <v>836</v>
      </c>
      <c r="Q166" t="s">
        <v>619</v>
      </c>
      <c r="R166" t="s">
        <v>837</v>
      </c>
      <c r="S166" s="8">
        <v>45020.209027777775</v>
      </c>
      <c r="T166" t="s">
        <v>427</v>
      </c>
      <c r="U166" t="s">
        <v>82</v>
      </c>
      <c r="V166">
        <v>1941</v>
      </c>
      <c r="W166" s="12">
        <v>117.24</v>
      </c>
      <c r="X166">
        <v>7.5</v>
      </c>
      <c r="Y166" s="14">
        <v>21427700000000</v>
      </c>
      <c r="Z166">
        <v>88.2</v>
      </c>
      <c r="AA166">
        <v>101.8</v>
      </c>
      <c r="AB166">
        <v>9.6</v>
      </c>
      <c r="AC166">
        <v>36.6</v>
      </c>
      <c r="AD166">
        <v>328239523</v>
      </c>
    </row>
    <row r="167" spans="1:30" hidden="1" x14ac:dyDescent="0.45">
      <c r="A167">
        <v>165</v>
      </c>
      <c r="B167">
        <v>10600</v>
      </c>
      <c r="C167" t="s">
        <v>126</v>
      </c>
      <c r="D167" t="s">
        <v>838</v>
      </c>
      <c r="E167">
        <v>73</v>
      </c>
      <c r="F167" t="s">
        <v>558</v>
      </c>
      <c r="G167" t="s">
        <v>839</v>
      </c>
      <c r="H167" t="s">
        <v>602</v>
      </c>
      <c r="I167" t="s">
        <v>126</v>
      </c>
      <c r="J167" t="s">
        <v>558</v>
      </c>
      <c r="L167" t="b">
        <v>1</v>
      </c>
      <c r="M167" t="s">
        <v>29</v>
      </c>
      <c r="N167" t="s">
        <v>8245</v>
      </c>
      <c r="O167" s="1">
        <v>18264</v>
      </c>
      <c r="P167" t="s">
        <v>840</v>
      </c>
      <c r="Q167" t="s">
        <v>841</v>
      </c>
      <c r="S167" s="1">
        <v>45020.209027777775</v>
      </c>
      <c r="V167">
        <v>1950</v>
      </c>
      <c r="W167">
        <v>167.4</v>
      </c>
      <c r="X167">
        <v>3.7</v>
      </c>
      <c r="Y167" s="2">
        <v>1839758040766</v>
      </c>
      <c r="Z167">
        <v>51.3</v>
      </c>
      <c r="AA167">
        <v>115.4</v>
      </c>
      <c r="AB167">
        <v>14.2</v>
      </c>
      <c r="AC167">
        <v>65.099999999999994</v>
      </c>
      <c r="AD167">
        <v>212559417</v>
      </c>
    </row>
    <row r="168" spans="1:30" hidden="1" x14ac:dyDescent="0.45">
      <c r="A168">
        <v>167</v>
      </c>
      <c r="B168">
        <v>10500</v>
      </c>
      <c r="C168" t="s">
        <v>61</v>
      </c>
      <c r="D168" t="s">
        <v>842</v>
      </c>
      <c r="E168">
        <v>57</v>
      </c>
      <c r="F168" t="s">
        <v>363</v>
      </c>
      <c r="G168" t="s">
        <v>381</v>
      </c>
      <c r="H168" t="s">
        <v>843</v>
      </c>
      <c r="I168" t="s">
        <v>61</v>
      </c>
      <c r="J168" t="s">
        <v>363</v>
      </c>
      <c r="L168" t="b">
        <v>1</v>
      </c>
      <c r="M168" t="s">
        <v>29</v>
      </c>
      <c r="N168" t="s">
        <v>8245</v>
      </c>
      <c r="O168" s="1">
        <v>24178</v>
      </c>
      <c r="P168" t="s">
        <v>844</v>
      </c>
      <c r="Q168" t="s">
        <v>845</v>
      </c>
      <c r="S168" s="1">
        <v>45020.209027777775</v>
      </c>
      <c r="V168">
        <v>1966</v>
      </c>
      <c r="W168">
        <v>180.75</v>
      </c>
      <c r="X168">
        <v>4.5</v>
      </c>
      <c r="Y168" s="2">
        <v>1699876578871</v>
      </c>
      <c r="Z168">
        <v>81.900000000000006</v>
      </c>
      <c r="AA168">
        <v>102.6</v>
      </c>
      <c r="AB168">
        <v>11.4</v>
      </c>
      <c r="AC168">
        <v>46.2</v>
      </c>
      <c r="AD168">
        <v>144373535</v>
      </c>
    </row>
    <row r="169" spans="1:30" hidden="1" x14ac:dyDescent="0.45">
      <c r="A169">
        <v>167</v>
      </c>
      <c r="B169">
        <v>10500</v>
      </c>
      <c r="C169" t="s">
        <v>23</v>
      </c>
      <c r="D169" t="s">
        <v>846</v>
      </c>
      <c r="E169">
        <v>39</v>
      </c>
      <c r="F169" t="s">
        <v>128</v>
      </c>
      <c r="G169" t="s">
        <v>719</v>
      </c>
      <c r="H169" t="s">
        <v>293</v>
      </c>
      <c r="I169" t="s">
        <v>23</v>
      </c>
      <c r="J169" t="s">
        <v>128</v>
      </c>
      <c r="L169" t="b">
        <v>1</v>
      </c>
      <c r="M169" t="s">
        <v>29</v>
      </c>
      <c r="N169" t="s">
        <v>8245</v>
      </c>
      <c r="O169" s="1">
        <v>30682</v>
      </c>
      <c r="P169" t="s">
        <v>646</v>
      </c>
      <c r="Q169" t="s">
        <v>847</v>
      </c>
      <c r="S169" s="1">
        <v>45020.209027777775</v>
      </c>
      <c r="V169">
        <v>1984</v>
      </c>
      <c r="W169">
        <v>125.08</v>
      </c>
      <c r="X169">
        <v>2.9</v>
      </c>
      <c r="Y169" s="2">
        <v>19910000000000</v>
      </c>
      <c r="Z169">
        <v>50.6</v>
      </c>
      <c r="AA169">
        <v>100.2</v>
      </c>
      <c r="AB169">
        <v>9.4</v>
      </c>
      <c r="AC169">
        <v>59.2</v>
      </c>
      <c r="AD169">
        <v>1397715000</v>
      </c>
    </row>
    <row r="170" spans="1:30" hidden="1" x14ac:dyDescent="0.45">
      <c r="A170">
        <v>167</v>
      </c>
      <c r="B170">
        <v>10500</v>
      </c>
      <c r="C170" t="s">
        <v>61</v>
      </c>
      <c r="D170" t="s">
        <v>848</v>
      </c>
      <c r="E170">
        <v>45</v>
      </c>
      <c r="F170" t="s">
        <v>360</v>
      </c>
      <c r="G170" t="s">
        <v>767</v>
      </c>
      <c r="H170" t="s">
        <v>849</v>
      </c>
      <c r="I170" t="s">
        <v>61</v>
      </c>
      <c r="J170" t="s">
        <v>164</v>
      </c>
      <c r="L170" t="b">
        <v>1</v>
      </c>
      <c r="M170" t="s">
        <v>39</v>
      </c>
      <c r="N170" t="s">
        <v>8245</v>
      </c>
      <c r="O170" s="1">
        <v>28378</v>
      </c>
      <c r="P170" t="s">
        <v>850</v>
      </c>
      <c r="Q170" t="s">
        <v>851</v>
      </c>
      <c r="S170" s="1">
        <v>45020.209027777775</v>
      </c>
      <c r="V170">
        <v>1977</v>
      </c>
      <c r="W170">
        <v>114.52</v>
      </c>
      <c r="X170">
        <v>-1.9</v>
      </c>
      <c r="Y170" s="2">
        <v>421142267938</v>
      </c>
      <c r="Z170">
        <v>36.799999999999997</v>
      </c>
      <c r="AA170">
        <v>108.4</v>
      </c>
      <c r="AB170">
        <v>0.1</v>
      </c>
      <c r="AC170">
        <v>15.9</v>
      </c>
      <c r="AD170">
        <v>9770529</v>
      </c>
    </row>
    <row r="171" spans="1:30" hidden="1" x14ac:dyDescent="0.45">
      <c r="A171">
        <v>170</v>
      </c>
      <c r="B171">
        <v>10300</v>
      </c>
      <c r="C171" t="s">
        <v>61</v>
      </c>
      <c r="D171" t="s">
        <v>852</v>
      </c>
      <c r="E171">
        <v>70</v>
      </c>
      <c r="F171" t="s">
        <v>35</v>
      </c>
      <c r="G171" t="s">
        <v>704</v>
      </c>
      <c r="H171" t="s">
        <v>853</v>
      </c>
      <c r="I171" t="s">
        <v>61</v>
      </c>
      <c r="J171" t="s">
        <v>35</v>
      </c>
      <c r="L171" t="b">
        <v>1</v>
      </c>
      <c r="M171" t="s">
        <v>29</v>
      </c>
      <c r="N171" t="s">
        <v>8245</v>
      </c>
      <c r="O171" s="1">
        <v>19327</v>
      </c>
      <c r="P171" t="s">
        <v>854</v>
      </c>
      <c r="Q171" t="s">
        <v>472</v>
      </c>
      <c r="S171" s="1">
        <v>45020.209027777775</v>
      </c>
      <c r="T171" t="s">
        <v>43</v>
      </c>
      <c r="U171" t="s">
        <v>44</v>
      </c>
      <c r="V171">
        <v>1952</v>
      </c>
      <c r="W171">
        <v>117.24</v>
      </c>
      <c r="X171">
        <v>7.5</v>
      </c>
      <c r="Y171" s="2">
        <v>21427700000000</v>
      </c>
      <c r="Z171">
        <v>88.2</v>
      </c>
      <c r="AA171">
        <v>101.8</v>
      </c>
      <c r="AB171">
        <v>9.6</v>
      </c>
      <c r="AC171">
        <v>36.6</v>
      </c>
      <c r="AD171">
        <v>328239523</v>
      </c>
    </row>
    <row r="172" spans="1:30" hidden="1" x14ac:dyDescent="0.45">
      <c r="A172">
        <v>171</v>
      </c>
      <c r="B172">
        <v>10200</v>
      </c>
      <c r="C172" t="s">
        <v>45</v>
      </c>
      <c r="D172" t="s">
        <v>855</v>
      </c>
      <c r="E172">
        <v>43</v>
      </c>
      <c r="F172" t="s">
        <v>328</v>
      </c>
      <c r="G172" t="s">
        <v>724</v>
      </c>
      <c r="H172" t="s">
        <v>856</v>
      </c>
      <c r="I172" t="s">
        <v>45</v>
      </c>
      <c r="J172" t="s">
        <v>328</v>
      </c>
      <c r="L172" t="b">
        <v>1</v>
      </c>
      <c r="M172" t="s">
        <v>39</v>
      </c>
      <c r="N172" t="s">
        <v>8245</v>
      </c>
      <c r="O172" s="1">
        <v>29176</v>
      </c>
      <c r="P172" t="s">
        <v>857</v>
      </c>
      <c r="Q172" t="s">
        <v>858</v>
      </c>
      <c r="S172" s="1">
        <v>45020.209027777775</v>
      </c>
      <c r="V172">
        <v>1979</v>
      </c>
      <c r="W172">
        <v>119.8</v>
      </c>
      <c r="X172">
        <v>1.6</v>
      </c>
      <c r="Y172" s="2">
        <v>1392680589329</v>
      </c>
      <c r="Z172">
        <v>113.1</v>
      </c>
      <c r="AA172">
        <v>100.3</v>
      </c>
      <c r="AB172">
        <v>23</v>
      </c>
      <c r="AC172">
        <v>47.4</v>
      </c>
      <c r="AD172">
        <v>25766605</v>
      </c>
    </row>
    <row r="173" spans="1:30" hidden="1" x14ac:dyDescent="0.45">
      <c r="A173">
        <v>171</v>
      </c>
      <c r="B173">
        <v>10200</v>
      </c>
      <c r="C173" t="s">
        <v>402</v>
      </c>
      <c r="D173" t="s">
        <v>859</v>
      </c>
      <c r="E173">
        <v>60</v>
      </c>
      <c r="F173" t="s">
        <v>35</v>
      </c>
      <c r="G173" t="s">
        <v>860</v>
      </c>
      <c r="H173" t="s">
        <v>645</v>
      </c>
      <c r="I173" t="s">
        <v>402</v>
      </c>
      <c r="J173" t="s">
        <v>35</v>
      </c>
      <c r="L173" t="b">
        <v>0</v>
      </c>
      <c r="M173" t="s">
        <v>39</v>
      </c>
      <c r="N173" t="s">
        <v>8245</v>
      </c>
      <c r="O173" s="1">
        <v>22877</v>
      </c>
      <c r="P173" t="s">
        <v>861</v>
      </c>
      <c r="Q173" t="s">
        <v>534</v>
      </c>
      <c r="S173" s="1">
        <v>45020.209027777775</v>
      </c>
      <c r="T173" t="s">
        <v>862</v>
      </c>
      <c r="U173" t="s">
        <v>69</v>
      </c>
      <c r="V173">
        <v>1962</v>
      </c>
      <c r="W173">
        <v>117.24</v>
      </c>
      <c r="X173">
        <v>7.5</v>
      </c>
      <c r="Y173" s="2">
        <v>21427700000000</v>
      </c>
      <c r="Z173">
        <v>88.2</v>
      </c>
      <c r="AA173">
        <v>101.8</v>
      </c>
      <c r="AB173">
        <v>9.6</v>
      </c>
      <c r="AC173">
        <v>36.6</v>
      </c>
      <c r="AD173">
        <v>328239523</v>
      </c>
    </row>
    <row r="174" spans="1:30" x14ac:dyDescent="0.45">
      <c r="A174">
        <v>171</v>
      </c>
      <c r="B174" s="6">
        <v>10200</v>
      </c>
      <c r="C174" t="s">
        <v>45</v>
      </c>
      <c r="D174" t="s">
        <v>863</v>
      </c>
      <c r="E174">
        <v>82</v>
      </c>
      <c r="F174" t="s">
        <v>35</v>
      </c>
      <c r="G174" t="s">
        <v>864</v>
      </c>
      <c r="H174" t="s">
        <v>865</v>
      </c>
      <c r="I174" t="s">
        <v>45</v>
      </c>
      <c r="J174" t="s">
        <v>35</v>
      </c>
      <c r="K174" t="s">
        <v>866</v>
      </c>
      <c r="L174" t="b">
        <v>1</v>
      </c>
      <c r="M174" t="s">
        <v>39</v>
      </c>
      <c r="N174" t="s">
        <v>8245</v>
      </c>
      <c r="O174" s="10">
        <v>14875</v>
      </c>
      <c r="P174" t="s">
        <v>867</v>
      </c>
      <c r="Q174" t="s">
        <v>169</v>
      </c>
      <c r="R174" t="s">
        <v>868</v>
      </c>
      <c r="S174" s="8">
        <v>45020.209027777775</v>
      </c>
      <c r="T174" t="s">
        <v>245</v>
      </c>
      <c r="U174" t="s">
        <v>53</v>
      </c>
      <c r="V174">
        <v>1940</v>
      </c>
      <c r="W174" s="12">
        <v>117.24</v>
      </c>
      <c r="X174">
        <v>7.5</v>
      </c>
      <c r="Y174" s="14">
        <v>21427700000000</v>
      </c>
      <c r="Z174">
        <v>88.2</v>
      </c>
      <c r="AA174">
        <v>101.8</v>
      </c>
      <c r="AB174">
        <v>9.6</v>
      </c>
      <c r="AC174">
        <v>36.6</v>
      </c>
      <c r="AD174">
        <v>328239523</v>
      </c>
    </row>
    <row r="175" spans="1:30" hidden="1" x14ac:dyDescent="0.45">
      <c r="A175">
        <v>171</v>
      </c>
      <c r="B175">
        <v>10200</v>
      </c>
      <c r="C175" t="s">
        <v>347</v>
      </c>
      <c r="D175" t="s">
        <v>869</v>
      </c>
      <c r="E175">
        <v>64</v>
      </c>
      <c r="F175" t="s">
        <v>35</v>
      </c>
      <c r="G175" t="s">
        <v>870</v>
      </c>
      <c r="H175" t="s">
        <v>462</v>
      </c>
      <c r="I175" t="s">
        <v>347</v>
      </c>
      <c r="J175" t="s">
        <v>35</v>
      </c>
      <c r="L175" t="b">
        <v>1</v>
      </c>
      <c r="M175" t="s">
        <v>29</v>
      </c>
      <c r="N175" t="s">
        <v>8245</v>
      </c>
      <c r="O175" s="1">
        <v>21614</v>
      </c>
      <c r="P175" t="s">
        <v>871</v>
      </c>
      <c r="Q175" t="s">
        <v>872</v>
      </c>
      <c r="S175" s="1">
        <v>45020.209027777775</v>
      </c>
      <c r="T175" t="s">
        <v>43</v>
      </c>
      <c r="U175" t="s">
        <v>44</v>
      </c>
      <c r="V175">
        <v>1959</v>
      </c>
      <c r="W175">
        <v>117.24</v>
      </c>
      <c r="X175">
        <v>7.5</v>
      </c>
      <c r="Y175" s="2">
        <v>21427700000000</v>
      </c>
      <c r="Z175">
        <v>88.2</v>
      </c>
      <c r="AA175">
        <v>101.8</v>
      </c>
      <c r="AB175">
        <v>9.6</v>
      </c>
      <c r="AC175">
        <v>36.6</v>
      </c>
      <c r="AD175">
        <v>328239523</v>
      </c>
    </row>
    <row r="176" spans="1:30" hidden="1" x14ac:dyDescent="0.45">
      <c r="A176">
        <v>171</v>
      </c>
      <c r="B176">
        <v>10200</v>
      </c>
      <c r="C176" t="s">
        <v>296</v>
      </c>
      <c r="D176" t="s">
        <v>873</v>
      </c>
      <c r="E176">
        <v>74</v>
      </c>
      <c r="F176" t="s">
        <v>363</v>
      </c>
      <c r="G176" t="s">
        <v>874</v>
      </c>
      <c r="H176" t="s">
        <v>523</v>
      </c>
      <c r="I176" t="s">
        <v>296</v>
      </c>
      <c r="J176" t="s">
        <v>363</v>
      </c>
      <c r="L176" t="b">
        <v>1</v>
      </c>
      <c r="M176" t="s">
        <v>29</v>
      </c>
      <c r="N176" t="s">
        <v>8245</v>
      </c>
      <c r="O176" s="1">
        <v>17819</v>
      </c>
      <c r="P176" t="s">
        <v>875</v>
      </c>
      <c r="Q176" t="s">
        <v>876</v>
      </c>
      <c r="S176" s="1">
        <v>45020.209027777775</v>
      </c>
      <c r="V176">
        <v>1948</v>
      </c>
      <c r="W176">
        <v>180.75</v>
      </c>
      <c r="X176">
        <v>4.5</v>
      </c>
      <c r="Y176" s="2">
        <v>1699876578871</v>
      </c>
      <c r="Z176">
        <v>81.900000000000006</v>
      </c>
      <c r="AA176">
        <v>102.6</v>
      </c>
      <c r="AB176">
        <v>11.4</v>
      </c>
      <c r="AC176">
        <v>46.2</v>
      </c>
      <c r="AD176">
        <v>144373535</v>
      </c>
    </row>
    <row r="177" spans="1:30" hidden="1" x14ac:dyDescent="0.45">
      <c r="A177">
        <v>171</v>
      </c>
      <c r="B177">
        <v>10200</v>
      </c>
      <c r="C177" t="s">
        <v>45</v>
      </c>
      <c r="D177" t="s">
        <v>877</v>
      </c>
      <c r="E177">
        <v>41</v>
      </c>
      <c r="F177" t="s">
        <v>574</v>
      </c>
      <c r="G177" t="s">
        <v>574</v>
      </c>
      <c r="H177" t="s">
        <v>134</v>
      </c>
      <c r="I177" t="s">
        <v>45</v>
      </c>
      <c r="J177" t="s">
        <v>558</v>
      </c>
      <c r="K177" t="s">
        <v>135</v>
      </c>
      <c r="L177" t="b">
        <v>1</v>
      </c>
      <c r="M177" t="s">
        <v>39</v>
      </c>
      <c r="N177" t="s">
        <v>8245</v>
      </c>
      <c r="O177" s="1">
        <v>30029</v>
      </c>
      <c r="P177" t="s">
        <v>878</v>
      </c>
      <c r="Q177" t="s">
        <v>879</v>
      </c>
      <c r="R177" t="s">
        <v>688</v>
      </c>
      <c r="S177" s="1">
        <v>45020.209027777775</v>
      </c>
      <c r="V177">
        <v>1982</v>
      </c>
      <c r="W177">
        <v>114.41</v>
      </c>
      <c r="X177">
        <v>0.6</v>
      </c>
      <c r="Y177" s="2">
        <v>372062527489</v>
      </c>
      <c r="Z177">
        <v>84.8</v>
      </c>
      <c r="AA177">
        <v>100.6</v>
      </c>
      <c r="AB177">
        <v>13.1</v>
      </c>
      <c r="AC177">
        <v>21</v>
      </c>
      <c r="AD177">
        <v>5703569</v>
      </c>
    </row>
    <row r="178" spans="1:30" hidden="1" x14ac:dyDescent="0.45">
      <c r="A178">
        <v>171</v>
      </c>
      <c r="B178">
        <v>10200</v>
      </c>
      <c r="C178" t="s">
        <v>33</v>
      </c>
      <c r="D178" t="s">
        <v>880</v>
      </c>
      <c r="E178">
        <v>58</v>
      </c>
      <c r="F178" t="s">
        <v>194</v>
      </c>
      <c r="G178" t="s">
        <v>881</v>
      </c>
      <c r="H178" t="s">
        <v>752</v>
      </c>
      <c r="I178" t="s">
        <v>33</v>
      </c>
      <c r="J178" t="s">
        <v>194</v>
      </c>
      <c r="L178" t="b">
        <v>0</v>
      </c>
      <c r="M178" t="s">
        <v>29</v>
      </c>
      <c r="N178" t="s">
        <v>8245</v>
      </c>
      <c r="O178" s="1">
        <v>23669</v>
      </c>
      <c r="P178" t="s">
        <v>882</v>
      </c>
      <c r="Q178" t="s">
        <v>883</v>
      </c>
      <c r="S178" s="1">
        <v>45020.209027777775</v>
      </c>
      <c r="V178">
        <v>1964</v>
      </c>
      <c r="W178">
        <v>112.85</v>
      </c>
      <c r="X178">
        <v>1.4</v>
      </c>
      <c r="Y178" s="2">
        <v>3845630030824</v>
      </c>
      <c r="Z178">
        <v>70.2</v>
      </c>
      <c r="AA178">
        <v>104</v>
      </c>
      <c r="AB178">
        <v>11.5</v>
      </c>
      <c r="AC178">
        <v>48.8</v>
      </c>
      <c r="AD178">
        <v>83132799</v>
      </c>
    </row>
    <row r="179" spans="1:30" hidden="1" x14ac:dyDescent="0.45">
      <c r="A179">
        <v>171</v>
      </c>
      <c r="B179">
        <v>10200</v>
      </c>
      <c r="C179" t="s">
        <v>23</v>
      </c>
      <c r="D179" t="s">
        <v>884</v>
      </c>
      <c r="E179">
        <v>74</v>
      </c>
      <c r="F179" t="s">
        <v>35</v>
      </c>
      <c r="G179" t="s">
        <v>224</v>
      </c>
      <c r="H179" t="s">
        <v>150</v>
      </c>
      <c r="I179" t="s">
        <v>23</v>
      </c>
      <c r="J179" t="s">
        <v>35</v>
      </c>
      <c r="L179" t="b">
        <v>0</v>
      </c>
      <c r="M179" t="s">
        <v>29</v>
      </c>
      <c r="N179" t="s">
        <v>8246</v>
      </c>
      <c r="O179" s="1">
        <v>17937</v>
      </c>
      <c r="P179" t="s">
        <v>152</v>
      </c>
      <c r="Q179" t="s">
        <v>885</v>
      </c>
      <c r="S179" s="1">
        <v>45020.209027777775</v>
      </c>
      <c r="T179" t="s">
        <v>226</v>
      </c>
      <c r="U179" t="s">
        <v>44</v>
      </c>
      <c r="V179">
        <v>1949</v>
      </c>
      <c r="W179">
        <v>117.24</v>
      </c>
      <c r="X179">
        <v>7.5</v>
      </c>
      <c r="Y179" s="2">
        <v>21427700000000</v>
      </c>
      <c r="Z179">
        <v>88.2</v>
      </c>
      <c r="AA179">
        <v>101.8</v>
      </c>
      <c r="AB179">
        <v>9.6</v>
      </c>
      <c r="AC179">
        <v>36.6</v>
      </c>
      <c r="AD179">
        <v>328239523</v>
      </c>
    </row>
    <row r="180" spans="1:30" hidden="1" x14ac:dyDescent="0.45">
      <c r="A180">
        <v>179</v>
      </c>
      <c r="B180">
        <v>10100</v>
      </c>
      <c r="C180" t="s">
        <v>45</v>
      </c>
      <c r="D180" t="s">
        <v>886</v>
      </c>
      <c r="E180">
        <v>43</v>
      </c>
      <c r="F180" t="s">
        <v>328</v>
      </c>
      <c r="G180" t="s">
        <v>724</v>
      </c>
      <c r="H180" t="s">
        <v>856</v>
      </c>
      <c r="I180" t="s">
        <v>45</v>
      </c>
      <c r="J180" t="s">
        <v>328</v>
      </c>
      <c r="L180" t="b">
        <v>1</v>
      </c>
      <c r="M180" t="s">
        <v>39</v>
      </c>
      <c r="N180" t="s">
        <v>8245</v>
      </c>
      <c r="O180" s="1">
        <v>29206</v>
      </c>
      <c r="P180" t="s">
        <v>887</v>
      </c>
      <c r="Q180" t="s">
        <v>373</v>
      </c>
      <c r="S180" s="1">
        <v>45020.209027777775</v>
      </c>
      <c r="V180">
        <v>1979</v>
      </c>
      <c r="W180">
        <v>119.8</v>
      </c>
      <c r="X180">
        <v>1.6</v>
      </c>
      <c r="Y180" s="2">
        <v>1392680589329</v>
      </c>
      <c r="Z180">
        <v>113.1</v>
      </c>
      <c r="AA180">
        <v>100.3</v>
      </c>
      <c r="AB180">
        <v>23</v>
      </c>
      <c r="AC180">
        <v>47.4</v>
      </c>
      <c r="AD180">
        <v>25766605</v>
      </c>
    </row>
    <row r="181" spans="1:30" hidden="1" x14ac:dyDescent="0.45">
      <c r="A181">
        <v>179</v>
      </c>
      <c r="B181">
        <v>10100</v>
      </c>
      <c r="C181" t="s">
        <v>91</v>
      </c>
      <c r="D181" t="s">
        <v>888</v>
      </c>
      <c r="E181">
        <v>81</v>
      </c>
      <c r="F181" t="s">
        <v>762</v>
      </c>
      <c r="G181" t="s">
        <v>889</v>
      </c>
      <c r="H181" t="s">
        <v>890</v>
      </c>
      <c r="I181" t="s">
        <v>91</v>
      </c>
      <c r="J181" t="s">
        <v>762</v>
      </c>
      <c r="L181" t="b">
        <v>0</v>
      </c>
      <c r="M181" t="s">
        <v>39</v>
      </c>
      <c r="N181" t="s">
        <v>8245</v>
      </c>
      <c r="O181" s="1">
        <v>15200</v>
      </c>
      <c r="P181" t="s">
        <v>891</v>
      </c>
      <c r="Q181" t="s">
        <v>892</v>
      </c>
      <c r="S181" s="1">
        <v>45020.209027777775</v>
      </c>
      <c r="V181">
        <v>1941</v>
      </c>
      <c r="W181">
        <v>121.46</v>
      </c>
      <c r="X181">
        <v>0.7</v>
      </c>
      <c r="Y181" s="2">
        <v>364701517788</v>
      </c>
      <c r="Z181">
        <v>45.1</v>
      </c>
      <c r="AA181">
        <v>105.3</v>
      </c>
      <c r="AB181">
        <v>12</v>
      </c>
      <c r="AC181">
        <v>38.700000000000003</v>
      </c>
      <c r="AD181">
        <v>32447385</v>
      </c>
    </row>
    <row r="182" spans="1:30" hidden="1" x14ac:dyDescent="0.45">
      <c r="A182">
        <v>179</v>
      </c>
      <c r="B182">
        <v>10100</v>
      </c>
      <c r="C182" t="s">
        <v>302</v>
      </c>
      <c r="D182" t="s">
        <v>893</v>
      </c>
      <c r="E182">
        <v>59</v>
      </c>
      <c r="F182" t="s">
        <v>128</v>
      </c>
      <c r="G182" t="s">
        <v>187</v>
      </c>
      <c r="H182" t="s">
        <v>304</v>
      </c>
      <c r="I182" t="s">
        <v>302</v>
      </c>
      <c r="J182" t="s">
        <v>128</v>
      </c>
      <c r="L182" t="b">
        <v>1</v>
      </c>
      <c r="M182" t="s">
        <v>39</v>
      </c>
      <c r="N182" t="s">
        <v>8246</v>
      </c>
      <c r="O182" s="1">
        <v>23377</v>
      </c>
      <c r="P182" t="s">
        <v>894</v>
      </c>
      <c r="Q182" t="s">
        <v>895</v>
      </c>
      <c r="S182" s="1">
        <v>45020.209027777775</v>
      </c>
      <c r="V182">
        <v>1964</v>
      </c>
      <c r="W182">
        <v>125.08</v>
      </c>
      <c r="X182">
        <v>2.9</v>
      </c>
      <c r="Y182" s="2">
        <v>19910000000000</v>
      </c>
      <c r="Z182">
        <v>50.6</v>
      </c>
      <c r="AA182">
        <v>100.2</v>
      </c>
      <c r="AB182">
        <v>9.4</v>
      </c>
      <c r="AC182">
        <v>59.2</v>
      </c>
      <c r="AD182">
        <v>1397715000</v>
      </c>
    </row>
    <row r="183" spans="1:30" hidden="1" x14ac:dyDescent="0.45">
      <c r="A183">
        <v>182</v>
      </c>
      <c r="B183">
        <v>10000</v>
      </c>
      <c r="C183" t="s">
        <v>347</v>
      </c>
      <c r="D183" t="s">
        <v>896</v>
      </c>
      <c r="E183">
        <v>85</v>
      </c>
      <c r="F183" t="s">
        <v>35</v>
      </c>
      <c r="G183" t="s">
        <v>897</v>
      </c>
      <c r="H183" t="s">
        <v>462</v>
      </c>
      <c r="I183" t="s">
        <v>347</v>
      </c>
      <c r="J183" t="s">
        <v>35</v>
      </c>
      <c r="L183" t="b">
        <v>1</v>
      </c>
      <c r="M183" t="s">
        <v>29</v>
      </c>
      <c r="N183" t="s">
        <v>8245</v>
      </c>
      <c r="O183" s="1">
        <v>13947</v>
      </c>
      <c r="P183" t="s">
        <v>898</v>
      </c>
      <c r="Q183" t="s">
        <v>899</v>
      </c>
      <c r="S183" s="1">
        <v>45020.209027777775</v>
      </c>
      <c r="T183" t="s">
        <v>43</v>
      </c>
      <c r="U183" t="s">
        <v>44</v>
      </c>
      <c r="V183">
        <v>1938</v>
      </c>
      <c r="W183">
        <v>117.24</v>
      </c>
      <c r="X183">
        <v>7.5</v>
      </c>
      <c r="Y183" s="2">
        <v>21427700000000</v>
      </c>
      <c r="Z183">
        <v>88.2</v>
      </c>
      <c r="AA183">
        <v>101.8</v>
      </c>
      <c r="AB183">
        <v>9.6</v>
      </c>
      <c r="AC183">
        <v>36.6</v>
      </c>
      <c r="AD183">
        <v>328239523</v>
      </c>
    </row>
    <row r="184" spans="1:30" hidden="1" x14ac:dyDescent="0.45">
      <c r="A184">
        <v>183</v>
      </c>
      <c r="B184">
        <v>9900</v>
      </c>
      <c r="C184" t="s">
        <v>436</v>
      </c>
      <c r="D184" t="s">
        <v>900</v>
      </c>
      <c r="E184">
        <v>74</v>
      </c>
      <c r="F184" t="s">
        <v>128</v>
      </c>
      <c r="G184" t="s">
        <v>292</v>
      </c>
      <c r="H184" t="s">
        <v>91</v>
      </c>
      <c r="I184" t="s">
        <v>436</v>
      </c>
      <c r="J184" t="s">
        <v>128</v>
      </c>
      <c r="K184" t="s">
        <v>901</v>
      </c>
      <c r="L184" t="b">
        <v>1</v>
      </c>
      <c r="M184" t="s">
        <v>39</v>
      </c>
      <c r="N184" t="s">
        <v>8245</v>
      </c>
      <c r="O184" s="1">
        <v>17685</v>
      </c>
      <c r="P184" t="s">
        <v>779</v>
      </c>
      <c r="Q184" t="s">
        <v>902</v>
      </c>
      <c r="R184" t="s">
        <v>170</v>
      </c>
      <c r="S184" s="1">
        <v>45020.209027777775</v>
      </c>
      <c r="V184">
        <v>1948</v>
      </c>
      <c r="W184">
        <v>125.08</v>
      </c>
      <c r="X184">
        <v>2.9</v>
      </c>
      <c r="Y184" s="2">
        <v>19910000000000</v>
      </c>
      <c r="Z184">
        <v>50.6</v>
      </c>
      <c r="AA184">
        <v>100.2</v>
      </c>
      <c r="AB184">
        <v>9.4</v>
      </c>
      <c r="AC184">
        <v>59.2</v>
      </c>
      <c r="AD184">
        <v>1397715000</v>
      </c>
    </row>
    <row r="185" spans="1:30" hidden="1" x14ac:dyDescent="0.45">
      <c r="A185">
        <v>184</v>
      </c>
      <c r="B185">
        <v>9800</v>
      </c>
      <c r="C185" t="s">
        <v>91</v>
      </c>
      <c r="D185" t="s">
        <v>903</v>
      </c>
      <c r="E185">
        <v>74</v>
      </c>
      <c r="F185" t="s">
        <v>360</v>
      </c>
      <c r="G185" t="s">
        <v>767</v>
      </c>
      <c r="H185" t="s">
        <v>177</v>
      </c>
      <c r="I185" t="s">
        <v>91</v>
      </c>
      <c r="J185" t="s">
        <v>686</v>
      </c>
      <c r="L185" t="b">
        <v>1</v>
      </c>
      <c r="M185" t="s">
        <v>285</v>
      </c>
      <c r="N185" t="s">
        <v>8245</v>
      </c>
      <c r="O185" s="1">
        <v>17908</v>
      </c>
      <c r="P185" t="s">
        <v>178</v>
      </c>
      <c r="Q185" t="s">
        <v>904</v>
      </c>
      <c r="S185" s="1">
        <v>45020.209027777775</v>
      </c>
      <c r="V185">
        <v>1949</v>
      </c>
      <c r="W185">
        <v>114.52</v>
      </c>
      <c r="X185">
        <v>-1.9</v>
      </c>
      <c r="Y185" s="2">
        <v>421142267938</v>
      </c>
      <c r="Z185">
        <v>36.799999999999997</v>
      </c>
      <c r="AA185">
        <v>108.4</v>
      </c>
      <c r="AB185">
        <v>0.1</v>
      </c>
      <c r="AC185">
        <v>15.9</v>
      </c>
      <c r="AD185">
        <v>9770529</v>
      </c>
    </row>
    <row r="186" spans="1:30" hidden="1" x14ac:dyDescent="0.45">
      <c r="A186">
        <v>184</v>
      </c>
      <c r="B186">
        <v>9800</v>
      </c>
      <c r="C186" t="s">
        <v>23</v>
      </c>
      <c r="D186" t="s">
        <v>905</v>
      </c>
      <c r="E186">
        <v>80</v>
      </c>
      <c r="F186" t="s">
        <v>205</v>
      </c>
      <c r="G186" t="s">
        <v>906</v>
      </c>
      <c r="H186" t="s">
        <v>907</v>
      </c>
      <c r="I186" t="s">
        <v>23</v>
      </c>
      <c r="J186" t="s">
        <v>25</v>
      </c>
      <c r="L186" t="b">
        <v>0</v>
      </c>
      <c r="M186" t="s">
        <v>29</v>
      </c>
      <c r="N186" t="s">
        <v>8245</v>
      </c>
      <c r="O186" s="1">
        <v>15735</v>
      </c>
      <c r="P186" t="s">
        <v>908</v>
      </c>
      <c r="Q186" t="s">
        <v>909</v>
      </c>
      <c r="S186" s="1">
        <v>45020.209027777775</v>
      </c>
      <c r="V186">
        <v>1943</v>
      </c>
      <c r="W186">
        <v>99.55</v>
      </c>
      <c r="X186">
        <v>0.4</v>
      </c>
      <c r="Y186" s="2">
        <v>703082435360</v>
      </c>
      <c r="Z186">
        <v>59.6</v>
      </c>
      <c r="AA186">
        <v>105.2</v>
      </c>
      <c r="AB186">
        <v>10.1</v>
      </c>
      <c r="AC186">
        <v>28.8</v>
      </c>
      <c r="AD186">
        <v>8574832</v>
      </c>
    </row>
    <row r="187" spans="1:30" hidden="1" x14ac:dyDescent="0.45">
      <c r="A187">
        <v>184</v>
      </c>
      <c r="B187">
        <v>9800</v>
      </c>
      <c r="C187" t="s">
        <v>203</v>
      </c>
      <c r="D187" t="s">
        <v>910</v>
      </c>
      <c r="E187">
        <v>51</v>
      </c>
      <c r="F187" t="s">
        <v>25</v>
      </c>
      <c r="G187" t="s">
        <v>911</v>
      </c>
      <c r="H187" t="s">
        <v>207</v>
      </c>
      <c r="I187" t="s">
        <v>203</v>
      </c>
      <c r="J187" t="s">
        <v>25</v>
      </c>
      <c r="L187" t="b">
        <v>0</v>
      </c>
      <c r="M187" t="s">
        <v>285</v>
      </c>
      <c r="N187" t="s">
        <v>8245</v>
      </c>
      <c r="O187" s="1">
        <v>26155</v>
      </c>
      <c r="P187" t="s">
        <v>912</v>
      </c>
      <c r="Q187" t="s">
        <v>913</v>
      </c>
      <c r="S187" s="1">
        <v>45020.209027777775</v>
      </c>
      <c r="V187">
        <v>1971</v>
      </c>
      <c r="W187">
        <v>110.05</v>
      </c>
      <c r="X187">
        <v>1.1000000000000001</v>
      </c>
      <c r="Y187" s="2">
        <v>2715518274227</v>
      </c>
      <c r="Z187">
        <v>65.599999999999994</v>
      </c>
      <c r="AA187">
        <v>102.5</v>
      </c>
      <c r="AB187">
        <v>24.2</v>
      </c>
      <c r="AC187">
        <v>60.7</v>
      </c>
      <c r="AD187">
        <v>67059887</v>
      </c>
    </row>
    <row r="188" spans="1:30" hidden="1" x14ac:dyDescent="0.45">
      <c r="A188">
        <v>184</v>
      </c>
      <c r="B188">
        <v>9800</v>
      </c>
      <c r="C188" t="s">
        <v>203</v>
      </c>
      <c r="D188" t="s">
        <v>914</v>
      </c>
      <c r="E188">
        <v>53</v>
      </c>
      <c r="F188" t="s">
        <v>25</v>
      </c>
      <c r="G188" t="s">
        <v>911</v>
      </c>
      <c r="H188" t="s">
        <v>207</v>
      </c>
      <c r="I188" t="s">
        <v>203</v>
      </c>
      <c r="J188" t="s">
        <v>25</v>
      </c>
      <c r="K188" t="s">
        <v>915</v>
      </c>
      <c r="L188" t="b">
        <v>0</v>
      </c>
      <c r="M188" t="s">
        <v>285</v>
      </c>
      <c r="N188" t="s">
        <v>8245</v>
      </c>
      <c r="O188" s="1">
        <v>25630</v>
      </c>
      <c r="P188" t="s">
        <v>912</v>
      </c>
      <c r="Q188" t="s">
        <v>916</v>
      </c>
      <c r="R188" t="s">
        <v>32</v>
      </c>
      <c r="S188" s="1">
        <v>45020.209027777775</v>
      </c>
      <c r="V188">
        <v>1970</v>
      </c>
      <c r="W188">
        <v>110.05</v>
      </c>
      <c r="X188">
        <v>1.1000000000000001</v>
      </c>
      <c r="Y188" s="2">
        <v>2715518274227</v>
      </c>
      <c r="Z188">
        <v>65.599999999999994</v>
      </c>
      <c r="AA188">
        <v>102.5</v>
      </c>
      <c r="AB188">
        <v>24.2</v>
      </c>
      <c r="AC188">
        <v>60.7</v>
      </c>
      <c r="AD188">
        <v>67059887</v>
      </c>
    </row>
    <row r="189" spans="1:30" hidden="1" x14ac:dyDescent="0.45">
      <c r="A189">
        <v>184</v>
      </c>
      <c r="B189">
        <v>9800</v>
      </c>
      <c r="C189" t="s">
        <v>203</v>
      </c>
      <c r="D189" t="s">
        <v>917</v>
      </c>
      <c r="E189">
        <v>55</v>
      </c>
      <c r="F189" t="s">
        <v>25</v>
      </c>
      <c r="G189" t="s">
        <v>911</v>
      </c>
      <c r="H189" t="s">
        <v>207</v>
      </c>
      <c r="I189" t="s">
        <v>203</v>
      </c>
      <c r="J189" t="s">
        <v>25</v>
      </c>
      <c r="L189" t="b">
        <v>0</v>
      </c>
      <c r="M189" t="s">
        <v>285</v>
      </c>
      <c r="N189" t="s">
        <v>8246</v>
      </c>
      <c r="O189" s="1">
        <v>24869</v>
      </c>
      <c r="P189" t="s">
        <v>918</v>
      </c>
      <c r="Q189" t="s">
        <v>919</v>
      </c>
      <c r="S189" s="1">
        <v>45020.209027777775</v>
      </c>
      <c r="V189">
        <v>1968</v>
      </c>
      <c r="W189">
        <v>110.05</v>
      </c>
      <c r="X189">
        <v>1.1000000000000001</v>
      </c>
      <c r="Y189" s="2">
        <v>2715518274227</v>
      </c>
      <c r="Z189">
        <v>65.599999999999994</v>
      </c>
      <c r="AA189">
        <v>102.5</v>
      </c>
      <c r="AB189">
        <v>24.2</v>
      </c>
      <c r="AC189">
        <v>60.7</v>
      </c>
      <c r="AD189">
        <v>67059887</v>
      </c>
    </row>
    <row r="190" spans="1:30" hidden="1" x14ac:dyDescent="0.45">
      <c r="A190">
        <v>184</v>
      </c>
      <c r="B190">
        <v>9800</v>
      </c>
      <c r="C190" t="s">
        <v>61</v>
      </c>
      <c r="D190" t="s">
        <v>920</v>
      </c>
      <c r="E190">
        <v>75</v>
      </c>
      <c r="F190" t="s">
        <v>577</v>
      </c>
      <c r="G190" t="s">
        <v>578</v>
      </c>
      <c r="H190" t="s">
        <v>317</v>
      </c>
      <c r="I190" t="s">
        <v>61</v>
      </c>
      <c r="J190" t="s">
        <v>577</v>
      </c>
      <c r="L190" t="b">
        <v>1</v>
      </c>
      <c r="M190" t="s">
        <v>39</v>
      </c>
      <c r="N190" t="s">
        <v>8245</v>
      </c>
      <c r="O190" s="1">
        <v>17302</v>
      </c>
      <c r="P190" t="s">
        <v>921</v>
      </c>
      <c r="Q190" t="s">
        <v>922</v>
      </c>
      <c r="S190" s="1">
        <v>45020.209027777775</v>
      </c>
      <c r="V190">
        <v>1947</v>
      </c>
      <c r="W190">
        <v>110.51</v>
      </c>
      <c r="X190">
        <v>1.8</v>
      </c>
      <c r="Y190" s="2">
        <v>530832908738</v>
      </c>
      <c r="Z190">
        <v>67</v>
      </c>
      <c r="AA190">
        <v>126.6</v>
      </c>
      <c r="AB190">
        <v>27.9</v>
      </c>
      <c r="AC190">
        <v>49.1</v>
      </c>
      <c r="AD190">
        <v>10285453</v>
      </c>
    </row>
    <row r="191" spans="1:30" hidden="1" x14ac:dyDescent="0.45">
      <c r="A191">
        <v>190</v>
      </c>
      <c r="B191">
        <v>9700</v>
      </c>
      <c r="C191" t="s">
        <v>296</v>
      </c>
      <c r="D191" t="s">
        <v>923</v>
      </c>
      <c r="E191">
        <v>63</v>
      </c>
      <c r="F191" t="s">
        <v>363</v>
      </c>
      <c r="G191" t="s">
        <v>381</v>
      </c>
      <c r="H191" t="s">
        <v>924</v>
      </c>
      <c r="I191" t="s">
        <v>296</v>
      </c>
      <c r="J191" t="s">
        <v>363</v>
      </c>
      <c r="L191" t="b">
        <v>1</v>
      </c>
      <c r="M191" t="s">
        <v>29</v>
      </c>
      <c r="N191" t="s">
        <v>8245</v>
      </c>
      <c r="O191" s="1">
        <v>21999</v>
      </c>
      <c r="P191" t="s">
        <v>925</v>
      </c>
      <c r="Q191" t="s">
        <v>926</v>
      </c>
      <c r="S191" s="1">
        <v>45020.209027777775</v>
      </c>
      <c r="V191">
        <v>1960</v>
      </c>
      <c r="W191">
        <v>180.75</v>
      </c>
      <c r="X191">
        <v>4.5</v>
      </c>
      <c r="Y191" s="2">
        <v>1699876578871</v>
      </c>
      <c r="Z191">
        <v>81.900000000000006</v>
      </c>
      <c r="AA191">
        <v>102.6</v>
      </c>
      <c r="AB191">
        <v>11.4</v>
      </c>
      <c r="AC191">
        <v>46.2</v>
      </c>
      <c r="AD191">
        <v>144373535</v>
      </c>
    </row>
    <row r="192" spans="1:30" hidden="1" x14ac:dyDescent="0.45">
      <c r="A192">
        <v>190</v>
      </c>
      <c r="B192">
        <v>9700</v>
      </c>
      <c r="C192" t="s">
        <v>61</v>
      </c>
      <c r="D192" t="s">
        <v>927</v>
      </c>
      <c r="E192">
        <v>59</v>
      </c>
      <c r="F192" t="s">
        <v>928</v>
      </c>
      <c r="G192" t="s">
        <v>929</v>
      </c>
      <c r="H192" t="s">
        <v>930</v>
      </c>
      <c r="I192" t="s">
        <v>61</v>
      </c>
      <c r="J192" t="s">
        <v>35</v>
      </c>
      <c r="K192" t="s">
        <v>931</v>
      </c>
      <c r="L192" t="b">
        <v>1</v>
      </c>
      <c r="M192" t="s">
        <v>29</v>
      </c>
      <c r="N192" t="s">
        <v>8245</v>
      </c>
      <c r="O192" s="1">
        <v>23285</v>
      </c>
      <c r="P192" t="s">
        <v>932</v>
      </c>
      <c r="Q192" t="s">
        <v>81</v>
      </c>
      <c r="S192" s="1">
        <v>45020.209027777775</v>
      </c>
      <c r="V192">
        <v>1963</v>
      </c>
      <c r="W192">
        <v>115.16</v>
      </c>
      <c r="X192">
        <v>0.4</v>
      </c>
      <c r="Y192" s="2">
        <v>2029000000000</v>
      </c>
      <c r="Z192">
        <v>94.3</v>
      </c>
      <c r="AA192">
        <v>98.1</v>
      </c>
      <c r="AB192">
        <v>15.6</v>
      </c>
      <c r="AC192">
        <v>33.200000000000003</v>
      </c>
      <c r="AD192">
        <v>51709098</v>
      </c>
    </row>
    <row r="193" spans="1:30" hidden="1" x14ac:dyDescent="0.45">
      <c r="A193">
        <v>190</v>
      </c>
      <c r="B193">
        <v>9700</v>
      </c>
      <c r="C193" t="s">
        <v>45</v>
      </c>
      <c r="D193" t="s">
        <v>933</v>
      </c>
      <c r="E193">
        <v>53</v>
      </c>
      <c r="F193" t="s">
        <v>128</v>
      </c>
      <c r="G193" t="s">
        <v>187</v>
      </c>
      <c r="H193" t="s">
        <v>934</v>
      </c>
      <c r="I193" t="s">
        <v>45</v>
      </c>
      <c r="J193" t="s">
        <v>128</v>
      </c>
      <c r="K193" t="s">
        <v>935</v>
      </c>
      <c r="L193" t="b">
        <v>1</v>
      </c>
      <c r="M193" t="s">
        <v>39</v>
      </c>
      <c r="N193" t="s">
        <v>8245</v>
      </c>
      <c r="O193" s="1">
        <v>25553</v>
      </c>
      <c r="P193" t="s">
        <v>936</v>
      </c>
      <c r="Q193" t="s">
        <v>937</v>
      </c>
      <c r="R193" t="s">
        <v>938</v>
      </c>
      <c r="S193" s="1">
        <v>45020.209027777775</v>
      </c>
      <c r="V193">
        <v>1969</v>
      </c>
      <c r="W193">
        <v>125.08</v>
      </c>
      <c r="X193">
        <v>2.9</v>
      </c>
      <c r="Y193" s="2">
        <v>19910000000000</v>
      </c>
      <c r="Z193">
        <v>50.6</v>
      </c>
      <c r="AA193">
        <v>100.2</v>
      </c>
      <c r="AB193">
        <v>9.4</v>
      </c>
      <c r="AC193">
        <v>59.2</v>
      </c>
      <c r="AD193">
        <v>1397715000</v>
      </c>
    </row>
    <row r="194" spans="1:30" hidden="1" x14ac:dyDescent="0.45">
      <c r="A194">
        <v>190</v>
      </c>
      <c r="B194">
        <v>9700</v>
      </c>
      <c r="C194" t="s">
        <v>296</v>
      </c>
      <c r="D194" t="s">
        <v>939</v>
      </c>
      <c r="E194">
        <v>76</v>
      </c>
      <c r="F194" t="s">
        <v>194</v>
      </c>
      <c r="G194" t="s">
        <v>940</v>
      </c>
      <c r="H194" t="s">
        <v>296</v>
      </c>
      <c r="I194" t="s">
        <v>296</v>
      </c>
      <c r="J194" t="s">
        <v>194</v>
      </c>
      <c r="L194" t="b">
        <v>0</v>
      </c>
      <c r="M194" t="s">
        <v>29</v>
      </c>
      <c r="N194" t="s">
        <v>8245</v>
      </c>
      <c r="O194" s="1">
        <v>17029</v>
      </c>
      <c r="P194" t="s">
        <v>941</v>
      </c>
      <c r="Q194" t="s">
        <v>942</v>
      </c>
      <c r="S194" s="1">
        <v>45020.209027777775</v>
      </c>
      <c r="V194">
        <v>1946</v>
      </c>
      <c r="W194">
        <v>112.85</v>
      </c>
      <c r="X194">
        <v>1.4</v>
      </c>
      <c r="Y194" s="2">
        <v>3845630030824</v>
      </c>
      <c r="Z194">
        <v>70.2</v>
      </c>
      <c r="AA194">
        <v>104</v>
      </c>
      <c r="AB194">
        <v>11.5</v>
      </c>
      <c r="AC194">
        <v>48.8</v>
      </c>
      <c r="AD194">
        <v>83132799</v>
      </c>
    </row>
    <row r="195" spans="1:30" hidden="1" x14ac:dyDescent="0.45">
      <c r="A195">
        <v>190</v>
      </c>
      <c r="B195">
        <v>9700</v>
      </c>
      <c r="C195" t="s">
        <v>402</v>
      </c>
      <c r="D195" t="s">
        <v>943</v>
      </c>
      <c r="E195">
        <v>64</v>
      </c>
      <c r="F195" t="s">
        <v>128</v>
      </c>
      <c r="G195" t="s">
        <v>944</v>
      </c>
      <c r="H195" t="s">
        <v>610</v>
      </c>
      <c r="I195" t="s">
        <v>402</v>
      </c>
      <c r="J195" t="s">
        <v>128</v>
      </c>
      <c r="L195" t="b">
        <v>1</v>
      </c>
      <c r="M195" t="s">
        <v>39</v>
      </c>
      <c r="N195" t="s">
        <v>8245</v>
      </c>
      <c r="O195" s="1">
        <v>21429</v>
      </c>
      <c r="P195" t="s">
        <v>945</v>
      </c>
      <c r="Q195" t="s">
        <v>946</v>
      </c>
      <c r="S195" s="1">
        <v>45020.209027777775</v>
      </c>
      <c r="V195">
        <v>1958</v>
      </c>
      <c r="W195">
        <v>125.08</v>
      </c>
      <c r="X195">
        <v>2.9</v>
      </c>
      <c r="Y195" s="2">
        <v>19910000000000</v>
      </c>
      <c r="Z195">
        <v>50.6</v>
      </c>
      <c r="AA195">
        <v>100.2</v>
      </c>
      <c r="AB195">
        <v>9.4</v>
      </c>
      <c r="AC195">
        <v>59.2</v>
      </c>
      <c r="AD195">
        <v>1397715000</v>
      </c>
    </row>
    <row r="196" spans="1:30" x14ac:dyDescent="0.45">
      <c r="A196">
        <v>195</v>
      </c>
      <c r="B196" s="6">
        <v>9600</v>
      </c>
      <c r="C196" t="s">
        <v>45</v>
      </c>
      <c r="D196" t="s">
        <v>947</v>
      </c>
      <c r="E196">
        <v>70</v>
      </c>
      <c r="F196" t="s">
        <v>35</v>
      </c>
      <c r="G196" t="s">
        <v>948</v>
      </c>
      <c r="H196" t="s">
        <v>949</v>
      </c>
      <c r="I196" t="s">
        <v>45</v>
      </c>
      <c r="J196" t="s">
        <v>35</v>
      </c>
      <c r="K196" t="s">
        <v>950</v>
      </c>
      <c r="L196" t="b">
        <v>0</v>
      </c>
      <c r="M196" t="s">
        <v>258</v>
      </c>
      <c r="N196" t="s">
        <v>8245</v>
      </c>
      <c r="O196" s="10">
        <v>19200</v>
      </c>
      <c r="P196" t="s">
        <v>529</v>
      </c>
      <c r="Q196" t="s">
        <v>951</v>
      </c>
      <c r="R196" t="s">
        <v>952</v>
      </c>
      <c r="S196" s="8">
        <v>45020.209027777775</v>
      </c>
      <c r="T196" t="s">
        <v>953</v>
      </c>
      <c r="U196" t="s">
        <v>82</v>
      </c>
      <c r="V196">
        <v>1952</v>
      </c>
      <c r="W196" s="12">
        <v>117.24</v>
      </c>
      <c r="X196">
        <v>7.5</v>
      </c>
      <c r="Y196" s="14">
        <v>21427700000000</v>
      </c>
      <c r="Z196">
        <v>88.2</v>
      </c>
      <c r="AA196">
        <v>101.8</v>
      </c>
      <c r="AB196">
        <v>9.6</v>
      </c>
      <c r="AC196">
        <v>36.6</v>
      </c>
      <c r="AD196">
        <v>328239523</v>
      </c>
    </row>
    <row r="197" spans="1:30" hidden="1" x14ac:dyDescent="0.45">
      <c r="A197">
        <v>195</v>
      </c>
      <c r="B197">
        <v>9600</v>
      </c>
      <c r="C197" t="s">
        <v>347</v>
      </c>
      <c r="D197" t="s">
        <v>954</v>
      </c>
      <c r="E197">
        <v>70</v>
      </c>
      <c r="F197" t="s">
        <v>128</v>
      </c>
      <c r="G197" t="s">
        <v>955</v>
      </c>
      <c r="H197" t="s">
        <v>956</v>
      </c>
      <c r="I197" t="s">
        <v>347</v>
      </c>
      <c r="J197" t="s">
        <v>128</v>
      </c>
      <c r="L197" t="b">
        <v>1</v>
      </c>
      <c r="M197" t="s">
        <v>39</v>
      </c>
      <c r="N197" t="s">
        <v>8245</v>
      </c>
      <c r="O197" s="1">
        <v>19238</v>
      </c>
      <c r="P197" t="s">
        <v>957</v>
      </c>
      <c r="Q197" t="s">
        <v>958</v>
      </c>
      <c r="S197" s="1">
        <v>45020.209027777775</v>
      </c>
      <c r="V197">
        <v>1952</v>
      </c>
      <c r="W197">
        <v>125.08</v>
      </c>
      <c r="X197">
        <v>2.9</v>
      </c>
      <c r="Y197" s="2">
        <v>19910000000000</v>
      </c>
      <c r="Z197">
        <v>50.6</v>
      </c>
      <c r="AA197">
        <v>100.2</v>
      </c>
      <c r="AB197">
        <v>9.4</v>
      </c>
      <c r="AC197">
        <v>59.2</v>
      </c>
      <c r="AD197">
        <v>1397715000</v>
      </c>
    </row>
    <row r="198" spans="1:30" hidden="1" x14ac:dyDescent="0.45">
      <c r="A198">
        <v>195</v>
      </c>
      <c r="B198">
        <v>9600</v>
      </c>
      <c r="C198" t="s">
        <v>296</v>
      </c>
      <c r="D198" t="s">
        <v>959</v>
      </c>
      <c r="E198">
        <v>67</v>
      </c>
      <c r="F198" t="s">
        <v>128</v>
      </c>
      <c r="G198" t="s">
        <v>960</v>
      </c>
      <c r="H198" t="s">
        <v>399</v>
      </c>
      <c r="I198" t="s">
        <v>296</v>
      </c>
      <c r="J198" t="s">
        <v>128</v>
      </c>
      <c r="L198" t="b">
        <v>1</v>
      </c>
      <c r="M198" t="s">
        <v>39</v>
      </c>
      <c r="N198" t="s">
        <v>8245</v>
      </c>
      <c r="O198" s="1">
        <v>20515</v>
      </c>
      <c r="P198" t="s">
        <v>961</v>
      </c>
      <c r="Q198" t="s">
        <v>962</v>
      </c>
      <c r="S198" s="1">
        <v>45020.209027777775</v>
      </c>
      <c r="V198">
        <v>1956</v>
      </c>
      <c r="W198">
        <v>125.08</v>
      </c>
      <c r="X198">
        <v>2.9</v>
      </c>
      <c r="Y198" s="2">
        <v>19910000000000</v>
      </c>
      <c r="Z198">
        <v>50.6</v>
      </c>
      <c r="AA198">
        <v>100.2</v>
      </c>
      <c r="AB198">
        <v>9.4</v>
      </c>
      <c r="AC198">
        <v>59.2</v>
      </c>
      <c r="AD198">
        <v>1397715000</v>
      </c>
    </row>
    <row r="199" spans="1:30" hidden="1" x14ac:dyDescent="0.45">
      <c r="A199">
        <v>195</v>
      </c>
      <c r="B199">
        <v>9600</v>
      </c>
      <c r="C199" t="s">
        <v>126</v>
      </c>
      <c r="D199" t="s">
        <v>963</v>
      </c>
      <c r="E199">
        <v>58</v>
      </c>
      <c r="F199" t="s">
        <v>35</v>
      </c>
      <c r="G199" t="s">
        <v>964</v>
      </c>
      <c r="H199" t="s">
        <v>219</v>
      </c>
      <c r="I199" t="s">
        <v>126</v>
      </c>
      <c r="J199" t="s">
        <v>35</v>
      </c>
      <c r="L199" t="b">
        <v>0</v>
      </c>
      <c r="M199" t="s">
        <v>29</v>
      </c>
      <c r="N199" t="s">
        <v>8246</v>
      </c>
      <c r="O199" s="1">
        <v>23586</v>
      </c>
      <c r="P199" t="s">
        <v>220</v>
      </c>
      <c r="Q199" t="s">
        <v>965</v>
      </c>
      <c r="S199" s="1">
        <v>45020.209027777775</v>
      </c>
      <c r="T199" t="s">
        <v>115</v>
      </c>
      <c r="U199" t="s">
        <v>53</v>
      </c>
      <c r="V199">
        <v>1964</v>
      </c>
      <c r="W199">
        <v>117.24</v>
      </c>
      <c r="X199">
        <v>7.5</v>
      </c>
      <c r="Y199" s="2">
        <v>21427700000000</v>
      </c>
      <c r="Z199">
        <v>88.2</v>
      </c>
      <c r="AA199">
        <v>101.8</v>
      </c>
      <c r="AB199">
        <v>9.6</v>
      </c>
      <c r="AC199">
        <v>36.6</v>
      </c>
      <c r="AD199">
        <v>328239523</v>
      </c>
    </row>
    <row r="200" spans="1:30" hidden="1" x14ac:dyDescent="0.45">
      <c r="A200">
        <v>195</v>
      </c>
      <c r="B200">
        <v>9600</v>
      </c>
      <c r="C200" t="s">
        <v>126</v>
      </c>
      <c r="D200" t="s">
        <v>966</v>
      </c>
      <c r="E200">
        <v>62</v>
      </c>
      <c r="F200" t="s">
        <v>35</v>
      </c>
      <c r="G200" t="s">
        <v>967</v>
      </c>
      <c r="H200" t="s">
        <v>219</v>
      </c>
      <c r="I200" t="s">
        <v>126</v>
      </c>
      <c r="J200" t="s">
        <v>35</v>
      </c>
      <c r="L200" t="b">
        <v>0</v>
      </c>
      <c r="M200" t="s">
        <v>29</v>
      </c>
      <c r="N200" t="s">
        <v>8246</v>
      </c>
      <c r="O200" s="1">
        <v>22129</v>
      </c>
      <c r="P200" t="s">
        <v>220</v>
      </c>
      <c r="Q200" t="s">
        <v>968</v>
      </c>
      <c r="S200" s="1">
        <v>45020.209027777775</v>
      </c>
      <c r="T200" t="s">
        <v>222</v>
      </c>
      <c r="U200" t="s">
        <v>44</v>
      </c>
      <c r="V200">
        <v>1960</v>
      </c>
      <c r="W200">
        <v>117.24</v>
      </c>
      <c r="X200">
        <v>7.5</v>
      </c>
      <c r="Y200" s="2">
        <v>21427700000000</v>
      </c>
      <c r="Z200">
        <v>88.2</v>
      </c>
      <c r="AA200">
        <v>101.8</v>
      </c>
      <c r="AB200">
        <v>9.6</v>
      </c>
      <c r="AC200">
        <v>36.6</v>
      </c>
      <c r="AD200">
        <v>328239523</v>
      </c>
    </row>
    <row r="201" spans="1:30" hidden="1" x14ac:dyDescent="0.45">
      <c r="A201">
        <v>195</v>
      </c>
      <c r="B201">
        <v>9600</v>
      </c>
      <c r="C201" t="s">
        <v>126</v>
      </c>
      <c r="D201" t="s">
        <v>969</v>
      </c>
      <c r="E201">
        <v>64</v>
      </c>
      <c r="F201" t="s">
        <v>35</v>
      </c>
      <c r="G201" t="s">
        <v>78</v>
      </c>
      <c r="H201" t="s">
        <v>219</v>
      </c>
      <c r="I201" t="s">
        <v>126</v>
      </c>
      <c r="J201" t="s">
        <v>35</v>
      </c>
      <c r="L201" t="b">
        <v>0</v>
      </c>
      <c r="M201" t="s">
        <v>29</v>
      </c>
      <c r="N201" t="s">
        <v>8246</v>
      </c>
      <c r="O201" s="1">
        <v>21576</v>
      </c>
      <c r="P201" t="s">
        <v>220</v>
      </c>
      <c r="Q201" t="s">
        <v>970</v>
      </c>
      <c r="S201" s="1">
        <v>45020.209027777775</v>
      </c>
      <c r="T201" t="s">
        <v>78</v>
      </c>
      <c r="U201" t="s">
        <v>82</v>
      </c>
      <c r="V201">
        <v>1959</v>
      </c>
      <c r="W201">
        <v>117.24</v>
      </c>
      <c r="X201">
        <v>7.5</v>
      </c>
      <c r="Y201" s="2">
        <v>21427700000000</v>
      </c>
      <c r="Z201">
        <v>88.2</v>
      </c>
      <c r="AA201">
        <v>101.8</v>
      </c>
      <c r="AB201">
        <v>9.6</v>
      </c>
      <c r="AC201">
        <v>36.6</v>
      </c>
      <c r="AD201">
        <v>328239523</v>
      </c>
    </row>
    <row r="202" spans="1:30" hidden="1" x14ac:dyDescent="0.45">
      <c r="A202">
        <v>195</v>
      </c>
      <c r="B202">
        <v>9600</v>
      </c>
      <c r="C202" t="s">
        <v>126</v>
      </c>
      <c r="D202" t="s">
        <v>971</v>
      </c>
      <c r="E202">
        <v>66</v>
      </c>
      <c r="F202" t="s">
        <v>35</v>
      </c>
      <c r="G202" t="s">
        <v>972</v>
      </c>
      <c r="H202" t="s">
        <v>219</v>
      </c>
      <c r="I202" t="s">
        <v>126</v>
      </c>
      <c r="J202" t="s">
        <v>35</v>
      </c>
      <c r="L202" t="b">
        <v>0</v>
      </c>
      <c r="M202" t="s">
        <v>29</v>
      </c>
      <c r="N202" t="s">
        <v>8246</v>
      </c>
      <c r="O202" s="1">
        <v>20804</v>
      </c>
      <c r="P202" t="s">
        <v>220</v>
      </c>
      <c r="Q202" t="s">
        <v>973</v>
      </c>
      <c r="S202" s="1">
        <v>45020.209027777775</v>
      </c>
      <c r="T202" t="s">
        <v>311</v>
      </c>
      <c r="U202" t="s">
        <v>82</v>
      </c>
      <c r="V202">
        <v>1956</v>
      </c>
      <c r="W202">
        <v>117.24</v>
      </c>
      <c r="X202">
        <v>7.5</v>
      </c>
      <c r="Y202" s="2">
        <v>21427700000000</v>
      </c>
      <c r="Z202">
        <v>88.2</v>
      </c>
      <c r="AA202">
        <v>101.8</v>
      </c>
      <c r="AB202">
        <v>9.6</v>
      </c>
      <c r="AC202">
        <v>36.6</v>
      </c>
      <c r="AD202">
        <v>328239523</v>
      </c>
    </row>
    <row r="203" spans="1:30" hidden="1" x14ac:dyDescent="0.45">
      <c r="A203">
        <v>202</v>
      </c>
      <c r="B203">
        <v>9500</v>
      </c>
      <c r="C203" t="s">
        <v>61</v>
      </c>
      <c r="D203" t="s">
        <v>974</v>
      </c>
      <c r="E203">
        <v>71</v>
      </c>
      <c r="F203" t="s">
        <v>25</v>
      </c>
      <c r="G203" t="s">
        <v>26</v>
      </c>
      <c r="H203" t="s">
        <v>317</v>
      </c>
      <c r="I203" t="s">
        <v>61</v>
      </c>
      <c r="J203" t="s">
        <v>25</v>
      </c>
      <c r="L203" t="b">
        <v>0</v>
      </c>
      <c r="M203" t="s">
        <v>29</v>
      </c>
      <c r="N203" t="s">
        <v>8245</v>
      </c>
      <c r="O203" s="1">
        <v>19085</v>
      </c>
      <c r="P203" t="s">
        <v>975</v>
      </c>
      <c r="Q203" t="s">
        <v>976</v>
      </c>
      <c r="S203" s="1">
        <v>45020.209027777775</v>
      </c>
      <c r="V203">
        <v>1952</v>
      </c>
      <c r="W203">
        <v>110.05</v>
      </c>
      <c r="X203">
        <v>1.1000000000000001</v>
      </c>
      <c r="Y203" s="2">
        <v>2715518274227</v>
      </c>
      <c r="Z203">
        <v>65.599999999999994</v>
      </c>
      <c r="AA203">
        <v>102.5</v>
      </c>
      <c r="AB203">
        <v>24.2</v>
      </c>
      <c r="AC203">
        <v>60.7</v>
      </c>
      <c r="AD203">
        <v>67059887</v>
      </c>
    </row>
    <row r="204" spans="1:30" hidden="1" x14ac:dyDescent="0.45">
      <c r="A204">
        <v>202</v>
      </c>
      <c r="B204">
        <v>9500</v>
      </c>
      <c r="C204" t="s">
        <v>91</v>
      </c>
      <c r="D204" t="s">
        <v>977</v>
      </c>
      <c r="E204">
        <v>94</v>
      </c>
      <c r="F204" t="s">
        <v>164</v>
      </c>
      <c r="G204" t="s">
        <v>978</v>
      </c>
      <c r="H204" t="s">
        <v>91</v>
      </c>
      <c r="I204" t="s">
        <v>91</v>
      </c>
      <c r="J204" t="s">
        <v>164</v>
      </c>
      <c r="K204" t="s">
        <v>979</v>
      </c>
      <c r="L204" t="b">
        <v>1</v>
      </c>
      <c r="M204" t="s">
        <v>39</v>
      </c>
      <c r="N204" t="s">
        <v>8245</v>
      </c>
      <c r="O204" s="1">
        <v>10502</v>
      </c>
      <c r="P204" t="s">
        <v>980</v>
      </c>
      <c r="Q204" t="s">
        <v>153</v>
      </c>
      <c r="R204" t="s">
        <v>981</v>
      </c>
      <c r="S204" s="1">
        <v>45020.209027777775</v>
      </c>
      <c r="V204">
        <v>1928</v>
      </c>
      <c r="W204">
        <v>116.76</v>
      </c>
      <c r="X204">
        <v>1.9</v>
      </c>
      <c r="Y204" s="2">
        <v>1736425629520</v>
      </c>
      <c r="Z204">
        <v>68.900000000000006</v>
      </c>
      <c r="AA204">
        <v>100.9</v>
      </c>
      <c r="AB204">
        <v>12.8</v>
      </c>
      <c r="AC204">
        <v>24.5</v>
      </c>
      <c r="AD204">
        <v>36991981</v>
      </c>
    </row>
    <row r="205" spans="1:30" hidden="1" x14ac:dyDescent="0.45">
      <c r="A205">
        <v>204</v>
      </c>
      <c r="B205">
        <v>9400</v>
      </c>
      <c r="C205" t="s">
        <v>402</v>
      </c>
      <c r="D205" t="s">
        <v>982</v>
      </c>
      <c r="E205">
        <v>57</v>
      </c>
      <c r="F205" t="s">
        <v>205</v>
      </c>
      <c r="G205" t="s">
        <v>983</v>
      </c>
      <c r="H205" t="s">
        <v>984</v>
      </c>
      <c r="I205" t="s">
        <v>402</v>
      </c>
      <c r="J205" t="s">
        <v>205</v>
      </c>
      <c r="L205" t="b">
        <v>0</v>
      </c>
      <c r="M205" t="s">
        <v>29</v>
      </c>
      <c r="N205" t="s">
        <v>8245</v>
      </c>
      <c r="O205" s="1">
        <v>24007</v>
      </c>
      <c r="P205" t="s">
        <v>985</v>
      </c>
      <c r="Q205" t="s">
        <v>986</v>
      </c>
      <c r="S205" s="1">
        <v>45020.209027777775</v>
      </c>
      <c r="V205">
        <v>1965</v>
      </c>
      <c r="W205">
        <v>99.55</v>
      </c>
      <c r="X205">
        <v>0.4</v>
      </c>
      <c r="Y205" s="2">
        <v>703082435360</v>
      </c>
      <c r="Z205">
        <v>59.6</v>
      </c>
      <c r="AA205">
        <v>105.2</v>
      </c>
      <c r="AB205">
        <v>10.1</v>
      </c>
      <c r="AC205">
        <v>28.8</v>
      </c>
      <c r="AD205">
        <v>8574832</v>
      </c>
    </row>
    <row r="206" spans="1:30" hidden="1" x14ac:dyDescent="0.45">
      <c r="A206">
        <v>204</v>
      </c>
      <c r="B206">
        <v>9400</v>
      </c>
      <c r="C206" t="s">
        <v>45</v>
      </c>
      <c r="D206" t="s">
        <v>987</v>
      </c>
      <c r="E206">
        <v>44</v>
      </c>
      <c r="F206" t="s">
        <v>128</v>
      </c>
      <c r="G206" t="s">
        <v>187</v>
      </c>
      <c r="H206" t="s">
        <v>988</v>
      </c>
      <c r="I206" t="s">
        <v>45</v>
      </c>
      <c r="J206" t="s">
        <v>128</v>
      </c>
      <c r="L206" t="b">
        <v>1</v>
      </c>
      <c r="M206" t="s">
        <v>39</v>
      </c>
      <c r="N206" t="s">
        <v>8245</v>
      </c>
      <c r="O206" s="1">
        <v>28904</v>
      </c>
      <c r="P206" t="s">
        <v>439</v>
      </c>
      <c r="Q206" t="s">
        <v>989</v>
      </c>
      <c r="S206" s="1">
        <v>45020.209027777775</v>
      </c>
      <c r="V206">
        <v>1979</v>
      </c>
      <c r="W206">
        <v>125.08</v>
      </c>
      <c r="X206">
        <v>2.9</v>
      </c>
      <c r="Y206" s="2">
        <v>19910000000000</v>
      </c>
      <c r="Z206">
        <v>50.6</v>
      </c>
      <c r="AA206">
        <v>100.2</v>
      </c>
      <c r="AB206">
        <v>9.4</v>
      </c>
      <c r="AC206">
        <v>59.2</v>
      </c>
      <c r="AD206">
        <v>1397715000</v>
      </c>
    </row>
    <row r="207" spans="1:30" x14ac:dyDescent="0.45">
      <c r="A207">
        <v>206</v>
      </c>
      <c r="B207" s="6">
        <v>9300</v>
      </c>
      <c r="C207" t="s">
        <v>45</v>
      </c>
      <c r="D207" t="s">
        <v>990</v>
      </c>
      <c r="E207">
        <v>41</v>
      </c>
      <c r="F207" t="s">
        <v>35</v>
      </c>
      <c r="G207" t="s">
        <v>991</v>
      </c>
      <c r="H207" t="s">
        <v>992</v>
      </c>
      <c r="I207" t="s">
        <v>45</v>
      </c>
      <c r="J207" t="s">
        <v>35</v>
      </c>
      <c r="K207" t="s">
        <v>993</v>
      </c>
      <c r="L207" t="b">
        <v>1</v>
      </c>
      <c r="M207" t="s">
        <v>39</v>
      </c>
      <c r="N207" t="s">
        <v>8245</v>
      </c>
      <c r="O207" s="10">
        <v>29827</v>
      </c>
      <c r="P207" t="s">
        <v>994</v>
      </c>
      <c r="Q207" t="s">
        <v>995</v>
      </c>
      <c r="R207" t="s">
        <v>996</v>
      </c>
      <c r="S207" s="8">
        <v>45020.209027777775</v>
      </c>
      <c r="T207" t="s">
        <v>115</v>
      </c>
      <c r="U207" t="s">
        <v>53</v>
      </c>
      <c r="V207">
        <v>1981</v>
      </c>
      <c r="W207" s="12">
        <v>117.24</v>
      </c>
      <c r="X207">
        <v>7.5</v>
      </c>
      <c r="Y207" s="14">
        <v>21427700000000</v>
      </c>
      <c r="Z207">
        <v>88.2</v>
      </c>
      <c r="AA207">
        <v>101.8</v>
      </c>
      <c r="AB207">
        <v>9.6</v>
      </c>
      <c r="AC207">
        <v>36.6</v>
      </c>
      <c r="AD207">
        <v>328239523</v>
      </c>
    </row>
    <row r="208" spans="1:30" hidden="1" x14ac:dyDescent="0.45">
      <c r="A208">
        <v>206</v>
      </c>
      <c r="B208">
        <v>9300</v>
      </c>
      <c r="C208" t="s">
        <v>296</v>
      </c>
      <c r="D208" t="s">
        <v>997</v>
      </c>
      <c r="E208">
        <v>75</v>
      </c>
      <c r="F208" t="s">
        <v>272</v>
      </c>
      <c r="G208" t="s">
        <v>998</v>
      </c>
      <c r="H208" t="s">
        <v>999</v>
      </c>
      <c r="I208" t="s">
        <v>296</v>
      </c>
      <c r="J208" t="s">
        <v>272</v>
      </c>
      <c r="L208" t="b">
        <v>1</v>
      </c>
      <c r="M208" t="s">
        <v>29</v>
      </c>
      <c r="N208" t="s">
        <v>8245</v>
      </c>
      <c r="O208" s="1">
        <v>17289</v>
      </c>
      <c r="P208" t="s">
        <v>1000</v>
      </c>
      <c r="Q208" t="s">
        <v>401</v>
      </c>
      <c r="S208" s="1">
        <v>45020.209027777775</v>
      </c>
      <c r="V208">
        <v>1947</v>
      </c>
      <c r="W208">
        <v>119.62</v>
      </c>
      <c r="X208">
        <v>1.7</v>
      </c>
      <c r="Y208" s="2">
        <v>2827113184696</v>
      </c>
      <c r="Z208">
        <v>60</v>
      </c>
      <c r="AA208">
        <v>101.2</v>
      </c>
      <c r="AB208">
        <v>25.5</v>
      </c>
      <c r="AC208">
        <v>30.6</v>
      </c>
      <c r="AD208">
        <v>66834405</v>
      </c>
    </row>
    <row r="209" spans="1:30" hidden="1" x14ac:dyDescent="0.45">
      <c r="A209">
        <v>208</v>
      </c>
      <c r="B209">
        <v>9200</v>
      </c>
      <c r="C209" t="s">
        <v>91</v>
      </c>
      <c r="D209" t="s">
        <v>1001</v>
      </c>
      <c r="E209">
        <v>56</v>
      </c>
      <c r="F209" t="s">
        <v>363</v>
      </c>
      <c r="G209" t="s">
        <v>381</v>
      </c>
      <c r="H209" t="s">
        <v>458</v>
      </c>
      <c r="I209" t="s">
        <v>91</v>
      </c>
      <c r="J209" t="s">
        <v>363</v>
      </c>
      <c r="L209" t="b">
        <v>1</v>
      </c>
      <c r="M209" t="s">
        <v>29</v>
      </c>
      <c r="N209" t="s">
        <v>8245</v>
      </c>
      <c r="O209" s="1">
        <v>24404</v>
      </c>
      <c r="P209" t="s">
        <v>1002</v>
      </c>
      <c r="Q209" t="s">
        <v>1003</v>
      </c>
      <c r="S209" s="1">
        <v>45020.209027777775</v>
      </c>
      <c r="V209">
        <v>1966</v>
      </c>
      <c r="W209">
        <v>180.75</v>
      </c>
      <c r="X209">
        <v>4.5</v>
      </c>
      <c r="Y209" s="2">
        <v>1699876578871</v>
      </c>
      <c r="Z209">
        <v>81.900000000000006</v>
      </c>
      <c r="AA209">
        <v>102.6</v>
      </c>
      <c r="AB209">
        <v>11.4</v>
      </c>
      <c r="AC209">
        <v>46.2</v>
      </c>
      <c r="AD209">
        <v>144373535</v>
      </c>
    </row>
    <row r="210" spans="1:30" hidden="1" x14ac:dyDescent="0.45">
      <c r="A210">
        <v>208</v>
      </c>
      <c r="B210">
        <v>9200</v>
      </c>
      <c r="C210" t="s">
        <v>91</v>
      </c>
      <c r="D210" t="s">
        <v>1004</v>
      </c>
      <c r="E210">
        <v>79</v>
      </c>
      <c r="F210" t="s">
        <v>577</v>
      </c>
      <c r="G210" t="s">
        <v>578</v>
      </c>
      <c r="H210" t="s">
        <v>91</v>
      </c>
      <c r="I210" t="s">
        <v>91</v>
      </c>
      <c r="J210" t="s">
        <v>577</v>
      </c>
      <c r="L210" t="b">
        <v>0</v>
      </c>
      <c r="M210" t="s">
        <v>29</v>
      </c>
      <c r="N210" t="s">
        <v>8246</v>
      </c>
      <c r="O210" s="1">
        <v>15955</v>
      </c>
      <c r="P210" t="s">
        <v>1005</v>
      </c>
      <c r="Q210" t="s">
        <v>1006</v>
      </c>
      <c r="S210" s="1">
        <v>45020.209027777775</v>
      </c>
      <c r="V210">
        <v>1943</v>
      </c>
      <c r="W210">
        <v>110.51</v>
      </c>
      <c r="X210">
        <v>1.8</v>
      </c>
      <c r="Y210" s="2">
        <v>530832908738</v>
      </c>
      <c r="Z210">
        <v>67</v>
      </c>
      <c r="AA210">
        <v>126.6</v>
      </c>
      <c r="AB210">
        <v>27.9</v>
      </c>
      <c r="AC210">
        <v>49.1</v>
      </c>
      <c r="AD210">
        <v>10285453</v>
      </c>
    </row>
    <row r="211" spans="1:30" hidden="1" x14ac:dyDescent="0.45">
      <c r="A211">
        <v>208</v>
      </c>
      <c r="B211">
        <v>9200</v>
      </c>
      <c r="C211" t="s">
        <v>347</v>
      </c>
      <c r="D211" t="s">
        <v>1007</v>
      </c>
      <c r="E211">
        <v>47</v>
      </c>
      <c r="F211" t="s">
        <v>567</v>
      </c>
      <c r="G211" t="s">
        <v>568</v>
      </c>
      <c r="H211" t="s">
        <v>1008</v>
      </c>
      <c r="I211" t="s">
        <v>347</v>
      </c>
      <c r="J211" t="s">
        <v>567</v>
      </c>
      <c r="L211" t="b">
        <v>1</v>
      </c>
      <c r="M211" t="s">
        <v>29</v>
      </c>
      <c r="N211" t="s">
        <v>8245</v>
      </c>
      <c r="O211" s="1">
        <v>27584</v>
      </c>
      <c r="P211" t="s">
        <v>1009</v>
      </c>
      <c r="Q211" t="s">
        <v>520</v>
      </c>
      <c r="S211" s="1">
        <v>45020.209027777775</v>
      </c>
      <c r="V211">
        <v>1975</v>
      </c>
      <c r="W211">
        <v>116.48</v>
      </c>
      <c r="X211">
        <v>2.8</v>
      </c>
      <c r="Y211" s="2">
        <v>246489245495</v>
      </c>
      <c r="Z211">
        <v>64.099999999999994</v>
      </c>
      <c r="AA211">
        <v>100.7</v>
      </c>
      <c r="AB211">
        <v>14.9</v>
      </c>
      <c r="AC211">
        <v>46.1</v>
      </c>
      <c r="AD211">
        <v>10669709</v>
      </c>
    </row>
    <row r="212" spans="1:30" hidden="1" x14ac:dyDescent="0.45">
      <c r="A212">
        <v>208</v>
      </c>
      <c r="B212">
        <v>9200</v>
      </c>
      <c r="C212" t="s">
        <v>76</v>
      </c>
      <c r="D212" t="s">
        <v>1010</v>
      </c>
      <c r="E212">
        <v>82</v>
      </c>
      <c r="F212" t="s">
        <v>35</v>
      </c>
      <c r="G212" t="s">
        <v>1011</v>
      </c>
      <c r="H212" t="s">
        <v>1012</v>
      </c>
      <c r="I212" t="s">
        <v>76</v>
      </c>
      <c r="J212" t="s">
        <v>35</v>
      </c>
      <c r="L212" t="b">
        <v>1</v>
      </c>
      <c r="M212" t="s">
        <v>29</v>
      </c>
      <c r="N212" t="s">
        <v>8245</v>
      </c>
      <c r="O212" s="1">
        <v>15042</v>
      </c>
      <c r="P212" t="s">
        <v>1013</v>
      </c>
      <c r="Q212" t="s">
        <v>225</v>
      </c>
      <c r="S212" s="1">
        <v>45020.209027777775</v>
      </c>
      <c r="T212" t="s">
        <v>820</v>
      </c>
      <c r="U212" t="s">
        <v>53</v>
      </c>
      <c r="V212">
        <v>1941</v>
      </c>
      <c r="W212">
        <v>117.24</v>
      </c>
      <c r="X212">
        <v>7.5</v>
      </c>
      <c r="Y212" s="2">
        <v>21427700000000</v>
      </c>
      <c r="Z212">
        <v>88.2</v>
      </c>
      <c r="AA212">
        <v>101.8</v>
      </c>
      <c r="AB212">
        <v>9.6</v>
      </c>
      <c r="AC212">
        <v>36.6</v>
      </c>
      <c r="AD212">
        <v>328239523</v>
      </c>
    </row>
    <row r="213" spans="1:30" hidden="1" x14ac:dyDescent="0.45">
      <c r="A213">
        <v>208</v>
      </c>
      <c r="B213">
        <v>9200</v>
      </c>
      <c r="C213" t="s">
        <v>45</v>
      </c>
      <c r="D213" t="s">
        <v>1014</v>
      </c>
      <c r="E213">
        <v>77</v>
      </c>
      <c r="F213" t="s">
        <v>93</v>
      </c>
      <c r="G213" t="s">
        <v>1015</v>
      </c>
      <c r="H213" t="s">
        <v>1016</v>
      </c>
      <c r="I213" t="s">
        <v>45</v>
      </c>
      <c r="J213" t="s">
        <v>93</v>
      </c>
      <c r="K213" t="s">
        <v>1017</v>
      </c>
      <c r="L213" t="b">
        <v>0</v>
      </c>
      <c r="M213" t="s">
        <v>39</v>
      </c>
      <c r="N213" t="s">
        <v>8245</v>
      </c>
      <c r="O213" s="1">
        <v>16642</v>
      </c>
      <c r="P213" t="s">
        <v>1018</v>
      </c>
      <c r="Q213" t="s">
        <v>1019</v>
      </c>
      <c r="R213" t="s">
        <v>1020</v>
      </c>
      <c r="S213" s="1">
        <v>45020.209027777775</v>
      </c>
      <c r="V213">
        <v>1945</v>
      </c>
      <c r="W213">
        <v>180.44</v>
      </c>
      <c r="X213">
        <v>7.7</v>
      </c>
      <c r="Y213" s="2">
        <v>2611000000000</v>
      </c>
      <c r="Z213">
        <v>28.1</v>
      </c>
      <c r="AA213">
        <v>113</v>
      </c>
      <c r="AB213">
        <v>11.2</v>
      </c>
      <c r="AC213">
        <v>49.7</v>
      </c>
      <c r="AD213">
        <v>1366417754</v>
      </c>
    </row>
    <row r="214" spans="1:30" x14ac:dyDescent="0.45">
      <c r="A214">
        <v>208</v>
      </c>
      <c r="B214" s="6">
        <v>9200</v>
      </c>
      <c r="C214" t="s">
        <v>61</v>
      </c>
      <c r="D214" t="s">
        <v>1021</v>
      </c>
      <c r="E214">
        <v>85</v>
      </c>
      <c r="F214" t="s">
        <v>35</v>
      </c>
      <c r="G214" t="s">
        <v>1022</v>
      </c>
      <c r="H214" t="s">
        <v>356</v>
      </c>
      <c r="I214" t="s">
        <v>61</v>
      </c>
      <c r="J214" t="s">
        <v>35</v>
      </c>
      <c r="K214" t="s">
        <v>1023</v>
      </c>
      <c r="L214" t="b">
        <v>1</v>
      </c>
      <c r="M214" t="s">
        <v>39</v>
      </c>
      <c r="N214" t="s">
        <v>8245</v>
      </c>
      <c r="O214" s="10">
        <v>13725</v>
      </c>
      <c r="P214" t="s">
        <v>1024</v>
      </c>
      <c r="Q214" t="s">
        <v>144</v>
      </c>
      <c r="R214" t="s">
        <v>688</v>
      </c>
      <c r="S214" s="8">
        <v>45020.209027777775</v>
      </c>
      <c r="T214" t="s">
        <v>115</v>
      </c>
      <c r="U214" t="s">
        <v>53</v>
      </c>
      <c r="V214">
        <v>1937</v>
      </c>
      <c r="W214" s="12">
        <v>117.24</v>
      </c>
      <c r="X214">
        <v>7.5</v>
      </c>
      <c r="Y214" s="14">
        <v>21427700000000</v>
      </c>
      <c r="Z214">
        <v>88.2</v>
      </c>
      <c r="AA214">
        <v>101.8</v>
      </c>
      <c r="AB214">
        <v>9.6</v>
      </c>
      <c r="AC214">
        <v>36.6</v>
      </c>
      <c r="AD214">
        <v>328239523</v>
      </c>
    </row>
    <row r="215" spans="1:30" hidden="1" x14ac:dyDescent="0.45">
      <c r="A215">
        <v>208</v>
      </c>
      <c r="B215">
        <v>9200</v>
      </c>
      <c r="C215" t="s">
        <v>23</v>
      </c>
      <c r="D215" t="s">
        <v>1025</v>
      </c>
      <c r="E215">
        <v>63</v>
      </c>
      <c r="F215" t="s">
        <v>35</v>
      </c>
      <c r="G215" t="s">
        <v>1026</v>
      </c>
      <c r="H215" t="s">
        <v>1027</v>
      </c>
      <c r="I215" t="s">
        <v>23</v>
      </c>
      <c r="J215" t="s">
        <v>35</v>
      </c>
      <c r="L215" t="b">
        <v>1</v>
      </c>
      <c r="M215" t="s">
        <v>29</v>
      </c>
      <c r="N215" t="s">
        <v>8245</v>
      </c>
      <c r="O215" s="1">
        <v>21916</v>
      </c>
      <c r="P215" t="s">
        <v>1028</v>
      </c>
      <c r="Q215" t="s">
        <v>482</v>
      </c>
      <c r="S215" s="1">
        <v>45020.209027777775</v>
      </c>
      <c r="T215" t="s">
        <v>115</v>
      </c>
      <c r="U215" t="s">
        <v>53</v>
      </c>
      <c r="V215">
        <v>1960</v>
      </c>
      <c r="W215">
        <v>117.24</v>
      </c>
      <c r="X215">
        <v>7.5</v>
      </c>
      <c r="Y215" s="2">
        <v>21427700000000</v>
      </c>
      <c r="Z215">
        <v>88.2</v>
      </c>
      <c r="AA215">
        <v>101.8</v>
      </c>
      <c r="AB215">
        <v>9.6</v>
      </c>
      <c r="AC215">
        <v>36.6</v>
      </c>
      <c r="AD215">
        <v>328239523</v>
      </c>
    </row>
    <row r="216" spans="1:30" x14ac:dyDescent="0.45">
      <c r="A216">
        <v>215</v>
      </c>
      <c r="B216" s="6">
        <v>9000</v>
      </c>
      <c r="C216" t="s">
        <v>45</v>
      </c>
      <c r="D216" t="s">
        <v>1029</v>
      </c>
      <c r="E216">
        <v>72</v>
      </c>
      <c r="F216" t="s">
        <v>35</v>
      </c>
      <c r="G216" t="s">
        <v>110</v>
      </c>
      <c r="H216" t="s">
        <v>111</v>
      </c>
      <c r="I216" t="s">
        <v>45</v>
      </c>
      <c r="J216" t="s">
        <v>164</v>
      </c>
      <c r="K216" t="s">
        <v>1030</v>
      </c>
      <c r="L216" t="b">
        <v>1</v>
      </c>
      <c r="M216" t="s">
        <v>39</v>
      </c>
      <c r="N216" t="s">
        <v>8245</v>
      </c>
      <c r="O216" s="10">
        <v>18716</v>
      </c>
      <c r="P216" t="s">
        <v>1031</v>
      </c>
      <c r="Q216" t="s">
        <v>169</v>
      </c>
      <c r="R216" t="s">
        <v>1032</v>
      </c>
      <c r="S216" s="8">
        <v>45020.209027777775</v>
      </c>
      <c r="T216" t="s">
        <v>115</v>
      </c>
      <c r="U216" t="s">
        <v>53</v>
      </c>
      <c r="V216">
        <v>1951</v>
      </c>
      <c r="W216" s="12">
        <v>117.24</v>
      </c>
      <c r="X216">
        <v>7.5</v>
      </c>
      <c r="Y216" s="14">
        <v>21427700000000</v>
      </c>
      <c r="Z216">
        <v>88.2</v>
      </c>
      <c r="AA216">
        <v>101.8</v>
      </c>
      <c r="AB216">
        <v>9.6</v>
      </c>
      <c r="AC216">
        <v>36.6</v>
      </c>
      <c r="AD216">
        <v>328239523</v>
      </c>
    </row>
    <row r="217" spans="1:30" hidden="1" x14ac:dyDescent="0.45">
      <c r="A217">
        <v>215</v>
      </c>
      <c r="B217">
        <v>9000</v>
      </c>
      <c r="C217" t="s">
        <v>326</v>
      </c>
      <c r="D217" t="s">
        <v>1033</v>
      </c>
      <c r="E217">
        <v>66</v>
      </c>
      <c r="F217" t="s">
        <v>205</v>
      </c>
      <c r="G217" t="s">
        <v>1034</v>
      </c>
      <c r="H217" t="s">
        <v>330</v>
      </c>
      <c r="I217" t="s">
        <v>326</v>
      </c>
      <c r="J217" t="s">
        <v>205</v>
      </c>
      <c r="L217" t="b">
        <v>1</v>
      </c>
      <c r="M217" t="s">
        <v>39</v>
      </c>
      <c r="N217" t="s">
        <v>8245</v>
      </c>
      <c r="O217" s="1">
        <v>20827</v>
      </c>
      <c r="P217" t="s">
        <v>1035</v>
      </c>
      <c r="Q217" t="s">
        <v>1036</v>
      </c>
      <c r="S217" s="1">
        <v>45020.209027777775</v>
      </c>
      <c r="V217">
        <v>1957</v>
      </c>
      <c r="W217">
        <v>99.55</v>
      </c>
      <c r="X217">
        <v>0.4</v>
      </c>
      <c r="Y217" s="2">
        <v>703082435360</v>
      </c>
      <c r="Z217">
        <v>59.6</v>
      </c>
      <c r="AA217">
        <v>105.2</v>
      </c>
      <c r="AB217">
        <v>10.1</v>
      </c>
      <c r="AC217">
        <v>28.8</v>
      </c>
      <c r="AD217">
        <v>8574832</v>
      </c>
    </row>
    <row r="218" spans="1:30" hidden="1" x14ac:dyDescent="0.45">
      <c r="A218">
        <v>215</v>
      </c>
      <c r="B218">
        <v>9000</v>
      </c>
      <c r="C218" t="s">
        <v>302</v>
      </c>
      <c r="D218" t="s">
        <v>1037</v>
      </c>
      <c r="E218">
        <v>55</v>
      </c>
      <c r="F218" t="s">
        <v>194</v>
      </c>
      <c r="G218" t="s">
        <v>1038</v>
      </c>
      <c r="H218" t="s">
        <v>304</v>
      </c>
      <c r="I218" t="s">
        <v>302</v>
      </c>
      <c r="J218" t="s">
        <v>194</v>
      </c>
      <c r="L218" t="b">
        <v>0</v>
      </c>
      <c r="M218" t="s">
        <v>39</v>
      </c>
      <c r="N218" t="s">
        <v>8245</v>
      </c>
      <c r="O218" s="1">
        <v>24660</v>
      </c>
      <c r="P218" t="s">
        <v>1039</v>
      </c>
      <c r="Q218" t="s">
        <v>1040</v>
      </c>
      <c r="S218" s="1">
        <v>45020.209027777775</v>
      </c>
      <c r="V218">
        <v>1967</v>
      </c>
      <c r="W218">
        <v>112.85</v>
      </c>
      <c r="X218">
        <v>1.4</v>
      </c>
      <c r="Y218" s="2">
        <v>3845630030824</v>
      </c>
      <c r="Z218">
        <v>70.2</v>
      </c>
      <c r="AA218">
        <v>104</v>
      </c>
      <c r="AB218">
        <v>11.5</v>
      </c>
      <c r="AC218">
        <v>48.8</v>
      </c>
      <c r="AD218">
        <v>83132799</v>
      </c>
    </row>
    <row r="219" spans="1:30" hidden="1" x14ac:dyDescent="0.45">
      <c r="A219">
        <v>215</v>
      </c>
      <c r="B219">
        <v>9000</v>
      </c>
      <c r="C219" t="s">
        <v>126</v>
      </c>
      <c r="D219" t="s">
        <v>1041</v>
      </c>
      <c r="E219">
        <v>73</v>
      </c>
      <c r="F219" t="s">
        <v>164</v>
      </c>
      <c r="G219" t="s">
        <v>978</v>
      </c>
      <c r="H219" t="s">
        <v>1042</v>
      </c>
      <c r="I219" t="s">
        <v>126</v>
      </c>
      <c r="J219" t="s">
        <v>164</v>
      </c>
      <c r="L219" t="b">
        <v>1</v>
      </c>
      <c r="M219" t="s">
        <v>29</v>
      </c>
      <c r="N219" t="s">
        <v>8245</v>
      </c>
      <c r="O219" s="1">
        <v>18332</v>
      </c>
      <c r="P219" t="s">
        <v>1043</v>
      </c>
      <c r="Q219" t="s">
        <v>797</v>
      </c>
      <c r="S219" s="1">
        <v>45020.209027777775</v>
      </c>
      <c r="V219">
        <v>1950</v>
      </c>
      <c r="W219">
        <v>116.76</v>
      </c>
      <c r="X219">
        <v>1.9</v>
      </c>
      <c r="Y219" s="2">
        <v>1736425629520</v>
      </c>
      <c r="Z219">
        <v>68.900000000000006</v>
      </c>
      <c r="AA219">
        <v>100.9</v>
      </c>
      <c r="AB219">
        <v>12.8</v>
      </c>
      <c r="AC219">
        <v>24.5</v>
      </c>
      <c r="AD219">
        <v>36991981</v>
      </c>
    </row>
    <row r="220" spans="1:30" hidden="1" x14ac:dyDescent="0.45">
      <c r="A220">
        <v>215</v>
      </c>
      <c r="B220">
        <v>9000</v>
      </c>
      <c r="C220" t="s">
        <v>296</v>
      </c>
      <c r="D220" t="s">
        <v>1044</v>
      </c>
      <c r="E220">
        <v>57</v>
      </c>
      <c r="F220" t="s">
        <v>128</v>
      </c>
      <c r="G220" t="s">
        <v>1045</v>
      </c>
      <c r="H220" t="s">
        <v>1046</v>
      </c>
      <c r="I220" t="s">
        <v>296</v>
      </c>
      <c r="J220" t="s">
        <v>128</v>
      </c>
      <c r="L220" t="b">
        <v>1</v>
      </c>
      <c r="M220" t="s">
        <v>29</v>
      </c>
      <c r="N220" t="s">
        <v>8245</v>
      </c>
      <c r="O220" s="1">
        <v>24162</v>
      </c>
      <c r="P220" t="s">
        <v>439</v>
      </c>
      <c r="Q220" t="s">
        <v>1047</v>
      </c>
      <c r="S220" s="1">
        <v>45020.209027777775</v>
      </c>
      <c r="V220">
        <v>1966</v>
      </c>
      <c r="W220">
        <v>125.08</v>
      </c>
      <c r="X220">
        <v>2.9</v>
      </c>
      <c r="Y220" s="2">
        <v>19910000000000</v>
      </c>
      <c r="Z220">
        <v>50.6</v>
      </c>
      <c r="AA220">
        <v>100.2</v>
      </c>
      <c r="AB220">
        <v>9.4</v>
      </c>
      <c r="AC220">
        <v>59.2</v>
      </c>
      <c r="AD220">
        <v>1397715000</v>
      </c>
    </row>
    <row r="221" spans="1:30" hidden="1" x14ac:dyDescent="0.45">
      <c r="A221">
        <v>220</v>
      </c>
      <c r="B221">
        <v>8900</v>
      </c>
      <c r="C221" t="s">
        <v>126</v>
      </c>
      <c r="D221" t="s">
        <v>1048</v>
      </c>
      <c r="E221">
        <v>68</v>
      </c>
      <c r="F221" t="s">
        <v>272</v>
      </c>
      <c r="G221" t="s">
        <v>273</v>
      </c>
      <c r="H221" t="s">
        <v>1049</v>
      </c>
      <c r="I221" t="s">
        <v>126</v>
      </c>
      <c r="J221" t="s">
        <v>577</v>
      </c>
      <c r="L221" t="b">
        <v>0</v>
      </c>
      <c r="M221" t="s">
        <v>39</v>
      </c>
      <c r="N221" t="s">
        <v>8245</v>
      </c>
      <c r="O221" s="1">
        <v>20090</v>
      </c>
      <c r="P221" t="s">
        <v>1050</v>
      </c>
      <c r="Q221" t="s">
        <v>1051</v>
      </c>
      <c r="S221" s="1">
        <v>45020.209027777775</v>
      </c>
      <c r="V221">
        <v>1955</v>
      </c>
      <c r="W221">
        <v>119.62</v>
      </c>
      <c r="X221">
        <v>1.7</v>
      </c>
      <c r="Y221" s="2">
        <v>2827113184696</v>
      </c>
      <c r="Z221">
        <v>60</v>
      </c>
      <c r="AA221">
        <v>101.2</v>
      </c>
      <c r="AB221">
        <v>25.5</v>
      </c>
      <c r="AC221">
        <v>30.6</v>
      </c>
      <c r="AD221">
        <v>66834405</v>
      </c>
    </row>
    <row r="222" spans="1:30" hidden="1" x14ac:dyDescent="0.45">
      <c r="A222">
        <v>220</v>
      </c>
      <c r="B222">
        <v>8900</v>
      </c>
      <c r="C222" t="s">
        <v>126</v>
      </c>
      <c r="D222" t="s">
        <v>1052</v>
      </c>
      <c r="E222">
        <v>63</v>
      </c>
      <c r="F222" t="s">
        <v>272</v>
      </c>
      <c r="G222" t="s">
        <v>1053</v>
      </c>
      <c r="H222" t="s">
        <v>1049</v>
      </c>
      <c r="I222" t="s">
        <v>126</v>
      </c>
      <c r="J222" t="s">
        <v>577</v>
      </c>
      <c r="L222" t="b">
        <v>0</v>
      </c>
      <c r="M222" t="s">
        <v>39</v>
      </c>
      <c r="N222" t="s">
        <v>8245</v>
      </c>
      <c r="O222" s="1">
        <v>21916</v>
      </c>
      <c r="P222" t="s">
        <v>1050</v>
      </c>
      <c r="Q222" t="s">
        <v>1054</v>
      </c>
      <c r="S222" s="1">
        <v>45020.209027777775</v>
      </c>
      <c r="V222">
        <v>1960</v>
      </c>
      <c r="W222">
        <v>119.62</v>
      </c>
      <c r="X222">
        <v>1.7</v>
      </c>
      <c r="Y222" s="2">
        <v>2827113184696</v>
      </c>
      <c r="Z222">
        <v>60</v>
      </c>
      <c r="AA222">
        <v>101.2</v>
      </c>
      <c r="AB222">
        <v>25.5</v>
      </c>
      <c r="AC222">
        <v>30.6</v>
      </c>
      <c r="AD222">
        <v>66834405</v>
      </c>
    </row>
    <row r="223" spans="1:30" hidden="1" x14ac:dyDescent="0.45">
      <c r="A223">
        <v>220</v>
      </c>
      <c r="B223">
        <v>8900</v>
      </c>
      <c r="C223" t="s">
        <v>126</v>
      </c>
      <c r="D223" t="s">
        <v>1055</v>
      </c>
      <c r="E223">
        <v>70</v>
      </c>
      <c r="F223" t="s">
        <v>272</v>
      </c>
      <c r="G223" t="s">
        <v>1056</v>
      </c>
      <c r="H223" t="s">
        <v>1049</v>
      </c>
      <c r="I223" t="s">
        <v>126</v>
      </c>
      <c r="J223" t="s">
        <v>577</v>
      </c>
      <c r="L223" t="b">
        <v>0</v>
      </c>
      <c r="M223" t="s">
        <v>39</v>
      </c>
      <c r="N223" t="s">
        <v>8246</v>
      </c>
      <c r="O223" s="1">
        <v>19151</v>
      </c>
      <c r="P223" t="s">
        <v>1050</v>
      </c>
      <c r="Q223" t="s">
        <v>1057</v>
      </c>
      <c r="S223" s="1">
        <v>45020.209027777775</v>
      </c>
      <c r="V223">
        <v>1952</v>
      </c>
      <c r="W223">
        <v>119.62</v>
      </c>
      <c r="X223">
        <v>1.7</v>
      </c>
      <c r="Y223" s="2">
        <v>2827113184696</v>
      </c>
      <c r="Z223">
        <v>60</v>
      </c>
      <c r="AA223">
        <v>101.2</v>
      </c>
      <c r="AB223">
        <v>25.5</v>
      </c>
      <c r="AC223">
        <v>30.6</v>
      </c>
      <c r="AD223">
        <v>66834405</v>
      </c>
    </row>
    <row r="224" spans="1:30" hidden="1" x14ac:dyDescent="0.45">
      <c r="A224">
        <v>223</v>
      </c>
      <c r="B224">
        <v>8800</v>
      </c>
      <c r="C224" t="s">
        <v>23</v>
      </c>
      <c r="D224" t="s">
        <v>1058</v>
      </c>
      <c r="E224">
        <v>47</v>
      </c>
      <c r="F224" t="s">
        <v>363</v>
      </c>
      <c r="G224" t="s">
        <v>1059</v>
      </c>
      <c r="H224" t="s">
        <v>1060</v>
      </c>
      <c r="I224" t="s">
        <v>23</v>
      </c>
      <c r="J224" t="s">
        <v>363</v>
      </c>
      <c r="L224" t="b">
        <v>1</v>
      </c>
      <c r="M224" t="s">
        <v>29</v>
      </c>
      <c r="N224" t="s">
        <v>8246</v>
      </c>
      <c r="O224" s="1">
        <v>27683</v>
      </c>
      <c r="P224" t="s">
        <v>1061</v>
      </c>
      <c r="Q224" t="s">
        <v>1062</v>
      </c>
      <c r="S224" s="1">
        <v>45020.209027777775</v>
      </c>
      <c r="V224">
        <v>1975</v>
      </c>
      <c r="W224">
        <v>180.75</v>
      </c>
      <c r="X224">
        <v>4.5</v>
      </c>
      <c r="Y224" s="2">
        <v>1699876578871</v>
      </c>
      <c r="Z224">
        <v>81.900000000000006</v>
      </c>
      <c r="AA224">
        <v>102.6</v>
      </c>
      <c r="AB224">
        <v>11.4</v>
      </c>
      <c r="AC224">
        <v>46.2</v>
      </c>
      <c r="AD224">
        <v>144373535</v>
      </c>
    </row>
    <row r="225" spans="1:30" x14ac:dyDescent="0.45">
      <c r="A225">
        <v>223</v>
      </c>
      <c r="B225" s="6">
        <v>8800</v>
      </c>
      <c r="C225" t="s">
        <v>45</v>
      </c>
      <c r="D225" t="s">
        <v>1063</v>
      </c>
      <c r="E225">
        <v>71</v>
      </c>
      <c r="F225" t="s">
        <v>35</v>
      </c>
      <c r="G225" t="s">
        <v>1022</v>
      </c>
      <c r="H225" t="s">
        <v>1064</v>
      </c>
      <c r="I225" t="s">
        <v>45</v>
      </c>
      <c r="J225" t="s">
        <v>35</v>
      </c>
      <c r="K225" t="s">
        <v>1065</v>
      </c>
      <c r="L225" t="b">
        <v>1</v>
      </c>
      <c r="M225" t="s">
        <v>39</v>
      </c>
      <c r="N225" t="s">
        <v>8245</v>
      </c>
      <c r="O225" s="10">
        <v>18808</v>
      </c>
      <c r="P225" t="s">
        <v>1066</v>
      </c>
      <c r="Q225" t="s">
        <v>225</v>
      </c>
      <c r="R225" t="s">
        <v>688</v>
      </c>
      <c r="S225" s="8">
        <v>45020.209027777775</v>
      </c>
      <c r="T225" t="s">
        <v>115</v>
      </c>
      <c r="U225" t="s">
        <v>53</v>
      </c>
      <c r="V225">
        <v>1951</v>
      </c>
      <c r="W225" s="12">
        <v>117.24</v>
      </c>
      <c r="X225">
        <v>7.5</v>
      </c>
      <c r="Y225" s="14">
        <v>21427700000000</v>
      </c>
      <c r="Z225">
        <v>88.2</v>
      </c>
      <c r="AA225">
        <v>101.8</v>
      </c>
      <c r="AB225">
        <v>9.6</v>
      </c>
      <c r="AC225">
        <v>36.6</v>
      </c>
      <c r="AD225">
        <v>328239523</v>
      </c>
    </row>
    <row r="226" spans="1:30" hidden="1" x14ac:dyDescent="0.45">
      <c r="A226">
        <v>223</v>
      </c>
      <c r="B226">
        <v>8800</v>
      </c>
      <c r="C226" t="s">
        <v>45</v>
      </c>
      <c r="D226" t="s">
        <v>1067</v>
      </c>
      <c r="E226">
        <v>49</v>
      </c>
      <c r="F226" t="s">
        <v>128</v>
      </c>
      <c r="G226" t="s">
        <v>187</v>
      </c>
      <c r="H226" t="s">
        <v>293</v>
      </c>
      <c r="I226" t="s">
        <v>45</v>
      </c>
      <c r="J226" t="s">
        <v>128</v>
      </c>
      <c r="L226" t="b">
        <v>1</v>
      </c>
      <c r="M226" t="s">
        <v>39</v>
      </c>
      <c r="N226" t="s">
        <v>8245</v>
      </c>
      <c r="O226" s="1">
        <v>27098</v>
      </c>
      <c r="P226" t="s">
        <v>779</v>
      </c>
      <c r="Q226" t="s">
        <v>1068</v>
      </c>
      <c r="S226" s="1">
        <v>45020.209027777775</v>
      </c>
      <c r="V226">
        <v>1974</v>
      </c>
      <c r="W226">
        <v>125.08</v>
      </c>
      <c r="X226">
        <v>2.9</v>
      </c>
      <c r="Y226" s="2">
        <v>19910000000000</v>
      </c>
      <c r="Z226">
        <v>50.6</v>
      </c>
      <c r="AA226">
        <v>100.2</v>
      </c>
      <c r="AB226">
        <v>9.4</v>
      </c>
      <c r="AC226">
        <v>59.2</v>
      </c>
      <c r="AD226">
        <v>1397715000</v>
      </c>
    </row>
    <row r="227" spans="1:30" x14ac:dyDescent="0.45">
      <c r="A227">
        <v>223</v>
      </c>
      <c r="B227" s="6">
        <v>8800</v>
      </c>
      <c r="C227" t="s">
        <v>45</v>
      </c>
      <c r="D227" t="s">
        <v>1069</v>
      </c>
      <c r="E227">
        <v>38</v>
      </c>
      <c r="F227" t="s">
        <v>35</v>
      </c>
      <c r="G227" t="s">
        <v>991</v>
      </c>
      <c r="H227" t="s">
        <v>134</v>
      </c>
      <c r="I227" t="s">
        <v>45</v>
      </c>
      <c r="J227" t="s">
        <v>35</v>
      </c>
      <c r="K227" t="s">
        <v>1070</v>
      </c>
      <c r="L227" t="b">
        <v>1</v>
      </c>
      <c r="M227" t="s">
        <v>39</v>
      </c>
      <c r="N227" t="s">
        <v>8245</v>
      </c>
      <c r="O227" s="10">
        <v>30824</v>
      </c>
      <c r="P227" t="s">
        <v>1071</v>
      </c>
      <c r="Q227" t="s">
        <v>1072</v>
      </c>
      <c r="R227" t="s">
        <v>138</v>
      </c>
      <c r="S227" s="8">
        <v>45020.209027777775</v>
      </c>
      <c r="T227" t="s">
        <v>115</v>
      </c>
      <c r="U227" t="s">
        <v>53</v>
      </c>
      <c r="V227">
        <v>1984</v>
      </c>
      <c r="W227" s="12">
        <v>117.24</v>
      </c>
      <c r="X227">
        <v>7.5</v>
      </c>
      <c r="Y227" s="14">
        <v>21427700000000</v>
      </c>
      <c r="Z227">
        <v>88.2</v>
      </c>
      <c r="AA227">
        <v>101.8</v>
      </c>
      <c r="AB227">
        <v>9.6</v>
      </c>
      <c r="AC227">
        <v>36.6</v>
      </c>
      <c r="AD227">
        <v>328239523</v>
      </c>
    </row>
    <row r="228" spans="1:30" x14ac:dyDescent="0.45">
      <c r="A228">
        <v>223</v>
      </c>
      <c r="B228" s="6">
        <v>8800</v>
      </c>
      <c r="C228" t="s">
        <v>45</v>
      </c>
      <c r="D228" t="s">
        <v>1073</v>
      </c>
      <c r="E228">
        <v>55</v>
      </c>
      <c r="F228" t="s">
        <v>35</v>
      </c>
      <c r="G228" t="s">
        <v>1074</v>
      </c>
      <c r="H228" t="s">
        <v>1075</v>
      </c>
      <c r="I228" t="s">
        <v>45</v>
      </c>
      <c r="J228" t="s">
        <v>35</v>
      </c>
      <c r="K228" t="s">
        <v>1076</v>
      </c>
      <c r="L228" t="b">
        <v>1</v>
      </c>
      <c r="M228" t="s">
        <v>39</v>
      </c>
      <c r="N228" t="s">
        <v>8245</v>
      </c>
      <c r="O228" s="10">
        <v>24644</v>
      </c>
      <c r="P228" t="s">
        <v>1077</v>
      </c>
      <c r="Q228" t="s">
        <v>1078</v>
      </c>
      <c r="R228" t="s">
        <v>192</v>
      </c>
      <c r="S228" s="8">
        <v>45020.209027777775</v>
      </c>
      <c r="T228" t="s">
        <v>60</v>
      </c>
      <c r="U228" t="s">
        <v>53</v>
      </c>
      <c r="V228">
        <v>1967</v>
      </c>
      <c r="W228" s="12">
        <v>117.24</v>
      </c>
      <c r="X228">
        <v>7.5</v>
      </c>
      <c r="Y228" s="14">
        <v>21427700000000</v>
      </c>
      <c r="Z228">
        <v>88.2</v>
      </c>
      <c r="AA228">
        <v>101.8</v>
      </c>
      <c r="AB228">
        <v>9.6</v>
      </c>
      <c r="AC228">
        <v>36.6</v>
      </c>
      <c r="AD228">
        <v>328239523</v>
      </c>
    </row>
    <row r="229" spans="1:30" hidden="1" x14ac:dyDescent="0.45">
      <c r="A229">
        <v>223</v>
      </c>
      <c r="B229">
        <v>8800</v>
      </c>
      <c r="C229" t="s">
        <v>347</v>
      </c>
      <c r="D229" t="s">
        <v>1079</v>
      </c>
      <c r="E229">
        <v>64</v>
      </c>
      <c r="F229" t="s">
        <v>128</v>
      </c>
      <c r="G229" t="s">
        <v>261</v>
      </c>
      <c r="H229" t="s">
        <v>262</v>
      </c>
      <c r="I229" t="s">
        <v>347</v>
      </c>
      <c r="J229" t="s">
        <v>128</v>
      </c>
      <c r="L229" t="b">
        <v>1</v>
      </c>
      <c r="M229" t="s">
        <v>39</v>
      </c>
      <c r="N229" t="s">
        <v>8245</v>
      </c>
      <c r="O229" s="1">
        <v>21551</v>
      </c>
      <c r="P229" t="s">
        <v>1080</v>
      </c>
      <c r="Q229" t="s">
        <v>1081</v>
      </c>
      <c r="S229" s="1">
        <v>45020.209027777775</v>
      </c>
      <c r="V229">
        <v>1959</v>
      </c>
      <c r="W229">
        <v>125.08</v>
      </c>
      <c r="X229">
        <v>2.9</v>
      </c>
      <c r="Y229" s="2">
        <v>19910000000000</v>
      </c>
      <c r="Z229">
        <v>50.6</v>
      </c>
      <c r="AA229">
        <v>100.2</v>
      </c>
      <c r="AB229">
        <v>9.4</v>
      </c>
      <c r="AC229">
        <v>59.2</v>
      </c>
      <c r="AD229">
        <v>1397715000</v>
      </c>
    </row>
    <row r="230" spans="1:30" hidden="1" x14ac:dyDescent="0.45">
      <c r="A230">
        <v>223</v>
      </c>
      <c r="B230">
        <v>8800</v>
      </c>
      <c r="C230" t="s">
        <v>347</v>
      </c>
      <c r="D230" t="s">
        <v>1082</v>
      </c>
      <c r="E230">
        <v>72</v>
      </c>
      <c r="F230" t="s">
        <v>272</v>
      </c>
      <c r="G230" t="s">
        <v>273</v>
      </c>
      <c r="H230" t="s">
        <v>462</v>
      </c>
      <c r="I230" t="s">
        <v>347</v>
      </c>
      <c r="J230" t="s">
        <v>25</v>
      </c>
      <c r="L230" t="b">
        <v>0</v>
      </c>
      <c r="M230" t="s">
        <v>29</v>
      </c>
      <c r="N230" t="s">
        <v>8246</v>
      </c>
      <c r="O230" s="1">
        <v>18629</v>
      </c>
      <c r="P230" t="s">
        <v>1083</v>
      </c>
      <c r="Q230" t="s">
        <v>1084</v>
      </c>
      <c r="R230" t="s">
        <v>162</v>
      </c>
      <c r="S230" s="1">
        <v>45020.209027777775</v>
      </c>
      <c r="V230">
        <v>1951</v>
      </c>
      <c r="W230">
        <v>119.62</v>
      </c>
      <c r="X230">
        <v>1.7</v>
      </c>
      <c r="Y230" s="2">
        <v>2827113184696</v>
      </c>
      <c r="Z230">
        <v>60</v>
      </c>
      <c r="AA230">
        <v>101.2</v>
      </c>
      <c r="AB230">
        <v>25.5</v>
      </c>
      <c r="AC230">
        <v>30.6</v>
      </c>
      <c r="AD230">
        <v>66834405</v>
      </c>
    </row>
    <row r="231" spans="1:30" hidden="1" x14ac:dyDescent="0.45">
      <c r="A231">
        <v>230</v>
      </c>
      <c r="B231">
        <v>8700</v>
      </c>
      <c r="C231" t="s">
        <v>296</v>
      </c>
      <c r="D231" t="s">
        <v>1085</v>
      </c>
      <c r="E231">
        <v>52</v>
      </c>
      <c r="F231" t="s">
        <v>128</v>
      </c>
      <c r="G231" t="s">
        <v>1086</v>
      </c>
      <c r="H231" t="s">
        <v>399</v>
      </c>
      <c r="I231" t="s">
        <v>296</v>
      </c>
      <c r="J231" t="s">
        <v>128</v>
      </c>
      <c r="L231" t="b">
        <v>1</v>
      </c>
      <c r="M231" t="s">
        <v>29</v>
      </c>
      <c r="N231" t="s">
        <v>8245</v>
      </c>
      <c r="O231" s="1">
        <v>25934</v>
      </c>
      <c r="P231" t="s">
        <v>679</v>
      </c>
      <c r="Q231" t="s">
        <v>1087</v>
      </c>
      <c r="S231" s="1">
        <v>45020.209027777775</v>
      </c>
      <c r="V231">
        <v>1971</v>
      </c>
      <c r="W231">
        <v>125.08</v>
      </c>
      <c r="X231">
        <v>2.9</v>
      </c>
      <c r="Y231" s="2">
        <v>19910000000000</v>
      </c>
      <c r="Z231">
        <v>50.6</v>
      </c>
      <c r="AA231">
        <v>100.2</v>
      </c>
      <c r="AB231">
        <v>9.4</v>
      </c>
      <c r="AC231">
        <v>59.2</v>
      </c>
      <c r="AD231">
        <v>1397715000</v>
      </c>
    </row>
    <row r="232" spans="1:30" hidden="1" x14ac:dyDescent="0.45">
      <c r="A232">
        <v>230</v>
      </c>
      <c r="B232">
        <v>8700</v>
      </c>
      <c r="C232" t="s">
        <v>23</v>
      </c>
      <c r="D232" t="s">
        <v>1088</v>
      </c>
      <c r="E232">
        <v>79</v>
      </c>
      <c r="F232" t="s">
        <v>194</v>
      </c>
      <c r="G232" t="s">
        <v>1038</v>
      </c>
      <c r="H232" t="s">
        <v>1089</v>
      </c>
      <c r="I232" t="s">
        <v>23</v>
      </c>
      <c r="J232" t="s">
        <v>194</v>
      </c>
      <c r="L232" t="b">
        <v>0</v>
      </c>
      <c r="M232" t="s">
        <v>39</v>
      </c>
      <c r="N232" t="s">
        <v>8245</v>
      </c>
      <c r="O232" s="1">
        <v>15808</v>
      </c>
      <c r="P232" t="s">
        <v>1039</v>
      </c>
      <c r="Q232" t="s">
        <v>81</v>
      </c>
      <c r="S232" s="1">
        <v>45020.209027777775</v>
      </c>
      <c r="V232">
        <v>1943</v>
      </c>
      <c r="W232">
        <v>112.85</v>
      </c>
      <c r="X232">
        <v>1.4</v>
      </c>
      <c r="Y232" s="2">
        <v>3845630030824</v>
      </c>
      <c r="Z232">
        <v>70.2</v>
      </c>
      <c r="AA232">
        <v>104</v>
      </c>
      <c r="AB232">
        <v>11.5</v>
      </c>
      <c r="AC232">
        <v>48.8</v>
      </c>
      <c r="AD232">
        <v>83132799</v>
      </c>
    </row>
    <row r="233" spans="1:30" hidden="1" x14ac:dyDescent="0.45">
      <c r="A233">
        <v>232</v>
      </c>
      <c r="B233">
        <v>8600</v>
      </c>
      <c r="C233" t="s">
        <v>61</v>
      </c>
      <c r="D233" t="s">
        <v>1090</v>
      </c>
      <c r="E233">
        <v>71</v>
      </c>
      <c r="F233" t="s">
        <v>35</v>
      </c>
      <c r="G233" t="s">
        <v>78</v>
      </c>
      <c r="H233" t="s">
        <v>930</v>
      </c>
      <c r="I233" t="s">
        <v>61</v>
      </c>
      <c r="J233" t="s">
        <v>35</v>
      </c>
      <c r="L233" t="b">
        <v>1</v>
      </c>
      <c r="M233" t="s">
        <v>39</v>
      </c>
      <c r="N233" t="s">
        <v>8245</v>
      </c>
      <c r="O233" s="1">
        <v>18840</v>
      </c>
      <c r="P233" t="s">
        <v>1091</v>
      </c>
      <c r="Q233" t="s">
        <v>1092</v>
      </c>
      <c r="S233" s="1">
        <v>45020.209027777775</v>
      </c>
      <c r="T233" t="s">
        <v>78</v>
      </c>
      <c r="U233" t="s">
        <v>82</v>
      </c>
      <c r="V233">
        <v>1951</v>
      </c>
      <c r="W233">
        <v>117.24</v>
      </c>
      <c r="X233">
        <v>7.5</v>
      </c>
      <c r="Y233" s="2">
        <v>21427700000000</v>
      </c>
      <c r="Z233">
        <v>88.2</v>
      </c>
      <c r="AA233">
        <v>101.8</v>
      </c>
      <c r="AB233">
        <v>9.6</v>
      </c>
      <c r="AC233">
        <v>36.6</v>
      </c>
      <c r="AD233">
        <v>328239523</v>
      </c>
    </row>
    <row r="234" spans="1:30" hidden="1" x14ac:dyDescent="0.45">
      <c r="A234">
        <v>232</v>
      </c>
      <c r="B234">
        <v>8600</v>
      </c>
      <c r="C234" t="s">
        <v>61</v>
      </c>
      <c r="D234" t="s">
        <v>1093</v>
      </c>
      <c r="E234">
        <v>67</v>
      </c>
      <c r="F234" t="s">
        <v>1094</v>
      </c>
      <c r="G234" t="s">
        <v>1095</v>
      </c>
      <c r="H234" t="s">
        <v>317</v>
      </c>
      <c r="I234" t="s">
        <v>61</v>
      </c>
      <c r="J234" t="s">
        <v>1094</v>
      </c>
      <c r="L234" t="b">
        <v>1</v>
      </c>
      <c r="M234" t="s">
        <v>39</v>
      </c>
      <c r="N234" t="s">
        <v>8245</v>
      </c>
      <c r="O234" s="1">
        <v>20246</v>
      </c>
      <c r="P234" t="s">
        <v>1096</v>
      </c>
      <c r="Q234" t="s">
        <v>1097</v>
      </c>
      <c r="S234" s="1">
        <v>45020.209027777775</v>
      </c>
      <c r="V234">
        <v>1955</v>
      </c>
      <c r="W234">
        <v>114.24</v>
      </c>
      <c r="X234">
        <v>1.6</v>
      </c>
      <c r="Y234" s="2">
        <v>206928765544</v>
      </c>
      <c r="Z234">
        <v>82</v>
      </c>
      <c r="AA234">
        <v>100</v>
      </c>
      <c r="AB234">
        <v>29</v>
      </c>
      <c r="AC234">
        <v>34.6</v>
      </c>
      <c r="AD234">
        <v>4841000</v>
      </c>
    </row>
    <row r="235" spans="1:30" hidden="1" x14ac:dyDescent="0.45">
      <c r="A235">
        <v>232</v>
      </c>
      <c r="B235">
        <v>8600</v>
      </c>
      <c r="C235" t="s">
        <v>126</v>
      </c>
      <c r="D235" t="s">
        <v>1098</v>
      </c>
      <c r="E235">
        <v>68</v>
      </c>
      <c r="F235" t="s">
        <v>93</v>
      </c>
      <c r="G235" t="s">
        <v>343</v>
      </c>
      <c r="H235" t="s">
        <v>1099</v>
      </c>
      <c r="I235" t="s">
        <v>126</v>
      </c>
      <c r="J235" t="s">
        <v>93</v>
      </c>
      <c r="L235" t="b">
        <v>0</v>
      </c>
      <c r="M235" t="s">
        <v>29</v>
      </c>
      <c r="N235" t="s">
        <v>8245</v>
      </c>
      <c r="O235" s="1">
        <v>20056</v>
      </c>
      <c r="P235" t="s">
        <v>1100</v>
      </c>
      <c r="Q235" t="s">
        <v>1101</v>
      </c>
      <c r="S235" s="1">
        <v>45020.209027777775</v>
      </c>
      <c r="V235">
        <v>1954</v>
      </c>
      <c r="W235">
        <v>180.44</v>
      </c>
      <c r="X235">
        <v>7.7</v>
      </c>
      <c r="Y235" s="2">
        <v>2611000000000</v>
      </c>
      <c r="Z235">
        <v>28.1</v>
      </c>
      <c r="AA235">
        <v>113</v>
      </c>
      <c r="AB235">
        <v>11.2</v>
      </c>
      <c r="AC235">
        <v>49.7</v>
      </c>
      <c r="AD235">
        <v>1366417754</v>
      </c>
    </row>
    <row r="236" spans="1:30" hidden="1" x14ac:dyDescent="0.45">
      <c r="A236">
        <v>232</v>
      </c>
      <c r="B236">
        <v>8600</v>
      </c>
      <c r="C236" t="s">
        <v>45</v>
      </c>
      <c r="D236" t="s">
        <v>1102</v>
      </c>
      <c r="E236">
        <v>79</v>
      </c>
      <c r="F236" t="s">
        <v>194</v>
      </c>
      <c r="G236" t="s">
        <v>1103</v>
      </c>
      <c r="H236" t="s">
        <v>856</v>
      </c>
      <c r="I236" t="s">
        <v>45</v>
      </c>
      <c r="J236" t="s">
        <v>194</v>
      </c>
      <c r="L236" t="b">
        <v>1</v>
      </c>
      <c r="M236" t="s">
        <v>29</v>
      </c>
      <c r="N236" t="s">
        <v>8245</v>
      </c>
      <c r="O236" s="1">
        <v>16092</v>
      </c>
      <c r="P236" t="s">
        <v>1104</v>
      </c>
      <c r="Q236" t="s">
        <v>1105</v>
      </c>
      <c r="S236" s="1">
        <v>45020.209027777775</v>
      </c>
      <c r="V236">
        <v>1944</v>
      </c>
      <c r="W236">
        <v>112.85</v>
      </c>
      <c r="X236">
        <v>1.4</v>
      </c>
      <c r="Y236" s="2">
        <v>3845630030824</v>
      </c>
      <c r="Z236">
        <v>70.2</v>
      </c>
      <c r="AA236">
        <v>104</v>
      </c>
      <c r="AB236">
        <v>11.5</v>
      </c>
      <c r="AC236">
        <v>48.8</v>
      </c>
      <c r="AD236">
        <v>83132799</v>
      </c>
    </row>
    <row r="237" spans="1:30" hidden="1" x14ac:dyDescent="0.45">
      <c r="A237">
        <v>232</v>
      </c>
      <c r="B237">
        <v>8600</v>
      </c>
      <c r="C237" t="s">
        <v>126</v>
      </c>
      <c r="D237" t="s">
        <v>1106</v>
      </c>
      <c r="E237">
        <v>75</v>
      </c>
      <c r="F237" t="s">
        <v>205</v>
      </c>
      <c r="G237" t="s">
        <v>1107</v>
      </c>
      <c r="H237" t="s">
        <v>602</v>
      </c>
      <c r="I237" t="s">
        <v>126</v>
      </c>
      <c r="J237" t="s">
        <v>558</v>
      </c>
      <c r="L237" t="b">
        <v>1</v>
      </c>
      <c r="M237" t="s">
        <v>29</v>
      </c>
      <c r="N237" t="s">
        <v>8245</v>
      </c>
      <c r="O237" s="1">
        <v>17533</v>
      </c>
      <c r="P237" t="s">
        <v>1108</v>
      </c>
      <c r="Q237" t="s">
        <v>1109</v>
      </c>
      <c r="S237" s="1">
        <v>45020.209027777775</v>
      </c>
      <c r="V237">
        <v>1948</v>
      </c>
      <c r="W237">
        <v>99.55</v>
      </c>
      <c r="X237">
        <v>0.4</v>
      </c>
      <c r="Y237" s="2">
        <v>703082435360</v>
      </c>
      <c r="Z237">
        <v>59.6</v>
      </c>
      <c r="AA237">
        <v>105.2</v>
      </c>
      <c r="AB237">
        <v>10.1</v>
      </c>
      <c r="AC237">
        <v>28.8</v>
      </c>
      <c r="AD237">
        <v>8574832</v>
      </c>
    </row>
    <row r="238" spans="1:30" hidden="1" x14ac:dyDescent="0.45">
      <c r="A238">
        <v>232</v>
      </c>
      <c r="B238">
        <v>8600</v>
      </c>
      <c r="C238" t="s">
        <v>302</v>
      </c>
      <c r="D238" t="s">
        <v>1110</v>
      </c>
      <c r="E238">
        <v>73</v>
      </c>
      <c r="F238" t="s">
        <v>1111</v>
      </c>
      <c r="G238" t="s">
        <v>1112</v>
      </c>
      <c r="H238" t="s">
        <v>304</v>
      </c>
      <c r="I238" t="s">
        <v>302</v>
      </c>
      <c r="J238" t="s">
        <v>1111</v>
      </c>
      <c r="L238" t="b">
        <v>1</v>
      </c>
      <c r="M238" t="s">
        <v>29</v>
      </c>
      <c r="N238" t="s">
        <v>8245</v>
      </c>
      <c r="O238" s="1">
        <v>18245</v>
      </c>
      <c r="P238" t="s">
        <v>1113</v>
      </c>
      <c r="Q238" t="s">
        <v>1114</v>
      </c>
      <c r="S238" s="1">
        <v>45020.209027777775</v>
      </c>
      <c r="V238">
        <v>1949</v>
      </c>
      <c r="W238">
        <v>129.61000000000001</v>
      </c>
      <c r="X238">
        <v>2.5</v>
      </c>
      <c r="Y238" s="2">
        <v>376795508680</v>
      </c>
      <c r="Z238">
        <v>35.5</v>
      </c>
      <c r="AA238">
        <v>107.5</v>
      </c>
      <c r="AB238">
        <v>14</v>
      </c>
      <c r="AC238">
        <v>43.1</v>
      </c>
      <c r="AD238">
        <v>108116615</v>
      </c>
    </row>
    <row r="239" spans="1:30" x14ac:dyDescent="0.45">
      <c r="A239">
        <v>232</v>
      </c>
      <c r="B239" s="6">
        <v>8600</v>
      </c>
      <c r="C239" t="s">
        <v>45</v>
      </c>
      <c r="D239" t="s">
        <v>1115</v>
      </c>
      <c r="E239">
        <v>67</v>
      </c>
      <c r="F239" t="s">
        <v>35</v>
      </c>
      <c r="G239" t="s">
        <v>110</v>
      </c>
      <c r="H239" t="s">
        <v>111</v>
      </c>
      <c r="I239" t="s">
        <v>45</v>
      </c>
      <c r="J239" t="s">
        <v>194</v>
      </c>
      <c r="K239" t="s">
        <v>1116</v>
      </c>
      <c r="L239" t="b">
        <v>1</v>
      </c>
      <c r="M239" t="s">
        <v>39</v>
      </c>
      <c r="N239" t="s">
        <v>8245</v>
      </c>
      <c r="O239" s="10">
        <v>20362</v>
      </c>
      <c r="P239" t="s">
        <v>1117</v>
      </c>
      <c r="Q239" t="s">
        <v>774</v>
      </c>
      <c r="R239" t="s">
        <v>1118</v>
      </c>
      <c r="S239" s="8">
        <v>45020.209027777775</v>
      </c>
      <c r="T239" t="s">
        <v>115</v>
      </c>
      <c r="U239" t="s">
        <v>53</v>
      </c>
      <c r="V239">
        <v>1955</v>
      </c>
      <c r="W239" s="12">
        <v>117.24</v>
      </c>
      <c r="X239">
        <v>7.5</v>
      </c>
      <c r="Y239" s="14">
        <v>21427700000000</v>
      </c>
      <c r="Z239">
        <v>88.2</v>
      </c>
      <c r="AA239">
        <v>101.8</v>
      </c>
      <c r="AB239">
        <v>9.6</v>
      </c>
      <c r="AC239">
        <v>36.6</v>
      </c>
      <c r="AD239">
        <v>328239523</v>
      </c>
    </row>
    <row r="240" spans="1:30" x14ac:dyDescent="0.45">
      <c r="A240">
        <v>239</v>
      </c>
      <c r="B240" s="6">
        <v>8500</v>
      </c>
      <c r="C240" t="s">
        <v>61</v>
      </c>
      <c r="D240" t="s">
        <v>1119</v>
      </c>
      <c r="E240">
        <v>47</v>
      </c>
      <c r="F240" t="s">
        <v>35</v>
      </c>
      <c r="G240" t="s">
        <v>78</v>
      </c>
      <c r="H240" t="s">
        <v>317</v>
      </c>
      <c r="I240" t="s">
        <v>61</v>
      </c>
      <c r="J240" t="s">
        <v>35</v>
      </c>
      <c r="K240" t="s">
        <v>1120</v>
      </c>
      <c r="L240" t="b">
        <v>1</v>
      </c>
      <c r="M240" t="s">
        <v>39</v>
      </c>
      <c r="N240" t="s">
        <v>8245</v>
      </c>
      <c r="O240" s="10">
        <v>27566</v>
      </c>
      <c r="P240" t="s">
        <v>1121</v>
      </c>
      <c r="Q240" t="s">
        <v>1122</v>
      </c>
      <c r="R240" t="s">
        <v>688</v>
      </c>
      <c r="S240" s="8">
        <v>45020.209027777775</v>
      </c>
      <c r="T240" t="s">
        <v>78</v>
      </c>
      <c r="U240" t="s">
        <v>82</v>
      </c>
      <c r="V240">
        <v>1975</v>
      </c>
      <c r="W240" s="12">
        <v>117.24</v>
      </c>
      <c r="X240">
        <v>7.5</v>
      </c>
      <c r="Y240" s="14">
        <v>21427700000000</v>
      </c>
      <c r="Z240">
        <v>88.2</v>
      </c>
      <c r="AA240">
        <v>101.8</v>
      </c>
      <c r="AB240">
        <v>9.6</v>
      </c>
      <c r="AC240">
        <v>36.6</v>
      </c>
      <c r="AD240">
        <v>328239523</v>
      </c>
    </row>
    <row r="241" spans="1:30" hidden="1" x14ac:dyDescent="0.45">
      <c r="A241">
        <v>239</v>
      </c>
      <c r="B241">
        <v>8500</v>
      </c>
      <c r="C241" t="s">
        <v>23</v>
      </c>
      <c r="D241" t="s">
        <v>1123</v>
      </c>
      <c r="E241">
        <v>74</v>
      </c>
      <c r="F241" t="s">
        <v>35</v>
      </c>
      <c r="G241" t="s">
        <v>731</v>
      </c>
      <c r="H241" t="s">
        <v>150</v>
      </c>
      <c r="I241" t="s">
        <v>23</v>
      </c>
      <c r="J241" t="s">
        <v>35</v>
      </c>
      <c r="L241" t="b">
        <v>0</v>
      </c>
      <c r="M241" t="s">
        <v>39</v>
      </c>
      <c r="N241" t="s">
        <v>8246</v>
      </c>
      <c r="O241" s="1">
        <v>17885</v>
      </c>
      <c r="P241" t="s">
        <v>733</v>
      </c>
      <c r="Q241" t="s">
        <v>1124</v>
      </c>
      <c r="S241" s="1">
        <v>45020.209027777775</v>
      </c>
      <c r="T241" t="s">
        <v>43</v>
      </c>
      <c r="U241" t="s">
        <v>44</v>
      </c>
      <c r="V241">
        <v>1948</v>
      </c>
      <c r="W241">
        <v>117.24</v>
      </c>
      <c r="X241">
        <v>7.5</v>
      </c>
      <c r="Y241" s="2">
        <v>21427700000000</v>
      </c>
      <c r="Z241">
        <v>88.2</v>
      </c>
      <c r="AA241">
        <v>101.8</v>
      </c>
      <c r="AB241">
        <v>9.6</v>
      </c>
      <c r="AC241">
        <v>36.6</v>
      </c>
      <c r="AD241">
        <v>328239523</v>
      </c>
    </row>
    <row r="242" spans="1:30" hidden="1" x14ac:dyDescent="0.45">
      <c r="A242">
        <v>239</v>
      </c>
      <c r="B242">
        <v>8500</v>
      </c>
      <c r="C242" t="s">
        <v>296</v>
      </c>
      <c r="D242" t="s">
        <v>1125</v>
      </c>
      <c r="E242">
        <v>55</v>
      </c>
      <c r="F242" t="s">
        <v>128</v>
      </c>
      <c r="G242" t="s">
        <v>1126</v>
      </c>
      <c r="H242" t="s">
        <v>1127</v>
      </c>
      <c r="I242" t="s">
        <v>296</v>
      </c>
      <c r="J242" t="s">
        <v>128</v>
      </c>
      <c r="L242" t="b">
        <v>1</v>
      </c>
      <c r="M242" t="s">
        <v>39</v>
      </c>
      <c r="N242" t="s">
        <v>8245</v>
      </c>
      <c r="O242" s="1">
        <v>24838</v>
      </c>
      <c r="P242" t="s">
        <v>230</v>
      </c>
      <c r="Q242" t="s">
        <v>1128</v>
      </c>
      <c r="S242" s="1">
        <v>45020.209027777775</v>
      </c>
      <c r="V242">
        <v>1968</v>
      </c>
      <c r="W242">
        <v>125.08</v>
      </c>
      <c r="X242">
        <v>2.9</v>
      </c>
      <c r="Y242" s="2">
        <v>19910000000000</v>
      </c>
      <c r="Z242">
        <v>50.6</v>
      </c>
      <c r="AA242">
        <v>100.2</v>
      </c>
      <c r="AB242">
        <v>9.4</v>
      </c>
      <c r="AC242">
        <v>59.2</v>
      </c>
      <c r="AD242">
        <v>1397715000</v>
      </c>
    </row>
    <row r="243" spans="1:30" x14ac:dyDescent="0.45">
      <c r="A243">
        <v>242</v>
      </c>
      <c r="B243" s="6">
        <v>8400</v>
      </c>
      <c r="C243" t="s">
        <v>76</v>
      </c>
      <c r="D243" t="s">
        <v>1129</v>
      </c>
      <c r="E243">
        <v>75</v>
      </c>
      <c r="F243" t="s">
        <v>35</v>
      </c>
      <c r="G243" t="s">
        <v>1130</v>
      </c>
      <c r="H243" t="s">
        <v>1131</v>
      </c>
      <c r="I243" t="s">
        <v>76</v>
      </c>
      <c r="J243" t="s">
        <v>35</v>
      </c>
      <c r="K243" t="s">
        <v>1132</v>
      </c>
      <c r="L243" t="b">
        <v>0</v>
      </c>
      <c r="M243" t="s">
        <v>29</v>
      </c>
      <c r="N243" t="s">
        <v>8245</v>
      </c>
      <c r="O243" s="10">
        <v>17500</v>
      </c>
      <c r="P243" t="s">
        <v>1133</v>
      </c>
      <c r="Q243" t="s">
        <v>153</v>
      </c>
      <c r="R243" t="s">
        <v>451</v>
      </c>
      <c r="S243" s="8">
        <v>45020.209027777775</v>
      </c>
      <c r="T243" t="s">
        <v>1134</v>
      </c>
      <c r="U243" t="s">
        <v>44</v>
      </c>
      <c r="V243">
        <v>1947</v>
      </c>
      <c r="W243" s="12">
        <v>117.24</v>
      </c>
      <c r="X243">
        <v>7.5</v>
      </c>
      <c r="Y243" s="14">
        <v>21427700000000</v>
      </c>
      <c r="Z243">
        <v>88.2</v>
      </c>
      <c r="AA243">
        <v>101.8</v>
      </c>
      <c r="AB243">
        <v>9.6</v>
      </c>
      <c r="AC243">
        <v>36.6</v>
      </c>
      <c r="AD243">
        <v>328239523</v>
      </c>
    </row>
    <row r="244" spans="1:30" hidden="1" x14ac:dyDescent="0.45">
      <c r="A244">
        <v>242</v>
      </c>
      <c r="B244">
        <v>8400</v>
      </c>
      <c r="C244" t="s">
        <v>326</v>
      </c>
      <c r="D244" t="s">
        <v>1135</v>
      </c>
      <c r="E244">
        <v>77</v>
      </c>
      <c r="F244" t="s">
        <v>806</v>
      </c>
      <c r="G244" t="s">
        <v>1136</v>
      </c>
      <c r="H244" t="s">
        <v>1137</v>
      </c>
      <c r="I244" t="s">
        <v>326</v>
      </c>
      <c r="J244" t="s">
        <v>806</v>
      </c>
      <c r="L244" t="b">
        <v>0</v>
      </c>
      <c r="M244" t="s">
        <v>39</v>
      </c>
      <c r="N244" t="s">
        <v>8245</v>
      </c>
      <c r="O244" s="1">
        <v>16596</v>
      </c>
      <c r="P244" t="s">
        <v>1138</v>
      </c>
      <c r="Q244" t="s">
        <v>1139</v>
      </c>
      <c r="S244" s="1">
        <v>45020.209027777775</v>
      </c>
      <c r="V244">
        <v>1945</v>
      </c>
      <c r="W244">
        <v>158.93</v>
      </c>
      <c r="X244">
        <v>4.0999999999999996</v>
      </c>
      <c r="Y244" s="2">
        <v>351431649241</v>
      </c>
      <c r="Z244">
        <v>22.4</v>
      </c>
      <c r="AA244">
        <v>100.9</v>
      </c>
      <c r="AB244">
        <v>27.5</v>
      </c>
      <c r="AC244">
        <v>29.2</v>
      </c>
      <c r="AD244">
        <v>58558270</v>
      </c>
    </row>
    <row r="245" spans="1:30" hidden="1" x14ac:dyDescent="0.45">
      <c r="A245">
        <v>242</v>
      </c>
      <c r="B245">
        <v>8400</v>
      </c>
      <c r="C245" t="s">
        <v>76</v>
      </c>
      <c r="D245" t="s">
        <v>1140</v>
      </c>
      <c r="E245">
        <v>72</v>
      </c>
      <c r="F245" t="s">
        <v>328</v>
      </c>
      <c r="G245" t="s">
        <v>1141</v>
      </c>
      <c r="H245" t="s">
        <v>1131</v>
      </c>
      <c r="I245" t="s">
        <v>76</v>
      </c>
      <c r="J245" t="s">
        <v>35</v>
      </c>
      <c r="L245" t="b">
        <v>0</v>
      </c>
      <c r="M245" t="s">
        <v>29</v>
      </c>
      <c r="N245" t="s">
        <v>8246</v>
      </c>
      <c r="O245" s="1">
        <v>18404</v>
      </c>
      <c r="P245" t="s">
        <v>1142</v>
      </c>
      <c r="Q245" t="s">
        <v>1143</v>
      </c>
      <c r="S245" s="1">
        <v>45020.209027777775</v>
      </c>
      <c r="V245">
        <v>1950</v>
      </c>
      <c r="W245">
        <v>119.8</v>
      </c>
      <c r="X245">
        <v>1.6</v>
      </c>
      <c r="Y245" s="2">
        <v>1392680589329</v>
      </c>
      <c r="Z245">
        <v>113.1</v>
      </c>
      <c r="AA245">
        <v>100.3</v>
      </c>
      <c r="AB245">
        <v>23</v>
      </c>
      <c r="AC245">
        <v>47.4</v>
      </c>
      <c r="AD245">
        <v>25766605</v>
      </c>
    </row>
    <row r="246" spans="1:30" hidden="1" x14ac:dyDescent="0.45">
      <c r="A246">
        <v>242</v>
      </c>
      <c r="B246">
        <v>8400</v>
      </c>
      <c r="C246" t="s">
        <v>326</v>
      </c>
      <c r="D246" t="s">
        <v>1144</v>
      </c>
      <c r="E246">
        <v>77</v>
      </c>
      <c r="F246" t="s">
        <v>128</v>
      </c>
      <c r="G246" t="s">
        <v>1145</v>
      </c>
      <c r="H246" t="s">
        <v>1146</v>
      </c>
      <c r="I246" t="s">
        <v>326</v>
      </c>
      <c r="J246" t="s">
        <v>128</v>
      </c>
      <c r="L246" t="b">
        <v>0</v>
      </c>
      <c r="M246" t="s">
        <v>39</v>
      </c>
      <c r="N246" t="s">
        <v>8246</v>
      </c>
      <c r="O246" s="1">
        <v>16803</v>
      </c>
      <c r="P246" t="s">
        <v>1147</v>
      </c>
      <c r="Q246" t="s">
        <v>1148</v>
      </c>
      <c r="S246" s="1">
        <v>45020.209027777775</v>
      </c>
      <c r="V246">
        <v>1946</v>
      </c>
      <c r="W246">
        <v>125.08</v>
      </c>
      <c r="X246">
        <v>2.9</v>
      </c>
      <c r="Y246" s="2">
        <v>19910000000000</v>
      </c>
      <c r="Z246">
        <v>50.6</v>
      </c>
      <c r="AA246">
        <v>100.2</v>
      </c>
      <c r="AB246">
        <v>9.4</v>
      </c>
      <c r="AC246">
        <v>59.2</v>
      </c>
      <c r="AD246">
        <v>1397715000</v>
      </c>
    </row>
    <row r="247" spans="1:30" hidden="1" x14ac:dyDescent="0.45">
      <c r="A247">
        <v>246</v>
      </c>
      <c r="B247">
        <v>8300</v>
      </c>
      <c r="C247" t="s">
        <v>23</v>
      </c>
      <c r="D247" t="s">
        <v>1149</v>
      </c>
      <c r="E247">
        <v>75</v>
      </c>
      <c r="F247" t="s">
        <v>35</v>
      </c>
      <c r="G247" t="s">
        <v>1150</v>
      </c>
      <c r="H247" t="s">
        <v>1151</v>
      </c>
      <c r="I247" t="s">
        <v>23</v>
      </c>
      <c r="J247" t="s">
        <v>35</v>
      </c>
      <c r="L247" t="b">
        <v>1</v>
      </c>
      <c r="M247" t="s">
        <v>29</v>
      </c>
      <c r="N247" t="s">
        <v>8245</v>
      </c>
      <c r="O247" s="1">
        <v>17611</v>
      </c>
      <c r="P247" t="s">
        <v>1152</v>
      </c>
      <c r="Q247" t="s">
        <v>225</v>
      </c>
      <c r="S247" s="1">
        <v>45020.209027777775</v>
      </c>
      <c r="T247" t="s">
        <v>1153</v>
      </c>
      <c r="U247" t="s">
        <v>69</v>
      </c>
      <c r="V247">
        <v>1948</v>
      </c>
      <c r="W247">
        <v>117.24</v>
      </c>
      <c r="X247">
        <v>7.5</v>
      </c>
      <c r="Y247" s="2">
        <v>21427700000000</v>
      </c>
      <c r="Z247">
        <v>88.2</v>
      </c>
      <c r="AA247">
        <v>101.8</v>
      </c>
      <c r="AB247">
        <v>9.6</v>
      </c>
      <c r="AC247">
        <v>36.6</v>
      </c>
      <c r="AD247">
        <v>328239523</v>
      </c>
    </row>
    <row r="248" spans="1:30" hidden="1" x14ac:dyDescent="0.45">
      <c r="A248">
        <v>246</v>
      </c>
      <c r="B248">
        <v>8300</v>
      </c>
      <c r="C248" t="s">
        <v>23</v>
      </c>
      <c r="D248" t="s">
        <v>1154</v>
      </c>
      <c r="E248">
        <v>81</v>
      </c>
      <c r="F248" t="s">
        <v>487</v>
      </c>
      <c r="G248" t="s">
        <v>488</v>
      </c>
      <c r="H248" t="s">
        <v>1155</v>
      </c>
      <c r="I248" t="s">
        <v>23</v>
      </c>
      <c r="J248" t="s">
        <v>487</v>
      </c>
      <c r="L248" t="b">
        <v>0</v>
      </c>
      <c r="M248" t="s">
        <v>39</v>
      </c>
      <c r="N248" t="s">
        <v>8245</v>
      </c>
      <c r="O248" s="1">
        <v>15131</v>
      </c>
      <c r="P248" t="s">
        <v>1156</v>
      </c>
      <c r="Q248" t="s">
        <v>1157</v>
      </c>
      <c r="S248" s="1">
        <v>45020.209027777775</v>
      </c>
      <c r="V248">
        <v>1941</v>
      </c>
      <c r="W248"/>
      <c r="Y248" s="2">
        <v>7184844193</v>
      </c>
      <c r="AD248">
        <v>38964</v>
      </c>
    </row>
    <row r="249" spans="1:30" hidden="1" x14ac:dyDescent="0.45">
      <c r="A249">
        <v>246</v>
      </c>
      <c r="B249">
        <v>8300</v>
      </c>
      <c r="C249" t="s">
        <v>61</v>
      </c>
      <c r="D249" t="s">
        <v>1158</v>
      </c>
      <c r="F249" t="s">
        <v>205</v>
      </c>
      <c r="G249" t="s">
        <v>1159</v>
      </c>
      <c r="H249" t="s">
        <v>317</v>
      </c>
      <c r="I249" t="s">
        <v>61</v>
      </c>
      <c r="J249" t="s">
        <v>194</v>
      </c>
      <c r="L249" t="b">
        <v>0</v>
      </c>
      <c r="M249" t="s">
        <v>39</v>
      </c>
      <c r="N249" t="s">
        <v>8246</v>
      </c>
      <c r="O249"/>
      <c r="P249" t="s">
        <v>1160</v>
      </c>
      <c r="Q249" t="s">
        <v>1161</v>
      </c>
      <c r="S249" s="1">
        <v>45020.209027777775</v>
      </c>
      <c r="W249">
        <v>99.55</v>
      </c>
      <c r="X249">
        <v>0.4</v>
      </c>
      <c r="Y249" s="2">
        <v>703082435360</v>
      </c>
      <c r="Z249">
        <v>59.6</v>
      </c>
      <c r="AA249">
        <v>105.2</v>
      </c>
      <c r="AB249">
        <v>10.1</v>
      </c>
      <c r="AC249">
        <v>28.8</v>
      </c>
      <c r="AD249">
        <v>8574832</v>
      </c>
    </row>
    <row r="250" spans="1:30" hidden="1" x14ac:dyDescent="0.45">
      <c r="A250">
        <v>249</v>
      </c>
      <c r="B250">
        <v>8200</v>
      </c>
      <c r="C250" t="s">
        <v>302</v>
      </c>
      <c r="D250" t="s">
        <v>1162</v>
      </c>
      <c r="E250">
        <v>75</v>
      </c>
      <c r="F250" t="s">
        <v>228</v>
      </c>
      <c r="G250" t="s">
        <v>228</v>
      </c>
      <c r="H250" t="s">
        <v>304</v>
      </c>
      <c r="I250" t="s">
        <v>302</v>
      </c>
      <c r="J250" t="s">
        <v>228</v>
      </c>
      <c r="L250" t="b">
        <v>1</v>
      </c>
      <c r="M250" t="s">
        <v>29</v>
      </c>
      <c r="N250" t="s">
        <v>8245</v>
      </c>
      <c r="O250" s="1">
        <v>17428</v>
      </c>
      <c r="P250" t="s">
        <v>1163</v>
      </c>
      <c r="Q250" t="s">
        <v>1164</v>
      </c>
      <c r="S250" s="1">
        <v>45020.209027777775</v>
      </c>
      <c r="V250">
        <v>1947</v>
      </c>
      <c r="W250"/>
      <c r="Y250"/>
    </row>
    <row r="251" spans="1:30" hidden="1" x14ac:dyDescent="0.45">
      <c r="A251">
        <v>249</v>
      </c>
      <c r="B251">
        <v>8200</v>
      </c>
      <c r="C251" t="s">
        <v>347</v>
      </c>
      <c r="D251" t="s">
        <v>1165</v>
      </c>
      <c r="E251">
        <v>61</v>
      </c>
      <c r="F251" t="s">
        <v>363</v>
      </c>
      <c r="G251" t="s">
        <v>381</v>
      </c>
      <c r="H251" t="s">
        <v>736</v>
      </c>
      <c r="I251" t="s">
        <v>347</v>
      </c>
      <c r="J251" t="s">
        <v>363</v>
      </c>
      <c r="L251" t="b">
        <v>1</v>
      </c>
      <c r="M251" t="s">
        <v>29</v>
      </c>
      <c r="N251" t="s">
        <v>8245</v>
      </c>
      <c r="O251" s="1">
        <v>22578</v>
      </c>
      <c r="P251" t="s">
        <v>753</v>
      </c>
      <c r="Q251" t="s">
        <v>1166</v>
      </c>
      <c r="S251" s="1">
        <v>45020.209027777775</v>
      </c>
      <c r="V251">
        <v>1961</v>
      </c>
      <c r="W251">
        <v>180.75</v>
      </c>
      <c r="X251">
        <v>4.5</v>
      </c>
      <c r="Y251" s="2">
        <v>1699876578871</v>
      </c>
      <c r="Z251">
        <v>81.900000000000006</v>
      </c>
      <c r="AA251">
        <v>102.6</v>
      </c>
      <c r="AB251">
        <v>11.4</v>
      </c>
      <c r="AC251">
        <v>46.2</v>
      </c>
      <c r="AD251">
        <v>144373535</v>
      </c>
    </row>
    <row r="252" spans="1:30" hidden="1" x14ac:dyDescent="0.45">
      <c r="A252">
        <v>249</v>
      </c>
      <c r="B252">
        <v>8200</v>
      </c>
      <c r="C252" t="s">
        <v>91</v>
      </c>
      <c r="D252" t="s">
        <v>1167</v>
      </c>
      <c r="E252">
        <v>62</v>
      </c>
      <c r="F252" t="s">
        <v>667</v>
      </c>
      <c r="G252" t="s">
        <v>668</v>
      </c>
      <c r="H252" t="s">
        <v>669</v>
      </c>
      <c r="I252" t="s">
        <v>91</v>
      </c>
      <c r="J252" t="s">
        <v>667</v>
      </c>
      <c r="L252" t="b">
        <v>0</v>
      </c>
      <c r="M252" t="s">
        <v>29</v>
      </c>
      <c r="N252" t="s">
        <v>8245</v>
      </c>
      <c r="O252" s="1">
        <v>22132</v>
      </c>
      <c r="P252" t="s">
        <v>1168</v>
      </c>
      <c r="Q252" t="s">
        <v>1169</v>
      </c>
      <c r="S252" s="1">
        <v>45020.209027777775</v>
      </c>
      <c r="V252">
        <v>1960</v>
      </c>
      <c r="W252">
        <v>267.51</v>
      </c>
      <c r="X252">
        <v>11.4</v>
      </c>
      <c r="Y252" s="2">
        <v>448120428859</v>
      </c>
      <c r="Z252">
        <v>10.199999999999999</v>
      </c>
      <c r="AA252">
        <v>84.7</v>
      </c>
      <c r="AB252">
        <v>1.5</v>
      </c>
      <c r="AC252">
        <v>34.799999999999997</v>
      </c>
      <c r="AD252">
        <v>200963599</v>
      </c>
    </row>
    <row r="253" spans="1:30" hidden="1" x14ac:dyDescent="0.45">
      <c r="A253">
        <v>249</v>
      </c>
      <c r="B253">
        <v>8200</v>
      </c>
      <c r="C253" t="s">
        <v>61</v>
      </c>
      <c r="D253" t="s">
        <v>1170</v>
      </c>
      <c r="E253">
        <v>79</v>
      </c>
      <c r="F253" t="s">
        <v>35</v>
      </c>
      <c r="G253" t="s">
        <v>583</v>
      </c>
      <c r="H253" t="s">
        <v>930</v>
      </c>
      <c r="I253" t="s">
        <v>61</v>
      </c>
      <c r="J253" t="s">
        <v>35</v>
      </c>
      <c r="L253" t="b">
        <v>1</v>
      </c>
      <c r="M253" t="s">
        <v>29</v>
      </c>
      <c r="N253" t="s">
        <v>8245</v>
      </c>
      <c r="O253" s="1">
        <v>15963</v>
      </c>
      <c r="P253" t="s">
        <v>1171</v>
      </c>
      <c r="Q253" t="s">
        <v>714</v>
      </c>
      <c r="S253" s="1">
        <v>45020.209027777775</v>
      </c>
      <c r="T253" t="s">
        <v>115</v>
      </c>
      <c r="U253" t="s">
        <v>53</v>
      </c>
      <c r="V253">
        <v>1943</v>
      </c>
      <c r="W253">
        <v>117.24</v>
      </c>
      <c r="X253">
        <v>7.5</v>
      </c>
      <c r="Y253" s="2">
        <v>21427700000000</v>
      </c>
      <c r="Z253">
        <v>88.2</v>
      </c>
      <c r="AA253">
        <v>101.8</v>
      </c>
      <c r="AB253">
        <v>9.6</v>
      </c>
      <c r="AC253">
        <v>36.6</v>
      </c>
      <c r="AD253">
        <v>328239523</v>
      </c>
    </row>
    <row r="254" spans="1:30" hidden="1" x14ac:dyDescent="0.45">
      <c r="A254">
        <v>249</v>
      </c>
      <c r="B254">
        <v>8200</v>
      </c>
      <c r="C254" t="s">
        <v>302</v>
      </c>
      <c r="D254" t="s">
        <v>1172</v>
      </c>
      <c r="E254">
        <v>91</v>
      </c>
      <c r="F254" t="s">
        <v>93</v>
      </c>
      <c r="G254" t="s">
        <v>343</v>
      </c>
      <c r="H254" t="s">
        <v>304</v>
      </c>
      <c r="I254" t="s">
        <v>302</v>
      </c>
      <c r="J254" t="s">
        <v>93</v>
      </c>
      <c r="L254" t="b">
        <v>0</v>
      </c>
      <c r="M254" t="s">
        <v>39</v>
      </c>
      <c r="N254" t="s">
        <v>8245</v>
      </c>
      <c r="O254" s="1">
        <v>11550</v>
      </c>
      <c r="P254" t="s">
        <v>1173</v>
      </c>
      <c r="Q254" t="s">
        <v>1174</v>
      </c>
      <c r="S254" s="1">
        <v>45020.209027777775</v>
      </c>
      <c r="V254">
        <v>1931</v>
      </c>
      <c r="W254">
        <v>180.44</v>
      </c>
      <c r="X254">
        <v>7.7</v>
      </c>
      <c r="Y254" s="2">
        <v>2611000000000</v>
      </c>
      <c r="Z254">
        <v>28.1</v>
      </c>
      <c r="AA254">
        <v>113</v>
      </c>
      <c r="AB254">
        <v>11.2</v>
      </c>
      <c r="AC254">
        <v>49.7</v>
      </c>
      <c r="AD254">
        <v>1366417754</v>
      </c>
    </row>
    <row r="255" spans="1:30" hidden="1" x14ac:dyDescent="0.45">
      <c r="A255">
        <v>249</v>
      </c>
      <c r="B255">
        <v>8200</v>
      </c>
      <c r="C255" t="s">
        <v>302</v>
      </c>
      <c r="D255" t="s">
        <v>1175</v>
      </c>
      <c r="E255">
        <v>68</v>
      </c>
      <c r="F255" t="s">
        <v>128</v>
      </c>
      <c r="G255" t="s">
        <v>187</v>
      </c>
      <c r="H255" t="s">
        <v>304</v>
      </c>
      <c r="I255" t="s">
        <v>302</v>
      </c>
      <c r="J255" t="s">
        <v>128</v>
      </c>
      <c r="K255" t="s">
        <v>1176</v>
      </c>
      <c r="L255" t="b">
        <v>1</v>
      </c>
      <c r="M255" t="s">
        <v>39</v>
      </c>
      <c r="N255" t="s">
        <v>8245</v>
      </c>
      <c r="O255" s="1">
        <v>19998</v>
      </c>
      <c r="P255" t="s">
        <v>439</v>
      </c>
      <c r="Q255" t="s">
        <v>1177</v>
      </c>
      <c r="R255" t="s">
        <v>170</v>
      </c>
      <c r="S255" s="1">
        <v>45020.209027777775</v>
      </c>
      <c r="V255">
        <v>1954</v>
      </c>
      <c r="W255">
        <v>125.08</v>
      </c>
      <c r="X255">
        <v>2.9</v>
      </c>
      <c r="Y255" s="2">
        <v>19910000000000</v>
      </c>
      <c r="Z255">
        <v>50.6</v>
      </c>
      <c r="AA255">
        <v>100.2</v>
      </c>
      <c r="AB255">
        <v>9.4</v>
      </c>
      <c r="AC255">
        <v>59.2</v>
      </c>
      <c r="AD255">
        <v>1397715000</v>
      </c>
    </row>
    <row r="256" spans="1:30" hidden="1" x14ac:dyDescent="0.45">
      <c r="A256">
        <v>249</v>
      </c>
      <c r="B256">
        <v>8200</v>
      </c>
      <c r="C256" t="s">
        <v>302</v>
      </c>
      <c r="D256" t="s">
        <v>1178</v>
      </c>
      <c r="E256">
        <v>41</v>
      </c>
      <c r="F256" t="s">
        <v>128</v>
      </c>
      <c r="G256" t="s">
        <v>388</v>
      </c>
      <c r="H256" t="s">
        <v>304</v>
      </c>
      <c r="I256" t="s">
        <v>302</v>
      </c>
      <c r="J256" t="s">
        <v>128</v>
      </c>
      <c r="L256" t="b">
        <v>0</v>
      </c>
      <c r="M256" t="s">
        <v>39</v>
      </c>
      <c r="N256" t="s">
        <v>8246</v>
      </c>
      <c r="O256" s="1">
        <v>29856</v>
      </c>
      <c r="P256" t="s">
        <v>1179</v>
      </c>
      <c r="Q256" t="s">
        <v>1180</v>
      </c>
      <c r="S256" s="1">
        <v>45020.209027777775</v>
      </c>
      <c r="V256">
        <v>1981</v>
      </c>
      <c r="W256">
        <v>125.08</v>
      </c>
      <c r="X256">
        <v>2.9</v>
      </c>
      <c r="Y256" s="2">
        <v>19910000000000</v>
      </c>
      <c r="Z256">
        <v>50.6</v>
      </c>
      <c r="AA256">
        <v>100.2</v>
      </c>
      <c r="AB256">
        <v>9.4</v>
      </c>
      <c r="AC256">
        <v>59.2</v>
      </c>
      <c r="AD256">
        <v>1397715000</v>
      </c>
    </row>
    <row r="257" spans="1:30" hidden="1" x14ac:dyDescent="0.45">
      <c r="A257">
        <v>256</v>
      </c>
      <c r="B257">
        <v>8100</v>
      </c>
      <c r="C257" t="s">
        <v>91</v>
      </c>
      <c r="D257" t="s">
        <v>1181</v>
      </c>
      <c r="E257">
        <v>69</v>
      </c>
      <c r="F257" t="s">
        <v>25</v>
      </c>
      <c r="G257" t="s">
        <v>26</v>
      </c>
      <c r="H257" t="s">
        <v>91</v>
      </c>
      <c r="I257" t="s">
        <v>91</v>
      </c>
      <c r="J257" t="s">
        <v>25</v>
      </c>
      <c r="L257" t="b">
        <v>0</v>
      </c>
      <c r="M257" t="s">
        <v>39</v>
      </c>
      <c r="N257" t="s">
        <v>8245</v>
      </c>
      <c r="O257" s="1">
        <v>19547</v>
      </c>
      <c r="P257" t="s">
        <v>1182</v>
      </c>
      <c r="Q257" t="s">
        <v>1183</v>
      </c>
      <c r="S257" s="1">
        <v>45020.209027777775</v>
      </c>
      <c r="V257">
        <v>1953</v>
      </c>
      <c r="W257">
        <v>110.05</v>
      </c>
      <c r="X257">
        <v>1.1000000000000001</v>
      </c>
      <c r="Y257" s="2">
        <v>2715518274227</v>
      </c>
      <c r="Z257">
        <v>65.599999999999994</v>
      </c>
      <c r="AA257">
        <v>102.5</v>
      </c>
      <c r="AB257">
        <v>24.2</v>
      </c>
      <c r="AC257">
        <v>60.7</v>
      </c>
      <c r="AD257">
        <v>67059887</v>
      </c>
    </row>
    <row r="258" spans="1:30" hidden="1" x14ac:dyDescent="0.45">
      <c r="A258">
        <v>256</v>
      </c>
      <c r="B258">
        <v>8100</v>
      </c>
      <c r="C258" t="s">
        <v>91</v>
      </c>
      <c r="D258" t="s">
        <v>1184</v>
      </c>
      <c r="E258">
        <v>66</v>
      </c>
      <c r="F258" t="s">
        <v>25</v>
      </c>
      <c r="G258" t="s">
        <v>26</v>
      </c>
      <c r="H258" t="s">
        <v>91</v>
      </c>
      <c r="I258" t="s">
        <v>91</v>
      </c>
      <c r="J258" t="s">
        <v>25</v>
      </c>
      <c r="L258" t="b">
        <v>0</v>
      </c>
      <c r="M258" t="s">
        <v>39</v>
      </c>
      <c r="N258" t="s">
        <v>8245</v>
      </c>
      <c r="O258" s="1">
        <v>20905</v>
      </c>
      <c r="P258" t="s">
        <v>1182</v>
      </c>
      <c r="Q258" t="s">
        <v>1185</v>
      </c>
      <c r="S258" s="1">
        <v>45020.209027777775</v>
      </c>
      <c r="V258">
        <v>1957</v>
      </c>
      <c r="W258">
        <v>110.05</v>
      </c>
      <c r="X258">
        <v>1.1000000000000001</v>
      </c>
      <c r="Y258" s="2">
        <v>2715518274227</v>
      </c>
      <c r="Z258">
        <v>65.599999999999994</v>
      </c>
      <c r="AA258">
        <v>102.5</v>
      </c>
      <c r="AB258">
        <v>24.2</v>
      </c>
      <c r="AC258">
        <v>60.7</v>
      </c>
      <c r="AD258">
        <v>67059887</v>
      </c>
    </row>
    <row r="259" spans="1:30" x14ac:dyDescent="0.45">
      <c r="A259">
        <v>256</v>
      </c>
      <c r="B259" s="6">
        <v>8100</v>
      </c>
      <c r="C259" t="s">
        <v>126</v>
      </c>
      <c r="D259" t="s">
        <v>1186</v>
      </c>
      <c r="E259">
        <v>65</v>
      </c>
      <c r="F259" t="s">
        <v>35</v>
      </c>
      <c r="G259" t="s">
        <v>870</v>
      </c>
      <c r="H259" t="s">
        <v>1187</v>
      </c>
      <c r="I259" t="s">
        <v>126</v>
      </c>
      <c r="J259" t="s">
        <v>35</v>
      </c>
      <c r="K259" t="s">
        <v>1188</v>
      </c>
      <c r="L259" t="b">
        <v>1</v>
      </c>
      <c r="M259" t="s">
        <v>29</v>
      </c>
      <c r="N259" t="s">
        <v>8245</v>
      </c>
      <c r="O259" s="10">
        <v>20996</v>
      </c>
      <c r="P259" t="s">
        <v>1189</v>
      </c>
      <c r="Q259" t="s">
        <v>1190</v>
      </c>
      <c r="R259" t="s">
        <v>32</v>
      </c>
      <c r="S259" s="8">
        <v>45020.209027777775</v>
      </c>
      <c r="T259" t="s">
        <v>43</v>
      </c>
      <c r="U259" t="s">
        <v>44</v>
      </c>
      <c r="V259">
        <v>1957</v>
      </c>
      <c r="W259" s="12">
        <v>117.24</v>
      </c>
      <c r="X259">
        <v>7.5</v>
      </c>
      <c r="Y259" s="14">
        <v>21427700000000</v>
      </c>
      <c r="Z259">
        <v>88.2</v>
      </c>
      <c r="AA259">
        <v>101.8</v>
      </c>
      <c r="AB259">
        <v>9.6</v>
      </c>
      <c r="AC259">
        <v>36.6</v>
      </c>
      <c r="AD259">
        <v>328239523</v>
      </c>
    </row>
    <row r="260" spans="1:30" hidden="1" x14ac:dyDescent="0.45">
      <c r="A260">
        <v>256</v>
      </c>
      <c r="B260">
        <v>8100</v>
      </c>
      <c r="C260" t="s">
        <v>91</v>
      </c>
      <c r="D260" t="s">
        <v>1191</v>
      </c>
      <c r="E260">
        <v>58</v>
      </c>
      <c r="F260" t="s">
        <v>25</v>
      </c>
      <c r="G260" t="s">
        <v>26</v>
      </c>
      <c r="H260" t="s">
        <v>91</v>
      </c>
      <c r="I260" t="s">
        <v>91</v>
      </c>
      <c r="J260" t="s">
        <v>25</v>
      </c>
      <c r="L260" t="b">
        <v>0</v>
      </c>
      <c r="M260" t="s">
        <v>39</v>
      </c>
      <c r="N260" t="s">
        <v>8246</v>
      </c>
      <c r="O260" s="1">
        <v>23836</v>
      </c>
      <c r="P260" t="s">
        <v>1192</v>
      </c>
      <c r="Q260" t="s">
        <v>1193</v>
      </c>
      <c r="S260" s="1">
        <v>45020.209027777775</v>
      </c>
      <c r="V260">
        <v>1965</v>
      </c>
      <c r="W260">
        <v>110.05</v>
      </c>
      <c r="X260">
        <v>1.1000000000000001</v>
      </c>
      <c r="Y260" s="2">
        <v>2715518274227</v>
      </c>
      <c r="Z260">
        <v>65.599999999999994</v>
      </c>
      <c r="AA260">
        <v>102.5</v>
      </c>
      <c r="AB260">
        <v>24.2</v>
      </c>
      <c r="AC260">
        <v>60.7</v>
      </c>
      <c r="AD260">
        <v>67059887</v>
      </c>
    </row>
    <row r="261" spans="1:30" hidden="1" x14ac:dyDescent="0.45">
      <c r="A261">
        <v>256</v>
      </c>
      <c r="B261">
        <v>8100</v>
      </c>
      <c r="C261" t="s">
        <v>239</v>
      </c>
      <c r="D261" t="s">
        <v>1194</v>
      </c>
      <c r="E261">
        <v>54</v>
      </c>
      <c r="F261" t="s">
        <v>205</v>
      </c>
      <c r="G261" t="s">
        <v>1195</v>
      </c>
      <c r="H261" t="s">
        <v>1196</v>
      </c>
      <c r="I261" t="s">
        <v>239</v>
      </c>
      <c r="J261" t="s">
        <v>567</v>
      </c>
      <c r="L261" t="b">
        <v>1</v>
      </c>
      <c r="M261" t="s">
        <v>29</v>
      </c>
      <c r="N261" t="s">
        <v>8245</v>
      </c>
      <c r="O261" s="1">
        <v>25277</v>
      </c>
      <c r="P261" t="s">
        <v>1197</v>
      </c>
      <c r="Q261" t="s">
        <v>1198</v>
      </c>
      <c r="S261" s="1">
        <v>45020.209027777775</v>
      </c>
      <c r="V261">
        <v>1969</v>
      </c>
      <c r="W261">
        <v>99.55</v>
      </c>
      <c r="X261">
        <v>0.4</v>
      </c>
      <c r="Y261" s="2">
        <v>703082435360</v>
      </c>
      <c r="Z261">
        <v>59.6</v>
      </c>
      <c r="AA261">
        <v>105.2</v>
      </c>
      <c r="AB261">
        <v>10.1</v>
      </c>
      <c r="AC261">
        <v>28.8</v>
      </c>
      <c r="AD261">
        <v>8574832</v>
      </c>
    </row>
    <row r="262" spans="1:30" hidden="1" x14ac:dyDescent="0.45">
      <c r="A262">
        <v>261</v>
      </c>
      <c r="B262">
        <v>8000</v>
      </c>
      <c r="C262" t="s">
        <v>45</v>
      </c>
      <c r="D262" t="s">
        <v>1199</v>
      </c>
      <c r="E262">
        <v>39</v>
      </c>
      <c r="F262" t="s">
        <v>35</v>
      </c>
      <c r="G262" t="s">
        <v>991</v>
      </c>
      <c r="H262" t="s">
        <v>992</v>
      </c>
      <c r="I262" t="s">
        <v>45</v>
      </c>
      <c r="J262" t="s">
        <v>35</v>
      </c>
      <c r="L262" t="b">
        <v>1</v>
      </c>
      <c r="M262" t="s">
        <v>39</v>
      </c>
      <c r="N262" t="s">
        <v>8245</v>
      </c>
      <c r="O262" s="1">
        <v>30478</v>
      </c>
      <c r="P262" t="s">
        <v>1200</v>
      </c>
      <c r="Q262" t="s">
        <v>1201</v>
      </c>
      <c r="S262" s="1">
        <v>45020.209027777775</v>
      </c>
      <c r="T262" t="s">
        <v>115</v>
      </c>
      <c r="U262" t="s">
        <v>53</v>
      </c>
      <c r="V262">
        <v>1983</v>
      </c>
      <c r="W262">
        <v>117.24</v>
      </c>
      <c r="X262">
        <v>7.5</v>
      </c>
      <c r="Y262" s="2">
        <v>21427700000000</v>
      </c>
      <c r="Z262">
        <v>88.2</v>
      </c>
      <c r="AA262">
        <v>101.8</v>
      </c>
      <c r="AB262">
        <v>9.6</v>
      </c>
      <c r="AC262">
        <v>36.6</v>
      </c>
      <c r="AD262">
        <v>328239523</v>
      </c>
    </row>
    <row r="263" spans="1:30" hidden="1" x14ac:dyDescent="0.45">
      <c r="A263">
        <v>261</v>
      </c>
      <c r="B263">
        <v>8000</v>
      </c>
      <c r="C263" t="s">
        <v>347</v>
      </c>
      <c r="D263" t="s">
        <v>1202</v>
      </c>
      <c r="E263">
        <v>66</v>
      </c>
      <c r="F263" t="s">
        <v>363</v>
      </c>
      <c r="G263" t="s">
        <v>381</v>
      </c>
      <c r="H263" t="s">
        <v>462</v>
      </c>
      <c r="I263" t="s">
        <v>347</v>
      </c>
      <c r="J263" t="s">
        <v>363</v>
      </c>
      <c r="L263" t="b">
        <v>1</v>
      </c>
      <c r="M263" t="s">
        <v>29</v>
      </c>
      <c r="N263" t="s">
        <v>8245</v>
      </c>
      <c r="O263" s="1">
        <v>20550</v>
      </c>
      <c r="P263" t="s">
        <v>1203</v>
      </c>
      <c r="Q263" t="s">
        <v>431</v>
      </c>
      <c r="S263" s="1">
        <v>45020.209027777775</v>
      </c>
      <c r="V263">
        <v>1956</v>
      </c>
      <c r="W263">
        <v>180.75</v>
      </c>
      <c r="X263">
        <v>4.5</v>
      </c>
      <c r="Y263" s="2">
        <v>1699876578871</v>
      </c>
      <c r="Z263">
        <v>81.900000000000006</v>
      </c>
      <c r="AA263">
        <v>102.6</v>
      </c>
      <c r="AB263">
        <v>11.4</v>
      </c>
      <c r="AC263">
        <v>46.2</v>
      </c>
      <c r="AD263">
        <v>144373535</v>
      </c>
    </row>
    <row r="264" spans="1:30" x14ac:dyDescent="0.45">
      <c r="A264">
        <v>261</v>
      </c>
      <c r="B264" s="6">
        <v>8000</v>
      </c>
      <c r="C264" t="s">
        <v>23</v>
      </c>
      <c r="D264" t="s">
        <v>1204</v>
      </c>
      <c r="E264">
        <v>93</v>
      </c>
      <c r="F264" t="s">
        <v>35</v>
      </c>
      <c r="G264" t="s">
        <v>1130</v>
      </c>
      <c r="H264" t="s">
        <v>1205</v>
      </c>
      <c r="I264" t="s">
        <v>23</v>
      </c>
      <c r="J264" t="s">
        <v>35</v>
      </c>
      <c r="K264" t="s">
        <v>1205</v>
      </c>
      <c r="L264" t="b">
        <v>1</v>
      </c>
      <c r="M264" t="s">
        <v>39</v>
      </c>
      <c r="N264" t="s">
        <v>8245</v>
      </c>
      <c r="O264" s="10">
        <v>10725</v>
      </c>
      <c r="P264" t="s">
        <v>1206</v>
      </c>
      <c r="Q264" t="s">
        <v>31</v>
      </c>
      <c r="R264" t="s">
        <v>1207</v>
      </c>
      <c r="S264" s="8">
        <v>45020.209027777775</v>
      </c>
      <c r="T264" t="s">
        <v>1134</v>
      </c>
      <c r="U264" t="s">
        <v>44</v>
      </c>
      <c r="V264">
        <v>1929</v>
      </c>
      <c r="W264" s="12">
        <v>117.24</v>
      </c>
      <c r="X264">
        <v>7.5</v>
      </c>
      <c r="Y264" s="14">
        <v>21427700000000</v>
      </c>
      <c r="Z264">
        <v>88.2</v>
      </c>
      <c r="AA264">
        <v>101.8</v>
      </c>
      <c r="AB264">
        <v>9.6</v>
      </c>
      <c r="AC264">
        <v>36.6</v>
      </c>
      <c r="AD264">
        <v>328239523</v>
      </c>
    </row>
    <row r="265" spans="1:30" x14ac:dyDescent="0.45">
      <c r="A265">
        <v>261</v>
      </c>
      <c r="B265" s="6">
        <v>8000</v>
      </c>
      <c r="C265" t="s">
        <v>61</v>
      </c>
      <c r="D265" t="s">
        <v>1208</v>
      </c>
      <c r="E265">
        <v>85</v>
      </c>
      <c r="F265" t="s">
        <v>35</v>
      </c>
      <c r="G265" t="s">
        <v>1209</v>
      </c>
      <c r="H265" t="s">
        <v>1210</v>
      </c>
      <c r="I265" t="s">
        <v>61</v>
      </c>
      <c r="J265" t="s">
        <v>35</v>
      </c>
      <c r="K265" t="s">
        <v>1211</v>
      </c>
      <c r="L265" t="b">
        <v>1</v>
      </c>
      <c r="M265" t="s">
        <v>611</v>
      </c>
      <c r="N265" t="s">
        <v>8245</v>
      </c>
      <c r="O265" s="10">
        <v>13650</v>
      </c>
      <c r="P265" t="s">
        <v>1212</v>
      </c>
      <c r="Q265" t="s">
        <v>1213</v>
      </c>
      <c r="R265" t="s">
        <v>32</v>
      </c>
      <c r="S265" s="8">
        <v>45020.209027777775</v>
      </c>
      <c r="T265" t="s">
        <v>435</v>
      </c>
      <c r="U265" t="s">
        <v>69</v>
      </c>
      <c r="V265">
        <v>1937</v>
      </c>
      <c r="W265" s="12">
        <v>117.24</v>
      </c>
      <c r="X265">
        <v>7.5</v>
      </c>
      <c r="Y265" s="14">
        <v>21427700000000</v>
      </c>
      <c r="Z265">
        <v>88.2</v>
      </c>
      <c r="AA265">
        <v>101.8</v>
      </c>
      <c r="AB265">
        <v>9.6</v>
      </c>
      <c r="AC265">
        <v>36.6</v>
      </c>
      <c r="AD265">
        <v>328239523</v>
      </c>
    </row>
    <row r="266" spans="1:30" hidden="1" x14ac:dyDescent="0.45">
      <c r="A266">
        <v>261</v>
      </c>
      <c r="B266">
        <v>8000</v>
      </c>
      <c r="C266" t="s">
        <v>61</v>
      </c>
      <c r="D266" t="s">
        <v>1214</v>
      </c>
      <c r="E266">
        <v>60</v>
      </c>
      <c r="F266" t="s">
        <v>35</v>
      </c>
      <c r="G266" t="s">
        <v>36</v>
      </c>
      <c r="H266" t="s">
        <v>930</v>
      </c>
      <c r="I266" t="s">
        <v>61</v>
      </c>
      <c r="J266" t="s">
        <v>35</v>
      </c>
      <c r="L266" t="b">
        <v>1</v>
      </c>
      <c r="M266" t="s">
        <v>29</v>
      </c>
      <c r="N266" t="s">
        <v>8245</v>
      </c>
      <c r="O266" s="1">
        <v>22981</v>
      </c>
      <c r="P266" t="s">
        <v>1215</v>
      </c>
      <c r="Q266" t="s">
        <v>1216</v>
      </c>
      <c r="R266" t="s">
        <v>688</v>
      </c>
      <c r="S266" s="1">
        <v>45020.209027777775</v>
      </c>
      <c r="T266" t="s">
        <v>43</v>
      </c>
      <c r="U266" t="s">
        <v>44</v>
      </c>
      <c r="V266">
        <v>1962</v>
      </c>
      <c r="W266">
        <v>117.24</v>
      </c>
      <c r="X266">
        <v>7.5</v>
      </c>
      <c r="Y266" s="2">
        <v>21427700000000</v>
      </c>
      <c r="Z266">
        <v>88.2</v>
      </c>
      <c r="AA266">
        <v>101.8</v>
      </c>
      <c r="AB266">
        <v>9.6</v>
      </c>
      <c r="AC266">
        <v>36.6</v>
      </c>
      <c r="AD266">
        <v>328239523</v>
      </c>
    </row>
    <row r="267" spans="1:30" hidden="1" x14ac:dyDescent="0.45">
      <c r="A267">
        <v>261</v>
      </c>
      <c r="B267">
        <v>8000</v>
      </c>
      <c r="C267" t="s">
        <v>326</v>
      </c>
      <c r="D267" t="s">
        <v>1217</v>
      </c>
      <c r="E267">
        <v>58</v>
      </c>
      <c r="F267" t="s">
        <v>567</v>
      </c>
      <c r="G267" t="s">
        <v>568</v>
      </c>
      <c r="H267" t="s">
        <v>1218</v>
      </c>
      <c r="I267" t="s">
        <v>326</v>
      </c>
      <c r="J267" t="s">
        <v>567</v>
      </c>
      <c r="L267" t="b">
        <v>1</v>
      </c>
      <c r="M267" t="s">
        <v>29</v>
      </c>
      <c r="N267" t="s">
        <v>8245</v>
      </c>
      <c r="O267" s="1">
        <v>23512</v>
      </c>
      <c r="P267" t="s">
        <v>1219</v>
      </c>
      <c r="Q267" t="s">
        <v>770</v>
      </c>
      <c r="S267" s="1">
        <v>45020.209027777775</v>
      </c>
      <c r="V267">
        <v>1964</v>
      </c>
      <c r="W267">
        <v>116.48</v>
      </c>
      <c r="X267">
        <v>2.8</v>
      </c>
      <c r="Y267" s="2">
        <v>246489245495</v>
      </c>
      <c r="Z267">
        <v>64.099999999999994</v>
      </c>
      <c r="AA267">
        <v>100.7</v>
      </c>
      <c r="AB267">
        <v>14.9</v>
      </c>
      <c r="AC267">
        <v>46.1</v>
      </c>
      <c r="AD267">
        <v>10669709</v>
      </c>
    </row>
    <row r="268" spans="1:30" hidden="1" x14ac:dyDescent="0.45">
      <c r="A268">
        <v>261</v>
      </c>
      <c r="B268">
        <v>8000</v>
      </c>
      <c r="C268" t="s">
        <v>61</v>
      </c>
      <c r="D268" t="s">
        <v>1220</v>
      </c>
      <c r="E268">
        <v>76</v>
      </c>
      <c r="F268" t="s">
        <v>487</v>
      </c>
      <c r="H268" t="s">
        <v>317</v>
      </c>
      <c r="I268" t="s">
        <v>61</v>
      </c>
      <c r="J268" t="s">
        <v>211</v>
      </c>
      <c r="L268" t="b">
        <v>0</v>
      </c>
      <c r="M268" t="s">
        <v>39</v>
      </c>
      <c r="N268" t="s">
        <v>8245</v>
      </c>
      <c r="O268" s="1">
        <v>17076</v>
      </c>
      <c r="P268" t="s">
        <v>1221</v>
      </c>
      <c r="Q268" t="s">
        <v>482</v>
      </c>
      <c r="S268" s="1">
        <v>45020.209027777775</v>
      </c>
      <c r="V268">
        <v>1946</v>
      </c>
      <c r="W268"/>
      <c r="Y268" s="2">
        <v>7184844193</v>
      </c>
      <c r="AD268">
        <v>38964</v>
      </c>
    </row>
    <row r="269" spans="1:30" hidden="1" x14ac:dyDescent="0.45">
      <c r="A269">
        <v>268</v>
      </c>
      <c r="B269">
        <v>7900</v>
      </c>
      <c r="C269" t="s">
        <v>61</v>
      </c>
      <c r="D269" t="s">
        <v>1222</v>
      </c>
      <c r="E269">
        <v>52</v>
      </c>
      <c r="F269" t="s">
        <v>35</v>
      </c>
      <c r="G269" t="s">
        <v>1223</v>
      </c>
      <c r="H269" t="s">
        <v>930</v>
      </c>
      <c r="I269" t="s">
        <v>61</v>
      </c>
      <c r="J269" t="s">
        <v>35</v>
      </c>
      <c r="L269" t="b">
        <v>1</v>
      </c>
      <c r="M269" t="s">
        <v>29</v>
      </c>
      <c r="N269" t="s">
        <v>8245</v>
      </c>
      <c r="O269" s="1">
        <v>25834</v>
      </c>
      <c r="P269" t="s">
        <v>1224</v>
      </c>
      <c r="Q269" t="s">
        <v>1225</v>
      </c>
      <c r="S269" s="1">
        <v>45020.209027777775</v>
      </c>
      <c r="T269" t="s">
        <v>253</v>
      </c>
      <c r="U269" t="s">
        <v>44</v>
      </c>
      <c r="V269">
        <v>1970</v>
      </c>
      <c r="W269">
        <v>117.24</v>
      </c>
      <c r="X269">
        <v>7.5</v>
      </c>
      <c r="Y269" s="2">
        <v>21427700000000</v>
      </c>
      <c r="Z269">
        <v>88.2</v>
      </c>
      <c r="AA269">
        <v>101.8</v>
      </c>
      <c r="AB269">
        <v>9.6</v>
      </c>
      <c r="AC269">
        <v>36.6</v>
      </c>
      <c r="AD269">
        <v>328239523</v>
      </c>
    </row>
    <row r="270" spans="1:30" hidden="1" x14ac:dyDescent="0.45">
      <c r="A270">
        <v>268</v>
      </c>
      <c r="B270">
        <v>7900</v>
      </c>
      <c r="C270" t="s">
        <v>23</v>
      </c>
      <c r="D270" t="s">
        <v>1226</v>
      </c>
      <c r="E270">
        <v>52</v>
      </c>
      <c r="F270" t="s">
        <v>128</v>
      </c>
      <c r="G270" t="s">
        <v>1227</v>
      </c>
      <c r="H270" t="s">
        <v>1228</v>
      </c>
      <c r="I270" t="s">
        <v>23</v>
      </c>
      <c r="J270" t="s">
        <v>128</v>
      </c>
      <c r="L270" t="b">
        <v>1</v>
      </c>
      <c r="M270" t="s">
        <v>29</v>
      </c>
      <c r="N270" t="s">
        <v>8245</v>
      </c>
      <c r="O270" s="1">
        <v>25903</v>
      </c>
      <c r="P270" t="s">
        <v>337</v>
      </c>
      <c r="Q270" t="s">
        <v>1229</v>
      </c>
      <c r="S270" s="1">
        <v>45020.209027777775</v>
      </c>
      <c r="V270">
        <v>1970</v>
      </c>
      <c r="W270">
        <v>125.08</v>
      </c>
      <c r="X270">
        <v>2.9</v>
      </c>
      <c r="Y270" s="2">
        <v>19910000000000</v>
      </c>
      <c r="Z270">
        <v>50.6</v>
      </c>
      <c r="AA270">
        <v>100.2</v>
      </c>
      <c r="AB270">
        <v>9.4</v>
      </c>
      <c r="AC270">
        <v>59.2</v>
      </c>
      <c r="AD270">
        <v>1397715000</v>
      </c>
    </row>
    <row r="271" spans="1:30" hidden="1" x14ac:dyDescent="0.45">
      <c r="A271">
        <v>268</v>
      </c>
      <c r="B271">
        <v>7900</v>
      </c>
      <c r="C271" t="s">
        <v>23</v>
      </c>
      <c r="D271" t="s">
        <v>1230</v>
      </c>
      <c r="E271">
        <v>71</v>
      </c>
      <c r="F271" t="s">
        <v>35</v>
      </c>
      <c r="G271" t="s">
        <v>1231</v>
      </c>
      <c r="H271" t="s">
        <v>150</v>
      </c>
      <c r="I271" t="s">
        <v>23</v>
      </c>
      <c r="J271" t="s">
        <v>35</v>
      </c>
      <c r="L271" t="b">
        <v>0</v>
      </c>
      <c r="M271" t="s">
        <v>39</v>
      </c>
      <c r="N271" t="s">
        <v>8246</v>
      </c>
      <c r="O271" s="1">
        <v>18763</v>
      </c>
      <c r="P271" t="s">
        <v>1232</v>
      </c>
      <c r="Q271" t="s">
        <v>1233</v>
      </c>
      <c r="S271" s="1">
        <v>45020.209027777775</v>
      </c>
      <c r="T271" t="s">
        <v>245</v>
      </c>
      <c r="U271" t="s">
        <v>53</v>
      </c>
      <c r="V271">
        <v>1951</v>
      </c>
      <c r="W271">
        <v>117.24</v>
      </c>
      <c r="X271">
        <v>7.5</v>
      </c>
      <c r="Y271" s="2">
        <v>21427700000000</v>
      </c>
      <c r="Z271">
        <v>88.2</v>
      </c>
      <c r="AA271">
        <v>101.8</v>
      </c>
      <c r="AB271">
        <v>9.6</v>
      </c>
      <c r="AC271">
        <v>36.6</v>
      </c>
      <c r="AD271">
        <v>328239523</v>
      </c>
    </row>
    <row r="272" spans="1:30" hidden="1" x14ac:dyDescent="0.45">
      <c r="A272">
        <v>268</v>
      </c>
      <c r="B272">
        <v>7900</v>
      </c>
      <c r="C272" t="s">
        <v>45</v>
      </c>
      <c r="D272" t="s">
        <v>1234</v>
      </c>
      <c r="E272">
        <v>54</v>
      </c>
      <c r="F272" t="s">
        <v>928</v>
      </c>
      <c r="G272" t="s">
        <v>929</v>
      </c>
      <c r="H272" t="s">
        <v>1235</v>
      </c>
      <c r="I272" t="s">
        <v>45</v>
      </c>
      <c r="J272" t="s">
        <v>928</v>
      </c>
      <c r="L272" t="b">
        <v>0</v>
      </c>
      <c r="M272" t="s">
        <v>39</v>
      </c>
      <c r="N272" t="s">
        <v>8245</v>
      </c>
      <c r="O272" s="1">
        <v>25012</v>
      </c>
      <c r="P272" t="s">
        <v>305</v>
      </c>
      <c r="Q272" t="s">
        <v>1236</v>
      </c>
      <c r="S272" s="1">
        <v>45020.209027777775</v>
      </c>
      <c r="V272">
        <v>1968</v>
      </c>
      <c r="W272">
        <v>115.16</v>
      </c>
      <c r="X272">
        <v>0.4</v>
      </c>
      <c r="Y272" s="2">
        <v>2029000000000</v>
      </c>
      <c r="Z272">
        <v>94.3</v>
      </c>
      <c r="AA272">
        <v>98.1</v>
      </c>
      <c r="AB272">
        <v>15.6</v>
      </c>
      <c r="AC272">
        <v>33.200000000000003</v>
      </c>
      <c r="AD272">
        <v>51709098</v>
      </c>
    </row>
    <row r="273" spans="1:30" hidden="1" x14ac:dyDescent="0.45">
      <c r="A273">
        <v>268</v>
      </c>
      <c r="B273">
        <v>7900</v>
      </c>
      <c r="C273" t="s">
        <v>61</v>
      </c>
      <c r="D273" t="s">
        <v>1237</v>
      </c>
      <c r="E273">
        <v>54</v>
      </c>
      <c r="F273" t="s">
        <v>35</v>
      </c>
      <c r="G273" t="s">
        <v>78</v>
      </c>
      <c r="H273" t="s">
        <v>930</v>
      </c>
      <c r="I273" t="s">
        <v>61</v>
      </c>
      <c r="J273" t="s">
        <v>35</v>
      </c>
      <c r="L273" t="b">
        <v>1</v>
      </c>
      <c r="M273" t="s">
        <v>29</v>
      </c>
      <c r="N273" t="s">
        <v>8245</v>
      </c>
      <c r="O273" s="1">
        <v>25098</v>
      </c>
      <c r="P273" t="s">
        <v>1238</v>
      </c>
      <c r="Q273" t="s">
        <v>1239</v>
      </c>
      <c r="S273" s="1">
        <v>45020.209027777775</v>
      </c>
      <c r="T273" t="s">
        <v>78</v>
      </c>
      <c r="U273" t="s">
        <v>82</v>
      </c>
      <c r="V273">
        <v>1968</v>
      </c>
      <c r="W273">
        <v>117.24</v>
      </c>
      <c r="X273">
        <v>7.5</v>
      </c>
      <c r="Y273" s="2">
        <v>21427700000000</v>
      </c>
      <c r="Z273">
        <v>88.2</v>
      </c>
      <c r="AA273">
        <v>101.8</v>
      </c>
      <c r="AB273">
        <v>9.6</v>
      </c>
      <c r="AC273">
        <v>36.6</v>
      </c>
      <c r="AD273">
        <v>328239523</v>
      </c>
    </row>
    <row r="274" spans="1:30" x14ac:dyDescent="0.45">
      <c r="A274">
        <v>268</v>
      </c>
      <c r="B274" s="6">
        <v>7900</v>
      </c>
      <c r="C274" t="s">
        <v>61</v>
      </c>
      <c r="D274" t="s">
        <v>1240</v>
      </c>
      <c r="E274">
        <v>72</v>
      </c>
      <c r="F274" t="s">
        <v>35</v>
      </c>
      <c r="G274" t="s">
        <v>78</v>
      </c>
      <c r="H274" t="s">
        <v>248</v>
      </c>
      <c r="I274" t="s">
        <v>61</v>
      </c>
      <c r="J274" t="s">
        <v>35</v>
      </c>
      <c r="K274" t="s">
        <v>1241</v>
      </c>
      <c r="L274" t="b">
        <v>1</v>
      </c>
      <c r="M274" t="s">
        <v>29</v>
      </c>
      <c r="N274" t="s">
        <v>8245</v>
      </c>
      <c r="O274" s="10">
        <v>18716</v>
      </c>
      <c r="P274" t="s">
        <v>1242</v>
      </c>
      <c r="Q274" t="s">
        <v>169</v>
      </c>
      <c r="R274" t="s">
        <v>192</v>
      </c>
      <c r="S274" s="8">
        <v>45020.209027777775</v>
      </c>
      <c r="T274" t="s">
        <v>78</v>
      </c>
      <c r="U274" t="s">
        <v>82</v>
      </c>
      <c r="V274">
        <v>1951</v>
      </c>
      <c r="W274" s="12">
        <v>117.24</v>
      </c>
      <c r="X274">
        <v>7.5</v>
      </c>
      <c r="Y274" s="14">
        <v>21427700000000</v>
      </c>
      <c r="Z274">
        <v>88.2</v>
      </c>
      <c r="AA274">
        <v>101.8</v>
      </c>
      <c r="AB274">
        <v>9.6</v>
      </c>
      <c r="AC274">
        <v>36.6</v>
      </c>
      <c r="AD274">
        <v>328239523</v>
      </c>
    </row>
    <row r="275" spans="1:30" hidden="1" x14ac:dyDescent="0.45">
      <c r="A275">
        <v>268</v>
      </c>
      <c r="B275">
        <v>7900</v>
      </c>
      <c r="C275" t="s">
        <v>326</v>
      </c>
      <c r="D275" t="s">
        <v>1243</v>
      </c>
      <c r="E275">
        <v>57</v>
      </c>
      <c r="F275" t="s">
        <v>363</v>
      </c>
      <c r="G275" t="s">
        <v>381</v>
      </c>
      <c r="H275" t="s">
        <v>1244</v>
      </c>
      <c r="I275" t="s">
        <v>326</v>
      </c>
      <c r="J275" t="s">
        <v>363</v>
      </c>
      <c r="L275" t="b">
        <v>1</v>
      </c>
      <c r="M275" t="s">
        <v>29</v>
      </c>
      <c r="N275" t="s">
        <v>8245</v>
      </c>
      <c r="O275" s="1">
        <v>24137</v>
      </c>
      <c r="P275" t="s">
        <v>1245</v>
      </c>
      <c r="Q275" t="s">
        <v>926</v>
      </c>
      <c r="S275" s="1">
        <v>45020.209027777775</v>
      </c>
      <c r="V275">
        <v>1966</v>
      </c>
      <c r="W275">
        <v>180.75</v>
      </c>
      <c r="X275">
        <v>4.5</v>
      </c>
      <c r="Y275" s="2">
        <v>1699876578871</v>
      </c>
      <c r="Z275">
        <v>81.900000000000006</v>
      </c>
      <c r="AA275">
        <v>102.6</v>
      </c>
      <c r="AB275">
        <v>11.4</v>
      </c>
      <c r="AC275">
        <v>46.2</v>
      </c>
      <c r="AD275">
        <v>144373535</v>
      </c>
    </row>
    <row r="276" spans="1:30" hidden="1" x14ac:dyDescent="0.45">
      <c r="A276">
        <v>268</v>
      </c>
      <c r="B276">
        <v>7900</v>
      </c>
      <c r="C276" t="s">
        <v>91</v>
      </c>
      <c r="D276" t="s">
        <v>1246</v>
      </c>
      <c r="E276">
        <v>50</v>
      </c>
      <c r="F276" t="s">
        <v>255</v>
      </c>
      <c r="G276" t="s">
        <v>1247</v>
      </c>
      <c r="H276" t="s">
        <v>1248</v>
      </c>
      <c r="I276" t="s">
        <v>91</v>
      </c>
      <c r="J276" t="s">
        <v>255</v>
      </c>
      <c r="L276" t="b">
        <v>1</v>
      </c>
      <c r="M276" t="s">
        <v>611</v>
      </c>
      <c r="N276" t="s">
        <v>8245</v>
      </c>
      <c r="O276" s="1">
        <v>26556</v>
      </c>
      <c r="P276" t="s">
        <v>1249</v>
      </c>
      <c r="Q276" t="s">
        <v>883</v>
      </c>
      <c r="S276" s="1">
        <v>45020.209027777775</v>
      </c>
      <c r="V276">
        <v>1972</v>
      </c>
      <c r="W276">
        <v>118.06</v>
      </c>
      <c r="X276">
        <v>1.5</v>
      </c>
      <c r="Y276" s="2">
        <v>446314739528</v>
      </c>
      <c r="Z276">
        <v>85.1</v>
      </c>
      <c r="AA276">
        <v>103.1</v>
      </c>
      <c r="AB276">
        <v>25.4</v>
      </c>
      <c r="AC276">
        <v>51.4</v>
      </c>
      <c r="AD276">
        <v>8877067</v>
      </c>
    </row>
    <row r="277" spans="1:30" hidden="1" x14ac:dyDescent="0.45">
      <c r="A277">
        <v>276</v>
      </c>
      <c r="B277">
        <v>7800</v>
      </c>
      <c r="C277" t="s">
        <v>83</v>
      </c>
      <c r="D277" t="s">
        <v>1250</v>
      </c>
      <c r="E277">
        <v>73</v>
      </c>
      <c r="F277" t="s">
        <v>35</v>
      </c>
      <c r="G277" t="s">
        <v>1251</v>
      </c>
      <c r="H277" t="s">
        <v>83</v>
      </c>
      <c r="I277" t="s">
        <v>83</v>
      </c>
      <c r="J277" t="s">
        <v>35</v>
      </c>
      <c r="L277" t="b">
        <v>1</v>
      </c>
      <c r="M277" t="s">
        <v>29</v>
      </c>
      <c r="N277" t="s">
        <v>8245</v>
      </c>
      <c r="O277" s="1">
        <v>18227</v>
      </c>
      <c r="P277" t="s">
        <v>1252</v>
      </c>
      <c r="Q277" t="s">
        <v>1253</v>
      </c>
      <c r="S277" s="1">
        <v>45020.209027777775</v>
      </c>
      <c r="T277" t="s">
        <v>1254</v>
      </c>
      <c r="U277" t="s">
        <v>82</v>
      </c>
      <c r="V277">
        <v>1949</v>
      </c>
      <c r="W277">
        <v>117.24</v>
      </c>
      <c r="X277">
        <v>7.5</v>
      </c>
      <c r="Y277" s="2">
        <v>21427700000000</v>
      </c>
      <c r="Z277">
        <v>88.2</v>
      </c>
      <c r="AA277">
        <v>101.8</v>
      </c>
      <c r="AB277">
        <v>9.6</v>
      </c>
      <c r="AC277">
        <v>36.6</v>
      </c>
      <c r="AD277">
        <v>328239523</v>
      </c>
    </row>
    <row r="278" spans="1:30" hidden="1" x14ac:dyDescent="0.45">
      <c r="A278">
        <v>276</v>
      </c>
      <c r="B278">
        <v>7800</v>
      </c>
      <c r="C278" t="s">
        <v>296</v>
      </c>
      <c r="D278" t="s">
        <v>1255</v>
      </c>
      <c r="E278">
        <v>66</v>
      </c>
      <c r="F278" t="s">
        <v>128</v>
      </c>
      <c r="G278" t="s">
        <v>129</v>
      </c>
      <c r="H278" t="s">
        <v>1256</v>
      </c>
      <c r="I278" t="s">
        <v>296</v>
      </c>
      <c r="J278" t="s">
        <v>128</v>
      </c>
      <c r="L278" t="b">
        <v>1</v>
      </c>
      <c r="M278" t="s">
        <v>39</v>
      </c>
      <c r="N278" t="s">
        <v>8245</v>
      </c>
      <c r="O278" s="1">
        <v>20637</v>
      </c>
      <c r="P278" t="s">
        <v>230</v>
      </c>
      <c r="Q278" t="s">
        <v>1257</v>
      </c>
      <c r="S278" s="1">
        <v>45020.209027777775</v>
      </c>
      <c r="V278">
        <v>1956</v>
      </c>
      <c r="W278">
        <v>125.08</v>
      </c>
      <c r="X278">
        <v>2.9</v>
      </c>
      <c r="Y278" s="2">
        <v>19910000000000</v>
      </c>
      <c r="Z278">
        <v>50.6</v>
      </c>
      <c r="AA278">
        <v>100.2</v>
      </c>
      <c r="AB278">
        <v>9.4</v>
      </c>
      <c r="AC278">
        <v>59.2</v>
      </c>
      <c r="AD278">
        <v>1397715000</v>
      </c>
    </row>
    <row r="279" spans="1:30" hidden="1" x14ac:dyDescent="0.45">
      <c r="A279">
        <v>276</v>
      </c>
      <c r="B279">
        <v>7800</v>
      </c>
      <c r="C279" t="s">
        <v>296</v>
      </c>
      <c r="D279" t="s">
        <v>1258</v>
      </c>
      <c r="E279">
        <v>94</v>
      </c>
      <c r="F279" t="s">
        <v>1259</v>
      </c>
      <c r="G279" t="s">
        <v>1260</v>
      </c>
      <c r="H279" t="s">
        <v>1256</v>
      </c>
      <c r="I279" t="s">
        <v>296</v>
      </c>
      <c r="J279" t="s">
        <v>1259</v>
      </c>
      <c r="L279" t="b">
        <v>1</v>
      </c>
      <c r="M279" t="s">
        <v>29</v>
      </c>
      <c r="N279" t="s">
        <v>8245</v>
      </c>
      <c r="O279" s="1">
        <v>10441</v>
      </c>
      <c r="P279" t="s">
        <v>1261</v>
      </c>
      <c r="Q279" t="s">
        <v>1262</v>
      </c>
      <c r="S279" s="1">
        <v>45020.209027777775</v>
      </c>
      <c r="V279">
        <v>1928</v>
      </c>
      <c r="W279"/>
      <c r="Y279"/>
    </row>
    <row r="280" spans="1:30" hidden="1" x14ac:dyDescent="0.45">
      <c r="A280">
        <v>276</v>
      </c>
      <c r="B280">
        <v>7800</v>
      </c>
      <c r="C280" t="s">
        <v>45</v>
      </c>
      <c r="D280" t="s">
        <v>1263</v>
      </c>
      <c r="E280">
        <v>53</v>
      </c>
      <c r="F280" t="s">
        <v>128</v>
      </c>
      <c r="G280" t="s">
        <v>292</v>
      </c>
      <c r="H280" t="s">
        <v>1264</v>
      </c>
      <c r="I280" t="s">
        <v>45</v>
      </c>
      <c r="J280" t="s">
        <v>128</v>
      </c>
      <c r="L280" t="b">
        <v>1</v>
      </c>
      <c r="M280" t="s">
        <v>39</v>
      </c>
      <c r="N280" t="s">
        <v>8245</v>
      </c>
      <c r="O280" s="1">
        <v>25571</v>
      </c>
      <c r="P280" t="s">
        <v>1265</v>
      </c>
      <c r="Q280" t="s">
        <v>1266</v>
      </c>
      <c r="S280" s="1">
        <v>45020.209027777775</v>
      </c>
      <c r="V280">
        <v>1970</v>
      </c>
      <c r="W280">
        <v>125.08</v>
      </c>
      <c r="X280">
        <v>2.9</v>
      </c>
      <c r="Y280" s="2">
        <v>19910000000000</v>
      </c>
      <c r="Z280">
        <v>50.6</v>
      </c>
      <c r="AA280">
        <v>100.2</v>
      </c>
      <c r="AB280">
        <v>9.4</v>
      </c>
      <c r="AC280">
        <v>59.2</v>
      </c>
      <c r="AD280">
        <v>1397715000</v>
      </c>
    </row>
    <row r="281" spans="1:30" hidden="1" x14ac:dyDescent="0.45">
      <c r="A281">
        <v>276</v>
      </c>
      <c r="B281">
        <v>7800</v>
      </c>
      <c r="C281" t="s">
        <v>296</v>
      </c>
      <c r="D281" t="s">
        <v>1267</v>
      </c>
      <c r="E281">
        <v>58</v>
      </c>
      <c r="F281" t="s">
        <v>128</v>
      </c>
      <c r="G281" t="s">
        <v>719</v>
      </c>
      <c r="H281" t="s">
        <v>1268</v>
      </c>
      <c r="I281" t="s">
        <v>296</v>
      </c>
      <c r="J281" t="s">
        <v>128</v>
      </c>
      <c r="L281" t="b">
        <v>1</v>
      </c>
      <c r="M281" t="s">
        <v>39</v>
      </c>
      <c r="N281" t="s">
        <v>8245</v>
      </c>
      <c r="O281" s="1">
        <v>23590</v>
      </c>
      <c r="P281" t="s">
        <v>1269</v>
      </c>
      <c r="Q281" t="s">
        <v>1270</v>
      </c>
      <c r="S281" s="1">
        <v>45020.209027777775</v>
      </c>
      <c r="V281">
        <v>1964</v>
      </c>
      <c r="W281">
        <v>125.08</v>
      </c>
      <c r="X281">
        <v>2.9</v>
      </c>
      <c r="Y281" s="2">
        <v>19910000000000</v>
      </c>
      <c r="Z281">
        <v>50.6</v>
      </c>
      <c r="AA281">
        <v>100.2</v>
      </c>
      <c r="AB281">
        <v>9.4</v>
      </c>
      <c r="AC281">
        <v>59.2</v>
      </c>
      <c r="AD281">
        <v>1397715000</v>
      </c>
    </row>
    <row r="282" spans="1:30" hidden="1" x14ac:dyDescent="0.45">
      <c r="A282">
        <v>276</v>
      </c>
      <c r="B282">
        <v>7800</v>
      </c>
      <c r="C282" t="s">
        <v>23</v>
      </c>
      <c r="D282" t="s">
        <v>1271</v>
      </c>
      <c r="E282">
        <v>75</v>
      </c>
      <c r="F282" t="s">
        <v>1259</v>
      </c>
      <c r="G282" t="s">
        <v>1272</v>
      </c>
      <c r="H282" t="s">
        <v>1273</v>
      </c>
      <c r="I282" t="s">
        <v>23</v>
      </c>
      <c r="J282" t="s">
        <v>1259</v>
      </c>
      <c r="L282" t="b">
        <v>1</v>
      </c>
      <c r="M282" t="s">
        <v>39</v>
      </c>
      <c r="N282" t="s">
        <v>8245</v>
      </c>
      <c r="O282" s="1">
        <v>17533</v>
      </c>
      <c r="P282" t="s">
        <v>190</v>
      </c>
      <c r="Q282" t="s">
        <v>1274</v>
      </c>
      <c r="S282" s="1">
        <v>45020.209027777775</v>
      </c>
      <c r="V282">
        <v>1948</v>
      </c>
      <c r="W282"/>
      <c r="Y282"/>
    </row>
    <row r="283" spans="1:30" hidden="1" x14ac:dyDescent="0.45">
      <c r="A283">
        <v>282</v>
      </c>
      <c r="B283">
        <v>7700</v>
      </c>
      <c r="C283" t="s">
        <v>126</v>
      </c>
      <c r="D283" t="s">
        <v>1275</v>
      </c>
      <c r="E283">
        <v>55</v>
      </c>
      <c r="F283" t="s">
        <v>25</v>
      </c>
      <c r="G283" t="s">
        <v>417</v>
      </c>
      <c r="H283" t="s">
        <v>418</v>
      </c>
      <c r="I283" t="s">
        <v>126</v>
      </c>
      <c r="J283" t="s">
        <v>25</v>
      </c>
      <c r="L283" t="b">
        <v>0</v>
      </c>
      <c r="M283" t="s">
        <v>39</v>
      </c>
      <c r="N283" t="s">
        <v>8245</v>
      </c>
      <c r="O283" s="1">
        <v>24628</v>
      </c>
      <c r="P283" t="s">
        <v>419</v>
      </c>
      <c r="Q283" t="s">
        <v>1276</v>
      </c>
      <c r="S283" s="1">
        <v>45020.209027777775</v>
      </c>
      <c r="V283">
        <v>1967</v>
      </c>
      <c r="W283">
        <v>110.05</v>
      </c>
      <c r="X283">
        <v>1.1000000000000001</v>
      </c>
      <c r="Y283" s="2">
        <v>2715518274227</v>
      </c>
      <c r="Z283">
        <v>65.599999999999994</v>
      </c>
      <c r="AA283">
        <v>102.5</v>
      </c>
      <c r="AB283">
        <v>24.2</v>
      </c>
      <c r="AC283">
        <v>60.7</v>
      </c>
      <c r="AD283">
        <v>67059887</v>
      </c>
    </row>
    <row r="284" spans="1:30" hidden="1" x14ac:dyDescent="0.45">
      <c r="A284">
        <v>282</v>
      </c>
      <c r="B284">
        <v>7700</v>
      </c>
      <c r="C284" t="s">
        <v>126</v>
      </c>
      <c r="D284" t="s">
        <v>1277</v>
      </c>
      <c r="E284">
        <v>42</v>
      </c>
      <c r="F284" t="s">
        <v>25</v>
      </c>
      <c r="G284" t="s">
        <v>417</v>
      </c>
      <c r="H284" t="s">
        <v>418</v>
      </c>
      <c r="I284" t="s">
        <v>126</v>
      </c>
      <c r="J284" t="s">
        <v>25</v>
      </c>
      <c r="L284" t="b">
        <v>0</v>
      </c>
      <c r="M284" t="s">
        <v>39</v>
      </c>
      <c r="N284" t="s">
        <v>8246</v>
      </c>
      <c r="O284" s="1">
        <v>29432</v>
      </c>
      <c r="P284" t="s">
        <v>1278</v>
      </c>
      <c r="Q284" t="s">
        <v>1279</v>
      </c>
      <c r="S284" s="1">
        <v>45020.209027777775</v>
      </c>
      <c r="V284">
        <v>1980</v>
      </c>
      <c r="W284">
        <v>110.05</v>
      </c>
      <c r="X284">
        <v>1.1000000000000001</v>
      </c>
      <c r="Y284" s="2">
        <v>2715518274227</v>
      </c>
      <c r="Z284">
        <v>65.599999999999994</v>
      </c>
      <c r="AA284">
        <v>102.5</v>
      </c>
      <c r="AB284">
        <v>24.2</v>
      </c>
      <c r="AC284">
        <v>60.7</v>
      </c>
      <c r="AD284">
        <v>67059887</v>
      </c>
    </row>
    <row r="285" spans="1:30" x14ac:dyDescent="0.45">
      <c r="A285">
        <v>282</v>
      </c>
      <c r="B285" s="6">
        <v>7700</v>
      </c>
      <c r="C285" t="s">
        <v>76</v>
      </c>
      <c r="D285" t="s">
        <v>1280</v>
      </c>
      <c r="E285">
        <v>80</v>
      </c>
      <c r="F285" t="s">
        <v>35</v>
      </c>
      <c r="G285" t="s">
        <v>1026</v>
      </c>
      <c r="H285" t="s">
        <v>1281</v>
      </c>
      <c r="I285" t="s">
        <v>76</v>
      </c>
      <c r="J285" t="s">
        <v>35</v>
      </c>
      <c r="K285" t="s">
        <v>1282</v>
      </c>
      <c r="L285" t="b">
        <v>1</v>
      </c>
      <c r="M285" t="s">
        <v>39</v>
      </c>
      <c r="N285" t="s">
        <v>8245</v>
      </c>
      <c r="O285" s="10">
        <v>15758</v>
      </c>
      <c r="P285" t="s">
        <v>1283</v>
      </c>
      <c r="Q285" t="s">
        <v>169</v>
      </c>
      <c r="R285" t="s">
        <v>138</v>
      </c>
      <c r="S285" s="8">
        <v>45020.209027777775</v>
      </c>
      <c r="T285" t="s">
        <v>115</v>
      </c>
      <c r="U285" t="s">
        <v>53</v>
      </c>
      <c r="V285">
        <v>1943</v>
      </c>
      <c r="W285" s="12">
        <v>117.24</v>
      </c>
      <c r="X285">
        <v>7.5</v>
      </c>
      <c r="Y285" s="14">
        <v>21427700000000</v>
      </c>
      <c r="Z285">
        <v>88.2</v>
      </c>
      <c r="AA285">
        <v>101.8</v>
      </c>
      <c r="AB285">
        <v>9.6</v>
      </c>
      <c r="AC285">
        <v>36.6</v>
      </c>
      <c r="AD285">
        <v>328239523</v>
      </c>
    </row>
    <row r="286" spans="1:30" hidden="1" x14ac:dyDescent="0.45">
      <c r="A286">
        <v>282</v>
      </c>
      <c r="B286">
        <v>7700</v>
      </c>
      <c r="C286" t="s">
        <v>45</v>
      </c>
      <c r="D286" t="s">
        <v>1284</v>
      </c>
      <c r="E286">
        <v>54</v>
      </c>
      <c r="F286" t="s">
        <v>128</v>
      </c>
      <c r="G286" t="s">
        <v>187</v>
      </c>
      <c r="H286" t="s">
        <v>1285</v>
      </c>
      <c r="I286" t="s">
        <v>45</v>
      </c>
      <c r="J286" t="s">
        <v>128</v>
      </c>
      <c r="K286" t="s">
        <v>1286</v>
      </c>
      <c r="L286" t="b">
        <v>1</v>
      </c>
      <c r="M286" t="s">
        <v>29</v>
      </c>
      <c r="N286" t="s">
        <v>8245</v>
      </c>
      <c r="O286" s="1">
        <v>25159</v>
      </c>
      <c r="P286" t="s">
        <v>230</v>
      </c>
      <c r="Q286" t="s">
        <v>264</v>
      </c>
      <c r="R286" t="s">
        <v>938</v>
      </c>
      <c r="S286" s="1">
        <v>45020.209027777775</v>
      </c>
      <c r="V286">
        <v>1968</v>
      </c>
      <c r="W286">
        <v>125.08</v>
      </c>
      <c r="X286">
        <v>2.9</v>
      </c>
      <c r="Y286" s="2">
        <v>19910000000000</v>
      </c>
      <c r="Z286">
        <v>50.6</v>
      </c>
      <c r="AA286">
        <v>100.2</v>
      </c>
      <c r="AB286">
        <v>9.4</v>
      </c>
      <c r="AC286">
        <v>59.2</v>
      </c>
      <c r="AD286">
        <v>1397715000</v>
      </c>
    </row>
    <row r="287" spans="1:30" hidden="1" x14ac:dyDescent="0.45">
      <c r="A287">
        <v>282</v>
      </c>
      <c r="B287">
        <v>7700</v>
      </c>
      <c r="C287" t="s">
        <v>436</v>
      </c>
      <c r="D287" t="s">
        <v>1287</v>
      </c>
      <c r="E287">
        <v>71</v>
      </c>
      <c r="F287" t="s">
        <v>128</v>
      </c>
      <c r="G287" t="s">
        <v>777</v>
      </c>
      <c r="H287" t="s">
        <v>778</v>
      </c>
      <c r="I287" t="s">
        <v>436</v>
      </c>
      <c r="J287" t="s">
        <v>128</v>
      </c>
      <c r="L287" t="b">
        <v>1</v>
      </c>
      <c r="M287" t="s">
        <v>39</v>
      </c>
      <c r="N287" t="s">
        <v>8245</v>
      </c>
      <c r="O287" s="1">
        <v>18872</v>
      </c>
      <c r="P287" t="s">
        <v>779</v>
      </c>
      <c r="Q287" t="s">
        <v>1288</v>
      </c>
      <c r="S287" s="1">
        <v>45020.209027777775</v>
      </c>
      <c r="V287">
        <v>1951</v>
      </c>
      <c r="W287">
        <v>125.08</v>
      </c>
      <c r="X287">
        <v>2.9</v>
      </c>
      <c r="Y287" s="2">
        <v>19910000000000</v>
      </c>
      <c r="Z287">
        <v>50.6</v>
      </c>
      <c r="AA287">
        <v>100.2</v>
      </c>
      <c r="AB287">
        <v>9.4</v>
      </c>
      <c r="AC287">
        <v>59.2</v>
      </c>
      <c r="AD287">
        <v>1397715000</v>
      </c>
    </row>
    <row r="288" spans="1:30" x14ac:dyDescent="0.45">
      <c r="A288">
        <v>282</v>
      </c>
      <c r="B288" s="6">
        <v>7700</v>
      </c>
      <c r="C288" t="s">
        <v>45</v>
      </c>
      <c r="D288" t="s">
        <v>1289</v>
      </c>
      <c r="E288">
        <v>68</v>
      </c>
      <c r="F288" t="s">
        <v>35</v>
      </c>
      <c r="G288" t="s">
        <v>540</v>
      </c>
      <c r="H288" t="s">
        <v>442</v>
      </c>
      <c r="I288" t="s">
        <v>45</v>
      </c>
      <c r="J288" t="s">
        <v>35</v>
      </c>
      <c r="K288" t="s">
        <v>1290</v>
      </c>
      <c r="L288" t="b">
        <v>1</v>
      </c>
      <c r="M288" t="s">
        <v>29</v>
      </c>
      <c r="N288" t="s">
        <v>8245</v>
      </c>
      <c r="O288" s="10">
        <v>19987</v>
      </c>
      <c r="P288" t="s">
        <v>1291</v>
      </c>
      <c r="Q288" t="s">
        <v>1292</v>
      </c>
      <c r="R288" t="s">
        <v>1293</v>
      </c>
      <c r="S288" s="8">
        <v>45020.209027777775</v>
      </c>
      <c r="T288" t="s">
        <v>115</v>
      </c>
      <c r="U288" t="s">
        <v>53</v>
      </c>
      <c r="V288">
        <v>1954</v>
      </c>
      <c r="W288" s="12">
        <v>117.24</v>
      </c>
      <c r="X288">
        <v>7.5</v>
      </c>
      <c r="Y288" s="14">
        <v>21427700000000</v>
      </c>
      <c r="Z288">
        <v>88.2</v>
      </c>
      <c r="AA288">
        <v>101.8</v>
      </c>
      <c r="AB288">
        <v>9.6</v>
      </c>
      <c r="AC288">
        <v>36.6</v>
      </c>
      <c r="AD288">
        <v>328239523</v>
      </c>
    </row>
    <row r="289" spans="1:30" hidden="1" x14ac:dyDescent="0.45">
      <c r="A289">
        <v>282</v>
      </c>
      <c r="B289">
        <v>7700</v>
      </c>
      <c r="C289" t="s">
        <v>402</v>
      </c>
      <c r="D289" t="s">
        <v>1294</v>
      </c>
      <c r="E289">
        <v>68</v>
      </c>
      <c r="F289" t="s">
        <v>35</v>
      </c>
      <c r="G289" t="s">
        <v>751</v>
      </c>
      <c r="H289" t="s">
        <v>645</v>
      </c>
      <c r="I289" t="s">
        <v>402</v>
      </c>
      <c r="J289" t="s">
        <v>35</v>
      </c>
      <c r="L289" t="b">
        <v>1</v>
      </c>
      <c r="M289" t="s">
        <v>29</v>
      </c>
      <c r="N289" t="s">
        <v>8245</v>
      </c>
      <c r="O289" s="1">
        <v>20092</v>
      </c>
      <c r="P289" t="s">
        <v>1295</v>
      </c>
      <c r="Q289" t="s">
        <v>301</v>
      </c>
      <c r="S289" s="1">
        <v>45020.209027777775</v>
      </c>
      <c r="T289" t="s">
        <v>253</v>
      </c>
      <c r="U289" t="s">
        <v>44</v>
      </c>
      <c r="V289">
        <v>1955</v>
      </c>
      <c r="W289">
        <v>117.24</v>
      </c>
      <c r="X289">
        <v>7.5</v>
      </c>
      <c r="Y289" s="2">
        <v>21427700000000</v>
      </c>
      <c r="Z289">
        <v>88.2</v>
      </c>
      <c r="AA289">
        <v>101.8</v>
      </c>
      <c r="AB289">
        <v>9.6</v>
      </c>
      <c r="AC289">
        <v>36.6</v>
      </c>
      <c r="AD289">
        <v>328239523</v>
      </c>
    </row>
    <row r="290" spans="1:30" hidden="1" x14ac:dyDescent="0.45">
      <c r="A290">
        <v>282</v>
      </c>
      <c r="B290">
        <v>7700</v>
      </c>
      <c r="C290" t="s">
        <v>302</v>
      </c>
      <c r="D290" t="s">
        <v>1296</v>
      </c>
      <c r="E290">
        <v>61</v>
      </c>
      <c r="F290" t="s">
        <v>1297</v>
      </c>
      <c r="G290" t="s">
        <v>1298</v>
      </c>
      <c r="H290" t="s">
        <v>304</v>
      </c>
      <c r="I290" t="s">
        <v>302</v>
      </c>
      <c r="J290" t="s">
        <v>1297</v>
      </c>
      <c r="L290" t="b">
        <v>1</v>
      </c>
      <c r="M290" t="s">
        <v>29</v>
      </c>
      <c r="N290" t="s">
        <v>8245</v>
      </c>
      <c r="O290" s="1">
        <v>22455</v>
      </c>
      <c r="P290" t="s">
        <v>1299</v>
      </c>
      <c r="Q290" t="s">
        <v>1300</v>
      </c>
      <c r="S290" s="1">
        <v>45020.209027777775</v>
      </c>
      <c r="V290">
        <v>1961</v>
      </c>
      <c r="W290">
        <v>120.27</v>
      </c>
      <c r="X290">
        <v>2.2000000000000002</v>
      </c>
      <c r="Y290" s="2">
        <v>403336363636</v>
      </c>
      <c r="Z290">
        <v>82</v>
      </c>
      <c r="AA290">
        <v>100.3</v>
      </c>
      <c r="AB290">
        <v>23.9</v>
      </c>
      <c r="AC290">
        <v>36.200000000000003</v>
      </c>
      <c r="AD290">
        <v>5347896</v>
      </c>
    </row>
    <row r="291" spans="1:30" hidden="1" x14ac:dyDescent="0.45">
      <c r="A291">
        <v>290</v>
      </c>
      <c r="B291">
        <v>7600</v>
      </c>
      <c r="C291" t="s">
        <v>347</v>
      </c>
      <c r="D291" t="s">
        <v>1301</v>
      </c>
      <c r="E291">
        <v>54</v>
      </c>
      <c r="F291" t="s">
        <v>128</v>
      </c>
      <c r="G291" t="s">
        <v>1302</v>
      </c>
      <c r="H291" t="s">
        <v>1303</v>
      </c>
      <c r="I291" t="s">
        <v>347</v>
      </c>
      <c r="J291" t="s">
        <v>128</v>
      </c>
      <c r="L291" t="b">
        <v>1</v>
      </c>
      <c r="M291" t="s">
        <v>39</v>
      </c>
      <c r="N291" t="s">
        <v>8245</v>
      </c>
      <c r="O291" s="1">
        <v>25043</v>
      </c>
      <c r="P291" t="s">
        <v>1304</v>
      </c>
      <c r="Q291" t="s">
        <v>1305</v>
      </c>
      <c r="S291" s="1">
        <v>45020.209027777775</v>
      </c>
      <c r="V291">
        <v>1968</v>
      </c>
      <c r="W291">
        <v>125.08</v>
      </c>
      <c r="X291">
        <v>2.9</v>
      </c>
      <c r="Y291" s="2">
        <v>19910000000000</v>
      </c>
      <c r="Z291">
        <v>50.6</v>
      </c>
      <c r="AA291">
        <v>100.2</v>
      </c>
      <c r="AB291">
        <v>9.4</v>
      </c>
      <c r="AC291">
        <v>59.2</v>
      </c>
      <c r="AD291">
        <v>1397715000</v>
      </c>
    </row>
    <row r="292" spans="1:30" hidden="1" x14ac:dyDescent="0.45">
      <c r="A292">
        <v>290</v>
      </c>
      <c r="B292">
        <v>7600</v>
      </c>
      <c r="C292" t="s">
        <v>402</v>
      </c>
      <c r="D292" t="s">
        <v>1306</v>
      </c>
      <c r="E292">
        <v>89</v>
      </c>
      <c r="F292" t="s">
        <v>93</v>
      </c>
      <c r="G292" t="s">
        <v>176</v>
      </c>
      <c r="H292" t="s">
        <v>610</v>
      </c>
      <c r="I292" t="s">
        <v>402</v>
      </c>
      <c r="J292" t="s">
        <v>93</v>
      </c>
      <c r="L292" t="b">
        <v>1</v>
      </c>
      <c r="M292" t="s">
        <v>29</v>
      </c>
      <c r="N292" t="s">
        <v>8245</v>
      </c>
      <c r="O292" s="1">
        <v>12316</v>
      </c>
      <c r="P292" t="s">
        <v>1307</v>
      </c>
      <c r="Q292" t="s">
        <v>1308</v>
      </c>
      <c r="S292" s="1">
        <v>45020.209027777775</v>
      </c>
      <c r="V292">
        <v>1933</v>
      </c>
      <c r="W292">
        <v>180.44</v>
      </c>
      <c r="X292">
        <v>7.7</v>
      </c>
      <c r="Y292" s="2">
        <v>2611000000000</v>
      </c>
      <c r="Z292">
        <v>28.1</v>
      </c>
      <c r="AA292">
        <v>113</v>
      </c>
      <c r="AB292">
        <v>11.2</v>
      </c>
      <c r="AC292">
        <v>49.7</v>
      </c>
      <c r="AD292">
        <v>1366417754</v>
      </c>
    </row>
    <row r="293" spans="1:30" hidden="1" x14ac:dyDescent="0.45">
      <c r="A293">
        <v>290</v>
      </c>
      <c r="B293">
        <v>7600</v>
      </c>
      <c r="C293" t="s">
        <v>296</v>
      </c>
      <c r="D293" t="s">
        <v>1309</v>
      </c>
      <c r="E293">
        <v>67</v>
      </c>
      <c r="F293" t="s">
        <v>272</v>
      </c>
      <c r="G293" t="s">
        <v>273</v>
      </c>
      <c r="H293" t="s">
        <v>399</v>
      </c>
      <c r="I293" t="s">
        <v>296</v>
      </c>
      <c r="J293" t="s">
        <v>272</v>
      </c>
      <c r="L293" t="b">
        <v>1</v>
      </c>
      <c r="M293" t="s">
        <v>29</v>
      </c>
      <c r="N293" t="s">
        <v>8245</v>
      </c>
      <c r="O293" s="1">
        <v>20427</v>
      </c>
      <c r="P293" t="s">
        <v>1310</v>
      </c>
      <c r="Q293" t="s">
        <v>472</v>
      </c>
      <c r="S293" s="1">
        <v>45020.209027777775</v>
      </c>
      <c r="V293">
        <v>1955</v>
      </c>
      <c r="W293">
        <v>119.62</v>
      </c>
      <c r="X293">
        <v>1.7</v>
      </c>
      <c r="Y293" s="2">
        <v>2827113184696</v>
      </c>
      <c r="Z293">
        <v>60</v>
      </c>
      <c r="AA293">
        <v>101.2</v>
      </c>
      <c r="AB293">
        <v>25.5</v>
      </c>
      <c r="AC293">
        <v>30.6</v>
      </c>
      <c r="AD293">
        <v>66834405</v>
      </c>
    </row>
    <row r="294" spans="1:30" x14ac:dyDescent="0.45">
      <c r="A294">
        <v>290</v>
      </c>
      <c r="B294" s="6">
        <v>7600</v>
      </c>
      <c r="C294" t="s">
        <v>45</v>
      </c>
      <c r="D294" t="s">
        <v>1311</v>
      </c>
      <c r="E294">
        <v>41</v>
      </c>
      <c r="F294" t="s">
        <v>35</v>
      </c>
      <c r="G294" t="s">
        <v>36</v>
      </c>
      <c r="H294" t="s">
        <v>992</v>
      </c>
      <c r="I294" t="s">
        <v>45</v>
      </c>
      <c r="J294" t="s">
        <v>35</v>
      </c>
      <c r="K294" t="s">
        <v>993</v>
      </c>
      <c r="L294" t="b">
        <v>1</v>
      </c>
      <c r="M294" t="s">
        <v>39</v>
      </c>
      <c r="N294" t="s">
        <v>8245</v>
      </c>
      <c r="O294" s="10">
        <v>29819</v>
      </c>
      <c r="P294" t="s">
        <v>1312</v>
      </c>
      <c r="Q294" t="s">
        <v>1313</v>
      </c>
      <c r="R294" t="s">
        <v>1314</v>
      </c>
      <c r="S294" s="8">
        <v>45020.209027777775</v>
      </c>
      <c r="T294" t="s">
        <v>43</v>
      </c>
      <c r="U294" t="s">
        <v>44</v>
      </c>
      <c r="V294">
        <v>1981</v>
      </c>
      <c r="W294" s="12">
        <v>117.24</v>
      </c>
      <c r="X294">
        <v>7.5</v>
      </c>
      <c r="Y294" s="14">
        <v>21427700000000</v>
      </c>
      <c r="Z294">
        <v>88.2</v>
      </c>
      <c r="AA294">
        <v>101.8</v>
      </c>
      <c r="AB294">
        <v>9.6</v>
      </c>
      <c r="AC294">
        <v>36.6</v>
      </c>
      <c r="AD294">
        <v>328239523</v>
      </c>
    </row>
    <row r="295" spans="1:30" hidden="1" x14ac:dyDescent="0.45">
      <c r="A295">
        <v>290</v>
      </c>
      <c r="B295">
        <v>7600</v>
      </c>
      <c r="C295" t="s">
        <v>302</v>
      </c>
      <c r="D295" t="s">
        <v>1315</v>
      </c>
      <c r="E295">
        <v>64</v>
      </c>
      <c r="F295" t="s">
        <v>574</v>
      </c>
      <c r="G295" t="s">
        <v>574</v>
      </c>
      <c r="H295" t="s">
        <v>302</v>
      </c>
      <c r="I295" t="s">
        <v>302</v>
      </c>
      <c r="J295" t="s">
        <v>574</v>
      </c>
      <c r="L295" t="b">
        <v>0</v>
      </c>
      <c r="M295" t="s">
        <v>285</v>
      </c>
      <c r="N295" t="s">
        <v>8245</v>
      </c>
      <c r="O295" s="1">
        <v>21551</v>
      </c>
      <c r="P295" t="s">
        <v>1316</v>
      </c>
      <c r="Q295" t="s">
        <v>819</v>
      </c>
      <c r="S295" s="1">
        <v>45020.209027777775</v>
      </c>
      <c r="V295">
        <v>1959</v>
      </c>
      <c r="W295">
        <v>114.41</v>
      </c>
      <c r="X295">
        <v>0.6</v>
      </c>
      <c r="Y295" s="2">
        <v>372062527489</v>
      </c>
      <c r="Z295">
        <v>84.8</v>
      </c>
      <c r="AA295">
        <v>100.6</v>
      </c>
      <c r="AB295">
        <v>13.1</v>
      </c>
      <c r="AC295">
        <v>21</v>
      </c>
      <c r="AD295">
        <v>5703569</v>
      </c>
    </row>
    <row r="296" spans="1:30" hidden="1" x14ac:dyDescent="0.45">
      <c r="A296">
        <v>290</v>
      </c>
      <c r="B296">
        <v>7600</v>
      </c>
      <c r="C296" t="s">
        <v>296</v>
      </c>
      <c r="D296" t="s">
        <v>1317</v>
      </c>
      <c r="E296">
        <v>66</v>
      </c>
      <c r="F296" t="s">
        <v>272</v>
      </c>
      <c r="G296" t="s">
        <v>273</v>
      </c>
      <c r="H296" t="s">
        <v>399</v>
      </c>
      <c r="I296" t="s">
        <v>296</v>
      </c>
      <c r="J296" t="s">
        <v>272</v>
      </c>
      <c r="L296" t="b">
        <v>1</v>
      </c>
      <c r="M296" t="s">
        <v>29</v>
      </c>
      <c r="N296" t="s">
        <v>8245</v>
      </c>
      <c r="O296" s="1">
        <v>20886</v>
      </c>
      <c r="P296" t="s">
        <v>1318</v>
      </c>
      <c r="Q296" t="s">
        <v>225</v>
      </c>
      <c r="S296" s="1">
        <v>45020.209027777775</v>
      </c>
      <c r="V296">
        <v>1957</v>
      </c>
      <c r="W296">
        <v>119.62</v>
      </c>
      <c r="X296">
        <v>1.7</v>
      </c>
      <c r="Y296" s="2">
        <v>2827113184696</v>
      </c>
      <c r="Z296">
        <v>60</v>
      </c>
      <c r="AA296">
        <v>101.2</v>
      </c>
      <c r="AB296">
        <v>25.5</v>
      </c>
      <c r="AC296">
        <v>30.6</v>
      </c>
      <c r="AD296">
        <v>66834405</v>
      </c>
    </row>
    <row r="297" spans="1:30" x14ac:dyDescent="0.45">
      <c r="A297">
        <v>290</v>
      </c>
      <c r="B297" s="6">
        <v>7600</v>
      </c>
      <c r="C297" t="s">
        <v>302</v>
      </c>
      <c r="D297" t="s">
        <v>1319</v>
      </c>
      <c r="E297">
        <v>85</v>
      </c>
      <c r="F297" t="s">
        <v>35</v>
      </c>
      <c r="G297" t="s">
        <v>78</v>
      </c>
      <c r="H297" t="s">
        <v>304</v>
      </c>
      <c r="I297" t="s">
        <v>302</v>
      </c>
      <c r="J297" t="s">
        <v>35</v>
      </c>
      <c r="K297" t="s">
        <v>1320</v>
      </c>
      <c r="L297" t="b">
        <v>0</v>
      </c>
      <c r="M297" t="s">
        <v>29</v>
      </c>
      <c r="N297" t="s">
        <v>8245</v>
      </c>
      <c r="O297" s="10">
        <v>13967</v>
      </c>
      <c r="P297" t="s">
        <v>1321</v>
      </c>
      <c r="Q297" t="s">
        <v>450</v>
      </c>
      <c r="R297" t="s">
        <v>32</v>
      </c>
      <c r="S297" s="8">
        <v>45020.209027777775</v>
      </c>
      <c r="T297" t="s">
        <v>78</v>
      </c>
      <c r="U297" t="s">
        <v>82</v>
      </c>
      <c r="V297">
        <v>1938</v>
      </c>
      <c r="W297" s="12">
        <v>117.24</v>
      </c>
      <c r="X297">
        <v>7.5</v>
      </c>
      <c r="Y297" s="14">
        <v>21427700000000</v>
      </c>
      <c r="Z297">
        <v>88.2</v>
      </c>
      <c r="AA297">
        <v>101.8</v>
      </c>
      <c r="AB297">
        <v>9.6</v>
      </c>
      <c r="AC297">
        <v>36.6</v>
      </c>
      <c r="AD297">
        <v>328239523</v>
      </c>
    </row>
    <row r="298" spans="1:30" hidden="1" x14ac:dyDescent="0.45">
      <c r="A298">
        <v>290</v>
      </c>
      <c r="B298">
        <v>7600</v>
      </c>
      <c r="C298" t="s">
        <v>45</v>
      </c>
      <c r="D298" t="s">
        <v>1322</v>
      </c>
      <c r="E298">
        <v>59</v>
      </c>
      <c r="F298" t="s">
        <v>228</v>
      </c>
      <c r="G298" t="s">
        <v>228</v>
      </c>
      <c r="H298" t="s">
        <v>293</v>
      </c>
      <c r="I298" t="s">
        <v>45</v>
      </c>
      <c r="J298" t="s">
        <v>164</v>
      </c>
      <c r="L298" t="b">
        <v>1</v>
      </c>
      <c r="M298" t="s">
        <v>39</v>
      </c>
      <c r="N298" t="s">
        <v>8245</v>
      </c>
      <c r="O298" s="1">
        <v>23395</v>
      </c>
      <c r="P298" t="s">
        <v>1323</v>
      </c>
      <c r="Q298" t="s">
        <v>717</v>
      </c>
      <c r="S298" s="1">
        <v>45020.209027777775</v>
      </c>
      <c r="V298">
        <v>1964</v>
      </c>
      <c r="W298"/>
      <c r="Y298"/>
    </row>
    <row r="299" spans="1:30" hidden="1" x14ac:dyDescent="0.45">
      <c r="A299">
        <v>290</v>
      </c>
      <c r="B299">
        <v>7600</v>
      </c>
      <c r="C299" t="s">
        <v>402</v>
      </c>
      <c r="D299" t="s">
        <v>1324</v>
      </c>
      <c r="E299">
        <v>62</v>
      </c>
      <c r="F299" t="s">
        <v>128</v>
      </c>
      <c r="G299" t="s">
        <v>292</v>
      </c>
      <c r="H299" t="s">
        <v>610</v>
      </c>
      <c r="I299" t="s">
        <v>402</v>
      </c>
      <c r="J299" t="s">
        <v>128</v>
      </c>
      <c r="L299" t="b">
        <v>1</v>
      </c>
      <c r="M299" t="s">
        <v>39</v>
      </c>
      <c r="N299" t="s">
        <v>8246</v>
      </c>
      <c r="O299" s="1">
        <v>22282</v>
      </c>
      <c r="P299" t="s">
        <v>131</v>
      </c>
      <c r="Q299" t="s">
        <v>1325</v>
      </c>
      <c r="S299" s="1">
        <v>45020.209027777775</v>
      </c>
      <c r="V299">
        <v>1961</v>
      </c>
      <c r="W299">
        <v>125.08</v>
      </c>
      <c r="X299">
        <v>2.9</v>
      </c>
      <c r="Y299" s="2">
        <v>19910000000000</v>
      </c>
      <c r="Z299">
        <v>50.6</v>
      </c>
      <c r="AA299">
        <v>100.2</v>
      </c>
      <c r="AB299">
        <v>9.4</v>
      </c>
      <c r="AC299">
        <v>59.2</v>
      </c>
      <c r="AD299">
        <v>1397715000</v>
      </c>
    </row>
    <row r="300" spans="1:30" x14ac:dyDescent="0.45">
      <c r="A300">
        <v>299</v>
      </c>
      <c r="B300" s="6">
        <v>7500</v>
      </c>
      <c r="C300" t="s">
        <v>702</v>
      </c>
      <c r="D300" t="s">
        <v>1326</v>
      </c>
      <c r="E300">
        <v>80</v>
      </c>
      <c r="F300" t="s">
        <v>35</v>
      </c>
      <c r="G300" t="s">
        <v>1130</v>
      </c>
      <c r="H300" t="s">
        <v>1205</v>
      </c>
      <c r="I300" t="s">
        <v>702</v>
      </c>
      <c r="J300" t="s">
        <v>35</v>
      </c>
      <c r="K300" t="s">
        <v>1327</v>
      </c>
      <c r="L300" t="b">
        <v>1</v>
      </c>
      <c r="M300" t="s">
        <v>29</v>
      </c>
      <c r="N300" t="s">
        <v>8245</v>
      </c>
      <c r="O300" s="10">
        <v>15611</v>
      </c>
      <c r="P300" t="s">
        <v>1328</v>
      </c>
      <c r="Q300" t="s">
        <v>1329</v>
      </c>
      <c r="R300" t="s">
        <v>170</v>
      </c>
      <c r="S300" s="8">
        <v>45020.209027777775</v>
      </c>
      <c r="T300" t="s">
        <v>1134</v>
      </c>
      <c r="U300" t="s">
        <v>44</v>
      </c>
      <c r="V300">
        <v>1942</v>
      </c>
      <c r="W300" s="12">
        <v>117.24</v>
      </c>
      <c r="X300">
        <v>7.5</v>
      </c>
      <c r="Y300" s="14">
        <v>21427700000000</v>
      </c>
      <c r="Z300">
        <v>88.2</v>
      </c>
      <c r="AA300">
        <v>101.8</v>
      </c>
      <c r="AB300">
        <v>9.6</v>
      </c>
      <c r="AC300">
        <v>36.6</v>
      </c>
      <c r="AD300">
        <v>328239523</v>
      </c>
    </row>
    <row r="301" spans="1:30" hidden="1" x14ac:dyDescent="0.45">
      <c r="A301">
        <v>299</v>
      </c>
      <c r="B301">
        <v>7500</v>
      </c>
      <c r="C301" t="s">
        <v>23</v>
      </c>
      <c r="D301" t="s">
        <v>1330</v>
      </c>
      <c r="E301">
        <v>85</v>
      </c>
      <c r="F301" t="s">
        <v>35</v>
      </c>
      <c r="G301" t="s">
        <v>1331</v>
      </c>
      <c r="H301" t="s">
        <v>594</v>
      </c>
      <c r="I301" t="s">
        <v>23</v>
      </c>
      <c r="J301" t="s">
        <v>35</v>
      </c>
      <c r="L301" t="b">
        <v>0</v>
      </c>
      <c r="M301" t="s">
        <v>1332</v>
      </c>
      <c r="N301" t="s">
        <v>8245</v>
      </c>
      <c r="O301" s="1">
        <v>13914</v>
      </c>
      <c r="P301" t="s">
        <v>1333</v>
      </c>
      <c r="Q301" t="s">
        <v>144</v>
      </c>
      <c r="S301" s="1">
        <v>45020.209027777775</v>
      </c>
      <c r="T301" t="s">
        <v>43</v>
      </c>
      <c r="U301" t="s">
        <v>44</v>
      </c>
      <c r="V301">
        <v>1938</v>
      </c>
      <c r="W301">
        <v>117.24</v>
      </c>
      <c r="X301">
        <v>7.5</v>
      </c>
      <c r="Y301" s="2">
        <v>21427700000000</v>
      </c>
      <c r="Z301">
        <v>88.2</v>
      </c>
      <c r="AA301">
        <v>101.8</v>
      </c>
      <c r="AB301">
        <v>9.6</v>
      </c>
      <c r="AC301">
        <v>36.6</v>
      </c>
      <c r="AD301">
        <v>328239523</v>
      </c>
    </row>
    <row r="302" spans="1:30" hidden="1" x14ac:dyDescent="0.45">
      <c r="A302">
        <v>299</v>
      </c>
      <c r="B302">
        <v>7500</v>
      </c>
      <c r="C302" t="s">
        <v>23</v>
      </c>
      <c r="D302" t="s">
        <v>1334</v>
      </c>
      <c r="E302">
        <v>59</v>
      </c>
      <c r="F302" t="s">
        <v>128</v>
      </c>
      <c r="G302" t="s">
        <v>1227</v>
      </c>
      <c r="H302" t="s">
        <v>1228</v>
      </c>
      <c r="I302" t="s">
        <v>23</v>
      </c>
      <c r="J302" t="s">
        <v>128</v>
      </c>
      <c r="L302" t="b">
        <v>1</v>
      </c>
      <c r="M302" t="s">
        <v>39</v>
      </c>
      <c r="N302" t="s">
        <v>8245</v>
      </c>
      <c r="O302" s="1">
        <v>23377</v>
      </c>
      <c r="P302" t="s">
        <v>337</v>
      </c>
      <c r="Q302" t="s">
        <v>1335</v>
      </c>
      <c r="S302" s="1">
        <v>45020.209027777775</v>
      </c>
      <c r="V302">
        <v>1964</v>
      </c>
      <c r="W302">
        <v>125.08</v>
      </c>
      <c r="X302">
        <v>2.9</v>
      </c>
      <c r="Y302" s="2">
        <v>19910000000000</v>
      </c>
      <c r="Z302">
        <v>50.6</v>
      </c>
      <c r="AA302">
        <v>100.2</v>
      </c>
      <c r="AB302">
        <v>9.4</v>
      </c>
      <c r="AC302">
        <v>59.2</v>
      </c>
      <c r="AD302">
        <v>1397715000</v>
      </c>
    </row>
    <row r="303" spans="1:30" x14ac:dyDescent="0.45">
      <c r="A303">
        <v>299</v>
      </c>
      <c r="B303" s="6">
        <v>7500</v>
      </c>
      <c r="C303" t="s">
        <v>61</v>
      </c>
      <c r="D303" t="s">
        <v>1336</v>
      </c>
      <c r="E303">
        <v>68</v>
      </c>
      <c r="F303" t="s">
        <v>35</v>
      </c>
      <c r="G303" t="s">
        <v>355</v>
      </c>
      <c r="H303" t="s">
        <v>248</v>
      </c>
      <c r="I303" t="s">
        <v>61</v>
      </c>
      <c r="J303" t="s">
        <v>35</v>
      </c>
      <c r="K303" t="s">
        <v>1337</v>
      </c>
      <c r="L303" t="b">
        <v>1</v>
      </c>
      <c r="M303" t="s">
        <v>29</v>
      </c>
      <c r="N303" t="s">
        <v>8245</v>
      </c>
      <c r="O303" s="10">
        <v>19995</v>
      </c>
      <c r="P303" t="s">
        <v>706</v>
      </c>
      <c r="Q303" t="s">
        <v>1338</v>
      </c>
      <c r="R303" t="s">
        <v>192</v>
      </c>
      <c r="S303" s="8">
        <v>45020.209027777775</v>
      </c>
      <c r="T303" t="s">
        <v>253</v>
      </c>
      <c r="U303" t="s">
        <v>44</v>
      </c>
      <c r="V303">
        <v>1954</v>
      </c>
      <c r="W303" s="12">
        <v>117.24</v>
      </c>
      <c r="X303">
        <v>7.5</v>
      </c>
      <c r="Y303" s="14">
        <v>21427700000000</v>
      </c>
      <c r="Z303">
        <v>88.2</v>
      </c>
      <c r="AA303">
        <v>101.8</v>
      </c>
      <c r="AB303">
        <v>9.6</v>
      </c>
      <c r="AC303">
        <v>36.6</v>
      </c>
      <c r="AD303">
        <v>328239523</v>
      </c>
    </row>
    <row r="304" spans="1:30" x14ac:dyDescent="0.45">
      <c r="A304">
        <v>299</v>
      </c>
      <c r="B304" s="6">
        <v>7500</v>
      </c>
      <c r="C304" t="s">
        <v>61</v>
      </c>
      <c r="D304" t="s">
        <v>1339</v>
      </c>
      <c r="E304">
        <v>79</v>
      </c>
      <c r="F304" t="s">
        <v>35</v>
      </c>
      <c r="G304" t="s">
        <v>78</v>
      </c>
      <c r="H304" t="s">
        <v>930</v>
      </c>
      <c r="I304" t="s">
        <v>61</v>
      </c>
      <c r="J304" t="s">
        <v>35</v>
      </c>
      <c r="K304" t="s">
        <v>1340</v>
      </c>
      <c r="L304" t="b">
        <v>1</v>
      </c>
      <c r="M304" t="s">
        <v>39</v>
      </c>
      <c r="N304" t="s">
        <v>8245</v>
      </c>
      <c r="O304" s="10">
        <v>16077</v>
      </c>
      <c r="P304" t="s">
        <v>1341</v>
      </c>
      <c r="Q304" t="s">
        <v>1292</v>
      </c>
      <c r="R304" t="s">
        <v>1342</v>
      </c>
      <c r="S304" s="8">
        <v>45020.209027777775</v>
      </c>
      <c r="T304" t="s">
        <v>78</v>
      </c>
      <c r="U304" t="s">
        <v>82</v>
      </c>
      <c r="V304">
        <v>1944</v>
      </c>
      <c r="W304" s="12">
        <v>117.24</v>
      </c>
      <c r="X304">
        <v>7.5</v>
      </c>
      <c r="Y304" s="14">
        <v>21427700000000</v>
      </c>
      <c r="Z304">
        <v>88.2</v>
      </c>
      <c r="AA304">
        <v>101.8</v>
      </c>
      <c r="AB304">
        <v>9.6</v>
      </c>
      <c r="AC304">
        <v>36.6</v>
      </c>
      <c r="AD304">
        <v>328239523</v>
      </c>
    </row>
    <row r="305" spans="1:30" hidden="1" x14ac:dyDescent="0.45">
      <c r="A305">
        <v>299</v>
      </c>
      <c r="B305">
        <v>7500</v>
      </c>
      <c r="C305" t="s">
        <v>126</v>
      </c>
      <c r="D305" t="s">
        <v>1343</v>
      </c>
      <c r="E305">
        <v>52</v>
      </c>
      <c r="F305" t="s">
        <v>574</v>
      </c>
      <c r="G305" t="s">
        <v>574</v>
      </c>
      <c r="H305" t="s">
        <v>1344</v>
      </c>
      <c r="I305" t="s">
        <v>126</v>
      </c>
      <c r="J305" t="s">
        <v>574</v>
      </c>
      <c r="L305" t="b">
        <v>1</v>
      </c>
      <c r="M305" t="s">
        <v>29</v>
      </c>
      <c r="N305" t="s">
        <v>8245</v>
      </c>
      <c r="O305" s="1">
        <v>25750</v>
      </c>
      <c r="P305" t="s">
        <v>190</v>
      </c>
      <c r="Q305" t="s">
        <v>1345</v>
      </c>
      <c r="S305" s="1">
        <v>45020.209027777775</v>
      </c>
      <c r="V305">
        <v>1970</v>
      </c>
      <c r="W305">
        <v>114.41</v>
      </c>
      <c r="X305">
        <v>0.6</v>
      </c>
      <c r="Y305" s="2">
        <v>372062527489</v>
      </c>
      <c r="Z305">
        <v>84.8</v>
      </c>
      <c r="AA305">
        <v>100.6</v>
      </c>
      <c r="AB305">
        <v>13.1</v>
      </c>
      <c r="AC305">
        <v>21</v>
      </c>
      <c r="AD305">
        <v>5703569</v>
      </c>
    </row>
    <row r="306" spans="1:30" x14ac:dyDescent="0.45">
      <c r="A306">
        <v>305</v>
      </c>
      <c r="B306" s="6">
        <v>7400</v>
      </c>
      <c r="C306" t="s">
        <v>45</v>
      </c>
      <c r="D306" t="s">
        <v>1346</v>
      </c>
      <c r="E306">
        <v>80</v>
      </c>
      <c r="F306" t="s">
        <v>35</v>
      </c>
      <c r="G306" t="s">
        <v>1347</v>
      </c>
      <c r="H306" t="s">
        <v>856</v>
      </c>
      <c r="I306" t="s">
        <v>45</v>
      </c>
      <c r="J306" t="s">
        <v>35</v>
      </c>
      <c r="K306" t="s">
        <v>1348</v>
      </c>
      <c r="L306" t="b">
        <v>1</v>
      </c>
      <c r="M306" t="s">
        <v>29</v>
      </c>
      <c r="N306" t="s">
        <v>8245</v>
      </c>
      <c r="O306" s="10">
        <v>15712.166666666666</v>
      </c>
      <c r="P306" t="s">
        <v>1349</v>
      </c>
      <c r="Q306" t="s">
        <v>401</v>
      </c>
      <c r="R306" t="s">
        <v>42</v>
      </c>
      <c r="S306" s="8">
        <v>45020.375694444447</v>
      </c>
      <c r="T306" t="s">
        <v>1350</v>
      </c>
      <c r="U306" t="s">
        <v>44</v>
      </c>
      <c r="V306">
        <v>1943</v>
      </c>
      <c r="W306" s="12">
        <v>117.24</v>
      </c>
      <c r="X306">
        <v>7.5</v>
      </c>
      <c r="Y306" s="14">
        <v>21427700000000</v>
      </c>
      <c r="Z306">
        <v>88.2</v>
      </c>
      <c r="AA306">
        <v>101.8</v>
      </c>
      <c r="AB306">
        <v>9.6</v>
      </c>
      <c r="AC306">
        <v>36.6</v>
      </c>
      <c r="AD306">
        <v>328239523</v>
      </c>
    </row>
    <row r="307" spans="1:30" hidden="1" x14ac:dyDescent="0.45">
      <c r="A307">
        <v>305</v>
      </c>
      <c r="B307">
        <v>7400</v>
      </c>
      <c r="C307" t="s">
        <v>296</v>
      </c>
      <c r="D307" t="s">
        <v>1351</v>
      </c>
      <c r="E307">
        <v>70</v>
      </c>
      <c r="F307" t="s">
        <v>272</v>
      </c>
      <c r="G307" t="s">
        <v>273</v>
      </c>
      <c r="H307" t="s">
        <v>1256</v>
      </c>
      <c r="I307" t="s">
        <v>296</v>
      </c>
      <c r="J307" t="s">
        <v>349</v>
      </c>
      <c r="L307" t="b">
        <v>0</v>
      </c>
      <c r="M307" t="s">
        <v>29</v>
      </c>
      <c r="N307" t="s">
        <v>8245</v>
      </c>
      <c r="O307" s="1">
        <v>19217</v>
      </c>
      <c r="P307" t="s">
        <v>1352</v>
      </c>
      <c r="Q307" t="s">
        <v>1353</v>
      </c>
      <c r="S307" s="1">
        <v>45020.209027777775</v>
      </c>
      <c r="V307">
        <v>1952</v>
      </c>
      <c r="W307">
        <v>119.62</v>
      </c>
      <c r="X307">
        <v>1.7</v>
      </c>
      <c r="Y307" s="2">
        <v>2827113184696</v>
      </c>
      <c r="Z307">
        <v>60</v>
      </c>
      <c r="AA307">
        <v>101.2</v>
      </c>
      <c r="AB307">
        <v>25.5</v>
      </c>
      <c r="AC307">
        <v>30.6</v>
      </c>
      <c r="AD307">
        <v>66834405</v>
      </c>
    </row>
    <row r="308" spans="1:30" hidden="1" x14ac:dyDescent="0.45">
      <c r="A308">
        <v>305</v>
      </c>
      <c r="B308">
        <v>7400</v>
      </c>
      <c r="C308" t="s">
        <v>23</v>
      </c>
      <c r="D308" t="s">
        <v>1354</v>
      </c>
      <c r="E308">
        <v>59</v>
      </c>
      <c r="F308" t="s">
        <v>128</v>
      </c>
      <c r="G308" t="s">
        <v>960</v>
      </c>
      <c r="H308" t="s">
        <v>1355</v>
      </c>
      <c r="I308" t="s">
        <v>23</v>
      </c>
      <c r="J308" t="s">
        <v>128</v>
      </c>
      <c r="L308" t="b">
        <v>1</v>
      </c>
      <c r="M308" t="s">
        <v>39</v>
      </c>
      <c r="N308" t="s">
        <v>8245</v>
      </c>
      <c r="O308" s="1">
        <v>23377</v>
      </c>
      <c r="P308" t="s">
        <v>237</v>
      </c>
      <c r="Q308" t="s">
        <v>1356</v>
      </c>
      <c r="S308" s="1">
        <v>45020.209027777775</v>
      </c>
      <c r="V308">
        <v>1964</v>
      </c>
      <c r="W308">
        <v>125.08</v>
      </c>
      <c r="X308">
        <v>2.9</v>
      </c>
      <c r="Y308" s="2">
        <v>19910000000000</v>
      </c>
      <c r="Z308">
        <v>50.6</v>
      </c>
      <c r="AA308">
        <v>100.2</v>
      </c>
      <c r="AB308">
        <v>9.4</v>
      </c>
      <c r="AC308">
        <v>59.2</v>
      </c>
      <c r="AD308">
        <v>1397715000</v>
      </c>
    </row>
    <row r="309" spans="1:30" hidden="1" x14ac:dyDescent="0.45">
      <c r="A309">
        <v>305</v>
      </c>
      <c r="B309">
        <v>7400</v>
      </c>
      <c r="C309" t="s">
        <v>302</v>
      </c>
      <c r="D309" t="s">
        <v>1357</v>
      </c>
      <c r="E309">
        <v>71</v>
      </c>
      <c r="F309" t="s">
        <v>574</v>
      </c>
      <c r="G309" t="s">
        <v>574</v>
      </c>
      <c r="H309" t="s">
        <v>304</v>
      </c>
      <c r="I309" t="s">
        <v>302</v>
      </c>
      <c r="J309" t="s">
        <v>574</v>
      </c>
      <c r="L309" t="b">
        <v>0</v>
      </c>
      <c r="M309" t="s">
        <v>285</v>
      </c>
      <c r="N309" t="s">
        <v>8245</v>
      </c>
      <c r="O309" s="1">
        <v>18994</v>
      </c>
      <c r="P309" t="s">
        <v>1316</v>
      </c>
      <c r="Q309" t="s">
        <v>619</v>
      </c>
      <c r="S309" s="1">
        <v>45020.209027777775</v>
      </c>
      <c r="V309">
        <v>1952</v>
      </c>
      <c r="W309">
        <v>114.41</v>
      </c>
      <c r="X309">
        <v>0.6</v>
      </c>
      <c r="Y309" s="2">
        <v>372062527489</v>
      </c>
      <c r="Z309">
        <v>84.8</v>
      </c>
      <c r="AA309">
        <v>100.6</v>
      </c>
      <c r="AB309">
        <v>13.1</v>
      </c>
      <c r="AC309">
        <v>21</v>
      </c>
      <c r="AD309">
        <v>5703569</v>
      </c>
    </row>
    <row r="310" spans="1:30" x14ac:dyDescent="0.45">
      <c r="A310">
        <v>305</v>
      </c>
      <c r="B310" s="6">
        <v>7400</v>
      </c>
      <c r="C310" t="s">
        <v>296</v>
      </c>
      <c r="D310" t="s">
        <v>1358</v>
      </c>
      <c r="E310">
        <v>72</v>
      </c>
      <c r="F310" t="s">
        <v>35</v>
      </c>
      <c r="G310" t="s">
        <v>1359</v>
      </c>
      <c r="H310" t="s">
        <v>1360</v>
      </c>
      <c r="I310" t="s">
        <v>296</v>
      </c>
      <c r="J310" t="s">
        <v>35</v>
      </c>
      <c r="K310" t="s">
        <v>1361</v>
      </c>
      <c r="L310" t="b">
        <v>1</v>
      </c>
      <c r="M310" t="s">
        <v>39</v>
      </c>
      <c r="N310" t="s">
        <v>8245</v>
      </c>
      <c r="O310" s="10">
        <v>18718</v>
      </c>
      <c r="P310" t="s">
        <v>1362</v>
      </c>
      <c r="Q310" t="s">
        <v>1363</v>
      </c>
      <c r="R310" t="s">
        <v>688</v>
      </c>
      <c r="S310" s="8">
        <v>45020.209027777775</v>
      </c>
      <c r="T310" t="s">
        <v>115</v>
      </c>
      <c r="U310" t="s">
        <v>53</v>
      </c>
      <c r="V310">
        <v>1951</v>
      </c>
      <c r="W310" s="12">
        <v>117.24</v>
      </c>
      <c r="X310">
        <v>7.5</v>
      </c>
      <c r="Y310" s="14">
        <v>21427700000000</v>
      </c>
      <c r="Z310">
        <v>88.2</v>
      </c>
      <c r="AA310">
        <v>101.8</v>
      </c>
      <c r="AB310">
        <v>9.6</v>
      </c>
      <c r="AC310">
        <v>36.6</v>
      </c>
      <c r="AD310">
        <v>328239523</v>
      </c>
    </row>
    <row r="311" spans="1:30" hidden="1" x14ac:dyDescent="0.45">
      <c r="A311">
        <v>305</v>
      </c>
      <c r="B311">
        <v>7400</v>
      </c>
      <c r="C311" t="s">
        <v>689</v>
      </c>
      <c r="D311" t="s">
        <v>1364</v>
      </c>
      <c r="E311">
        <v>62</v>
      </c>
      <c r="F311" t="s">
        <v>1365</v>
      </c>
      <c r="G311" t="s">
        <v>1366</v>
      </c>
      <c r="H311" t="s">
        <v>1367</v>
      </c>
      <c r="I311" t="s">
        <v>689</v>
      </c>
      <c r="J311" t="s">
        <v>1365</v>
      </c>
      <c r="L311" t="b">
        <v>0</v>
      </c>
      <c r="M311" t="s">
        <v>39</v>
      </c>
      <c r="N311" t="s">
        <v>8245</v>
      </c>
      <c r="O311" s="1">
        <v>22300</v>
      </c>
      <c r="P311" t="s">
        <v>1368</v>
      </c>
      <c r="Q311" t="s">
        <v>1369</v>
      </c>
      <c r="S311" s="1">
        <v>45020.209027777775</v>
      </c>
      <c r="V311">
        <v>1961</v>
      </c>
      <c r="W311">
        <v>288.57</v>
      </c>
      <c r="X311">
        <v>9.1999999999999993</v>
      </c>
      <c r="Y311" s="2">
        <v>303175127598</v>
      </c>
      <c r="Z311">
        <v>35.200000000000003</v>
      </c>
      <c r="AA311">
        <v>106.3</v>
      </c>
      <c r="AB311">
        <v>12.5</v>
      </c>
      <c r="AC311">
        <v>44.4</v>
      </c>
      <c r="AD311">
        <v>100388073</v>
      </c>
    </row>
    <row r="312" spans="1:30" hidden="1" x14ac:dyDescent="0.45">
      <c r="A312">
        <v>305</v>
      </c>
      <c r="B312">
        <v>7400</v>
      </c>
      <c r="C312" t="s">
        <v>126</v>
      </c>
      <c r="D312" t="s">
        <v>1370</v>
      </c>
      <c r="E312">
        <v>81</v>
      </c>
      <c r="F312" t="s">
        <v>35</v>
      </c>
      <c r="G312" t="s">
        <v>1371</v>
      </c>
      <c r="H312" t="s">
        <v>1372</v>
      </c>
      <c r="I312" t="s">
        <v>126</v>
      </c>
      <c r="J312" t="s">
        <v>35</v>
      </c>
      <c r="L312" t="b">
        <v>1</v>
      </c>
      <c r="M312" t="s">
        <v>29</v>
      </c>
      <c r="N312" t="s">
        <v>8245</v>
      </c>
      <c r="O312" s="1">
        <v>15310</v>
      </c>
      <c r="P312" t="s">
        <v>1373</v>
      </c>
      <c r="Q312" t="s">
        <v>726</v>
      </c>
      <c r="S312" s="1">
        <v>45020.209027777775</v>
      </c>
      <c r="T312" t="s">
        <v>1374</v>
      </c>
      <c r="U312" t="s">
        <v>69</v>
      </c>
      <c r="V312">
        <v>1941</v>
      </c>
      <c r="W312">
        <v>117.24</v>
      </c>
      <c r="X312">
        <v>7.5</v>
      </c>
      <c r="Y312" s="2">
        <v>21427700000000</v>
      </c>
      <c r="Z312">
        <v>88.2</v>
      </c>
      <c r="AA312">
        <v>101.8</v>
      </c>
      <c r="AB312">
        <v>9.6</v>
      </c>
      <c r="AC312">
        <v>36.6</v>
      </c>
      <c r="AD312">
        <v>328239523</v>
      </c>
    </row>
    <row r="313" spans="1:30" hidden="1" x14ac:dyDescent="0.45">
      <c r="A313">
        <v>312</v>
      </c>
      <c r="B313">
        <v>7300</v>
      </c>
      <c r="C313" t="s">
        <v>296</v>
      </c>
      <c r="D313" t="s">
        <v>1375</v>
      </c>
      <c r="E313">
        <v>91</v>
      </c>
      <c r="F313" t="s">
        <v>93</v>
      </c>
      <c r="G313" t="s">
        <v>1376</v>
      </c>
      <c r="H313" t="s">
        <v>1377</v>
      </c>
      <c r="I313" t="s">
        <v>296</v>
      </c>
      <c r="J313" t="s">
        <v>93</v>
      </c>
      <c r="L313" t="b">
        <v>0</v>
      </c>
      <c r="M313" t="s">
        <v>29</v>
      </c>
      <c r="N313" t="s">
        <v>8245</v>
      </c>
      <c r="O313" s="1">
        <v>11475</v>
      </c>
      <c r="P313" t="s">
        <v>1378</v>
      </c>
      <c r="Q313" t="s">
        <v>1379</v>
      </c>
      <c r="S313" s="1">
        <v>45020.209027777775</v>
      </c>
      <c r="V313">
        <v>1931</v>
      </c>
      <c r="W313">
        <v>180.44</v>
      </c>
      <c r="X313">
        <v>7.7</v>
      </c>
      <c r="Y313" s="2">
        <v>2611000000000</v>
      </c>
      <c r="Z313">
        <v>28.1</v>
      </c>
      <c r="AA313">
        <v>113</v>
      </c>
      <c r="AB313">
        <v>11.2</v>
      </c>
      <c r="AC313">
        <v>49.7</v>
      </c>
      <c r="AD313">
        <v>1366417754</v>
      </c>
    </row>
    <row r="314" spans="1:30" hidden="1" x14ac:dyDescent="0.45">
      <c r="A314">
        <v>312</v>
      </c>
      <c r="B314">
        <v>7300</v>
      </c>
      <c r="C314" t="s">
        <v>326</v>
      </c>
      <c r="D314" t="s">
        <v>1380</v>
      </c>
      <c r="E314">
        <v>59</v>
      </c>
      <c r="F314" t="s">
        <v>363</v>
      </c>
      <c r="G314" t="s">
        <v>381</v>
      </c>
      <c r="H314" t="s">
        <v>1381</v>
      </c>
      <c r="I314" t="s">
        <v>326</v>
      </c>
      <c r="J314" t="s">
        <v>363</v>
      </c>
      <c r="L314" t="b">
        <v>1</v>
      </c>
      <c r="M314" t="s">
        <v>29</v>
      </c>
      <c r="N314" t="s">
        <v>8245</v>
      </c>
      <c r="O314" s="1">
        <v>23350</v>
      </c>
      <c r="P314" t="s">
        <v>1382</v>
      </c>
      <c r="Q314" t="s">
        <v>1383</v>
      </c>
      <c r="S314" s="1">
        <v>45020.209027777775</v>
      </c>
      <c r="V314">
        <v>1963</v>
      </c>
      <c r="W314">
        <v>180.75</v>
      </c>
      <c r="X314">
        <v>4.5</v>
      </c>
      <c r="Y314" s="2">
        <v>1699876578871</v>
      </c>
      <c r="Z314">
        <v>81.900000000000006</v>
      </c>
      <c r="AA314">
        <v>102.6</v>
      </c>
      <c r="AB314">
        <v>11.4</v>
      </c>
      <c r="AC314">
        <v>46.2</v>
      </c>
      <c r="AD314">
        <v>144373535</v>
      </c>
    </row>
    <row r="315" spans="1:30" hidden="1" x14ac:dyDescent="0.45">
      <c r="A315">
        <v>312</v>
      </c>
      <c r="B315">
        <v>7300</v>
      </c>
      <c r="C315" t="s">
        <v>23</v>
      </c>
      <c r="D315" t="s">
        <v>1384</v>
      </c>
      <c r="E315">
        <v>50</v>
      </c>
      <c r="F315" t="s">
        <v>1385</v>
      </c>
      <c r="G315" t="s">
        <v>1386</v>
      </c>
      <c r="H315" t="s">
        <v>268</v>
      </c>
      <c r="I315" t="s">
        <v>23</v>
      </c>
      <c r="J315" t="s">
        <v>1385</v>
      </c>
      <c r="L315" t="b">
        <v>0</v>
      </c>
      <c r="M315" t="s">
        <v>39</v>
      </c>
      <c r="N315" t="s">
        <v>8245</v>
      </c>
      <c r="O315" s="1">
        <v>26607</v>
      </c>
      <c r="P315" t="s">
        <v>1387</v>
      </c>
      <c r="Q315" t="s">
        <v>1388</v>
      </c>
      <c r="S315" s="1">
        <v>45020.209027777775</v>
      </c>
      <c r="V315">
        <v>1972</v>
      </c>
      <c r="W315">
        <v>110.35</v>
      </c>
      <c r="X315">
        <v>0.8</v>
      </c>
      <c r="Y315" s="2">
        <v>348078018464</v>
      </c>
      <c r="Z315">
        <v>80.599999999999994</v>
      </c>
      <c r="AA315">
        <v>101.3</v>
      </c>
      <c r="AB315">
        <v>32.4</v>
      </c>
      <c r="AC315">
        <v>23.8</v>
      </c>
      <c r="AD315">
        <v>5818553</v>
      </c>
    </row>
    <row r="316" spans="1:30" hidden="1" x14ac:dyDescent="0.45">
      <c r="A316">
        <v>312</v>
      </c>
      <c r="B316">
        <v>7300</v>
      </c>
      <c r="C316" t="s">
        <v>203</v>
      </c>
      <c r="D316" t="s">
        <v>1389</v>
      </c>
      <c r="E316">
        <v>63</v>
      </c>
      <c r="F316" t="s">
        <v>1111</v>
      </c>
      <c r="G316" t="s">
        <v>1112</v>
      </c>
      <c r="H316" t="s">
        <v>1390</v>
      </c>
      <c r="I316" t="s">
        <v>203</v>
      </c>
      <c r="J316" t="s">
        <v>1111</v>
      </c>
      <c r="L316" t="b">
        <v>0</v>
      </c>
      <c r="M316" t="s">
        <v>29</v>
      </c>
      <c r="N316" t="s">
        <v>8245</v>
      </c>
      <c r="O316" s="1">
        <v>21978</v>
      </c>
      <c r="P316" t="s">
        <v>1391</v>
      </c>
      <c r="Q316" t="s">
        <v>1392</v>
      </c>
      <c r="S316" s="1">
        <v>45020.209027777775</v>
      </c>
      <c r="V316">
        <v>1960</v>
      </c>
      <c r="W316">
        <v>129.61000000000001</v>
      </c>
      <c r="X316">
        <v>2.5</v>
      </c>
      <c r="Y316" s="2">
        <v>376795508680</v>
      </c>
      <c r="Z316">
        <v>35.5</v>
      </c>
      <c r="AA316">
        <v>107.5</v>
      </c>
      <c r="AB316">
        <v>14</v>
      </c>
      <c r="AC316">
        <v>43.1</v>
      </c>
      <c r="AD316">
        <v>108116615</v>
      </c>
    </row>
    <row r="317" spans="1:30" hidden="1" x14ac:dyDescent="0.45">
      <c r="A317">
        <v>312</v>
      </c>
      <c r="B317">
        <v>7300</v>
      </c>
      <c r="C317" t="s">
        <v>45</v>
      </c>
      <c r="D317" t="s">
        <v>1393</v>
      </c>
      <c r="E317">
        <v>55</v>
      </c>
      <c r="F317" t="s">
        <v>128</v>
      </c>
      <c r="G317" t="s">
        <v>234</v>
      </c>
      <c r="H317" t="s">
        <v>1394</v>
      </c>
      <c r="I317" t="s">
        <v>45</v>
      </c>
      <c r="J317" t="s">
        <v>228</v>
      </c>
      <c r="L317" t="b">
        <v>1</v>
      </c>
      <c r="M317" t="s">
        <v>39</v>
      </c>
      <c r="N317" t="s">
        <v>8246</v>
      </c>
      <c r="O317" s="1">
        <v>24626</v>
      </c>
      <c r="P317" t="s">
        <v>439</v>
      </c>
      <c r="Q317" t="s">
        <v>1395</v>
      </c>
      <c r="S317" s="1">
        <v>45020.209027777775</v>
      </c>
      <c r="V317">
        <v>1967</v>
      </c>
      <c r="W317">
        <v>125.08</v>
      </c>
      <c r="X317">
        <v>2.9</v>
      </c>
      <c r="Y317" s="2">
        <v>19910000000000</v>
      </c>
      <c r="Z317">
        <v>50.6</v>
      </c>
      <c r="AA317">
        <v>100.2</v>
      </c>
      <c r="AB317">
        <v>9.4</v>
      </c>
      <c r="AC317">
        <v>59.2</v>
      </c>
      <c r="AD317">
        <v>1397715000</v>
      </c>
    </row>
    <row r="318" spans="1:30" hidden="1" x14ac:dyDescent="0.45">
      <c r="A318">
        <v>317</v>
      </c>
      <c r="B318">
        <v>7200</v>
      </c>
      <c r="C318" t="s">
        <v>61</v>
      </c>
      <c r="D318" t="s">
        <v>1396</v>
      </c>
      <c r="E318">
        <v>65</v>
      </c>
      <c r="F318" t="s">
        <v>35</v>
      </c>
      <c r="G318" t="s">
        <v>1397</v>
      </c>
      <c r="H318" t="s">
        <v>309</v>
      </c>
      <c r="I318" t="s">
        <v>61</v>
      </c>
      <c r="J318" t="s">
        <v>35</v>
      </c>
      <c r="L318" t="b">
        <v>1</v>
      </c>
      <c r="M318" t="s">
        <v>258</v>
      </c>
      <c r="N318" t="s">
        <v>8245</v>
      </c>
      <c r="O318" s="1">
        <v>21149</v>
      </c>
      <c r="P318" t="s">
        <v>1398</v>
      </c>
      <c r="Q318" t="s">
        <v>1329</v>
      </c>
      <c r="S318" s="1">
        <v>45020.209027777775</v>
      </c>
      <c r="T318" t="s">
        <v>311</v>
      </c>
      <c r="U318" t="s">
        <v>82</v>
      </c>
      <c r="V318">
        <v>1957</v>
      </c>
      <c r="W318">
        <v>117.24</v>
      </c>
      <c r="X318">
        <v>7.5</v>
      </c>
      <c r="Y318" s="2">
        <v>21427700000000</v>
      </c>
      <c r="Z318">
        <v>88.2</v>
      </c>
      <c r="AA318">
        <v>101.8</v>
      </c>
      <c r="AB318">
        <v>9.6</v>
      </c>
      <c r="AC318">
        <v>36.6</v>
      </c>
      <c r="AD318">
        <v>328239523</v>
      </c>
    </row>
    <row r="319" spans="1:30" hidden="1" x14ac:dyDescent="0.45">
      <c r="A319">
        <v>317</v>
      </c>
      <c r="B319">
        <v>7200</v>
      </c>
      <c r="C319" t="s">
        <v>45</v>
      </c>
      <c r="D319" t="s">
        <v>1399</v>
      </c>
      <c r="E319">
        <v>72</v>
      </c>
      <c r="F319" t="s">
        <v>1259</v>
      </c>
      <c r="G319" t="s">
        <v>1260</v>
      </c>
      <c r="H319" t="s">
        <v>1400</v>
      </c>
      <c r="I319" t="s">
        <v>45</v>
      </c>
      <c r="J319" t="s">
        <v>1259</v>
      </c>
      <c r="K319" t="s">
        <v>1401</v>
      </c>
      <c r="L319" t="b">
        <v>1</v>
      </c>
      <c r="M319" t="s">
        <v>29</v>
      </c>
      <c r="N319" t="s">
        <v>8245</v>
      </c>
      <c r="O319" s="1">
        <v>18554</v>
      </c>
      <c r="P319" t="s">
        <v>1402</v>
      </c>
      <c r="Q319" t="s">
        <v>1403</v>
      </c>
      <c r="R319" t="s">
        <v>42</v>
      </c>
      <c r="S319" s="1">
        <v>45020.209027777775</v>
      </c>
      <c r="V319">
        <v>1950</v>
      </c>
      <c r="W319"/>
      <c r="Y319"/>
    </row>
    <row r="320" spans="1:30" hidden="1" x14ac:dyDescent="0.45">
      <c r="A320">
        <v>317</v>
      </c>
      <c r="B320">
        <v>7200</v>
      </c>
      <c r="C320" t="s">
        <v>302</v>
      </c>
      <c r="D320" t="s">
        <v>1404</v>
      </c>
      <c r="E320">
        <v>68</v>
      </c>
      <c r="F320" t="s">
        <v>35</v>
      </c>
      <c r="G320" t="s">
        <v>355</v>
      </c>
      <c r="H320" t="s">
        <v>1405</v>
      </c>
      <c r="I320" t="s">
        <v>302</v>
      </c>
      <c r="J320" t="s">
        <v>35</v>
      </c>
      <c r="L320" t="b">
        <v>1</v>
      </c>
      <c r="M320" t="s">
        <v>29</v>
      </c>
      <c r="N320" t="s">
        <v>8245</v>
      </c>
      <c r="O320" s="1">
        <v>20068</v>
      </c>
      <c r="P320" t="s">
        <v>1406</v>
      </c>
      <c r="Q320" t="s">
        <v>50</v>
      </c>
      <c r="S320" s="1">
        <v>45020.209027777775</v>
      </c>
      <c r="T320" t="s">
        <v>253</v>
      </c>
      <c r="U320" t="s">
        <v>44</v>
      </c>
      <c r="V320">
        <v>1954</v>
      </c>
      <c r="W320">
        <v>117.24</v>
      </c>
      <c r="X320">
        <v>7.5</v>
      </c>
      <c r="Y320" s="2">
        <v>21427700000000</v>
      </c>
      <c r="Z320">
        <v>88.2</v>
      </c>
      <c r="AA320">
        <v>101.8</v>
      </c>
      <c r="AB320">
        <v>9.6</v>
      </c>
      <c r="AC320">
        <v>36.6</v>
      </c>
      <c r="AD320">
        <v>328239523</v>
      </c>
    </row>
    <row r="321" spans="1:30" x14ac:dyDescent="0.45">
      <c r="A321">
        <v>317</v>
      </c>
      <c r="B321" s="6">
        <v>7200</v>
      </c>
      <c r="C321" t="s">
        <v>61</v>
      </c>
      <c r="D321" t="s">
        <v>1407</v>
      </c>
      <c r="E321">
        <v>79</v>
      </c>
      <c r="F321" t="s">
        <v>35</v>
      </c>
      <c r="G321" t="s">
        <v>1408</v>
      </c>
      <c r="H321" t="s">
        <v>1409</v>
      </c>
      <c r="I321" t="s">
        <v>61</v>
      </c>
      <c r="J321" t="s">
        <v>35</v>
      </c>
      <c r="K321" t="s">
        <v>1410</v>
      </c>
      <c r="L321" t="b">
        <v>1</v>
      </c>
      <c r="M321" t="s">
        <v>29</v>
      </c>
      <c r="N321" t="s">
        <v>8245</v>
      </c>
      <c r="O321" s="10">
        <v>15870</v>
      </c>
      <c r="P321" t="s">
        <v>1411</v>
      </c>
      <c r="Q321" t="s">
        <v>1412</v>
      </c>
      <c r="R321" t="s">
        <v>170</v>
      </c>
      <c r="S321" s="8">
        <v>45020.209027777775</v>
      </c>
      <c r="T321" t="s">
        <v>115</v>
      </c>
      <c r="U321" t="s">
        <v>53</v>
      </c>
      <c r="V321">
        <v>1943</v>
      </c>
      <c r="W321" s="12">
        <v>117.24</v>
      </c>
      <c r="X321">
        <v>7.5</v>
      </c>
      <c r="Y321" s="14">
        <v>21427700000000</v>
      </c>
      <c r="Z321">
        <v>88.2</v>
      </c>
      <c r="AA321">
        <v>101.8</v>
      </c>
      <c r="AB321">
        <v>9.6</v>
      </c>
      <c r="AC321">
        <v>36.6</v>
      </c>
      <c r="AD321">
        <v>328239523</v>
      </c>
    </row>
    <row r="322" spans="1:30" x14ac:dyDescent="0.45">
      <c r="A322">
        <v>317</v>
      </c>
      <c r="B322" s="6">
        <v>7200</v>
      </c>
      <c r="C322" t="s">
        <v>347</v>
      </c>
      <c r="D322" t="s">
        <v>1413</v>
      </c>
      <c r="E322">
        <v>78</v>
      </c>
      <c r="F322" t="s">
        <v>35</v>
      </c>
      <c r="G322" t="s">
        <v>870</v>
      </c>
      <c r="H322" t="s">
        <v>1414</v>
      </c>
      <c r="I322" t="s">
        <v>347</v>
      </c>
      <c r="J322" t="s">
        <v>35</v>
      </c>
      <c r="K322" t="s">
        <v>1415</v>
      </c>
      <c r="L322" t="b">
        <v>1</v>
      </c>
      <c r="M322" t="s">
        <v>39</v>
      </c>
      <c r="N322" t="s">
        <v>8245</v>
      </c>
      <c r="O322" s="10">
        <v>16364</v>
      </c>
      <c r="P322" t="s">
        <v>1416</v>
      </c>
      <c r="Q322" t="s">
        <v>1068</v>
      </c>
      <c r="R322" t="s">
        <v>32</v>
      </c>
      <c r="S322" s="8">
        <v>45020.209027777775</v>
      </c>
      <c r="T322" t="s">
        <v>43</v>
      </c>
      <c r="U322" t="s">
        <v>44</v>
      </c>
      <c r="V322">
        <v>1944</v>
      </c>
      <c r="W322" s="12">
        <v>117.24</v>
      </c>
      <c r="X322">
        <v>7.5</v>
      </c>
      <c r="Y322" s="14">
        <v>21427700000000</v>
      </c>
      <c r="Z322">
        <v>88.2</v>
      </c>
      <c r="AA322">
        <v>101.8</v>
      </c>
      <c r="AB322">
        <v>9.6</v>
      </c>
      <c r="AC322">
        <v>36.6</v>
      </c>
      <c r="AD322">
        <v>328239523</v>
      </c>
    </row>
    <row r="323" spans="1:30" hidden="1" x14ac:dyDescent="0.45">
      <c r="A323">
        <v>317</v>
      </c>
      <c r="B323">
        <v>7200</v>
      </c>
      <c r="C323" t="s">
        <v>61</v>
      </c>
      <c r="D323" t="s">
        <v>1417</v>
      </c>
      <c r="E323">
        <v>41</v>
      </c>
      <c r="F323" t="s">
        <v>360</v>
      </c>
      <c r="G323" t="s">
        <v>767</v>
      </c>
      <c r="H323" t="s">
        <v>1418</v>
      </c>
      <c r="I323" t="s">
        <v>61</v>
      </c>
      <c r="J323" t="s">
        <v>205</v>
      </c>
      <c r="L323" t="b">
        <v>1</v>
      </c>
      <c r="M323" t="s">
        <v>39</v>
      </c>
      <c r="N323" t="s">
        <v>8245</v>
      </c>
      <c r="O323" s="1">
        <v>29813</v>
      </c>
      <c r="P323" t="s">
        <v>1419</v>
      </c>
      <c r="Q323" t="s">
        <v>1420</v>
      </c>
      <c r="S323" s="1">
        <v>45020.209027777775</v>
      </c>
      <c r="V323">
        <v>1981</v>
      </c>
      <c r="W323">
        <v>114.52</v>
      </c>
      <c r="X323">
        <v>-1.9</v>
      </c>
      <c r="Y323" s="2">
        <v>421142267938</v>
      </c>
      <c r="Z323">
        <v>36.799999999999997</v>
      </c>
      <c r="AA323">
        <v>108.4</v>
      </c>
      <c r="AB323">
        <v>0.1</v>
      </c>
      <c r="AC323">
        <v>15.9</v>
      </c>
      <c r="AD323">
        <v>9770529</v>
      </c>
    </row>
    <row r="324" spans="1:30" hidden="1" x14ac:dyDescent="0.45">
      <c r="A324">
        <v>317</v>
      </c>
      <c r="B324">
        <v>7200</v>
      </c>
      <c r="C324" t="s">
        <v>23</v>
      </c>
      <c r="D324" t="s">
        <v>1421</v>
      </c>
      <c r="E324">
        <v>61</v>
      </c>
      <c r="F324" t="s">
        <v>266</v>
      </c>
      <c r="G324" t="s">
        <v>267</v>
      </c>
      <c r="H324" t="s">
        <v>1422</v>
      </c>
      <c r="I324" t="s">
        <v>23</v>
      </c>
      <c r="J324" t="s">
        <v>266</v>
      </c>
      <c r="L324" t="b">
        <v>0</v>
      </c>
      <c r="M324" t="s">
        <v>29</v>
      </c>
      <c r="N324" t="s">
        <v>8245</v>
      </c>
      <c r="O324" s="1">
        <v>22474</v>
      </c>
      <c r="P324" t="s">
        <v>1423</v>
      </c>
      <c r="Q324" t="s">
        <v>1424</v>
      </c>
      <c r="S324" s="1">
        <v>45020.209027777775</v>
      </c>
      <c r="V324">
        <v>1961</v>
      </c>
      <c r="W324">
        <v>105.48</v>
      </c>
      <c r="X324">
        <v>0.5</v>
      </c>
      <c r="Y324" s="2">
        <v>5081769542380</v>
      </c>
      <c r="Z324">
        <v>63.2</v>
      </c>
      <c r="AA324">
        <v>98.8</v>
      </c>
      <c r="AB324">
        <v>11.9</v>
      </c>
      <c r="AC324">
        <v>46.7</v>
      </c>
      <c r="AD324">
        <v>126226568</v>
      </c>
    </row>
    <row r="325" spans="1:30" hidden="1" x14ac:dyDescent="0.45">
      <c r="A325">
        <v>317</v>
      </c>
      <c r="B325">
        <v>7200</v>
      </c>
      <c r="C325" t="s">
        <v>126</v>
      </c>
      <c r="D325" t="s">
        <v>1425</v>
      </c>
      <c r="E325">
        <v>77</v>
      </c>
      <c r="F325" t="s">
        <v>128</v>
      </c>
      <c r="G325" t="s">
        <v>129</v>
      </c>
      <c r="H325" t="s">
        <v>1426</v>
      </c>
      <c r="I325" t="s">
        <v>126</v>
      </c>
      <c r="J325" t="s">
        <v>128</v>
      </c>
      <c r="K325" t="s">
        <v>1427</v>
      </c>
      <c r="L325" t="b">
        <v>1</v>
      </c>
      <c r="M325" t="s">
        <v>39</v>
      </c>
      <c r="N325" t="s">
        <v>8245</v>
      </c>
      <c r="O325" s="1">
        <v>16711</v>
      </c>
      <c r="P325" t="s">
        <v>1428</v>
      </c>
      <c r="Q325" t="s">
        <v>1429</v>
      </c>
      <c r="R325" t="s">
        <v>170</v>
      </c>
      <c r="S325" s="1">
        <v>45020.209027777775</v>
      </c>
      <c r="V325">
        <v>1945</v>
      </c>
      <c r="W325">
        <v>125.08</v>
      </c>
      <c r="X325">
        <v>2.9</v>
      </c>
      <c r="Y325" s="2">
        <v>19910000000000</v>
      </c>
      <c r="Z325">
        <v>50.6</v>
      </c>
      <c r="AA325">
        <v>100.2</v>
      </c>
      <c r="AB325">
        <v>9.4</v>
      </c>
      <c r="AC325">
        <v>59.2</v>
      </c>
      <c r="AD325">
        <v>1397715000</v>
      </c>
    </row>
    <row r="326" spans="1:30" x14ac:dyDescent="0.45">
      <c r="A326">
        <v>325</v>
      </c>
      <c r="B326" s="6">
        <v>7100</v>
      </c>
      <c r="C326" t="s">
        <v>45</v>
      </c>
      <c r="D326" t="s">
        <v>1430</v>
      </c>
      <c r="E326">
        <v>79</v>
      </c>
      <c r="F326" t="s">
        <v>35</v>
      </c>
      <c r="G326" t="s">
        <v>1431</v>
      </c>
      <c r="H326" t="s">
        <v>1432</v>
      </c>
      <c r="I326" t="s">
        <v>45</v>
      </c>
      <c r="J326" t="s">
        <v>35</v>
      </c>
      <c r="K326" t="s">
        <v>1433</v>
      </c>
      <c r="L326" t="b">
        <v>1</v>
      </c>
      <c r="M326" t="s">
        <v>29</v>
      </c>
      <c r="N326" t="s">
        <v>8246</v>
      </c>
      <c r="O326" s="10">
        <v>15919</v>
      </c>
      <c r="P326" t="s">
        <v>1434</v>
      </c>
      <c r="Q326" t="s">
        <v>825</v>
      </c>
      <c r="R326" t="s">
        <v>938</v>
      </c>
      <c r="S326" s="8">
        <v>45020.209027777775</v>
      </c>
      <c r="T326" t="s">
        <v>549</v>
      </c>
      <c r="U326" t="s">
        <v>69</v>
      </c>
      <c r="V326">
        <v>1943</v>
      </c>
      <c r="W326" s="12">
        <v>117.24</v>
      </c>
      <c r="X326">
        <v>7.5</v>
      </c>
      <c r="Y326" s="14">
        <v>21427700000000</v>
      </c>
      <c r="Z326">
        <v>88.2</v>
      </c>
      <c r="AA326">
        <v>101.8</v>
      </c>
      <c r="AB326">
        <v>9.6</v>
      </c>
      <c r="AC326">
        <v>36.6</v>
      </c>
      <c r="AD326">
        <v>328239523</v>
      </c>
    </row>
    <row r="327" spans="1:30" hidden="1" x14ac:dyDescent="0.45">
      <c r="A327">
        <v>325</v>
      </c>
      <c r="B327">
        <v>7100</v>
      </c>
      <c r="C327" t="s">
        <v>239</v>
      </c>
      <c r="D327" t="s">
        <v>1435</v>
      </c>
      <c r="E327">
        <v>76</v>
      </c>
      <c r="F327" t="s">
        <v>255</v>
      </c>
      <c r="G327" t="s">
        <v>1247</v>
      </c>
      <c r="H327" t="s">
        <v>1436</v>
      </c>
      <c r="I327" t="s">
        <v>239</v>
      </c>
      <c r="J327" t="s">
        <v>255</v>
      </c>
      <c r="L327" t="b">
        <v>1</v>
      </c>
      <c r="M327" t="s">
        <v>29</v>
      </c>
      <c r="N327" t="s">
        <v>8245</v>
      </c>
      <c r="O327" s="1">
        <v>17170</v>
      </c>
      <c r="P327" t="s">
        <v>1437</v>
      </c>
      <c r="Q327" t="s">
        <v>808</v>
      </c>
      <c r="S327" s="1">
        <v>45020.209027777775</v>
      </c>
      <c r="V327">
        <v>1947</v>
      </c>
      <c r="W327">
        <v>118.06</v>
      </c>
      <c r="X327">
        <v>1.5</v>
      </c>
      <c r="Y327" s="2">
        <v>446314739528</v>
      </c>
      <c r="Z327">
        <v>85.1</v>
      </c>
      <c r="AA327">
        <v>103.1</v>
      </c>
      <c r="AB327">
        <v>25.4</v>
      </c>
      <c r="AC327">
        <v>51.4</v>
      </c>
      <c r="AD327">
        <v>8877067</v>
      </c>
    </row>
    <row r="328" spans="1:30" hidden="1" x14ac:dyDescent="0.45">
      <c r="A328">
        <v>325</v>
      </c>
      <c r="B328">
        <v>7100</v>
      </c>
      <c r="C328" t="s">
        <v>436</v>
      </c>
      <c r="D328" t="s">
        <v>1438</v>
      </c>
      <c r="E328">
        <v>61</v>
      </c>
      <c r="F328" t="s">
        <v>35</v>
      </c>
      <c r="G328" t="s">
        <v>1439</v>
      </c>
      <c r="H328" t="s">
        <v>1440</v>
      </c>
      <c r="I328" t="s">
        <v>436</v>
      </c>
      <c r="J328" t="s">
        <v>35</v>
      </c>
      <c r="L328" t="b">
        <v>0</v>
      </c>
      <c r="M328" t="s">
        <v>39</v>
      </c>
      <c r="N328" t="s">
        <v>8246</v>
      </c>
      <c r="O328" s="1">
        <v>22601</v>
      </c>
      <c r="P328" t="s">
        <v>1441</v>
      </c>
      <c r="Q328" t="s">
        <v>1442</v>
      </c>
      <c r="S328" s="1">
        <v>45020.209027777775</v>
      </c>
      <c r="T328" t="s">
        <v>1443</v>
      </c>
      <c r="U328" t="s">
        <v>44</v>
      </c>
      <c r="V328">
        <v>1961</v>
      </c>
      <c r="W328">
        <v>117.24</v>
      </c>
      <c r="X328">
        <v>7.5</v>
      </c>
      <c r="Y328" s="2">
        <v>21427700000000</v>
      </c>
      <c r="Z328">
        <v>88.2</v>
      </c>
      <c r="AA328">
        <v>101.8</v>
      </c>
      <c r="AB328">
        <v>9.6</v>
      </c>
      <c r="AC328">
        <v>36.6</v>
      </c>
      <c r="AD328">
        <v>328239523</v>
      </c>
    </row>
    <row r="329" spans="1:30" hidden="1" x14ac:dyDescent="0.45">
      <c r="A329">
        <v>325</v>
      </c>
      <c r="B329">
        <v>7100</v>
      </c>
      <c r="C329" t="s">
        <v>296</v>
      </c>
      <c r="D329" t="s">
        <v>1444</v>
      </c>
      <c r="E329">
        <v>66</v>
      </c>
      <c r="F329" t="s">
        <v>128</v>
      </c>
      <c r="G329" t="s">
        <v>678</v>
      </c>
      <c r="H329" t="s">
        <v>1445</v>
      </c>
      <c r="I329" t="s">
        <v>296</v>
      </c>
      <c r="J329" t="s">
        <v>128</v>
      </c>
      <c r="L329" t="b">
        <v>1</v>
      </c>
      <c r="M329" t="s">
        <v>39</v>
      </c>
      <c r="N329" t="s">
        <v>8245</v>
      </c>
      <c r="O329" s="1">
        <v>20803</v>
      </c>
      <c r="P329" t="s">
        <v>1446</v>
      </c>
      <c r="Q329" t="s">
        <v>1447</v>
      </c>
      <c r="S329" s="1">
        <v>45020.209027777775</v>
      </c>
      <c r="V329">
        <v>1956</v>
      </c>
      <c r="W329">
        <v>125.08</v>
      </c>
      <c r="X329">
        <v>2.9</v>
      </c>
      <c r="Y329" s="2">
        <v>19910000000000</v>
      </c>
      <c r="Z329">
        <v>50.6</v>
      </c>
      <c r="AA329">
        <v>100.2</v>
      </c>
      <c r="AB329">
        <v>9.4</v>
      </c>
      <c r="AC329">
        <v>59.2</v>
      </c>
      <c r="AD329">
        <v>1397715000</v>
      </c>
    </row>
    <row r="330" spans="1:30" hidden="1" x14ac:dyDescent="0.45">
      <c r="A330">
        <v>325</v>
      </c>
      <c r="B330">
        <v>7100</v>
      </c>
      <c r="C330" t="s">
        <v>402</v>
      </c>
      <c r="D330" t="s">
        <v>1448</v>
      </c>
      <c r="E330">
        <v>72</v>
      </c>
      <c r="F330" t="s">
        <v>205</v>
      </c>
      <c r="G330" t="s">
        <v>1449</v>
      </c>
      <c r="H330" t="s">
        <v>1450</v>
      </c>
      <c r="I330" t="s">
        <v>402</v>
      </c>
      <c r="J330" t="s">
        <v>577</v>
      </c>
      <c r="L330" t="b">
        <v>0</v>
      </c>
      <c r="M330" t="s">
        <v>39</v>
      </c>
      <c r="N330" t="s">
        <v>8245</v>
      </c>
      <c r="O330" s="1">
        <v>18566</v>
      </c>
      <c r="P330" t="s">
        <v>1451</v>
      </c>
      <c r="Q330" t="s">
        <v>1452</v>
      </c>
      <c r="S330" s="1">
        <v>45020.209027777775</v>
      </c>
      <c r="V330">
        <v>1950</v>
      </c>
      <c r="W330">
        <v>99.55</v>
      </c>
      <c r="X330">
        <v>0.4</v>
      </c>
      <c r="Y330" s="2">
        <v>703082435360</v>
      </c>
      <c r="Z330">
        <v>59.6</v>
      </c>
      <c r="AA330">
        <v>105.2</v>
      </c>
      <c r="AB330">
        <v>10.1</v>
      </c>
      <c r="AC330">
        <v>28.8</v>
      </c>
      <c r="AD330">
        <v>8574832</v>
      </c>
    </row>
    <row r="331" spans="1:30" hidden="1" x14ac:dyDescent="0.45">
      <c r="A331">
        <v>325</v>
      </c>
      <c r="B331">
        <v>7100</v>
      </c>
      <c r="C331" t="s">
        <v>61</v>
      </c>
      <c r="D331" t="s">
        <v>1453</v>
      </c>
      <c r="E331">
        <v>94</v>
      </c>
      <c r="F331" t="s">
        <v>574</v>
      </c>
      <c r="G331" t="s">
        <v>574</v>
      </c>
      <c r="H331" t="s">
        <v>557</v>
      </c>
      <c r="I331" t="s">
        <v>61</v>
      </c>
      <c r="J331" t="s">
        <v>574</v>
      </c>
      <c r="L331" t="b">
        <v>0</v>
      </c>
      <c r="M331" t="s">
        <v>39</v>
      </c>
      <c r="N331" t="s">
        <v>8245</v>
      </c>
      <c r="O331" s="1">
        <v>10603</v>
      </c>
      <c r="P331" t="s">
        <v>1454</v>
      </c>
      <c r="Q331" t="s">
        <v>1455</v>
      </c>
      <c r="S331" s="1">
        <v>45020.209027777775</v>
      </c>
      <c r="V331">
        <v>1929</v>
      </c>
      <c r="W331">
        <v>114.41</v>
      </c>
      <c r="X331">
        <v>0.6</v>
      </c>
      <c r="Y331" s="2">
        <v>372062527489</v>
      </c>
      <c r="Z331">
        <v>84.8</v>
      </c>
      <c r="AA331">
        <v>100.6</v>
      </c>
      <c r="AB331">
        <v>13.1</v>
      </c>
      <c r="AC331">
        <v>21</v>
      </c>
      <c r="AD331">
        <v>5703569</v>
      </c>
    </row>
    <row r="332" spans="1:30" hidden="1" x14ac:dyDescent="0.45">
      <c r="A332">
        <v>325</v>
      </c>
      <c r="B332">
        <v>7100</v>
      </c>
      <c r="C332" t="s">
        <v>296</v>
      </c>
      <c r="D332" t="s">
        <v>1456</v>
      </c>
      <c r="E332">
        <v>71</v>
      </c>
      <c r="F332" t="s">
        <v>128</v>
      </c>
      <c r="G332" t="s">
        <v>960</v>
      </c>
      <c r="H332" t="s">
        <v>1400</v>
      </c>
      <c r="I332" t="s">
        <v>296</v>
      </c>
      <c r="J332" t="s">
        <v>128</v>
      </c>
      <c r="L332" t="b">
        <v>1</v>
      </c>
      <c r="M332" t="s">
        <v>29</v>
      </c>
      <c r="N332" t="s">
        <v>8245</v>
      </c>
      <c r="O332" s="1">
        <v>18994</v>
      </c>
      <c r="P332" t="s">
        <v>190</v>
      </c>
      <c r="Q332" t="s">
        <v>1457</v>
      </c>
      <c r="S332" s="1">
        <v>45020.209027777775</v>
      </c>
      <c r="V332">
        <v>1952</v>
      </c>
      <c r="W332">
        <v>125.08</v>
      </c>
      <c r="X332">
        <v>2.9</v>
      </c>
      <c r="Y332" s="2">
        <v>19910000000000</v>
      </c>
      <c r="Z332">
        <v>50.6</v>
      </c>
      <c r="AA332">
        <v>100.2</v>
      </c>
      <c r="AB332">
        <v>9.4</v>
      </c>
      <c r="AC332">
        <v>59.2</v>
      </c>
      <c r="AD332">
        <v>1397715000</v>
      </c>
    </row>
    <row r="333" spans="1:30" x14ac:dyDescent="0.45">
      <c r="A333">
        <v>332</v>
      </c>
      <c r="B333" s="6">
        <v>7000</v>
      </c>
      <c r="C333" t="s">
        <v>45</v>
      </c>
      <c r="D333" t="s">
        <v>1458</v>
      </c>
      <c r="E333">
        <v>58</v>
      </c>
      <c r="F333" t="s">
        <v>35</v>
      </c>
      <c r="G333" t="s">
        <v>991</v>
      </c>
      <c r="H333" t="s">
        <v>865</v>
      </c>
      <c r="I333" t="s">
        <v>45</v>
      </c>
      <c r="J333" t="s">
        <v>35</v>
      </c>
      <c r="K333" t="s">
        <v>1459</v>
      </c>
      <c r="L333" t="b">
        <v>1</v>
      </c>
      <c r="M333" t="s">
        <v>39</v>
      </c>
      <c r="N333" t="s">
        <v>8245</v>
      </c>
      <c r="O333" s="10">
        <v>23645</v>
      </c>
      <c r="P333" t="s">
        <v>1460</v>
      </c>
      <c r="Q333" t="s">
        <v>1461</v>
      </c>
      <c r="R333" t="s">
        <v>32</v>
      </c>
      <c r="S333" s="8">
        <v>45020.209027777775</v>
      </c>
      <c r="T333" t="s">
        <v>115</v>
      </c>
      <c r="U333" t="s">
        <v>53</v>
      </c>
      <c r="V333">
        <v>1964</v>
      </c>
      <c r="W333" s="12">
        <v>117.24</v>
      </c>
      <c r="X333">
        <v>7.5</v>
      </c>
      <c r="Y333" s="14">
        <v>21427700000000</v>
      </c>
      <c r="Z333">
        <v>88.2</v>
      </c>
      <c r="AA333">
        <v>101.8</v>
      </c>
      <c r="AB333">
        <v>9.6</v>
      </c>
      <c r="AC333">
        <v>36.6</v>
      </c>
      <c r="AD333">
        <v>328239523</v>
      </c>
    </row>
    <row r="334" spans="1:30" hidden="1" x14ac:dyDescent="0.45">
      <c r="A334">
        <v>332</v>
      </c>
      <c r="B334">
        <v>7000</v>
      </c>
      <c r="C334" t="s">
        <v>76</v>
      </c>
      <c r="D334" t="s">
        <v>1462</v>
      </c>
      <c r="E334">
        <v>37</v>
      </c>
      <c r="F334" t="s">
        <v>272</v>
      </c>
      <c r="G334" t="s">
        <v>273</v>
      </c>
      <c r="H334" t="s">
        <v>336</v>
      </c>
      <c r="I334" t="s">
        <v>76</v>
      </c>
      <c r="J334" t="s">
        <v>490</v>
      </c>
      <c r="L334" t="b">
        <v>1</v>
      </c>
      <c r="M334" t="s">
        <v>39</v>
      </c>
      <c r="N334" t="s">
        <v>8245</v>
      </c>
      <c r="O334" s="1">
        <v>31194</v>
      </c>
      <c r="P334" t="s">
        <v>1463</v>
      </c>
      <c r="Q334" t="s">
        <v>1464</v>
      </c>
      <c r="S334" s="1">
        <v>45020.209027777775</v>
      </c>
      <c r="V334">
        <v>1985</v>
      </c>
      <c r="W334">
        <v>119.62</v>
      </c>
      <c r="X334">
        <v>1.7</v>
      </c>
      <c r="Y334" s="2">
        <v>2827113184696</v>
      </c>
      <c r="Z334">
        <v>60</v>
      </c>
      <c r="AA334">
        <v>101.2</v>
      </c>
      <c r="AB334">
        <v>25.5</v>
      </c>
      <c r="AC334">
        <v>30.6</v>
      </c>
      <c r="AD334">
        <v>66834405</v>
      </c>
    </row>
    <row r="335" spans="1:30" hidden="1" x14ac:dyDescent="0.45">
      <c r="A335">
        <v>332</v>
      </c>
      <c r="B335">
        <v>7000</v>
      </c>
      <c r="C335" t="s">
        <v>76</v>
      </c>
      <c r="D335" t="s">
        <v>1465</v>
      </c>
      <c r="E335">
        <v>41</v>
      </c>
      <c r="F335" t="s">
        <v>272</v>
      </c>
      <c r="G335" t="s">
        <v>273</v>
      </c>
      <c r="H335" t="s">
        <v>336</v>
      </c>
      <c r="I335" t="s">
        <v>76</v>
      </c>
      <c r="J335" t="s">
        <v>490</v>
      </c>
      <c r="L335" t="b">
        <v>1</v>
      </c>
      <c r="M335" t="s">
        <v>39</v>
      </c>
      <c r="N335" t="s">
        <v>8245</v>
      </c>
      <c r="O335" s="1">
        <v>30039</v>
      </c>
      <c r="P335" t="s">
        <v>1463</v>
      </c>
      <c r="Q335" t="s">
        <v>1466</v>
      </c>
      <c r="S335" s="1">
        <v>45020.209027777775</v>
      </c>
      <c r="V335">
        <v>1982</v>
      </c>
      <c r="W335">
        <v>119.62</v>
      </c>
      <c r="X335">
        <v>1.7</v>
      </c>
      <c r="Y335" s="2">
        <v>2827113184696</v>
      </c>
      <c r="Z335">
        <v>60</v>
      </c>
      <c r="AA335">
        <v>101.2</v>
      </c>
      <c r="AB335">
        <v>25.5</v>
      </c>
      <c r="AC335">
        <v>30.6</v>
      </c>
      <c r="AD335">
        <v>66834405</v>
      </c>
    </row>
    <row r="336" spans="1:30" hidden="1" x14ac:dyDescent="0.45">
      <c r="A336">
        <v>332</v>
      </c>
      <c r="B336">
        <v>7000</v>
      </c>
      <c r="C336" t="s">
        <v>45</v>
      </c>
      <c r="D336" t="s">
        <v>1467</v>
      </c>
      <c r="E336">
        <v>77</v>
      </c>
      <c r="F336" t="s">
        <v>35</v>
      </c>
      <c r="G336" t="s">
        <v>1468</v>
      </c>
      <c r="H336" t="s">
        <v>1469</v>
      </c>
      <c r="I336" t="s">
        <v>45</v>
      </c>
      <c r="J336" t="s">
        <v>35</v>
      </c>
      <c r="L336" t="b">
        <v>1</v>
      </c>
      <c r="M336" t="s">
        <v>29</v>
      </c>
      <c r="N336" t="s">
        <v>8245</v>
      </c>
      <c r="O336" s="1">
        <v>16641</v>
      </c>
      <c r="P336" t="s">
        <v>1470</v>
      </c>
      <c r="Q336" t="s">
        <v>386</v>
      </c>
      <c r="S336" s="1">
        <v>45020.209027777775</v>
      </c>
      <c r="T336" t="s">
        <v>115</v>
      </c>
      <c r="U336" t="s">
        <v>53</v>
      </c>
      <c r="V336">
        <v>1945</v>
      </c>
      <c r="W336">
        <v>117.24</v>
      </c>
      <c r="X336">
        <v>7.5</v>
      </c>
      <c r="Y336" s="2">
        <v>21427700000000</v>
      </c>
      <c r="Z336">
        <v>88.2</v>
      </c>
      <c r="AA336">
        <v>101.8</v>
      </c>
      <c r="AB336">
        <v>9.6</v>
      </c>
      <c r="AC336">
        <v>36.6</v>
      </c>
      <c r="AD336">
        <v>328239523</v>
      </c>
    </row>
    <row r="337" spans="1:30" hidden="1" x14ac:dyDescent="0.45">
      <c r="A337">
        <v>332</v>
      </c>
      <c r="B337">
        <v>7000</v>
      </c>
      <c r="C337" t="s">
        <v>296</v>
      </c>
      <c r="D337" t="s">
        <v>1471</v>
      </c>
      <c r="E337">
        <v>80</v>
      </c>
      <c r="F337" t="s">
        <v>93</v>
      </c>
      <c r="G337" t="s">
        <v>94</v>
      </c>
      <c r="H337" t="s">
        <v>659</v>
      </c>
      <c r="I337" t="s">
        <v>296</v>
      </c>
      <c r="J337" t="s">
        <v>93</v>
      </c>
      <c r="L337" t="b">
        <v>0</v>
      </c>
      <c r="M337" t="s">
        <v>39</v>
      </c>
      <c r="N337" t="s">
        <v>8245</v>
      </c>
      <c r="O337" s="1">
        <v>15638</v>
      </c>
      <c r="P337" t="s">
        <v>1472</v>
      </c>
      <c r="Q337" t="s">
        <v>1473</v>
      </c>
      <c r="S337" s="1">
        <v>45020.209027777775</v>
      </c>
      <c r="V337">
        <v>1942</v>
      </c>
      <c r="W337">
        <v>180.44</v>
      </c>
      <c r="X337">
        <v>7.7</v>
      </c>
      <c r="Y337" s="2">
        <v>2611000000000</v>
      </c>
      <c r="Z337">
        <v>28.1</v>
      </c>
      <c r="AA337">
        <v>113</v>
      </c>
      <c r="AB337">
        <v>11.2</v>
      </c>
      <c r="AC337">
        <v>49.7</v>
      </c>
      <c r="AD337">
        <v>1366417754</v>
      </c>
    </row>
    <row r="338" spans="1:30" x14ac:dyDescent="0.45">
      <c r="A338">
        <v>332</v>
      </c>
      <c r="B338" s="6">
        <v>7000</v>
      </c>
      <c r="C338" t="s">
        <v>23</v>
      </c>
      <c r="D338" t="s">
        <v>1474</v>
      </c>
      <c r="E338">
        <v>83</v>
      </c>
      <c r="F338" t="s">
        <v>35</v>
      </c>
      <c r="G338" t="s">
        <v>78</v>
      </c>
      <c r="H338" t="s">
        <v>1475</v>
      </c>
      <c r="I338" t="s">
        <v>23</v>
      </c>
      <c r="J338" t="s">
        <v>35</v>
      </c>
      <c r="K338" t="s">
        <v>1474</v>
      </c>
      <c r="L338" t="b">
        <v>1</v>
      </c>
      <c r="M338" t="s">
        <v>29</v>
      </c>
      <c r="N338" t="s">
        <v>8245</v>
      </c>
      <c r="O338" s="10">
        <v>14532</v>
      </c>
      <c r="P338" t="s">
        <v>1476</v>
      </c>
      <c r="Q338" t="s">
        <v>1477</v>
      </c>
      <c r="R338" t="s">
        <v>1478</v>
      </c>
      <c r="S338" s="8">
        <v>45020.209027777775</v>
      </c>
      <c r="T338" t="s">
        <v>78</v>
      </c>
      <c r="U338" t="s">
        <v>82</v>
      </c>
      <c r="V338">
        <v>1939</v>
      </c>
      <c r="W338" s="12">
        <v>117.24</v>
      </c>
      <c r="X338">
        <v>7.5</v>
      </c>
      <c r="Y338" s="14">
        <v>21427700000000</v>
      </c>
      <c r="Z338">
        <v>88.2</v>
      </c>
      <c r="AA338">
        <v>101.8</v>
      </c>
      <c r="AB338">
        <v>9.6</v>
      </c>
      <c r="AC338">
        <v>36.6</v>
      </c>
      <c r="AD338">
        <v>328239523</v>
      </c>
    </row>
    <row r="339" spans="1:30" hidden="1" x14ac:dyDescent="0.45">
      <c r="A339">
        <v>332</v>
      </c>
      <c r="B339">
        <v>7000</v>
      </c>
      <c r="C339" t="s">
        <v>302</v>
      </c>
      <c r="D339" t="s">
        <v>1479</v>
      </c>
      <c r="E339">
        <v>74</v>
      </c>
      <c r="F339" t="s">
        <v>228</v>
      </c>
      <c r="G339" t="s">
        <v>228</v>
      </c>
      <c r="H339" t="s">
        <v>304</v>
      </c>
      <c r="I339" t="s">
        <v>302</v>
      </c>
      <c r="J339" t="s">
        <v>228</v>
      </c>
      <c r="L339" t="b">
        <v>0</v>
      </c>
      <c r="M339" t="s">
        <v>29</v>
      </c>
      <c r="N339" t="s">
        <v>8245</v>
      </c>
      <c r="O339" s="1">
        <v>17747</v>
      </c>
      <c r="P339" t="s">
        <v>1480</v>
      </c>
      <c r="Q339" t="s">
        <v>1481</v>
      </c>
      <c r="S339" s="1">
        <v>45020.209027777775</v>
      </c>
      <c r="V339">
        <v>1948</v>
      </c>
      <c r="W339"/>
      <c r="Y339"/>
    </row>
    <row r="340" spans="1:30" hidden="1" x14ac:dyDescent="0.45">
      <c r="A340">
        <v>332</v>
      </c>
      <c r="B340">
        <v>7000</v>
      </c>
      <c r="C340" t="s">
        <v>91</v>
      </c>
      <c r="D340" t="s">
        <v>1482</v>
      </c>
      <c r="E340">
        <v>55</v>
      </c>
      <c r="F340" t="s">
        <v>93</v>
      </c>
      <c r="G340" t="s">
        <v>94</v>
      </c>
      <c r="H340" t="s">
        <v>91</v>
      </c>
      <c r="I340" t="s">
        <v>91</v>
      </c>
      <c r="J340" t="s">
        <v>93</v>
      </c>
      <c r="L340" t="b">
        <v>0</v>
      </c>
      <c r="M340" t="s">
        <v>258</v>
      </c>
      <c r="N340" t="s">
        <v>8246</v>
      </c>
      <c r="O340" s="1">
        <v>24629</v>
      </c>
      <c r="P340" t="s">
        <v>1483</v>
      </c>
      <c r="Q340" t="s">
        <v>1484</v>
      </c>
      <c r="S340" s="1">
        <v>45020.209027777775</v>
      </c>
      <c r="V340">
        <v>1967</v>
      </c>
      <c r="W340">
        <v>180.44</v>
      </c>
      <c r="X340">
        <v>7.7</v>
      </c>
      <c r="Y340" s="2">
        <v>2611000000000</v>
      </c>
      <c r="Z340">
        <v>28.1</v>
      </c>
      <c r="AA340">
        <v>113</v>
      </c>
      <c r="AB340">
        <v>11.2</v>
      </c>
      <c r="AC340">
        <v>49.7</v>
      </c>
      <c r="AD340">
        <v>1366417754</v>
      </c>
    </row>
    <row r="341" spans="1:30" hidden="1" x14ac:dyDescent="0.45">
      <c r="A341">
        <v>332</v>
      </c>
      <c r="B341">
        <v>7000</v>
      </c>
      <c r="C341" t="s">
        <v>91</v>
      </c>
      <c r="D341" t="s">
        <v>1485</v>
      </c>
      <c r="E341">
        <v>58</v>
      </c>
      <c r="F341" t="s">
        <v>93</v>
      </c>
      <c r="G341" t="s">
        <v>94</v>
      </c>
      <c r="H341" t="s">
        <v>91</v>
      </c>
      <c r="I341" t="s">
        <v>91</v>
      </c>
      <c r="J341" t="s">
        <v>1486</v>
      </c>
      <c r="L341" t="b">
        <v>0</v>
      </c>
      <c r="M341" t="s">
        <v>258</v>
      </c>
      <c r="N341" t="s">
        <v>8245</v>
      </c>
      <c r="O341" s="1">
        <v>23626</v>
      </c>
      <c r="P341" t="s">
        <v>1483</v>
      </c>
      <c r="Q341" t="s">
        <v>1487</v>
      </c>
      <c r="S341" s="1">
        <v>45020.209027777775</v>
      </c>
      <c r="V341">
        <v>1964</v>
      </c>
      <c r="W341">
        <v>180.44</v>
      </c>
      <c r="X341">
        <v>7.7</v>
      </c>
      <c r="Y341" s="2">
        <v>2611000000000</v>
      </c>
      <c r="Z341">
        <v>28.1</v>
      </c>
      <c r="AA341">
        <v>113</v>
      </c>
      <c r="AB341">
        <v>11.2</v>
      </c>
      <c r="AC341">
        <v>49.7</v>
      </c>
      <c r="AD341">
        <v>1366417754</v>
      </c>
    </row>
    <row r="342" spans="1:30" x14ac:dyDescent="0.45">
      <c r="A342">
        <v>332</v>
      </c>
      <c r="B342" s="6">
        <v>7000</v>
      </c>
      <c r="C342" t="s">
        <v>126</v>
      </c>
      <c r="D342" t="s">
        <v>1488</v>
      </c>
      <c r="E342">
        <v>69</v>
      </c>
      <c r="F342" t="s">
        <v>35</v>
      </c>
      <c r="G342" t="s">
        <v>1489</v>
      </c>
      <c r="H342" t="s">
        <v>1490</v>
      </c>
      <c r="I342" t="s">
        <v>126</v>
      </c>
      <c r="J342" t="s">
        <v>35</v>
      </c>
      <c r="K342" t="s">
        <v>1491</v>
      </c>
      <c r="L342" t="b">
        <v>1</v>
      </c>
      <c r="M342" t="s">
        <v>39</v>
      </c>
      <c r="N342" t="s">
        <v>8245</v>
      </c>
      <c r="O342" s="10">
        <v>19722</v>
      </c>
      <c r="P342" t="s">
        <v>1492</v>
      </c>
      <c r="Q342" t="s">
        <v>1493</v>
      </c>
      <c r="R342" t="s">
        <v>1494</v>
      </c>
      <c r="S342" s="8">
        <v>45020.209027777775</v>
      </c>
      <c r="T342" t="s">
        <v>253</v>
      </c>
      <c r="U342" t="s">
        <v>44</v>
      </c>
      <c r="V342">
        <v>1953</v>
      </c>
      <c r="W342" s="12">
        <v>117.24</v>
      </c>
      <c r="X342">
        <v>7.5</v>
      </c>
      <c r="Y342" s="14">
        <v>21427700000000</v>
      </c>
      <c r="Z342">
        <v>88.2</v>
      </c>
      <c r="AA342">
        <v>101.8</v>
      </c>
      <c r="AB342">
        <v>9.6</v>
      </c>
      <c r="AC342">
        <v>36.6</v>
      </c>
      <c r="AD342">
        <v>328239523</v>
      </c>
    </row>
    <row r="343" spans="1:30" x14ac:dyDescent="0.45">
      <c r="A343">
        <v>332</v>
      </c>
      <c r="B343" s="6">
        <v>7000</v>
      </c>
      <c r="C343" t="s">
        <v>126</v>
      </c>
      <c r="D343" t="s">
        <v>1495</v>
      </c>
      <c r="E343">
        <v>67</v>
      </c>
      <c r="F343" t="s">
        <v>35</v>
      </c>
      <c r="G343" t="s">
        <v>355</v>
      </c>
      <c r="H343" t="s">
        <v>1490</v>
      </c>
      <c r="I343" t="s">
        <v>126</v>
      </c>
      <c r="J343" t="s">
        <v>35</v>
      </c>
      <c r="K343" t="s">
        <v>1491</v>
      </c>
      <c r="L343" t="b">
        <v>1</v>
      </c>
      <c r="M343" t="s">
        <v>39</v>
      </c>
      <c r="N343" t="s">
        <v>8245</v>
      </c>
      <c r="O343" s="10">
        <v>20348</v>
      </c>
      <c r="P343" t="s">
        <v>1492</v>
      </c>
      <c r="Q343" t="s">
        <v>1496</v>
      </c>
      <c r="R343" t="s">
        <v>1494</v>
      </c>
      <c r="S343" s="8">
        <v>45020.209027777775</v>
      </c>
      <c r="T343" t="s">
        <v>253</v>
      </c>
      <c r="U343" t="s">
        <v>44</v>
      </c>
      <c r="V343">
        <v>1955</v>
      </c>
      <c r="W343" s="12">
        <v>117.24</v>
      </c>
      <c r="X343">
        <v>7.5</v>
      </c>
      <c r="Y343" s="14">
        <v>21427700000000</v>
      </c>
      <c r="Z343">
        <v>88.2</v>
      </c>
      <c r="AA343">
        <v>101.8</v>
      </c>
      <c r="AB343">
        <v>9.6</v>
      </c>
      <c r="AC343">
        <v>36.6</v>
      </c>
      <c r="AD343">
        <v>328239523</v>
      </c>
    </row>
    <row r="344" spans="1:30" hidden="1" x14ac:dyDescent="0.45">
      <c r="A344">
        <v>332</v>
      </c>
      <c r="B344">
        <v>7000</v>
      </c>
      <c r="C344" t="s">
        <v>126</v>
      </c>
      <c r="D344" t="s">
        <v>1497</v>
      </c>
      <c r="E344">
        <v>71</v>
      </c>
      <c r="F344" t="s">
        <v>35</v>
      </c>
      <c r="G344" t="s">
        <v>1498</v>
      </c>
      <c r="H344" t="s">
        <v>1426</v>
      </c>
      <c r="I344" t="s">
        <v>126</v>
      </c>
      <c r="J344" t="s">
        <v>35</v>
      </c>
      <c r="L344" t="b">
        <v>1</v>
      </c>
      <c r="M344" t="s">
        <v>29</v>
      </c>
      <c r="N344" t="s">
        <v>8245</v>
      </c>
      <c r="O344" s="1">
        <v>19050</v>
      </c>
      <c r="P344" t="s">
        <v>1499</v>
      </c>
      <c r="Q344" t="s">
        <v>1412</v>
      </c>
      <c r="S344" s="1">
        <v>45020.209027777775</v>
      </c>
      <c r="T344" t="s">
        <v>78</v>
      </c>
      <c r="U344" t="s">
        <v>82</v>
      </c>
      <c r="V344">
        <v>1952</v>
      </c>
      <c r="W344">
        <v>117.24</v>
      </c>
      <c r="X344">
        <v>7.5</v>
      </c>
      <c r="Y344" s="2">
        <v>21427700000000</v>
      </c>
      <c r="Z344">
        <v>88.2</v>
      </c>
      <c r="AA344">
        <v>101.8</v>
      </c>
      <c r="AB344">
        <v>9.6</v>
      </c>
      <c r="AC344">
        <v>36.6</v>
      </c>
      <c r="AD344">
        <v>328239523</v>
      </c>
    </row>
    <row r="345" spans="1:30" hidden="1" x14ac:dyDescent="0.45">
      <c r="A345">
        <v>344</v>
      </c>
      <c r="B345">
        <v>6900</v>
      </c>
      <c r="C345" t="s">
        <v>91</v>
      </c>
      <c r="D345" t="s">
        <v>1500</v>
      </c>
      <c r="E345">
        <v>62</v>
      </c>
      <c r="F345" t="s">
        <v>85</v>
      </c>
      <c r="H345" t="s">
        <v>91</v>
      </c>
      <c r="I345" t="s">
        <v>91</v>
      </c>
      <c r="J345" t="s">
        <v>85</v>
      </c>
      <c r="L345" t="b">
        <v>0</v>
      </c>
      <c r="M345" t="s">
        <v>29</v>
      </c>
      <c r="N345" t="s">
        <v>8245</v>
      </c>
      <c r="O345" s="1">
        <v>22282</v>
      </c>
      <c r="P345" t="s">
        <v>1501</v>
      </c>
      <c r="Q345" t="s">
        <v>1502</v>
      </c>
      <c r="S345" s="1">
        <v>45020.209027777775</v>
      </c>
      <c r="V345">
        <v>1961</v>
      </c>
      <c r="W345">
        <v>141.54</v>
      </c>
      <c r="X345">
        <v>3.6</v>
      </c>
      <c r="Y345" s="2">
        <v>1258286717125</v>
      </c>
      <c r="Z345">
        <v>40.200000000000003</v>
      </c>
      <c r="AA345">
        <v>105.8</v>
      </c>
      <c r="AB345">
        <v>13.1</v>
      </c>
      <c r="AC345">
        <v>55.1</v>
      </c>
      <c r="AD345">
        <v>126014024</v>
      </c>
    </row>
    <row r="346" spans="1:30" hidden="1" x14ac:dyDescent="0.45">
      <c r="A346">
        <v>344</v>
      </c>
      <c r="B346">
        <v>6900</v>
      </c>
      <c r="C346" t="s">
        <v>91</v>
      </c>
      <c r="D346" t="s">
        <v>1503</v>
      </c>
      <c r="E346">
        <v>87</v>
      </c>
      <c r="F346" t="s">
        <v>35</v>
      </c>
      <c r="G346" t="s">
        <v>964</v>
      </c>
      <c r="H346" t="s">
        <v>1504</v>
      </c>
      <c r="I346" t="s">
        <v>91</v>
      </c>
      <c r="J346" t="s">
        <v>35</v>
      </c>
      <c r="L346" t="b">
        <v>0</v>
      </c>
      <c r="M346" t="s">
        <v>611</v>
      </c>
      <c r="N346" t="s">
        <v>8246</v>
      </c>
      <c r="O346" s="1">
        <v>13150</v>
      </c>
      <c r="P346" t="s">
        <v>1505</v>
      </c>
      <c r="Q346" t="s">
        <v>1506</v>
      </c>
      <c r="S346" s="1">
        <v>45020.209027777775</v>
      </c>
      <c r="T346" t="s">
        <v>115</v>
      </c>
      <c r="U346" t="s">
        <v>53</v>
      </c>
      <c r="V346">
        <v>1936</v>
      </c>
      <c r="W346">
        <v>117.24</v>
      </c>
      <c r="X346">
        <v>7.5</v>
      </c>
      <c r="Y346" s="2">
        <v>21427700000000</v>
      </c>
      <c r="Z346">
        <v>88.2</v>
      </c>
      <c r="AA346">
        <v>101.8</v>
      </c>
      <c r="AB346">
        <v>9.6</v>
      </c>
      <c r="AC346">
        <v>36.6</v>
      </c>
      <c r="AD346">
        <v>328239523</v>
      </c>
    </row>
    <row r="347" spans="1:30" hidden="1" x14ac:dyDescent="0.45">
      <c r="A347">
        <v>344</v>
      </c>
      <c r="B347">
        <v>6900</v>
      </c>
      <c r="C347" t="s">
        <v>126</v>
      </c>
      <c r="D347" t="s">
        <v>1507</v>
      </c>
      <c r="E347">
        <v>89</v>
      </c>
      <c r="F347" t="s">
        <v>35</v>
      </c>
      <c r="G347" t="s">
        <v>1508</v>
      </c>
      <c r="H347" t="s">
        <v>1509</v>
      </c>
      <c r="I347" t="s">
        <v>126</v>
      </c>
      <c r="J347" t="s">
        <v>35</v>
      </c>
      <c r="L347" t="b">
        <v>0</v>
      </c>
      <c r="M347" t="s">
        <v>39</v>
      </c>
      <c r="N347" t="s">
        <v>8246</v>
      </c>
      <c r="O347" s="1">
        <v>12420</v>
      </c>
      <c r="P347" t="s">
        <v>1510</v>
      </c>
      <c r="Q347" t="s">
        <v>1511</v>
      </c>
      <c r="S347" s="1">
        <v>45020.209027777775</v>
      </c>
      <c r="T347" t="s">
        <v>1153</v>
      </c>
      <c r="U347" t="s">
        <v>69</v>
      </c>
      <c r="V347">
        <v>1934</v>
      </c>
      <c r="W347">
        <v>117.24</v>
      </c>
      <c r="X347">
        <v>7.5</v>
      </c>
      <c r="Y347" s="2">
        <v>21427700000000</v>
      </c>
      <c r="Z347">
        <v>88.2</v>
      </c>
      <c r="AA347">
        <v>101.8</v>
      </c>
      <c r="AB347">
        <v>9.6</v>
      </c>
      <c r="AC347">
        <v>36.6</v>
      </c>
      <c r="AD347">
        <v>328239523</v>
      </c>
    </row>
    <row r="348" spans="1:30" x14ac:dyDescent="0.45">
      <c r="A348">
        <v>344</v>
      </c>
      <c r="B348" s="6">
        <v>6900</v>
      </c>
      <c r="C348" t="s">
        <v>61</v>
      </c>
      <c r="D348" t="s">
        <v>1512</v>
      </c>
      <c r="E348">
        <v>55</v>
      </c>
      <c r="F348" t="s">
        <v>35</v>
      </c>
      <c r="G348" t="s">
        <v>78</v>
      </c>
      <c r="H348" t="s">
        <v>1513</v>
      </c>
      <c r="I348" t="s">
        <v>61</v>
      </c>
      <c r="J348" t="s">
        <v>35</v>
      </c>
      <c r="K348" t="s">
        <v>1514</v>
      </c>
      <c r="L348" t="b">
        <v>1</v>
      </c>
      <c r="M348" t="s">
        <v>29</v>
      </c>
      <c r="N348" t="s">
        <v>8245</v>
      </c>
      <c r="O348" s="10">
        <v>24731</v>
      </c>
      <c r="P348" t="s">
        <v>1515</v>
      </c>
      <c r="Q348" t="s">
        <v>1516</v>
      </c>
      <c r="R348" t="s">
        <v>192</v>
      </c>
      <c r="S348" s="8">
        <v>45020.209027777775</v>
      </c>
      <c r="T348" t="s">
        <v>78</v>
      </c>
      <c r="U348" t="s">
        <v>82</v>
      </c>
      <c r="V348">
        <v>1967</v>
      </c>
      <c r="W348" s="12">
        <v>117.24</v>
      </c>
      <c r="X348">
        <v>7.5</v>
      </c>
      <c r="Y348" s="14">
        <v>21427700000000</v>
      </c>
      <c r="Z348">
        <v>88.2</v>
      </c>
      <c r="AA348">
        <v>101.8</v>
      </c>
      <c r="AB348">
        <v>9.6</v>
      </c>
      <c r="AC348">
        <v>36.6</v>
      </c>
      <c r="AD348">
        <v>328239523</v>
      </c>
    </row>
    <row r="349" spans="1:30" hidden="1" x14ac:dyDescent="0.45">
      <c r="A349">
        <v>344</v>
      </c>
      <c r="B349">
        <v>6900</v>
      </c>
      <c r="C349" t="s">
        <v>45</v>
      </c>
      <c r="D349" t="s">
        <v>1517</v>
      </c>
      <c r="E349">
        <v>58</v>
      </c>
      <c r="F349" t="s">
        <v>128</v>
      </c>
      <c r="G349" t="s">
        <v>1518</v>
      </c>
      <c r="H349" t="s">
        <v>1519</v>
      </c>
      <c r="I349" t="s">
        <v>45</v>
      </c>
      <c r="J349" t="s">
        <v>128</v>
      </c>
      <c r="L349" t="b">
        <v>1</v>
      </c>
      <c r="M349" t="s">
        <v>39</v>
      </c>
      <c r="N349" t="s">
        <v>8245</v>
      </c>
      <c r="O349" s="1">
        <v>23642</v>
      </c>
      <c r="P349" t="s">
        <v>779</v>
      </c>
      <c r="Q349" t="s">
        <v>1520</v>
      </c>
      <c r="S349" s="1">
        <v>45020.209027777775</v>
      </c>
      <c r="V349">
        <v>1964</v>
      </c>
      <c r="W349">
        <v>125.08</v>
      </c>
      <c r="X349">
        <v>2.9</v>
      </c>
      <c r="Y349" s="2">
        <v>19910000000000</v>
      </c>
      <c r="Z349">
        <v>50.6</v>
      </c>
      <c r="AA349">
        <v>100.2</v>
      </c>
      <c r="AB349">
        <v>9.4</v>
      </c>
      <c r="AC349">
        <v>59.2</v>
      </c>
      <c r="AD349">
        <v>1397715000</v>
      </c>
    </row>
    <row r="350" spans="1:30" hidden="1" x14ac:dyDescent="0.45">
      <c r="A350">
        <v>344</v>
      </c>
      <c r="B350">
        <v>6900</v>
      </c>
      <c r="C350" t="s">
        <v>302</v>
      </c>
      <c r="D350" t="s">
        <v>1521</v>
      </c>
      <c r="E350">
        <v>80</v>
      </c>
      <c r="F350" t="s">
        <v>35</v>
      </c>
      <c r="G350" t="s">
        <v>1522</v>
      </c>
      <c r="H350" t="s">
        <v>304</v>
      </c>
      <c r="I350" t="s">
        <v>302</v>
      </c>
      <c r="J350" t="s">
        <v>35</v>
      </c>
      <c r="L350" t="b">
        <v>1</v>
      </c>
      <c r="M350" t="s">
        <v>29</v>
      </c>
      <c r="N350" t="s">
        <v>8245</v>
      </c>
      <c r="O350" s="1">
        <v>15604</v>
      </c>
      <c r="P350" t="s">
        <v>1523</v>
      </c>
      <c r="Q350" t="s">
        <v>1466</v>
      </c>
      <c r="S350" s="1">
        <v>45020.209027777775</v>
      </c>
      <c r="T350" t="s">
        <v>253</v>
      </c>
      <c r="U350" t="s">
        <v>44</v>
      </c>
      <c r="V350">
        <v>1942</v>
      </c>
      <c r="W350">
        <v>117.24</v>
      </c>
      <c r="X350">
        <v>7.5</v>
      </c>
      <c r="Y350" s="2">
        <v>21427700000000</v>
      </c>
      <c r="Z350">
        <v>88.2</v>
      </c>
      <c r="AA350">
        <v>101.8</v>
      </c>
      <c r="AB350">
        <v>9.6</v>
      </c>
      <c r="AC350">
        <v>36.6</v>
      </c>
      <c r="AD350">
        <v>328239523</v>
      </c>
    </row>
    <row r="351" spans="1:30" hidden="1" x14ac:dyDescent="0.45">
      <c r="A351">
        <v>344</v>
      </c>
      <c r="B351">
        <v>6900</v>
      </c>
      <c r="C351" t="s">
        <v>23</v>
      </c>
      <c r="D351" t="s">
        <v>1524</v>
      </c>
      <c r="E351">
        <v>54</v>
      </c>
      <c r="F351" t="s">
        <v>117</v>
      </c>
      <c r="G351" t="s">
        <v>118</v>
      </c>
      <c r="H351" t="s">
        <v>119</v>
      </c>
      <c r="I351" t="s">
        <v>23</v>
      </c>
      <c r="J351" t="s">
        <v>117</v>
      </c>
      <c r="L351" t="b">
        <v>0</v>
      </c>
      <c r="M351" t="s">
        <v>29</v>
      </c>
      <c r="N351" t="s">
        <v>8246</v>
      </c>
      <c r="O351" s="1">
        <v>25028</v>
      </c>
      <c r="P351" t="s">
        <v>1525</v>
      </c>
      <c r="Q351" t="s">
        <v>1526</v>
      </c>
      <c r="S351" s="1">
        <v>45020.209027777775</v>
      </c>
      <c r="V351">
        <v>1968</v>
      </c>
      <c r="W351">
        <v>110.96</v>
      </c>
      <c r="X351">
        <v>0.7</v>
      </c>
      <c r="Y351" s="2">
        <v>1394116310769</v>
      </c>
      <c r="Z351">
        <v>88.9</v>
      </c>
      <c r="AA351">
        <v>102.7</v>
      </c>
      <c r="AB351">
        <v>14.2</v>
      </c>
      <c r="AC351">
        <v>47</v>
      </c>
      <c r="AD351">
        <v>47076781</v>
      </c>
    </row>
    <row r="352" spans="1:30" hidden="1" x14ac:dyDescent="0.45">
      <c r="A352">
        <v>344</v>
      </c>
      <c r="B352">
        <v>6900</v>
      </c>
      <c r="C352" t="s">
        <v>402</v>
      </c>
      <c r="D352" t="s">
        <v>1527</v>
      </c>
      <c r="E352">
        <v>68</v>
      </c>
      <c r="F352" t="s">
        <v>35</v>
      </c>
      <c r="G352" t="s">
        <v>1528</v>
      </c>
      <c r="H352" t="s">
        <v>1529</v>
      </c>
      <c r="I352" t="s">
        <v>402</v>
      </c>
      <c r="J352" t="s">
        <v>35</v>
      </c>
      <c r="L352" t="b">
        <v>0</v>
      </c>
      <c r="M352" t="s">
        <v>29</v>
      </c>
      <c r="N352" t="s">
        <v>8246</v>
      </c>
      <c r="O352" s="1">
        <v>19845</v>
      </c>
      <c r="P352" t="s">
        <v>1530</v>
      </c>
      <c r="Q352" t="s">
        <v>1531</v>
      </c>
      <c r="S352" s="1">
        <v>45020.209027777775</v>
      </c>
      <c r="T352" t="s">
        <v>521</v>
      </c>
      <c r="U352" t="s">
        <v>69</v>
      </c>
      <c r="V352">
        <v>1954</v>
      </c>
      <c r="W352">
        <v>117.24</v>
      </c>
      <c r="X352">
        <v>7.5</v>
      </c>
      <c r="Y352" s="2">
        <v>21427700000000</v>
      </c>
      <c r="Z352">
        <v>88.2</v>
      </c>
      <c r="AA352">
        <v>101.8</v>
      </c>
      <c r="AB352">
        <v>9.6</v>
      </c>
      <c r="AC352">
        <v>36.6</v>
      </c>
      <c r="AD352">
        <v>328239523</v>
      </c>
    </row>
    <row r="353" spans="1:30" hidden="1" x14ac:dyDescent="0.45">
      <c r="A353">
        <v>352</v>
      </c>
      <c r="B353">
        <v>6800</v>
      </c>
      <c r="C353" t="s">
        <v>347</v>
      </c>
      <c r="D353" t="s">
        <v>1532</v>
      </c>
      <c r="E353">
        <v>59</v>
      </c>
      <c r="F353" t="s">
        <v>35</v>
      </c>
      <c r="G353" t="s">
        <v>870</v>
      </c>
      <c r="H353" t="s">
        <v>1414</v>
      </c>
      <c r="I353" t="s">
        <v>347</v>
      </c>
      <c r="J353" t="s">
        <v>35</v>
      </c>
      <c r="L353" t="b">
        <v>0</v>
      </c>
      <c r="M353" t="s">
        <v>29</v>
      </c>
      <c r="N353" t="s">
        <v>8246</v>
      </c>
      <c r="O353" s="1">
        <v>23445</v>
      </c>
      <c r="P353" t="s">
        <v>1533</v>
      </c>
      <c r="Q353" t="s">
        <v>1534</v>
      </c>
      <c r="S353" s="1">
        <v>45020.209027777775</v>
      </c>
      <c r="T353" t="s">
        <v>43</v>
      </c>
      <c r="U353" t="s">
        <v>44</v>
      </c>
      <c r="V353">
        <v>1964</v>
      </c>
      <c r="W353">
        <v>117.24</v>
      </c>
      <c r="X353">
        <v>7.5</v>
      </c>
      <c r="Y353" s="2">
        <v>21427700000000</v>
      </c>
      <c r="Z353">
        <v>88.2</v>
      </c>
      <c r="AA353">
        <v>101.8</v>
      </c>
      <c r="AB353">
        <v>9.6</v>
      </c>
      <c r="AC353">
        <v>36.6</v>
      </c>
      <c r="AD353">
        <v>328239523</v>
      </c>
    </row>
    <row r="354" spans="1:30" hidden="1" x14ac:dyDescent="0.45">
      <c r="A354">
        <v>352</v>
      </c>
      <c r="B354">
        <v>6800</v>
      </c>
      <c r="C354" t="s">
        <v>91</v>
      </c>
      <c r="D354" t="s">
        <v>1535</v>
      </c>
      <c r="E354">
        <v>86</v>
      </c>
      <c r="F354" t="s">
        <v>214</v>
      </c>
      <c r="G354" t="s">
        <v>802</v>
      </c>
      <c r="H354" t="s">
        <v>166</v>
      </c>
      <c r="I354" t="s">
        <v>91</v>
      </c>
      <c r="J354" t="s">
        <v>214</v>
      </c>
      <c r="L354" t="b">
        <v>1</v>
      </c>
      <c r="M354" t="s">
        <v>39</v>
      </c>
      <c r="N354" t="s">
        <v>8245</v>
      </c>
      <c r="O354" s="1">
        <v>13422</v>
      </c>
      <c r="P354" t="s">
        <v>1536</v>
      </c>
      <c r="Q354" t="s">
        <v>1537</v>
      </c>
      <c r="S354" s="1">
        <v>45020.209027777775</v>
      </c>
      <c r="V354">
        <v>1936</v>
      </c>
      <c r="W354">
        <v>110.62</v>
      </c>
      <c r="X354">
        <v>0.6</v>
      </c>
      <c r="Y354" s="2">
        <v>2001244392042</v>
      </c>
      <c r="Z354">
        <v>61.9</v>
      </c>
      <c r="AA354">
        <v>101.9</v>
      </c>
      <c r="AB354">
        <v>24.3</v>
      </c>
      <c r="AC354">
        <v>59.1</v>
      </c>
      <c r="AD354">
        <v>60297396</v>
      </c>
    </row>
    <row r="355" spans="1:30" hidden="1" x14ac:dyDescent="0.45">
      <c r="A355">
        <v>352</v>
      </c>
      <c r="B355">
        <v>6800</v>
      </c>
      <c r="C355" t="s">
        <v>239</v>
      </c>
      <c r="D355" t="s">
        <v>1538</v>
      </c>
      <c r="E355">
        <v>55</v>
      </c>
      <c r="F355" t="s">
        <v>272</v>
      </c>
      <c r="G355" t="s">
        <v>1539</v>
      </c>
      <c r="H355" t="s">
        <v>1540</v>
      </c>
      <c r="I355" t="s">
        <v>239</v>
      </c>
      <c r="J355" t="s">
        <v>272</v>
      </c>
      <c r="L355" t="b">
        <v>1</v>
      </c>
      <c r="M355" t="s">
        <v>29</v>
      </c>
      <c r="N355" t="s">
        <v>8246</v>
      </c>
      <c r="O355" s="1">
        <v>24741</v>
      </c>
      <c r="P355" t="s">
        <v>1541</v>
      </c>
      <c r="Q355" t="s">
        <v>1542</v>
      </c>
      <c r="S355" s="1">
        <v>45020.209027777775</v>
      </c>
      <c r="V355">
        <v>1967</v>
      </c>
      <c r="W355">
        <v>119.62</v>
      </c>
      <c r="X355">
        <v>1.7</v>
      </c>
      <c r="Y355" s="2">
        <v>2827113184696</v>
      </c>
      <c r="Z355">
        <v>60</v>
      </c>
      <c r="AA355">
        <v>101.2</v>
      </c>
      <c r="AB355">
        <v>25.5</v>
      </c>
      <c r="AC355">
        <v>30.6</v>
      </c>
      <c r="AD355">
        <v>66834405</v>
      </c>
    </row>
    <row r="356" spans="1:30" hidden="1" x14ac:dyDescent="0.45">
      <c r="A356">
        <v>352</v>
      </c>
      <c r="B356">
        <v>6800</v>
      </c>
      <c r="C356" t="s">
        <v>347</v>
      </c>
      <c r="D356" t="s">
        <v>1543</v>
      </c>
      <c r="E356">
        <v>40</v>
      </c>
      <c r="F356" t="s">
        <v>35</v>
      </c>
      <c r="G356" t="s">
        <v>870</v>
      </c>
      <c r="H356" t="s">
        <v>1414</v>
      </c>
      <c r="I356" t="s">
        <v>347</v>
      </c>
      <c r="J356" t="s">
        <v>35</v>
      </c>
      <c r="L356" t="b">
        <v>0</v>
      </c>
      <c r="M356" t="s">
        <v>29</v>
      </c>
      <c r="N356" t="s">
        <v>8245</v>
      </c>
      <c r="O356" s="1">
        <v>30256</v>
      </c>
      <c r="P356" t="s">
        <v>1544</v>
      </c>
      <c r="Q356" t="s">
        <v>373</v>
      </c>
      <c r="S356" s="1">
        <v>45020.209027777775</v>
      </c>
      <c r="T356" t="s">
        <v>43</v>
      </c>
      <c r="U356" t="s">
        <v>44</v>
      </c>
      <c r="V356">
        <v>1982</v>
      </c>
      <c r="W356">
        <v>117.24</v>
      </c>
      <c r="X356">
        <v>7.5</v>
      </c>
      <c r="Y356" s="2">
        <v>21427700000000</v>
      </c>
      <c r="Z356">
        <v>88.2</v>
      </c>
      <c r="AA356">
        <v>101.8</v>
      </c>
      <c r="AB356">
        <v>9.6</v>
      </c>
      <c r="AC356">
        <v>36.6</v>
      </c>
      <c r="AD356">
        <v>328239523</v>
      </c>
    </row>
    <row r="357" spans="1:30" hidden="1" x14ac:dyDescent="0.45">
      <c r="A357">
        <v>352</v>
      </c>
      <c r="B357">
        <v>6800</v>
      </c>
      <c r="C357" t="s">
        <v>347</v>
      </c>
      <c r="D357" t="s">
        <v>1545</v>
      </c>
      <c r="E357">
        <v>53</v>
      </c>
      <c r="F357" t="s">
        <v>35</v>
      </c>
      <c r="G357" t="s">
        <v>870</v>
      </c>
      <c r="H357" t="s">
        <v>1414</v>
      </c>
      <c r="I357" t="s">
        <v>347</v>
      </c>
      <c r="J357" t="s">
        <v>35</v>
      </c>
      <c r="L357" t="b">
        <v>0</v>
      </c>
      <c r="M357" t="s">
        <v>29</v>
      </c>
      <c r="N357" t="s">
        <v>8246</v>
      </c>
      <c r="O357" s="1">
        <v>25427</v>
      </c>
      <c r="P357" t="s">
        <v>1546</v>
      </c>
      <c r="Q357" t="s">
        <v>1547</v>
      </c>
      <c r="S357" s="1">
        <v>45020.209027777775</v>
      </c>
      <c r="T357" t="s">
        <v>43</v>
      </c>
      <c r="U357" t="s">
        <v>44</v>
      </c>
      <c r="V357">
        <v>1969</v>
      </c>
      <c r="W357">
        <v>117.24</v>
      </c>
      <c r="X357">
        <v>7.5</v>
      </c>
      <c r="Y357" s="2">
        <v>21427700000000</v>
      </c>
      <c r="Z357">
        <v>88.2</v>
      </c>
      <c r="AA357">
        <v>101.8</v>
      </c>
      <c r="AB357">
        <v>9.6</v>
      </c>
      <c r="AC357">
        <v>36.6</v>
      </c>
      <c r="AD357">
        <v>328239523</v>
      </c>
    </row>
    <row r="358" spans="1:30" hidden="1" x14ac:dyDescent="0.45">
      <c r="A358">
        <v>352</v>
      </c>
      <c r="B358">
        <v>6800</v>
      </c>
      <c r="C358" t="s">
        <v>61</v>
      </c>
      <c r="D358" t="s">
        <v>1548</v>
      </c>
      <c r="E358">
        <v>58</v>
      </c>
      <c r="F358" t="s">
        <v>35</v>
      </c>
      <c r="G358" t="s">
        <v>1549</v>
      </c>
      <c r="H358" t="s">
        <v>423</v>
      </c>
      <c r="I358" t="s">
        <v>61</v>
      </c>
      <c r="J358" t="s">
        <v>35</v>
      </c>
      <c r="L358" t="b">
        <v>0</v>
      </c>
      <c r="M358" t="s">
        <v>29</v>
      </c>
      <c r="N358" t="s">
        <v>8245</v>
      </c>
      <c r="O358" s="1">
        <v>23699</v>
      </c>
      <c r="P358" t="s">
        <v>425</v>
      </c>
      <c r="Q358" t="s">
        <v>1550</v>
      </c>
      <c r="S358" s="1">
        <v>45020.209027777775</v>
      </c>
      <c r="T358" t="s">
        <v>427</v>
      </c>
      <c r="U358" t="s">
        <v>82</v>
      </c>
      <c r="V358">
        <v>1964</v>
      </c>
      <c r="W358">
        <v>117.24</v>
      </c>
      <c r="X358">
        <v>7.5</v>
      </c>
      <c r="Y358" s="2">
        <v>21427700000000</v>
      </c>
      <c r="Z358">
        <v>88.2</v>
      </c>
      <c r="AA358">
        <v>101.8</v>
      </c>
      <c r="AB358">
        <v>9.6</v>
      </c>
      <c r="AC358">
        <v>36.6</v>
      </c>
      <c r="AD358">
        <v>328239523</v>
      </c>
    </row>
    <row r="359" spans="1:30" x14ac:dyDescent="0.45">
      <c r="A359">
        <v>352</v>
      </c>
      <c r="B359" s="6">
        <v>6800</v>
      </c>
      <c r="C359" t="s">
        <v>61</v>
      </c>
      <c r="D359" t="s">
        <v>1551</v>
      </c>
      <c r="E359">
        <v>61</v>
      </c>
      <c r="F359" t="s">
        <v>35</v>
      </c>
      <c r="G359" t="s">
        <v>123</v>
      </c>
      <c r="H359" t="s">
        <v>1552</v>
      </c>
      <c r="I359" t="s">
        <v>61</v>
      </c>
      <c r="J359" t="s">
        <v>490</v>
      </c>
      <c r="K359" t="s">
        <v>1553</v>
      </c>
      <c r="L359" t="b">
        <v>1</v>
      </c>
      <c r="M359" t="s">
        <v>39</v>
      </c>
      <c r="N359" t="s">
        <v>8245</v>
      </c>
      <c r="O359" s="10">
        <v>22596</v>
      </c>
      <c r="P359" t="s">
        <v>1554</v>
      </c>
      <c r="Q359" t="s">
        <v>1555</v>
      </c>
      <c r="R359" t="s">
        <v>688</v>
      </c>
      <c r="S359" s="8">
        <v>45020.209027777775</v>
      </c>
      <c r="T359" t="s">
        <v>115</v>
      </c>
      <c r="U359" t="s">
        <v>53</v>
      </c>
      <c r="V359">
        <v>1961</v>
      </c>
      <c r="W359" s="12">
        <v>117.24</v>
      </c>
      <c r="X359">
        <v>7.5</v>
      </c>
      <c r="Y359" s="14">
        <v>21427700000000</v>
      </c>
      <c r="Z359">
        <v>88.2</v>
      </c>
      <c r="AA359">
        <v>101.8</v>
      </c>
      <c r="AB359">
        <v>9.6</v>
      </c>
      <c r="AC359">
        <v>36.6</v>
      </c>
      <c r="AD359">
        <v>328239523</v>
      </c>
    </row>
    <row r="360" spans="1:30" hidden="1" x14ac:dyDescent="0.45">
      <c r="A360">
        <v>352</v>
      </c>
      <c r="B360">
        <v>6800</v>
      </c>
      <c r="C360" t="s">
        <v>45</v>
      </c>
      <c r="D360" t="s">
        <v>1556</v>
      </c>
      <c r="E360">
        <v>94</v>
      </c>
      <c r="F360" t="s">
        <v>35</v>
      </c>
      <c r="G360" t="s">
        <v>1022</v>
      </c>
      <c r="H360" t="s">
        <v>1557</v>
      </c>
      <c r="I360" t="s">
        <v>45</v>
      </c>
      <c r="J360" t="s">
        <v>35</v>
      </c>
      <c r="K360" t="s">
        <v>1558</v>
      </c>
      <c r="L360" t="b">
        <v>1</v>
      </c>
      <c r="M360" t="s">
        <v>39</v>
      </c>
      <c r="N360" t="s">
        <v>8245</v>
      </c>
      <c r="O360" s="1">
        <v>10596</v>
      </c>
      <c r="P360" t="s">
        <v>1559</v>
      </c>
      <c r="Q360" t="s">
        <v>1560</v>
      </c>
      <c r="R360" t="s">
        <v>1561</v>
      </c>
      <c r="S360" s="1">
        <v>45020.209027777775</v>
      </c>
      <c r="T360" t="s">
        <v>115</v>
      </c>
      <c r="V360">
        <v>1929</v>
      </c>
      <c r="W360">
        <v>117.24</v>
      </c>
      <c r="X360">
        <v>7.5</v>
      </c>
      <c r="Y360" s="2">
        <v>21427700000000</v>
      </c>
      <c r="Z360">
        <v>88.2</v>
      </c>
      <c r="AA360">
        <v>101.8</v>
      </c>
      <c r="AB360">
        <v>9.6</v>
      </c>
      <c r="AC360">
        <v>36.6</v>
      </c>
      <c r="AD360">
        <v>328239523</v>
      </c>
    </row>
    <row r="361" spans="1:30" x14ac:dyDescent="0.45">
      <c r="A361">
        <v>352</v>
      </c>
      <c r="B361" s="6">
        <v>6800</v>
      </c>
      <c r="C361" t="s">
        <v>61</v>
      </c>
      <c r="D361" t="s">
        <v>1562</v>
      </c>
      <c r="E361">
        <v>53</v>
      </c>
      <c r="F361" t="s">
        <v>35</v>
      </c>
      <c r="G361" t="s">
        <v>1563</v>
      </c>
      <c r="H361" t="s">
        <v>248</v>
      </c>
      <c r="I361" t="s">
        <v>61</v>
      </c>
      <c r="J361" t="s">
        <v>35</v>
      </c>
      <c r="K361" t="s">
        <v>1564</v>
      </c>
      <c r="L361" t="b">
        <v>1</v>
      </c>
      <c r="M361" t="s">
        <v>29</v>
      </c>
      <c r="N361" t="s">
        <v>8245</v>
      </c>
      <c r="O361" s="10">
        <v>25558</v>
      </c>
      <c r="P361" t="s">
        <v>1565</v>
      </c>
      <c r="Q361" t="s">
        <v>225</v>
      </c>
      <c r="R361" t="s">
        <v>688</v>
      </c>
      <c r="S361" s="8">
        <v>45020.209027777775</v>
      </c>
      <c r="T361" t="s">
        <v>1254</v>
      </c>
      <c r="U361" t="s">
        <v>82</v>
      </c>
      <c r="V361">
        <v>1969</v>
      </c>
      <c r="W361" s="12">
        <v>117.24</v>
      </c>
      <c r="X361">
        <v>7.5</v>
      </c>
      <c r="Y361" s="14">
        <v>21427700000000</v>
      </c>
      <c r="Z361">
        <v>88.2</v>
      </c>
      <c r="AA361">
        <v>101.8</v>
      </c>
      <c r="AB361">
        <v>9.6</v>
      </c>
      <c r="AC361">
        <v>36.6</v>
      </c>
      <c r="AD361">
        <v>328239523</v>
      </c>
    </row>
    <row r="362" spans="1:30" x14ac:dyDescent="0.45">
      <c r="A362">
        <v>352</v>
      </c>
      <c r="B362" s="6">
        <v>6800</v>
      </c>
      <c r="C362" t="s">
        <v>61</v>
      </c>
      <c r="D362" t="s">
        <v>1566</v>
      </c>
      <c r="E362">
        <v>61</v>
      </c>
      <c r="F362" t="s">
        <v>35</v>
      </c>
      <c r="G362" t="s">
        <v>1567</v>
      </c>
      <c r="H362" t="s">
        <v>248</v>
      </c>
      <c r="I362" t="s">
        <v>61</v>
      </c>
      <c r="J362" t="s">
        <v>35</v>
      </c>
      <c r="K362" t="s">
        <v>1564</v>
      </c>
      <c r="L362" t="b">
        <v>1</v>
      </c>
      <c r="M362" t="s">
        <v>29</v>
      </c>
      <c r="N362" t="s">
        <v>8245</v>
      </c>
      <c r="O362" s="10">
        <v>22477</v>
      </c>
      <c r="P362" t="s">
        <v>1568</v>
      </c>
      <c r="Q362" t="s">
        <v>169</v>
      </c>
      <c r="R362" t="s">
        <v>688</v>
      </c>
      <c r="S362" s="8">
        <v>45020.209027777775</v>
      </c>
      <c r="T362" t="s">
        <v>78</v>
      </c>
      <c r="U362" t="s">
        <v>82</v>
      </c>
      <c r="V362">
        <v>1961</v>
      </c>
      <c r="W362" s="12">
        <v>117.24</v>
      </c>
      <c r="X362">
        <v>7.5</v>
      </c>
      <c r="Y362" s="14">
        <v>21427700000000</v>
      </c>
      <c r="Z362">
        <v>88.2</v>
      </c>
      <c r="AA362">
        <v>101.8</v>
      </c>
      <c r="AB362">
        <v>9.6</v>
      </c>
      <c r="AC362">
        <v>36.6</v>
      </c>
      <c r="AD362">
        <v>328239523</v>
      </c>
    </row>
    <row r="363" spans="1:30" hidden="1" x14ac:dyDescent="0.45">
      <c r="A363">
        <v>352</v>
      </c>
      <c r="B363">
        <v>6800</v>
      </c>
      <c r="C363" t="s">
        <v>91</v>
      </c>
      <c r="D363" t="s">
        <v>1569</v>
      </c>
      <c r="E363">
        <v>65</v>
      </c>
      <c r="F363" t="s">
        <v>363</v>
      </c>
      <c r="G363" t="s">
        <v>381</v>
      </c>
      <c r="H363" t="s">
        <v>1570</v>
      </c>
      <c r="I363" t="s">
        <v>91</v>
      </c>
      <c r="J363" t="s">
        <v>363</v>
      </c>
      <c r="L363" t="b">
        <v>1</v>
      </c>
      <c r="M363" t="s">
        <v>29</v>
      </c>
      <c r="N363" t="s">
        <v>8245</v>
      </c>
      <c r="O363" s="1">
        <v>20924</v>
      </c>
      <c r="P363" t="s">
        <v>1571</v>
      </c>
      <c r="Q363" t="s">
        <v>876</v>
      </c>
      <c r="S363" s="1">
        <v>45020.209027777775</v>
      </c>
      <c r="V363">
        <v>1957</v>
      </c>
      <c r="W363">
        <v>180.75</v>
      </c>
      <c r="X363">
        <v>4.5</v>
      </c>
      <c r="Y363" s="2">
        <v>1699876578871</v>
      </c>
      <c r="Z363">
        <v>81.900000000000006</v>
      </c>
      <c r="AA363">
        <v>102.6</v>
      </c>
      <c r="AB363">
        <v>11.4</v>
      </c>
      <c r="AC363">
        <v>46.2</v>
      </c>
      <c r="AD363">
        <v>144373535</v>
      </c>
    </row>
    <row r="364" spans="1:30" hidden="1" x14ac:dyDescent="0.45">
      <c r="A364">
        <v>352</v>
      </c>
      <c r="B364">
        <v>6800</v>
      </c>
      <c r="C364" t="s">
        <v>45</v>
      </c>
      <c r="D364" t="s">
        <v>1572</v>
      </c>
      <c r="E364">
        <v>58</v>
      </c>
      <c r="F364" t="s">
        <v>128</v>
      </c>
      <c r="G364" t="s">
        <v>234</v>
      </c>
      <c r="H364" t="s">
        <v>1394</v>
      </c>
      <c r="I364" t="s">
        <v>45</v>
      </c>
      <c r="J364" t="s">
        <v>228</v>
      </c>
      <c r="L364" t="b">
        <v>1</v>
      </c>
      <c r="M364" t="s">
        <v>39</v>
      </c>
      <c r="N364" t="s">
        <v>8245</v>
      </c>
      <c r="O364" s="1">
        <v>23725</v>
      </c>
      <c r="P364" t="s">
        <v>439</v>
      </c>
      <c r="Q364" t="s">
        <v>1573</v>
      </c>
      <c r="S364" s="1">
        <v>45020.209027777775</v>
      </c>
      <c r="V364">
        <v>1964</v>
      </c>
      <c r="W364">
        <v>125.08</v>
      </c>
      <c r="X364">
        <v>2.9</v>
      </c>
      <c r="Y364" s="2">
        <v>19910000000000</v>
      </c>
      <c r="Z364">
        <v>50.6</v>
      </c>
      <c r="AA364">
        <v>100.2</v>
      </c>
      <c r="AB364">
        <v>9.4</v>
      </c>
      <c r="AC364">
        <v>59.2</v>
      </c>
      <c r="AD364">
        <v>1397715000</v>
      </c>
    </row>
    <row r="365" spans="1:30" x14ac:dyDescent="0.45">
      <c r="A365">
        <v>352</v>
      </c>
      <c r="B365" s="6">
        <v>6800</v>
      </c>
      <c r="C365" t="s">
        <v>347</v>
      </c>
      <c r="D365" t="s">
        <v>1574</v>
      </c>
      <c r="E365">
        <v>61</v>
      </c>
      <c r="F365" t="s">
        <v>35</v>
      </c>
      <c r="G365" t="s">
        <v>870</v>
      </c>
      <c r="H365" t="s">
        <v>1414</v>
      </c>
      <c r="I365" t="s">
        <v>347</v>
      </c>
      <c r="J365" t="s">
        <v>35</v>
      </c>
      <c r="K365" t="s">
        <v>1575</v>
      </c>
      <c r="L365" t="b">
        <v>0</v>
      </c>
      <c r="M365" t="s">
        <v>29</v>
      </c>
      <c r="N365" t="s">
        <v>8246</v>
      </c>
      <c r="O365" s="10">
        <v>22521</v>
      </c>
      <c r="P365" t="s">
        <v>1576</v>
      </c>
      <c r="Q365" t="s">
        <v>1577</v>
      </c>
      <c r="R365" t="s">
        <v>1578</v>
      </c>
      <c r="S365" s="8">
        <v>45020.209027777775</v>
      </c>
      <c r="T365" t="s">
        <v>43</v>
      </c>
      <c r="U365" t="s">
        <v>44</v>
      </c>
      <c r="V365">
        <v>1961</v>
      </c>
      <c r="W365" s="12">
        <v>117.24</v>
      </c>
      <c r="X365">
        <v>7.5</v>
      </c>
      <c r="Y365" s="14">
        <v>21427700000000</v>
      </c>
      <c r="Z365">
        <v>88.2</v>
      </c>
      <c r="AA365">
        <v>101.8</v>
      </c>
      <c r="AB365">
        <v>9.6</v>
      </c>
      <c r="AC365">
        <v>36.6</v>
      </c>
      <c r="AD365">
        <v>328239523</v>
      </c>
    </row>
    <row r="366" spans="1:30" hidden="1" x14ac:dyDescent="0.45">
      <c r="A366">
        <v>365</v>
      </c>
      <c r="B366">
        <v>6700</v>
      </c>
      <c r="C366" t="s">
        <v>61</v>
      </c>
      <c r="D366" t="s">
        <v>1579</v>
      </c>
      <c r="E366">
        <v>72</v>
      </c>
      <c r="F366" t="s">
        <v>35</v>
      </c>
      <c r="G366" t="s">
        <v>704</v>
      </c>
      <c r="H366" t="s">
        <v>1580</v>
      </c>
      <c r="I366" t="s">
        <v>61</v>
      </c>
      <c r="J366" t="s">
        <v>35</v>
      </c>
      <c r="L366" t="b">
        <v>1</v>
      </c>
      <c r="M366" t="s">
        <v>29</v>
      </c>
      <c r="N366" t="s">
        <v>8245</v>
      </c>
      <c r="O366" s="1">
        <v>18596</v>
      </c>
      <c r="P366" t="s">
        <v>1581</v>
      </c>
      <c r="Q366" t="s">
        <v>251</v>
      </c>
      <c r="S366" s="1">
        <v>45020.209027777775</v>
      </c>
      <c r="T366" t="s">
        <v>43</v>
      </c>
      <c r="U366" t="s">
        <v>44</v>
      </c>
      <c r="V366">
        <v>1950</v>
      </c>
      <c r="W366">
        <v>117.24</v>
      </c>
      <c r="X366">
        <v>7.5</v>
      </c>
      <c r="Y366" s="2">
        <v>21427700000000</v>
      </c>
      <c r="Z366">
        <v>88.2</v>
      </c>
      <c r="AA366">
        <v>101.8</v>
      </c>
      <c r="AB366">
        <v>9.6</v>
      </c>
      <c r="AC366">
        <v>36.6</v>
      </c>
      <c r="AD366">
        <v>328239523</v>
      </c>
    </row>
    <row r="367" spans="1:30" hidden="1" x14ac:dyDescent="0.45">
      <c r="A367">
        <v>365</v>
      </c>
      <c r="B367">
        <v>6700</v>
      </c>
      <c r="C367" t="s">
        <v>61</v>
      </c>
      <c r="D367" t="s">
        <v>1582</v>
      </c>
      <c r="E367">
        <v>56</v>
      </c>
      <c r="F367" t="s">
        <v>272</v>
      </c>
      <c r="G367" t="s">
        <v>273</v>
      </c>
      <c r="H367" t="s">
        <v>248</v>
      </c>
      <c r="I367" t="s">
        <v>61</v>
      </c>
      <c r="J367" t="s">
        <v>272</v>
      </c>
      <c r="K367" t="s">
        <v>1583</v>
      </c>
      <c r="L367" t="b">
        <v>1</v>
      </c>
      <c r="M367" t="s">
        <v>39</v>
      </c>
      <c r="N367" t="s">
        <v>8245</v>
      </c>
      <c r="O367" s="1">
        <v>24407</v>
      </c>
      <c r="P367" t="s">
        <v>1584</v>
      </c>
      <c r="Q367" t="s">
        <v>1585</v>
      </c>
      <c r="R367" t="s">
        <v>688</v>
      </c>
      <c r="S367" s="1">
        <v>45020.209027777775</v>
      </c>
      <c r="V367">
        <v>1966</v>
      </c>
      <c r="W367">
        <v>119.62</v>
      </c>
      <c r="X367">
        <v>1.7</v>
      </c>
      <c r="Y367" s="2">
        <v>2827113184696</v>
      </c>
      <c r="Z367">
        <v>60</v>
      </c>
      <c r="AA367">
        <v>101.2</v>
      </c>
      <c r="AB367">
        <v>25.5</v>
      </c>
      <c r="AC367">
        <v>30.6</v>
      </c>
      <c r="AD367">
        <v>66834405</v>
      </c>
    </row>
    <row r="368" spans="1:30" hidden="1" x14ac:dyDescent="0.45">
      <c r="A368">
        <v>365</v>
      </c>
      <c r="B368">
        <v>6700</v>
      </c>
      <c r="C368" t="s">
        <v>296</v>
      </c>
      <c r="D368" t="s">
        <v>1586</v>
      </c>
      <c r="E368">
        <v>75</v>
      </c>
      <c r="F368" t="s">
        <v>1385</v>
      </c>
      <c r="G368" t="s">
        <v>1587</v>
      </c>
      <c r="H368" t="s">
        <v>1588</v>
      </c>
      <c r="I368" t="s">
        <v>296</v>
      </c>
      <c r="J368" t="s">
        <v>1385</v>
      </c>
      <c r="L368" t="b">
        <v>0</v>
      </c>
      <c r="M368" t="s">
        <v>39</v>
      </c>
      <c r="N368" t="s">
        <v>8245</v>
      </c>
      <c r="O368" s="1">
        <v>17528</v>
      </c>
      <c r="P368" t="s">
        <v>1589</v>
      </c>
      <c r="Q368" t="s">
        <v>1590</v>
      </c>
      <c r="S368" s="1">
        <v>45020.209027777775</v>
      </c>
      <c r="V368">
        <v>1947</v>
      </c>
      <c r="W368">
        <v>110.35</v>
      </c>
      <c r="X368">
        <v>0.8</v>
      </c>
      <c r="Y368" s="2">
        <v>348078018464</v>
      </c>
      <c r="Z368">
        <v>80.599999999999994</v>
      </c>
      <c r="AA368">
        <v>101.3</v>
      </c>
      <c r="AB368">
        <v>32.4</v>
      </c>
      <c r="AC368">
        <v>23.8</v>
      </c>
      <c r="AD368">
        <v>5818553</v>
      </c>
    </row>
    <row r="369" spans="1:30" hidden="1" x14ac:dyDescent="0.45">
      <c r="A369">
        <v>365</v>
      </c>
      <c r="B369">
        <v>6700</v>
      </c>
      <c r="C369" t="s">
        <v>296</v>
      </c>
      <c r="D369" t="s">
        <v>1591</v>
      </c>
      <c r="E369">
        <v>47</v>
      </c>
      <c r="F369" t="s">
        <v>1385</v>
      </c>
      <c r="G369" t="s">
        <v>1587</v>
      </c>
      <c r="H369" t="s">
        <v>1588</v>
      </c>
      <c r="I369" t="s">
        <v>296</v>
      </c>
      <c r="J369" t="s">
        <v>1385</v>
      </c>
      <c r="L369" t="b">
        <v>0</v>
      </c>
      <c r="M369" t="s">
        <v>39</v>
      </c>
      <c r="N369" t="s">
        <v>8246</v>
      </c>
      <c r="O369" s="1">
        <v>27760</v>
      </c>
      <c r="P369" t="s">
        <v>1589</v>
      </c>
      <c r="Q369" t="s">
        <v>1592</v>
      </c>
      <c r="S369" s="1">
        <v>45020.209027777775</v>
      </c>
      <c r="V369">
        <v>1976</v>
      </c>
      <c r="W369">
        <v>110.35</v>
      </c>
      <c r="X369">
        <v>0.8</v>
      </c>
      <c r="Y369" s="2">
        <v>348078018464</v>
      </c>
      <c r="Z369">
        <v>80.599999999999994</v>
      </c>
      <c r="AA369">
        <v>101.3</v>
      </c>
      <c r="AB369">
        <v>32.4</v>
      </c>
      <c r="AC369">
        <v>23.8</v>
      </c>
      <c r="AD369">
        <v>5818553</v>
      </c>
    </row>
    <row r="370" spans="1:30" hidden="1" x14ac:dyDescent="0.45">
      <c r="A370">
        <v>365</v>
      </c>
      <c r="B370">
        <v>6700</v>
      </c>
      <c r="C370" t="s">
        <v>296</v>
      </c>
      <c r="D370" t="s">
        <v>1593</v>
      </c>
      <c r="E370">
        <v>44</v>
      </c>
      <c r="F370" t="s">
        <v>1385</v>
      </c>
      <c r="G370" t="s">
        <v>1587</v>
      </c>
      <c r="H370" t="s">
        <v>1588</v>
      </c>
      <c r="I370" t="s">
        <v>296</v>
      </c>
      <c r="J370" t="s">
        <v>1385</v>
      </c>
      <c r="L370" t="b">
        <v>0</v>
      </c>
      <c r="M370" t="s">
        <v>39</v>
      </c>
      <c r="N370" t="s">
        <v>8245</v>
      </c>
      <c r="O370" s="1">
        <v>28856</v>
      </c>
      <c r="P370" t="s">
        <v>1589</v>
      </c>
      <c r="Q370" t="s">
        <v>1594</v>
      </c>
      <c r="S370" s="1">
        <v>45020.209027777775</v>
      </c>
      <c r="V370">
        <v>1979</v>
      </c>
      <c r="W370">
        <v>110.35</v>
      </c>
      <c r="X370">
        <v>0.8</v>
      </c>
      <c r="Y370" s="2">
        <v>348078018464</v>
      </c>
      <c r="Z370">
        <v>80.599999999999994</v>
      </c>
      <c r="AA370">
        <v>101.3</v>
      </c>
      <c r="AB370">
        <v>32.4</v>
      </c>
      <c r="AC370">
        <v>23.8</v>
      </c>
      <c r="AD370">
        <v>5818553</v>
      </c>
    </row>
    <row r="371" spans="1:30" hidden="1" x14ac:dyDescent="0.45">
      <c r="A371">
        <v>365</v>
      </c>
      <c r="B371">
        <v>6700</v>
      </c>
      <c r="C371" t="s">
        <v>402</v>
      </c>
      <c r="D371" t="s">
        <v>1595</v>
      </c>
      <c r="E371">
        <v>80</v>
      </c>
      <c r="F371" t="s">
        <v>214</v>
      </c>
      <c r="G371" t="s">
        <v>1596</v>
      </c>
      <c r="H371" t="s">
        <v>610</v>
      </c>
      <c r="I371" t="s">
        <v>402</v>
      </c>
      <c r="J371" t="s">
        <v>214</v>
      </c>
      <c r="L371" t="b">
        <v>0</v>
      </c>
      <c r="M371" t="s">
        <v>29</v>
      </c>
      <c r="N371" t="s">
        <v>8246</v>
      </c>
      <c r="O371" s="1">
        <v>15707</v>
      </c>
      <c r="P371" t="s">
        <v>1597</v>
      </c>
      <c r="Q371" t="s">
        <v>1598</v>
      </c>
      <c r="S371" s="1">
        <v>45020.209027777775</v>
      </c>
      <c r="V371">
        <v>1943</v>
      </c>
      <c r="W371">
        <v>110.62</v>
      </c>
      <c r="X371">
        <v>0.6</v>
      </c>
      <c r="Y371" s="2">
        <v>2001244392042</v>
      </c>
      <c r="Z371">
        <v>61.9</v>
      </c>
      <c r="AA371">
        <v>101.9</v>
      </c>
      <c r="AB371">
        <v>24.3</v>
      </c>
      <c r="AC371">
        <v>59.1</v>
      </c>
      <c r="AD371">
        <v>60297396</v>
      </c>
    </row>
    <row r="372" spans="1:30" hidden="1" x14ac:dyDescent="0.45">
      <c r="A372">
        <v>365</v>
      </c>
      <c r="B372">
        <v>6700</v>
      </c>
      <c r="C372" t="s">
        <v>33</v>
      </c>
      <c r="D372" t="s">
        <v>1599</v>
      </c>
      <c r="E372">
        <v>55</v>
      </c>
      <c r="F372" t="s">
        <v>128</v>
      </c>
      <c r="G372" t="s">
        <v>261</v>
      </c>
      <c r="H372" t="s">
        <v>262</v>
      </c>
      <c r="I372" t="s">
        <v>33</v>
      </c>
      <c r="J372" t="s">
        <v>228</v>
      </c>
      <c r="L372" t="b">
        <v>1</v>
      </c>
      <c r="M372" t="s">
        <v>39</v>
      </c>
      <c r="N372" t="s">
        <v>8245</v>
      </c>
      <c r="O372" s="1">
        <v>24838</v>
      </c>
      <c r="P372" t="s">
        <v>230</v>
      </c>
      <c r="Q372" t="s">
        <v>1600</v>
      </c>
      <c r="S372" s="1">
        <v>45020.209027777775</v>
      </c>
      <c r="V372">
        <v>1968</v>
      </c>
      <c r="W372">
        <v>125.08</v>
      </c>
      <c r="X372">
        <v>2.9</v>
      </c>
      <c r="Y372" s="2">
        <v>19910000000000</v>
      </c>
      <c r="Z372">
        <v>50.6</v>
      </c>
      <c r="AA372">
        <v>100.2</v>
      </c>
      <c r="AB372">
        <v>9.4</v>
      </c>
      <c r="AC372">
        <v>59.2</v>
      </c>
      <c r="AD372">
        <v>1397715000</v>
      </c>
    </row>
    <row r="373" spans="1:30" hidden="1" x14ac:dyDescent="0.45">
      <c r="A373">
        <v>365</v>
      </c>
      <c r="B373">
        <v>6700</v>
      </c>
      <c r="C373" t="s">
        <v>296</v>
      </c>
      <c r="D373" t="s">
        <v>1601</v>
      </c>
      <c r="E373">
        <v>60</v>
      </c>
      <c r="F373" t="s">
        <v>128</v>
      </c>
      <c r="G373" t="s">
        <v>129</v>
      </c>
      <c r="H373" t="s">
        <v>1602</v>
      </c>
      <c r="I373" t="s">
        <v>296</v>
      </c>
      <c r="J373" t="s">
        <v>128</v>
      </c>
      <c r="L373" t="b">
        <v>1</v>
      </c>
      <c r="M373" t="s">
        <v>285</v>
      </c>
      <c r="N373" t="s">
        <v>8245</v>
      </c>
      <c r="O373" s="1">
        <v>22859</v>
      </c>
      <c r="P373" t="s">
        <v>1261</v>
      </c>
      <c r="Q373" t="s">
        <v>1087</v>
      </c>
      <c r="S373" s="1">
        <v>45020.209027777775</v>
      </c>
      <c r="V373">
        <v>1962</v>
      </c>
      <c r="W373">
        <v>125.08</v>
      </c>
      <c r="X373">
        <v>2.9</v>
      </c>
      <c r="Y373" s="2">
        <v>19910000000000</v>
      </c>
      <c r="Z373">
        <v>50.6</v>
      </c>
      <c r="AA373">
        <v>100.2</v>
      </c>
      <c r="AB373">
        <v>9.4</v>
      </c>
      <c r="AC373">
        <v>59.2</v>
      </c>
      <c r="AD373">
        <v>1397715000</v>
      </c>
    </row>
    <row r="374" spans="1:30" hidden="1" x14ac:dyDescent="0.45">
      <c r="A374">
        <v>365</v>
      </c>
      <c r="B374">
        <v>6700</v>
      </c>
      <c r="C374" t="s">
        <v>296</v>
      </c>
      <c r="D374" t="s">
        <v>1603</v>
      </c>
      <c r="E374">
        <v>54</v>
      </c>
      <c r="F374" t="s">
        <v>205</v>
      </c>
      <c r="G374" t="s">
        <v>1604</v>
      </c>
      <c r="H374" t="s">
        <v>399</v>
      </c>
      <c r="I374" t="s">
        <v>296</v>
      </c>
      <c r="J374" t="s">
        <v>205</v>
      </c>
      <c r="L374" t="b">
        <v>0</v>
      </c>
      <c r="M374" t="s">
        <v>39</v>
      </c>
      <c r="N374" t="s">
        <v>8246</v>
      </c>
      <c r="O374" s="1">
        <v>25204</v>
      </c>
      <c r="P374" t="s">
        <v>1605</v>
      </c>
      <c r="Q374" t="s">
        <v>1606</v>
      </c>
      <c r="S374" s="1">
        <v>45020.209027777775</v>
      </c>
      <c r="V374">
        <v>1969</v>
      </c>
      <c r="W374">
        <v>99.55</v>
      </c>
      <c r="X374">
        <v>0.4</v>
      </c>
      <c r="Y374" s="2">
        <v>703082435360</v>
      </c>
      <c r="Z374">
        <v>59.6</v>
      </c>
      <c r="AA374">
        <v>105.2</v>
      </c>
      <c r="AB374">
        <v>10.1</v>
      </c>
      <c r="AC374">
        <v>28.8</v>
      </c>
      <c r="AD374">
        <v>8574832</v>
      </c>
    </row>
    <row r="375" spans="1:30" hidden="1" x14ac:dyDescent="0.45">
      <c r="A375">
        <v>365</v>
      </c>
      <c r="B375">
        <v>6700</v>
      </c>
      <c r="C375" t="s">
        <v>83</v>
      </c>
      <c r="D375" t="s">
        <v>1607</v>
      </c>
      <c r="E375">
        <v>55</v>
      </c>
      <c r="F375" t="s">
        <v>25</v>
      </c>
      <c r="G375" t="s">
        <v>26</v>
      </c>
      <c r="H375" t="s">
        <v>409</v>
      </c>
      <c r="I375" t="s">
        <v>83</v>
      </c>
      <c r="J375" t="s">
        <v>25</v>
      </c>
      <c r="L375" t="b">
        <v>1</v>
      </c>
      <c r="M375" t="s">
        <v>39</v>
      </c>
      <c r="N375" t="s">
        <v>8245</v>
      </c>
      <c r="O375" s="1">
        <v>24709</v>
      </c>
      <c r="P375" t="s">
        <v>1608</v>
      </c>
      <c r="Q375" t="s">
        <v>1609</v>
      </c>
      <c r="S375" s="1">
        <v>45020.209027777775</v>
      </c>
      <c r="V375">
        <v>1967</v>
      </c>
      <c r="W375">
        <v>110.05</v>
      </c>
      <c r="X375">
        <v>1.1000000000000001</v>
      </c>
      <c r="Y375" s="2">
        <v>2715518274227</v>
      </c>
      <c r="Z375">
        <v>65.599999999999994</v>
      </c>
      <c r="AA375">
        <v>102.5</v>
      </c>
      <c r="AB375">
        <v>24.2</v>
      </c>
      <c r="AC375">
        <v>60.7</v>
      </c>
      <c r="AD375">
        <v>67059887</v>
      </c>
    </row>
    <row r="376" spans="1:30" x14ac:dyDescent="0.45">
      <c r="A376">
        <v>365</v>
      </c>
      <c r="B376" s="6">
        <v>6700</v>
      </c>
      <c r="C376" t="s">
        <v>347</v>
      </c>
      <c r="D376" t="s">
        <v>1610</v>
      </c>
      <c r="E376">
        <v>72</v>
      </c>
      <c r="F376" t="s">
        <v>35</v>
      </c>
      <c r="G376" t="s">
        <v>1611</v>
      </c>
      <c r="H376" t="s">
        <v>1612</v>
      </c>
      <c r="I376" t="s">
        <v>347</v>
      </c>
      <c r="J376" t="s">
        <v>35</v>
      </c>
      <c r="K376" t="s">
        <v>1613</v>
      </c>
      <c r="L376" t="b">
        <v>1</v>
      </c>
      <c r="M376" t="s">
        <v>29</v>
      </c>
      <c r="N376" t="s">
        <v>8245</v>
      </c>
      <c r="O376" s="10">
        <v>18714</v>
      </c>
      <c r="P376" t="s">
        <v>1614</v>
      </c>
      <c r="Q376" t="s">
        <v>1615</v>
      </c>
      <c r="R376" t="s">
        <v>104</v>
      </c>
      <c r="S376" s="8">
        <v>45020.209027777775</v>
      </c>
      <c r="T376" t="s">
        <v>253</v>
      </c>
      <c r="U376" t="s">
        <v>44</v>
      </c>
      <c r="V376">
        <v>1951</v>
      </c>
      <c r="W376" s="12">
        <v>117.24</v>
      </c>
      <c r="X376">
        <v>7.5</v>
      </c>
      <c r="Y376" s="14">
        <v>21427700000000</v>
      </c>
      <c r="Z376">
        <v>88.2</v>
      </c>
      <c r="AA376">
        <v>101.8</v>
      </c>
      <c r="AB376">
        <v>9.6</v>
      </c>
      <c r="AC376">
        <v>36.6</v>
      </c>
      <c r="AD376">
        <v>328239523</v>
      </c>
    </row>
    <row r="377" spans="1:30" x14ac:dyDescent="0.45">
      <c r="A377">
        <v>365</v>
      </c>
      <c r="B377" s="6">
        <v>6700</v>
      </c>
      <c r="C377" t="s">
        <v>302</v>
      </c>
      <c r="D377" t="s">
        <v>1616</v>
      </c>
      <c r="E377">
        <v>84</v>
      </c>
      <c r="F377" t="s">
        <v>35</v>
      </c>
      <c r="G377" t="s">
        <v>964</v>
      </c>
      <c r="H377" t="s">
        <v>304</v>
      </c>
      <c r="I377" t="s">
        <v>302</v>
      </c>
      <c r="J377" t="s">
        <v>35</v>
      </c>
      <c r="K377" t="s">
        <v>1617</v>
      </c>
      <c r="L377" t="b">
        <v>0</v>
      </c>
      <c r="M377" t="s">
        <v>29</v>
      </c>
      <c r="N377" t="s">
        <v>8245</v>
      </c>
      <c r="O377" s="10">
        <v>14239</v>
      </c>
      <c r="P377" t="s">
        <v>1618</v>
      </c>
      <c r="Q377" t="s">
        <v>1550</v>
      </c>
      <c r="R377" t="s">
        <v>1619</v>
      </c>
      <c r="S377" s="8">
        <v>45020.209027777775</v>
      </c>
      <c r="T377" t="s">
        <v>115</v>
      </c>
      <c r="U377" t="s">
        <v>53</v>
      </c>
      <c r="V377">
        <v>1938</v>
      </c>
      <c r="W377" s="12">
        <v>117.24</v>
      </c>
      <c r="X377">
        <v>7.5</v>
      </c>
      <c r="Y377" s="14">
        <v>21427700000000</v>
      </c>
      <c r="Z377">
        <v>88.2</v>
      </c>
      <c r="AA377">
        <v>101.8</v>
      </c>
      <c r="AB377">
        <v>9.6</v>
      </c>
      <c r="AC377">
        <v>36.6</v>
      </c>
      <c r="AD377">
        <v>328239523</v>
      </c>
    </row>
    <row r="378" spans="1:30" x14ac:dyDescent="0.45">
      <c r="A378">
        <v>365</v>
      </c>
      <c r="B378" s="6">
        <v>6700</v>
      </c>
      <c r="C378" t="s">
        <v>302</v>
      </c>
      <c r="D378" t="s">
        <v>1620</v>
      </c>
      <c r="E378">
        <v>83</v>
      </c>
      <c r="F378" t="s">
        <v>35</v>
      </c>
      <c r="G378" t="s">
        <v>583</v>
      </c>
      <c r="H378" t="s">
        <v>304</v>
      </c>
      <c r="I378" t="s">
        <v>302</v>
      </c>
      <c r="J378" t="s">
        <v>35</v>
      </c>
      <c r="K378" t="s">
        <v>1621</v>
      </c>
      <c r="L378" t="b">
        <v>1</v>
      </c>
      <c r="M378" t="s">
        <v>29</v>
      </c>
      <c r="N378" t="s">
        <v>8245</v>
      </c>
      <c r="O378" s="10">
        <v>14388</v>
      </c>
      <c r="P378" t="s">
        <v>1622</v>
      </c>
      <c r="Q378" t="s">
        <v>1623</v>
      </c>
      <c r="R378" t="s">
        <v>98</v>
      </c>
      <c r="S378" s="8">
        <v>45020.209027777775</v>
      </c>
      <c r="T378" t="s">
        <v>115</v>
      </c>
      <c r="U378" t="s">
        <v>53</v>
      </c>
      <c r="V378">
        <v>1939</v>
      </c>
      <c r="W378" s="12">
        <v>117.24</v>
      </c>
      <c r="X378">
        <v>7.5</v>
      </c>
      <c r="Y378" s="14">
        <v>21427700000000</v>
      </c>
      <c r="Z378">
        <v>88.2</v>
      </c>
      <c r="AA378">
        <v>101.8</v>
      </c>
      <c r="AB378">
        <v>9.6</v>
      </c>
      <c r="AC378">
        <v>36.6</v>
      </c>
      <c r="AD378">
        <v>328239523</v>
      </c>
    </row>
    <row r="379" spans="1:30" x14ac:dyDescent="0.45">
      <c r="A379">
        <v>365</v>
      </c>
      <c r="B379" s="6">
        <v>6700</v>
      </c>
      <c r="C379" t="s">
        <v>61</v>
      </c>
      <c r="D379" t="s">
        <v>1624</v>
      </c>
      <c r="E379">
        <v>92</v>
      </c>
      <c r="F379" t="s">
        <v>35</v>
      </c>
      <c r="G379" t="s">
        <v>1625</v>
      </c>
      <c r="H379" t="s">
        <v>248</v>
      </c>
      <c r="I379" t="s">
        <v>61</v>
      </c>
      <c r="J379" t="s">
        <v>35</v>
      </c>
      <c r="K379" t="s">
        <v>1626</v>
      </c>
      <c r="L379" t="b">
        <v>1</v>
      </c>
      <c r="M379" t="s">
        <v>39</v>
      </c>
      <c r="N379" t="s">
        <v>8245</v>
      </c>
      <c r="O379" s="10">
        <v>11182</v>
      </c>
      <c r="P379" t="s">
        <v>1627</v>
      </c>
      <c r="Q379" t="s">
        <v>714</v>
      </c>
      <c r="R379" t="s">
        <v>192</v>
      </c>
      <c r="S379" s="8">
        <v>45020.209027777775</v>
      </c>
      <c r="T379" t="s">
        <v>78</v>
      </c>
      <c r="U379" t="s">
        <v>82</v>
      </c>
      <c r="V379">
        <v>1930</v>
      </c>
      <c r="W379" s="12">
        <v>117.24</v>
      </c>
      <c r="X379">
        <v>7.5</v>
      </c>
      <c r="Y379" s="14">
        <v>21427700000000</v>
      </c>
      <c r="Z379">
        <v>88.2</v>
      </c>
      <c r="AA379">
        <v>101.8</v>
      </c>
      <c r="AB379">
        <v>9.6</v>
      </c>
      <c r="AC379">
        <v>36.6</v>
      </c>
      <c r="AD379">
        <v>328239523</v>
      </c>
    </row>
    <row r="380" spans="1:30" x14ac:dyDescent="0.45">
      <c r="A380">
        <v>365</v>
      </c>
      <c r="B380" s="6">
        <v>6700</v>
      </c>
      <c r="C380" t="s">
        <v>45</v>
      </c>
      <c r="D380" t="s">
        <v>1628</v>
      </c>
      <c r="E380">
        <v>71</v>
      </c>
      <c r="F380" t="s">
        <v>35</v>
      </c>
      <c r="G380" t="s">
        <v>1629</v>
      </c>
      <c r="H380" t="s">
        <v>1630</v>
      </c>
      <c r="I380" t="s">
        <v>45</v>
      </c>
      <c r="J380" t="s">
        <v>35</v>
      </c>
      <c r="K380" t="s">
        <v>1631</v>
      </c>
      <c r="L380" t="b">
        <v>1</v>
      </c>
      <c r="M380" t="s">
        <v>29</v>
      </c>
      <c r="N380" t="s">
        <v>8245</v>
      </c>
      <c r="O380" s="10">
        <v>18913</v>
      </c>
      <c r="P380" t="s">
        <v>945</v>
      </c>
      <c r="Q380" t="s">
        <v>169</v>
      </c>
      <c r="R380" t="s">
        <v>1632</v>
      </c>
      <c r="S380" s="8">
        <v>45020.209027777775</v>
      </c>
      <c r="T380" t="s">
        <v>115</v>
      </c>
      <c r="U380" t="s">
        <v>53</v>
      </c>
      <c r="V380">
        <v>1951</v>
      </c>
      <c r="W380" s="12">
        <v>117.24</v>
      </c>
      <c r="X380">
        <v>7.5</v>
      </c>
      <c r="Y380" s="14">
        <v>21427700000000</v>
      </c>
      <c r="Z380">
        <v>88.2</v>
      </c>
      <c r="AA380">
        <v>101.8</v>
      </c>
      <c r="AB380">
        <v>9.6</v>
      </c>
      <c r="AC380">
        <v>36.6</v>
      </c>
      <c r="AD380">
        <v>328239523</v>
      </c>
    </row>
    <row r="381" spans="1:30" hidden="1" x14ac:dyDescent="0.45">
      <c r="A381">
        <v>365</v>
      </c>
      <c r="B381">
        <v>6700</v>
      </c>
      <c r="C381" t="s">
        <v>296</v>
      </c>
      <c r="D381" t="s">
        <v>1633</v>
      </c>
      <c r="E381">
        <v>39</v>
      </c>
      <c r="F381" t="s">
        <v>1385</v>
      </c>
      <c r="G381" t="s">
        <v>1587</v>
      </c>
      <c r="H381" t="s">
        <v>1588</v>
      </c>
      <c r="I381" t="s">
        <v>296</v>
      </c>
      <c r="J381" t="s">
        <v>1385</v>
      </c>
      <c r="L381" t="b">
        <v>0</v>
      </c>
      <c r="M381" t="s">
        <v>39</v>
      </c>
      <c r="N381" t="s">
        <v>8246</v>
      </c>
      <c r="O381" s="1">
        <v>30454</v>
      </c>
      <c r="P381" t="s">
        <v>1634</v>
      </c>
      <c r="Q381" t="s">
        <v>1635</v>
      </c>
      <c r="S381" s="1">
        <v>45020.209027777775</v>
      </c>
      <c r="V381">
        <v>1983</v>
      </c>
      <c r="W381">
        <v>110.35</v>
      </c>
      <c r="X381">
        <v>0.8</v>
      </c>
      <c r="Y381" s="2">
        <v>348078018464</v>
      </c>
      <c r="Z381">
        <v>80.599999999999994</v>
      </c>
      <c r="AA381">
        <v>101.3</v>
      </c>
      <c r="AB381">
        <v>32.4</v>
      </c>
      <c r="AC381">
        <v>23.8</v>
      </c>
      <c r="AD381">
        <v>5818553</v>
      </c>
    </row>
    <row r="382" spans="1:30" x14ac:dyDescent="0.45">
      <c r="A382">
        <v>365</v>
      </c>
      <c r="B382" s="6">
        <v>6700</v>
      </c>
      <c r="C382" t="s">
        <v>45</v>
      </c>
      <c r="D382" t="s">
        <v>1636</v>
      </c>
      <c r="E382">
        <v>81</v>
      </c>
      <c r="F382" t="s">
        <v>35</v>
      </c>
      <c r="G382" t="s">
        <v>1637</v>
      </c>
      <c r="H382" t="s">
        <v>1630</v>
      </c>
      <c r="I382" t="s">
        <v>45</v>
      </c>
      <c r="J382" t="s">
        <v>35</v>
      </c>
      <c r="K382" t="s">
        <v>1631</v>
      </c>
      <c r="L382" t="b">
        <v>1</v>
      </c>
      <c r="M382" t="s">
        <v>29</v>
      </c>
      <c r="N382" t="s">
        <v>8245</v>
      </c>
      <c r="O382" s="10">
        <v>15200</v>
      </c>
      <c r="P382" t="s">
        <v>1638</v>
      </c>
      <c r="Q382" t="s">
        <v>225</v>
      </c>
      <c r="R382" t="s">
        <v>1639</v>
      </c>
      <c r="S382" s="8">
        <v>45020.209027777775</v>
      </c>
      <c r="T382" t="s">
        <v>115</v>
      </c>
      <c r="U382" t="s">
        <v>53</v>
      </c>
      <c r="V382">
        <v>1941</v>
      </c>
      <c r="W382" s="12">
        <v>117.24</v>
      </c>
      <c r="X382">
        <v>7.5</v>
      </c>
      <c r="Y382" s="14">
        <v>21427700000000</v>
      </c>
      <c r="Z382">
        <v>88.2</v>
      </c>
      <c r="AA382">
        <v>101.8</v>
      </c>
      <c r="AB382">
        <v>9.6</v>
      </c>
      <c r="AC382">
        <v>36.6</v>
      </c>
      <c r="AD382">
        <v>328239523</v>
      </c>
    </row>
    <row r="383" spans="1:30" hidden="1" x14ac:dyDescent="0.45">
      <c r="A383">
        <v>365</v>
      </c>
      <c r="B383">
        <v>6700</v>
      </c>
      <c r="C383" t="s">
        <v>126</v>
      </c>
      <c r="D383" t="s">
        <v>1640</v>
      </c>
      <c r="E383">
        <v>65</v>
      </c>
      <c r="F383" t="s">
        <v>128</v>
      </c>
      <c r="G383" t="s">
        <v>1227</v>
      </c>
      <c r="H383" t="s">
        <v>1641</v>
      </c>
      <c r="I383" t="s">
        <v>126</v>
      </c>
      <c r="J383" t="s">
        <v>128</v>
      </c>
      <c r="L383" t="b">
        <v>1</v>
      </c>
      <c r="M383" t="s">
        <v>39</v>
      </c>
      <c r="N383" t="s">
        <v>8245</v>
      </c>
      <c r="O383" s="1">
        <v>21186</v>
      </c>
      <c r="P383" t="s">
        <v>646</v>
      </c>
      <c r="Q383" t="s">
        <v>1642</v>
      </c>
      <c r="S383" s="1">
        <v>45020.209027777775</v>
      </c>
      <c r="V383">
        <v>1958</v>
      </c>
      <c r="W383">
        <v>125.08</v>
      </c>
      <c r="X383">
        <v>2.9</v>
      </c>
      <c r="Y383" s="2">
        <v>19910000000000</v>
      </c>
      <c r="Z383">
        <v>50.6</v>
      </c>
      <c r="AA383">
        <v>100.2</v>
      </c>
      <c r="AB383">
        <v>9.4</v>
      </c>
      <c r="AC383">
        <v>59.2</v>
      </c>
      <c r="AD383">
        <v>1397715000</v>
      </c>
    </row>
    <row r="384" spans="1:30" hidden="1" x14ac:dyDescent="0.45">
      <c r="A384">
        <v>383</v>
      </c>
      <c r="B384">
        <v>6600</v>
      </c>
      <c r="C384" t="s">
        <v>296</v>
      </c>
      <c r="D384" t="s">
        <v>1643</v>
      </c>
      <c r="E384">
        <v>47</v>
      </c>
      <c r="F384" t="s">
        <v>205</v>
      </c>
      <c r="G384" t="s">
        <v>1644</v>
      </c>
      <c r="H384" t="s">
        <v>399</v>
      </c>
      <c r="I384" t="s">
        <v>296</v>
      </c>
      <c r="J384" t="s">
        <v>205</v>
      </c>
      <c r="L384" t="b">
        <v>0</v>
      </c>
      <c r="M384" t="s">
        <v>39</v>
      </c>
      <c r="N384" t="s">
        <v>8246</v>
      </c>
      <c r="O384" s="1">
        <v>27760</v>
      </c>
      <c r="P384" t="s">
        <v>1645</v>
      </c>
      <c r="Q384" t="s">
        <v>1646</v>
      </c>
      <c r="S384" s="1">
        <v>45020.209027777775</v>
      </c>
      <c r="V384">
        <v>1976</v>
      </c>
      <c r="W384">
        <v>99.55</v>
      </c>
      <c r="X384">
        <v>0.4</v>
      </c>
      <c r="Y384" s="2">
        <v>703082435360</v>
      </c>
      <c r="Z384">
        <v>59.6</v>
      </c>
      <c r="AA384">
        <v>105.2</v>
      </c>
      <c r="AB384">
        <v>10.1</v>
      </c>
      <c r="AC384">
        <v>28.8</v>
      </c>
      <c r="AD384">
        <v>8574832</v>
      </c>
    </row>
    <row r="385" spans="1:30" hidden="1" x14ac:dyDescent="0.45">
      <c r="A385">
        <v>383</v>
      </c>
      <c r="B385">
        <v>6600</v>
      </c>
      <c r="C385" t="s">
        <v>126</v>
      </c>
      <c r="D385" t="s">
        <v>1647</v>
      </c>
      <c r="E385">
        <v>68</v>
      </c>
      <c r="F385" t="s">
        <v>35</v>
      </c>
      <c r="G385" t="s">
        <v>1130</v>
      </c>
      <c r="H385" t="s">
        <v>1648</v>
      </c>
      <c r="I385" t="s">
        <v>126</v>
      </c>
      <c r="J385" t="s">
        <v>35</v>
      </c>
      <c r="L385" t="b">
        <v>0</v>
      </c>
      <c r="M385" t="s">
        <v>29</v>
      </c>
      <c r="N385" t="s">
        <v>8245</v>
      </c>
      <c r="O385" s="1">
        <v>19836</v>
      </c>
      <c r="P385" t="s">
        <v>1649</v>
      </c>
      <c r="Q385" t="s">
        <v>1650</v>
      </c>
      <c r="S385" s="1">
        <v>45020.209027777775</v>
      </c>
      <c r="T385" t="s">
        <v>1134</v>
      </c>
      <c r="U385" t="s">
        <v>44</v>
      </c>
      <c r="V385">
        <v>1954</v>
      </c>
      <c r="W385">
        <v>117.24</v>
      </c>
      <c r="X385">
        <v>7.5</v>
      </c>
      <c r="Y385" s="2">
        <v>21427700000000</v>
      </c>
      <c r="Z385">
        <v>88.2</v>
      </c>
      <c r="AA385">
        <v>101.8</v>
      </c>
      <c r="AB385">
        <v>9.6</v>
      </c>
      <c r="AC385">
        <v>36.6</v>
      </c>
      <c r="AD385">
        <v>328239523</v>
      </c>
    </row>
    <row r="386" spans="1:30" hidden="1" x14ac:dyDescent="0.45">
      <c r="A386">
        <v>383</v>
      </c>
      <c r="B386">
        <v>6600</v>
      </c>
      <c r="C386" t="s">
        <v>126</v>
      </c>
      <c r="D386" t="s">
        <v>1651</v>
      </c>
      <c r="E386">
        <v>70</v>
      </c>
      <c r="F386" t="s">
        <v>35</v>
      </c>
      <c r="G386" t="s">
        <v>1130</v>
      </c>
      <c r="H386" t="s">
        <v>1648</v>
      </c>
      <c r="I386" t="s">
        <v>126</v>
      </c>
      <c r="J386" t="s">
        <v>35</v>
      </c>
      <c r="L386" t="b">
        <v>0</v>
      </c>
      <c r="M386" t="s">
        <v>29</v>
      </c>
      <c r="N386" t="s">
        <v>8245</v>
      </c>
      <c r="O386" s="1">
        <v>19419</v>
      </c>
      <c r="P386" t="s">
        <v>1649</v>
      </c>
      <c r="Q386" t="s">
        <v>1652</v>
      </c>
      <c r="S386" s="1">
        <v>45020.209027777775</v>
      </c>
      <c r="T386" t="s">
        <v>1134</v>
      </c>
      <c r="U386" t="s">
        <v>44</v>
      </c>
      <c r="V386">
        <v>1953</v>
      </c>
      <c r="W386">
        <v>117.24</v>
      </c>
      <c r="X386">
        <v>7.5</v>
      </c>
      <c r="Y386" s="2">
        <v>21427700000000</v>
      </c>
      <c r="Z386">
        <v>88.2</v>
      </c>
      <c r="AA386">
        <v>101.8</v>
      </c>
      <c r="AB386">
        <v>9.6</v>
      </c>
      <c r="AC386">
        <v>36.6</v>
      </c>
      <c r="AD386">
        <v>328239523</v>
      </c>
    </row>
    <row r="387" spans="1:30" hidden="1" x14ac:dyDescent="0.45">
      <c r="A387">
        <v>383</v>
      </c>
      <c r="B387">
        <v>6600</v>
      </c>
      <c r="C387" t="s">
        <v>126</v>
      </c>
      <c r="D387" t="s">
        <v>1653</v>
      </c>
      <c r="E387">
        <v>67</v>
      </c>
      <c r="F387" t="s">
        <v>35</v>
      </c>
      <c r="G387" t="s">
        <v>1654</v>
      </c>
      <c r="H387" t="s">
        <v>1648</v>
      </c>
      <c r="I387" t="s">
        <v>126</v>
      </c>
      <c r="J387" t="s">
        <v>35</v>
      </c>
      <c r="L387" t="b">
        <v>0</v>
      </c>
      <c r="M387" t="s">
        <v>29</v>
      </c>
      <c r="N387" t="s">
        <v>8246</v>
      </c>
      <c r="O387" s="1">
        <v>20440</v>
      </c>
      <c r="P387" t="s">
        <v>1655</v>
      </c>
      <c r="Q387" t="s">
        <v>1656</v>
      </c>
      <c r="S387" s="1">
        <v>45020.209027777775</v>
      </c>
      <c r="T387" t="s">
        <v>1134</v>
      </c>
      <c r="U387" t="s">
        <v>44</v>
      </c>
      <c r="V387">
        <v>1955</v>
      </c>
      <c r="W387">
        <v>117.24</v>
      </c>
      <c r="X387">
        <v>7.5</v>
      </c>
      <c r="Y387" s="2">
        <v>21427700000000</v>
      </c>
      <c r="Z387">
        <v>88.2</v>
      </c>
      <c r="AA387">
        <v>101.8</v>
      </c>
      <c r="AB387">
        <v>9.6</v>
      </c>
      <c r="AC387">
        <v>36.6</v>
      </c>
      <c r="AD387">
        <v>328239523</v>
      </c>
    </row>
    <row r="388" spans="1:30" x14ac:dyDescent="0.45">
      <c r="A388">
        <v>383</v>
      </c>
      <c r="B388" s="6">
        <v>6600</v>
      </c>
      <c r="C388" t="s">
        <v>61</v>
      </c>
      <c r="D388" t="s">
        <v>1657</v>
      </c>
      <c r="E388">
        <v>78</v>
      </c>
      <c r="F388" t="s">
        <v>35</v>
      </c>
      <c r="G388" t="s">
        <v>78</v>
      </c>
      <c r="H388" t="s">
        <v>248</v>
      </c>
      <c r="I388" t="s">
        <v>61</v>
      </c>
      <c r="J388" t="s">
        <v>35</v>
      </c>
      <c r="K388" t="s">
        <v>1658</v>
      </c>
      <c r="L388" t="b">
        <v>1</v>
      </c>
      <c r="M388" t="s">
        <v>29</v>
      </c>
      <c r="N388" t="s">
        <v>8245</v>
      </c>
      <c r="O388" s="10">
        <v>16493</v>
      </c>
      <c r="P388" t="s">
        <v>1659</v>
      </c>
      <c r="Q388" t="s">
        <v>1660</v>
      </c>
      <c r="R388" t="s">
        <v>192</v>
      </c>
      <c r="S388" s="8">
        <v>45020.209027777775</v>
      </c>
      <c r="T388" t="s">
        <v>78</v>
      </c>
      <c r="U388" t="s">
        <v>82</v>
      </c>
      <c r="V388">
        <v>1945</v>
      </c>
      <c r="W388" s="12">
        <v>117.24</v>
      </c>
      <c r="X388">
        <v>7.5</v>
      </c>
      <c r="Y388" s="14">
        <v>21427700000000</v>
      </c>
      <c r="Z388">
        <v>88.2</v>
      </c>
      <c r="AA388">
        <v>101.8</v>
      </c>
      <c r="AB388">
        <v>9.6</v>
      </c>
      <c r="AC388">
        <v>36.6</v>
      </c>
      <c r="AD388">
        <v>328239523</v>
      </c>
    </row>
    <row r="389" spans="1:30" x14ac:dyDescent="0.45">
      <c r="A389">
        <v>383</v>
      </c>
      <c r="B389" s="6">
        <v>6600</v>
      </c>
      <c r="C389" t="s">
        <v>45</v>
      </c>
      <c r="D389" t="s">
        <v>1661</v>
      </c>
      <c r="E389">
        <v>63</v>
      </c>
      <c r="F389" t="s">
        <v>35</v>
      </c>
      <c r="G389" t="s">
        <v>1662</v>
      </c>
      <c r="H389" t="s">
        <v>442</v>
      </c>
      <c r="I389" t="s">
        <v>45</v>
      </c>
      <c r="J389" t="s">
        <v>35</v>
      </c>
      <c r="K389" t="s">
        <v>1290</v>
      </c>
      <c r="L389" t="b">
        <v>1</v>
      </c>
      <c r="M389" t="s">
        <v>29</v>
      </c>
      <c r="N389" t="s">
        <v>8245</v>
      </c>
      <c r="O389" s="10">
        <v>21831</v>
      </c>
      <c r="P389" t="s">
        <v>1663</v>
      </c>
      <c r="Q389" t="s">
        <v>1292</v>
      </c>
      <c r="R389" t="s">
        <v>138</v>
      </c>
      <c r="S389" s="8">
        <v>45020.209027777775</v>
      </c>
      <c r="T389" t="s">
        <v>115</v>
      </c>
      <c r="U389" t="s">
        <v>53</v>
      </c>
      <c r="V389">
        <v>1959</v>
      </c>
      <c r="W389" s="12">
        <v>117.24</v>
      </c>
      <c r="X389">
        <v>7.5</v>
      </c>
      <c r="Y389" s="14">
        <v>21427700000000</v>
      </c>
      <c r="Z389">
        <v>88.2</v>
      </c>
      <c r="AA389">
        <v>101.8</v>
      </c>
      <c r="AB389">
        <v>9.6</v>
      </c>
      <c r="AC389">
        <v>36.6</v>
      </c>
      <c r="AD389">
        <v>328239523</v>
      </c>
    </row>
    <row r="390" spans="1:30" hidden="1" x14ac:dyDescent="0.45">
      <c r="A390">
        <v>383</v>
      </c>
      <c r="B390">
        <v>6600</v>
      </c>
      <c r="C390" t="s">
        <v>61</v>
      </c>
      <c r="D390" t="s">
        <v>1664</v>
      </c>
      <c r="E390">
        <v>47</v>
      </c>
      <c r="F390" t="s">
        <v>194</v>
      </c>
      <c r="G390" t="s">
        <v>1665</v>
      </c>
      <c r="H390" t="s">
        <v>317</v>
      </c>
      <c r="I390" t="s">
        <v>61</v>
      </c>
      <c r="J390" t="s">
        <v>194</v>
      </c>
      <c r="L390" t="b">
        <v>0</v>
      </c>
      <c r="M390" t="s">
        <v>29</v>
      </c>
      <c r="N390" t="s">
        <v>8246</v>
      </c>
      <c r="O390" s="1">
        <v>27766</v>
      </c>
      <c r="P390" t="s">
        <v>1666</v>
      </c>
      <c r="Q390" t="s">
        <v>1667</v>
      </c>
      <c r="S390" s="1">
        <v>45020.209027777775</v>
      </c>
      <c r="V390">
        <v>1976</v>
      </c>
      <c r="W390">
        <v>112.85</v>
      </c>
      <c r="X390">
        <v>1.4</v>
      </c>
      <c r="Y390" s="2">
        <v>3845630030824</v>
      </c>
      <c r="Z390">
        <v>70.2</v>
      </c>
      <c r="AA390">
        <v>104</v>
      </c>
      <c r="AB390">
        <v>11.5</v>
      </c>
      <c r="AC390">
        <v>48.8</v>
      </c>
      <c r="AD390">
        <v>83132799</v>
      </c>
    </row>
    <row r="391" spans="1:30" hidden="1" x14ac:dyDescent="0.45">
      <c r="A391">
        <v>390</v>
      </c>
      <c r="B391">
        <v>6500</v>
      </c>
      <c r="C391" t="s">
        <v>61</v>
      </c>
      <c r="D391" t="s">
        <v>1668</v>
      </c>
      <c r="E391">
        <v>80</v>
      </c>
      <c r="F391" t="s">
        <v>35</v>
      </c>
      <c r="G391" t="s">
        <v>159</v>
      </c>
      <c r="H391" t="s">
        <v>930</v>
      </c>
      <c r="I391" t="s">
        <v>61</v>
      </c>
      <c r="J391" t="s">
        <v>35</v>
      </c>
      <c r="L391" t="b">
        <v>1</v>
      </c>
      <c r="M391" t="s">
        <v>29</v>
      </c>
      <c r="N391" t="s">
        <v>8245</v>
      </c>
      <c r="O391" s="1">
        <v>15672</v>
      </c>
      <c r="P391" t="s">
        <v>1669</v>
      </c>
      <c r="Q391" t="s">
        <v>169</v>
      </c>
      <c r="S391" s="1">
        <v>45020.209027777775</v>
      </c>
      <c r="T391" t="s">
        <v>43</v>
      </c>
      <c r="U391" t="s">
        <v>44</v>
      </c>
      <c r="V391">
        <v>1942</v>
      </c>
      <c r="W391">
        <v>117.24</v>
      </c>
      <c r="X391">
        <v>7.5</v>
      </c>
      <c r="Y391" s="2">
        <v>21427700000000</v>
      </c>
      <c r="Z391">
        <v>88.2</v>
      </c>
      <c r="AA391">
        <v>101.8</v>
      </c>
      <c r="AB391">
        <v>9.6</v>
      </c>
      <c r="AC391">
        <v>36.6</v>
      </c>
      <c r="AD391">
        <v>328239523</v>
      </c>
    </row>
    <row r="392" spans="1:30" x14ac:dyDescent="0.45">
      <c r="A392">
        <v>390</v>
      </c>
      <c r="B392" s="6">
        <v>6500</v>
      </c>
      <c r="C392" t="s">
        <v>45</v>
      </c>
      <c r="D392" t="s">
        <v>1670</v>
      </c>
      <c r="E392">
        <v>58</v>
      </c>
      <c r="F392" t="s">
        <v>35</v>
      </c>
      <c r="G392" t="s">
        <v>47</v>
      </c>
      <c r="H392" t="s">
        <v>71</v>
      </c>
      <c r="I392" t="s">
        <v>45</v>
      </c>
      <c r="J392" t="s">
        <v>35</v>
      </c>
      <c r="K392" t="s">
        <v>72</v>
      </c>
      <c r="L392" t="b">
        <v>0</v>
      </c>
      <c r="M392" t="s">
        <v>29</v>
      </c>
      <c r="N392" t="s">
        <v>8246</v>
      </c>
      <c r="O392" s="10">
        <v>23604</v>
      </c>
      <c r="P392" t="s">
        <v>1671</v>
      </c>
      <c r="Q392" t="s">
        <v>1672</v>
      </c>
      <c r="R392" t="s">
        <v>75</v>
      </c>
      <c r="S392" s="8">
        <v>45020.209027777775</v>
      </c>
      <c r="T392" t="s">
        <v>52</v>
      </c>
      <c r="U392" t="s">
        <v>53</v>
      </c>
      <c r="V392">
        <v>1964</v>
      </c>
      <c r="W392" s="12">
        <v>117.24</v>
      </c>
      <c r="X392">
        <v>7.5</v>
      </c>
      <c r="Y392" s="14">
        <v>21427700000000</v>
      </c>
      <c r="Z392">
        <v>88.2</v>
      </c>
      <c r="AA392">
        <v>101.8</v>
      </c>
      <c r="AB392">
        <v>9.6</v>
      </c>
      <c r="AC392">
        <v>36.6</v>
      </c>
      <c r="AD392">
        <v>328239523</v>
      </c>
    </row>
    <row r="393" spans="1:30" hidden="1" x14ac:dyDescent="0.45">
      <c r="A393">
        <v>390</v>
      </c>
      <c r="B393">
        <v>6500</v>
      </c>
      <c r="C393" t="s">
        <v>23</v>
      </c>
      <c r="D393" t="s">
        <v>1673</v>
      </c>
      <c r="E393">
        <v>91</v>
      </c>
      <c r="F393" t="s">
        <v>1674</v>
      </c>
      <c r="G393" t="s">
        <v>1675</v>
      </c>
      <c r="H393" t="s">
        <v>1089</v>
      </c>
      <c r="I393" t="s">
        <v>23</v>
      </c>
      <c r="J393" t="s">
        <v>1674</v>
      </c>
      <c r="L393" t="b">
        <v>1</v>
      </c>
      <c r="M393" t="s">
        <v>29</v>
      </c>
      <c r="N393" t="s">
        <v>8245</v>
      </c>
      <c r="O393" s="1">
        <v>11694</v>
      </c>
      <c r="P393" t="s">
        <v>1676</v>
      </c>
      <c r="Q393" t="s">
        <v>1201</v>
      </c>
      <c r="S393" s="1">
        <v>45020.209027777775</v>
      </c>
      <c r="V393">
        <v>1932</v>
      </c>
      <c r="W393"/>
      <c r="Y393"/>
    </row>
    <row r="394" spans="1:30" hidden="1" x14ac:dyDescent="0.45">
      <c r="A394">
        <v>390</v>
      </c>
      <c r="B394">
        <v>6500</v>
      </c>
      <c r="C394" t="s">
        <v>302</v>
      </c>
      <c r="D394" t="s">
        <v>1677</v>
      </c>
      <c r="E394">
        <v>93</v>
      </c>
      <c r="F394" t="s">
        <v>35</v>
      </c>
      <c r="G394" t="s">
        <v>1678</v>
      </c>
      <c r="H394" t="s">
        <v>304</v>
      </c>
      <c r="I394" t="s">
        <v>302</v>
      </c>
      <c r="J394" t="s">
        <v>35</v>
      </c>
      <c r="L394" t="b">
        <v>0</v>
      </c>
      <c r="M394" t="s">
        <v>258</v>
      </c>
      <c r="N394" t="s">
        <v>8246</v>
      </c>
      <c r="O394" s="1">
        <v>11016</v>
      </c>
      <c r="P394" t="s">
        <v>1679</v>
      </c>
      <c r="Q394" t="s">
        <v>1680</v>
      </c>
      <c r="S394" s="1">
        <v>45020.209027777775</v>
      </c>
      <c r="T394" t="s">
        <v>1681</v>
      </c>
      <c r="U394" t="s">
        <v>44</v>
      </c>
      <c r="V394">
        <v>1930</v>
      </c>
      <c r="W394">
        <v>117.24</v>
      </c>
      <c r="X394">
        <v>7.5</v>
      </c>
      <c r="Y394" s="2">
        <v>21427700000000</v>
      </c>
      <c r="Z394">
        <v>88.2</v>
      </c>
      <c r="AA394">
        <v>101.8</v>
      </c>
      <c r="AB394">
        <v>9.6</v>
      </c>
      <c r="AC394">
        <v>36.6</v>
      </c>
      <c r="AD394">
        <v>328239523</v>
      </c>
    </row>
    <row r="395" spans="1:30" hidden="1" x14ac:dyDescent="0.45">
      <c r="A395">
        <v>390</v>
      </c>
      <c r="B395">
        <v>6500</v>
      </c>
      <c r="C395" t="s">
        <v>302</v>
      </c>
      <c r="D395" t="s">
        <v>1682</v>
      </c>
      <c r="E395">
        <v>84</v>
      </c>
      <c r="F395" t="s">
        <v>272</v>
      </c>
      <c r="G395" t="s">
        <v>273</v>
      </c>
      <c r="H395" t="s">
        <v>1683</v>
      </c>
      <c r="I395" t="s">
        <v>302</v>
      </c>
      <c r="J395" t="s">
        <v>272</v>
      </c>
      <c r="L395" t="b">
        <v>1</v>
      </c>
      <c r="M395" t="s">
        <v>39</v>
      </c>
      <c r="N395" t="s">
        <v>8245</v>
      </c>
      <c r="O395" s="1">
        <v>14124</v>
      </c>
      <c r="P395" t="s">
        <v>1684</v>
      </c>
      <c r="Q395" t="s">
        <v>169</v>
      </c>
      <c r="S395" s="1">
        <v>45020.209027777775</v>
      </c>
      <c r="V395">
        <v>1938</v>
      </c>
      <c r="W395">
        <v>119.62</v>
      </c>
      <c r="X395">
        <v>1.7</v>
      </c>
      <c r="Y395" s="2">
        <v>2827113184696</v>
      </c>
      <c r="Z395">
        <v>60</v>
      </c>
      <c r="AA395">
        <v>101.2</v>
      </c>
      <c r="AB395">
        <v>25.5</v>
      </c>
      <c r="AC395">
        <v>30.6</v>
      </c>
      <c r="AD395">
        <v>66834405</v>
      </c>
    </row>
    <row r="396" spans="1:30" hidden="1" x14ac:dyDescent="0.45">
      <c r="A396">
        <v>390</v>
      </c>
      <c r="B396">
        <v>6500</v>
      </c>
      <c r="C396" t="s">
        <v>91</v>
      </c>
      <c r="D396" t="s">
        <v>1685</v>
      </c>
      <c r="E396">
        <v>81</v>
      </c>
      <c r="F396" t="s">
        <v>487</v>
      </c>
      <c r="G396" t="s">
        <v>487</v>
      </c>
      <c r="H396" t="s">
        <v>1405</v>
      </c>
      <c r="I396" t="s">
        <v>91</v>
      </c>
      <c r="J396" t="s">
        <v>272</v>
      </c>
      <c r="L396" t="b">
        <v>1</v>
      </c>
      <c r="M396" t="s">
        <v>39</v>
      </c>
      <c r="N396" t="s">
        <v>8245</v>
      </c>
      <c r="O396" s="1">
        <v>15097</v>
      </c>
      <c r="P396" t="s">
        <v>1684</v>
      </c>
      <c r="Q396" t="s">
        <v>1686</v>
      </c>
      <c r="S396" s="1">
        <v>45020.209027777775</v>
      </c>
      <c r="V396">
        <v>1941</v>
      </c>
      <c r="W396"/>
      <c r="Y396" s="2">
        <v>7184844193</v>
      </c>
      <c r="AD396">
        <v>38964</v>
      </c>
    </row>
    <row r="397" spans="1:30" hidden="1" x14ac:dyDescent="0.45">
      <c r="A397">
        <v>390</v>
      </c>
      <c r="B397">
        <v>6500</v>
      </c>
      <c r="C397" t="s">
        <v>302</v>
      </c>
      <c r="D397" t="s">
        <v>1687</v>
      </c>
      <c r="E397">
        <v>51</v>
      </c>
      <c r="F397" t="s">
        <v>205</v>
      </c>
      <c r="G397" t="s">
        <v>1688</v>
      </c>
      <c r="H397" t="s">
        <v>304</v>
      </c>
      <c r="I397" t="s">
        <v>302</v>
      </c>
      <c r="J397" t="s">
        <v>567</v>
      </c>
      <c r="L397" t="b">
        <v>1</v>
      </c>
      <c r="M397" t="s">
        <v>29</v>
      </c>
      <c r="N397" t="s">
        <v>8245</v>
      </c>
      <c r="O397" s="1">
        <v>26045</v>
      </c>
      <c r="P397" t="s">
        <v>1689</v>
      </c>
      <c r="Q397" t="s">
        <v>1690</v>
      </c>
      <c r="S397" s="1">
        <v>45020.209027777775</v>
      </c>
      <c r="V397">
        <v>1971</v>
      </c>
      <c r="W397">
        <v>99.55</v>
      </c>
      <c r="X397">
        <v>0.4</v>
      </c>
      <c r="Y397" s="2">
        <v>703082435360</v>
      </c>
      <c r="Z397">
        <v>59.6</v>
      </c>
      <c r="AA397">
        <v>105.2</v>
      </c>
      <c r="AB397">
        <v>10.1</v>
      </c>
      <c r="AC397">
        <v>28.8</v>
      </c>
      <c r="AD397">
        <v>8574832</v>
      </c>
    </row>
    <row r="398" spans="1:30" hidden="1" x14ac:dyDescent="0.45">
      <c r="A398">
        <v>397</v>
      </c>
      <c r="B398">
        <v>6400</v>
      </c>
      <c r="C398" t="s">
        <v>61</v>
      </c>
      <c r="D398" t="s">
        <v>1691</v>
      </c>
      <c r="E398">
        <v>71</v>
      </c>
      <c r="F398" t="s">
        <v>577</v>
      </c>
      <c r="G398" t="s">
        <v>1692</v>
      </c>
      <c r="H398" t="s">
        <v>317</v>
      </c>
      <c r="I398" t="s">
        <v>61</v>
      </c>
      <c r="J398" t="s">
        <v>577</v>
      </c>
      <c r="L398" t="b">
        <v>1</v>
      </c>
      <c r="M398" t="s">
        <v>39</v>
      </c>
      <c r="N398" t="s">
        <v>8245</v>
      </c>
      <c r="O398" s="1">
        <v>18859</v>
      </c>
      <c r="P398" t="s">
        <v>1693</v>
      </c>
      <c r="Q398" t="s">
        <v>534</v>
      </c>
      <c r="S398" s="1">
        <v>45020.209027777775</v>
      </c>
      <c r="V398">
        <v>1951</v>
      </c>
      <c r="W398">
        <v>110.51</v>
      </c>
      <c r="X398">
        <v>1.8</v>
      </c>
      <c r="Y398" s="2">
        <v>530832908738</v>
      </c>
      <c r="Z398">
        <v>67</v>
      </c>
      <c r="AA398">
        <v>126.6</v>
      </c>
      <c r="AB398">
        <v>27.9</v>
      </c>
      <c r="AC398">
        <v>49.1</v>
      </c>
      <c r="AD398">
        <v>10285453</v>
      </c>
    </row>
    <row r="399" spans="1:30" x14ac:dyDescent="0.45">
      <c r="A399">
        <v>397</v>
      </c>
      <c r="B399" s="6">
        <v>6400</v>
      </c>
      <c r="C399" t="s">
        <v>702</v>
      </c>
      <c r="D399" t="s">
        <v>1694</v>
      </c>
      <c r="E399">
        <v>62</v>
      </c>
      <c r="F399" t="s">
        <v>35</v>
      </c>
      <c r="G399" t="s">
        <v>1489</v>
      </c>
      <c r="H399" t="s">
        <v>1695</v>
      </c>
      <c r="I399" t="s">
        <v>702</v>
      </c>
      <c r="J399" t="s">
        <v>35</v>
      </c>
      <c r="K399" t="s">
        <v>1696</v>
      </c>
      <c r="L399" t="b">
        <v>1</v>
      </c>
      <c r="M399" t="s">
        <v>29</v>
      </c>
      <c r="N399" t="s">
        <v>8245</v>
      </c>
      <c r="O399" s="10">
        <v>22016</v>
      </c>
      <c r="P399" t="s">
        <v>1697</v>
      </c>
      <c r="Q399" t="s">
        <v>320</v>
      </c>
      <c r="R399" t="s">
        <v>104</v>
      </c>
      <c r="S399" s="8">
        <v>45020.209027777775</v>
      </c>
      <c r="T399" t="s">
        <v>253</v>
      </c>
      <c r="U399" t="s">
        <v>44</v>
      </c>
      <c r="V399">
        <v>1960</v>
      </c>
      <c r="W399" s="12">
        <v>117.24</v>
      </c>
      <c r="X399">
        <v>7.5</v>
      </c>
      <c r="Y399" s="14">
        <v>21427700000000</v>
      </c>
      <c r="Z399">
        <v>88.2</v>
      </c>
      <c r="AA399">
        <v>101.8</v>
      </c>
      <c r="AB399">
        <v>9.6</v>
      </c>
      <c r="AC399">
        <v>36.6</v>
      </c>
      <c r="AD399">
        <v>328239523</v>
      </c>
    </row>
    <row r="400" spans="1:30" x14ac:dyDescent="0.45">
      <c r="A400">
        <v>397</v>
      </c>
      <c r="B400" s="6">
        <v>6400</v>
      </c>
      <c r="C400" t="s">
        <v>61</v>
      </c>
      <c r="D400" t="s">
        <v>1698</v>
      </c>
      <c r="E400">
        <v>69</v>
      </c>
      <c r="F400" t="s">
        <v>35</v>
      </c>
      <c r="G400" t="s">
        <v>78</v>
      </c>
      <c r="H400" t="s">
        <v>248</v>
      </c>
      <c r="I400" t="s">
        <v>61</v>
      </c>
      <c r="J400" t="s">
        <v>35</v>
      </c>
      <c r="K400" t="s">
        <v>1699</v>
      </c>
      <c r="L400" t="b">
        <v>1</v>
      </c>
      <c r="M400" t="s">
        <v>39</v>
      </c>
      <c r="N400" t="s">
        <v>8245</v>
      </c>
      <c r="O400" s="10">
        <v>19524</v>
      </c>
      <c r="P400" t="s">
        <v>1700</v>
      </c>
      <c r="Q400" t="s">
        <v>734</v>
      </c>
      <c r="R400" t="s">
        <v>192</v>
      </c>
      <c r="S400" s="8">
        <v>45020.209027777775</v>
      </c>
      <c r="T400" t="s">
        <v>78</v>
      </c>
      <c r="U400" t="s">
        <v>82</v>
      </c>
      <c r="V400">
        <v>1953</v>
      </c>
      <c r="W400" s="12">
        <v>117.24</v>
      </c>
      <c r="X400">
        <v>7.5</v>
      </c>
      <c r="Y400" s="14">
        <v>21427700000000</v>
      </c>
      <c r="Z400">
        <v>88.2</v>
      </c>
      <c r="AA400">
        <v>101.8</v>
      </c>
      <c r="AB400">
        <v>9.6</v>
      </c>
      <c r="AC400">
        <v>36.6</v>
      </c>
      <c r="AD400">
        <v>328239523</v>
      </c>
    </row>
    <row r="401" spans="1:30" hidden="1" x14ac:dyDescent="0.45">
      <c r="A401">
        <v>397</v>
      </c>
      <c r="B401">
        <v>6400</v>
      </c>
      <c r="C401" t="s">
        <v>402</v>
      </c>
      <c r="D401" t="s">
        <v>1701</v>
      </c>
      <c r="E401">
        <v>59</v>
      </c>
      <c r="F401" t="s">
        <v>128</v>
      </c>
      <c r="G401" t="s">
        <v>187</v>
      </c>
      <c r="H401" t="s">
        <v>1702</v>
      </c>
      <c r="I401" t="s">
        <v>402</v>
      </c>
      <c r="J401" t="s">
        <v>128</v>
      </c>
      <c r="L401" t="b">
        <v>1</v>
      </c>
      <c r="M401" t="s">
        <v>29</v>
      </c>
      <c r="N401" t="s">
        <v>8246</v>
      </c>
      <c r="O401" s="1">
        <v>23316</v>
      </c>
      <c r="P401" t="s">
        <v>1703</v>
      </c>
      <c r="Q401" t="s">
        <v>937</v>
      </c>
      <c r="S401" s="1">
        <v>45020.209027777775</v>
      </c>
      <c r="V401">
        <v>1963</v>
      </c>
      <c r="W401">
        <v>125.08</v>
      </c>
      <c r="X401">
        <v>2.9</v>
      </c>
      <c r="Y401" s="2">
        <v>19910000000000</v>
      </c>
      <c r="Z401">
        <v>50.6</v>
      </c>
      <c r="AA401">
        <v>100.2</v>
      </c>
      <c r="AB401">
        <v>9.4</v>
      </c>
      <c r="AC401">
        <v>59.2</v>
      </c>
      <c r="AD401">
        <v>1397715000</v>
      </c>
    </row>
    <row r="402" spans="1:30" hidden="1" x14ac:dyDescent="0.45">
      <c r="A402">
        <v>397</v>
      </c>
      <c r="B402">
        <v>6400</v>
      </c>
      <c r="C402" t="s">
        <v>347</v>
      </c>
      <c r="D402" t="s">
        <v>1704</v>
      </c>
      <c r="E402">
        <v>60</v>
      </c>
      <c r="F402" t="s">
        <v>25</v>
      </c>
      <c r="G402" t="s">
        <v>26</v>
      </c>
      <c r="H402" t="s">
        <v>736</v>
      </c>
      <c r="I402" t="s">
        <v>347</v>
      </c>
      <c r="J402" t="s">
        <v>363</v>
      </c>
      <c r="L402" t="b">
        <v>1</v>
      </c>
      <c r="M402" t="s">
        <v>29</v>
      </c>
      <c r="N402" t="s">
        <v>8245</v>
      </c>
      <c r="O402" s="1">
        <v>22934</v>
      </c>
      <c r="P402" t="s">
        <v>1705</v>
      </c>
      <c r="Q402" t="s">
        <v>1706</v>
      </c>
      <c r="S402" s="1">
        <v>45020.209027777775</v>
      </c>
      <c r="V402">
        <v>1962</v>
      </c>
      <c r="W402">
        <v>110.05</v>
      </c>
      <c r="X402">
        <v>1.1000000000000001</v>
      </c>
      <c r="Y402" s="2">
        <v>2715518274227</v>
      </c>
      <c r="Z402">
        <v>65.599999999999994</v>
      </c>
      <c r="AA402">
        <v>102.5</v>
      </c>
      <c r="AB402">
        <v>24.2</v>
      </c>
      <c r="AC402">
        <v>60.7</v>
      </c>
      <c r="AD402">
        <v>67059887</v>
      </c>
    </row>
    <row r="403" spans="1:30" hidden="1" x14ac:dyDescent="0.45">
      <c r="A403">
        <v>397</v>
      </c>
      <c r="B403">
        <v>6400</v>
      </c>
      <c r="C403" t="s">
        <v>296</v>
      </c>
      <c r="D403" t="s">
        <v>1707</v>
      </c>
      <c r="E403">
        <v>56</v>
      </c>
      <c r="F403" t="s">
        <v>487</v>
      </c>
      <c r="G403" t="s">
        <v>487</v>
      </c>
      <c r="H403" t="s">
        <v>1708</v>
      </c>
      <c r="I403" t="s">
        <v>296</v>
      </c>
      <c r="J403" t="s">
        <v>363</v>
      </c>
      <c r="L403" t="b">
        <v>1</v>
      </c>
      <c r="M403" t="s">
        <v>39</v>
      </c>
      <c r="N403" t="s">
        <v>8245</v>
      </c>
      <c r="O403" s="1">
        <v>24433</v>
      </c>
      <c r="P403" t="s">
        <v>1709</v>
      </c>
      <c r="Q403" t="s">
        <v>1710</v>
      </c>
      <c r="S403" s="1">
        <v>45020.209027777775</v>
      </c>
      <c r="V403">
        <v>1966</v>
      </c>
      <c r="W403"/>
      <c r="Y403" s="2">
        <v>7184844193</v>
      </c>
      <c r="AD403">
        <v>38964</v>
      </c>
    </row>
    <row r="404" spans="1:30" hidden="1" x14ac:dyDescent="0.45">
      <c r="A404">
        <v>397</v>
      </c>
      <c r="B404">
        <v>6400</v>
      </c>
      <c r="C404" t="s">
        <v>61</v>
      </c>
      <c r="D404" t="s">
        <v>1711</v>
      </c>
      <c r="E404">
        <v>90</v>
      </c>
      <c r="F404" t="s">
        <v>1712</v>
      </c>
      <c r="G404" t="s">
        <v>1713</v>
      </c>
      <c r="H404" t="s">
        <v>557</v>
      </c>
      <c r="I404" t="s">
        <v>61</v>
      </c>
      <c r="J404" t="s">
        <v>1712</v>
      </c>
      <c r="L404" t="b">
        <v>1</v>
      </c>
      <c r="M404" t="s">
        <v>39</v>
      </c>
      <c r="N404" t="s">
        <v>8245</v>
      </c>
      <c r="O404" s="1">
        <v>12081</v>
      </c>
      <c r="P404" t="s">
        <v>1714</v>
      </c>
      <c r="Q404" t="s">
        <v>1715</v>
      </c>
      <c r="S404" s="1">
        <v>45020.209027777775</v>
      </c>
      <c r="V404">
        <v>1933</v>
      </c>
      <c r="W404">
        <v>140.94999999999999</v>
      </c>
      <c r="X404">
        <v>3.5</v>
      </c>
      <c r="Y404" s="2">
        <v>323802808108</v>
      </c>
      <c r="Z404">
        <v>55.3</v>
      </c>
      <c r="AA404">
        <v>114.5</v>
      </c>
      <c r="AB404">
        <v>14.4</v>
      </c>
      <c r="AC404">
        <v>71.2</v>
      </c>
      <c r="AD404">
        <v>50339443</v>
      </c>
    </row>
    <row r="405" spans="1:30" hidden="1" x14ac:dyDescent="0.45">
      <c r="A405">
        <v>397</v>
      </c>
      <c r="B405">
        <v>6400</v>
      </c>
      <c r="C405" t="s">
        <v>203</v>
      </c>
      <c r="D405" t="s">
        <v>1716</v>
      </c>
      <c r="E405">
        <v>88</v>
      </c>
      <c r="F405" t="s">
        <v>35</v>
      </c>
      <c r="G405" t="s">
        <v>1717</v>
      </c>
      <c r="H405" t="s">
        <v>1718</v>
      </c>
      <c r="I405" t="s">
        <v>203</v>
      </c>
      <c r="J405" t="s">
        <v>35</v>
      </c>
      <c r="L405" t="b">
        <v>1</v>
      </c>
      <c r="M405" t="s">
        <v>39</v>
      </c>
      <c r="N405" t="s">
        <v>8245</v>
      </c>
      <c r="O405" s="1">
        <v>12627</v>
      </c>
      <c r="P405" t="s">
        <v>52</v>
      </c>
      <c r="Q405" t="s">
        <v>1719</v>
      </c>
      <c r="S405" s="1">
        <v>45020.209027777775</v>
      </c>
      <c r="T405" t="s">
        <v>1720</v>
      </c>
      <c r="U405" t="s">
        <v>53</v>
      </c>
      <c r="V405">
        <v>1934</v>
      </c>
      <c r="W405">
        <v>117.24</v>
      </c>
      <c r="X405">
        <v>7.5</v>
      </c>
      <c r="Y405" s="2">
        <v>21427700000000</v>
      </c>
      <c r="Z405">
        <v>88.2</v>
      </c>
      <c r="AA405">
        <v>101.8</v>
      </c>
      <c r="AB405">
        <v>9.6</v>
      </c>
      <c r="AC405">
        <v>36.6</v>
      </c>
      <c r="AD405">
        <v>328239523</v>
      </c>
    </row>
    <row r="406" spans="1:30" hidden="1" x14ac:dyDescent="0.45">
      <c r="A406">
        <v>405</v>
      </c>
      <c r="B406">
        <v>6300</v>
      </c>
      <c r="C406" t="s">
        <v>689</v>
      </c>
      <c r="D406" t="s">
        <v>1721</v>
      </c>
      <c r="E406">
        <v>77</v>
      </c>
      <c r="F406" t="s">
        <v>272</v>
      </c>
      <c r="G406" t="s">
        <v>998</v>
      </c>
      <c r="H406" t="s">
        <v>1445</v>
      </c>
      <c r="I406" t="s">
        <v>689</v>
      </c>
      <c r="J406" t="s">
        <v>272</v>
      </c>
      <c r="L406" t="b">
        <v>0</v>
      </c>
      <c r="M406" t="s">
        <v>29</v>
      </c>
      <c r="N406" t="s">
        <v>8245</v>
      </c>
      <c r="O406" s="1">
        <v>16733</v>
      </c>
      <c r="P406" t="s">
        <v>1722</v>
      </c>
      <c r="Q406" t="s">
        <v>797</v>
      </c>
      <c r="S406" s="1">
        <v>45020.209027777775</v>
      </c>
      <c r="V406">
        <v>1945</v>
      </c>
      <c r="W406">
        <v>119.62</v>
      </c>
      <c r="X406">
        <v>1.7</v>
      </c>
      <c r="Y406" s="2">
        <v>2827113184696</v>
      </c>
      <c r="Z406">
        <v>60</v>
      </c>
      <c r="AA406">
        <v>101.2</v>
      </c>
      <c r="AB406">
        <v>25.5</v>
      </c>
      <c r="AC406">
        <v>30.6</v>
      </c>
      <c r="AD406">
        <v>66834405</v>
      </c>
    </row>
    <row r="407" spans="1:30" hidden="1" x14ac:dyDescent="0.45">
      <c r="A407">
        <v>405</v>
      </c>
      <c r="B407">
        <v>6300</v>
      </c>
      <c r="C407" t="s">
        <v>347</v>
      </c>
      <c r="D407" t="s">
        <v>1723</v>
      </c>
      <c r="E407">
        <v>58</v>
      </c>
      <c r="F407" t="s">
        <v>128</v>
      </c>
      <c r="G407" t="s">
        <v>1045</v>
      </c>
      <c r="H407" t="s">
        <v>1724</v>
      </c>
      <c r="I407" t="s">
        <v>347</v>
      </c>
      <c r="J407" t="s">
        <v>128</v>
      </c>
      <c r="L407" t="b">
        <v>1</v>
      </c>
      <c r="M407" t="s">
        <v>39</v>
      </c>
      <c r="N407" t="s">
        <v>8245</v>
      </c>
      <c r="O407" s="1">
        <v>23743</v>
      </c>
      <c r="P407" t="s">
        <v>1725</v>
      </c>
      <c r="Q407" t="s">
        <v>1726</v>
      </c>
      <c r="S407" s="1">
        <v>45020.209027777775</v>
      </c>
      <c r="V407">
        <v>1965</v>
      </c>
      <c r="W407">
        <v>125.08</v>
      </c>
      <c r="X407">
        <v>2.9</v>
      </c>
      <c r="Y407" s="2">
        <v>19910000000000</v>
      </c>
      <c r="Z407">
        <v>50.6</v>
      </c>
      <c r="AA407">
        <v>100.2</v>
      </c>
      <c r="AB407">
        <v>9.4</v>
      </c>
      <c r="AC407">
        <v>59.2</v>
      </c>
      <c r="AD407">
        <v>1397715000</v>
      </c>
    </row>
    <row r="408" spans="1:30" hidden="1" x14ac:dyDescent="0.45">
      <c r="A408">
        <v>405</v>
      </c>
      <c r="B408">
        <v>6300</v>
      </c>
      <c r="C408" t="s">
        <v>61</v>
      </c>
      <c r="D408" t="s">
        <v>1727</v>
      </c>
      <c r="E408">
        <v>66</v>
      </c>
      <c r="F408" t="s">
        <v>272</v>
      </c>
      <c r="G408" t="s">
        <v>273</v>
      </c>
      <c r="H408" t="s">
        <v>930</v>
      </c>
      <c r="I408" t="s">
        <v>61</v>
      </c>
      <c r="J408" t="s">
        <v>1486</v>
      </c>
      <c r="L408" t="b">
        <v>1</v>
      </c>
      <c r="M408" t="s">
        <v>39</v>
      </c>
      <c r="N408" t="s">
        <v>8245</v>
      </c>
      <c r="O408" s="1">
        <v>20607</v>
      </c>
      <c r="P408" t="s">
        <v>1728</v>
      </c>
      <c r="Q408" t="s">
        <v>225</v>
      </c>
      <c r="R408" t="s">
        <v>688</v>
      </c>
      <c r="S408" s="1">
        <v>45020.209027777775</v>
      </c>
      <c r="V408">
        <v>1956</v>
      </c>
      <c r="W408">
        <v>119.62</v>
      </c>
      <c r="X408">
        <v>1.7</v>
      </c>
      <c r="Y408" s="2">
        <v>2827113184696</v>
      </c>
      <c r="Z408">
        <v>60</v>
      </c>
      <c r="AA408">
        <v>101.2</v>
      </c>
      <c r="AB408">
        <v>25.5</v>
      </c>
      <c r="AC408">
        <v>30.6</v>
      </c>
      <c r="AD408">
        <v>66834405</v>
      </c>
    </row>
    <row r="409" spans="1:30" hidden="1" x14ac:dyDescent="0.45">
      <c r="A409">
        <v>405</v>
      </c>
      <c r="B409">
        <v>6300</v>
      </c>
      <c r="C409" t="s">
        <v>402</v>
      </c>
      <c r="D409" t="s">
        <v>1729</v>
      </c>
      <c r="E409">
        <v>85</v>
      </c>
      <c r="F409" t="s">
        <v>25</v>
      </c>
      <c r="G409" t="s">
        <v>1730</v>
      </c>
      <c r="H409" t="s">
        <v>610</v>
      </c>
      <c r="I409" t="s">
        <v>402</v>
      </c>
      <c r="J409" t="s">
        <v>25</v>
      </c>
      <c r="L409" t="b">
        <v>0</v>
      </c>
      <c r="M409" t="s">
        <v>39</v>
      </c>
      <c r="N409" t="s">
        <v>8245</v>
      </c>
      <c r="O409" s="1">
        <v>13881</v>
      </c>
      <c r="P409" t="s">
        <v>1731</v>
      </c>
      <c r="Q409" t="s">
        <v>280</v>
      </c>
      <c r="S409" s="1">
        <v>45020.209027777775</v>
      </c>
      <c r="V409">
        <v>1938</v>
      </c>
      <c r="W409">
        <v>110.05</v>
      </c>
      <c r="X409">
        <v>1.1000000000000001</v>
      </c>
      <c r="Y409" s="2">
        <v>2715518274227</v>
      </c>
      <c r="Z409">
        <v>65.599999999999994</v>
      </c>
      <c r="AA409">
        <v>102.5</v>
      </c>
      <c r="AB409">
        <v>24.2</v>
      </c>
      <c r="AC409">
        <v>60.7</v>
      </c>
      <c r="AD409">
        <v>67059887</v>
      </c>
    </row>
    <row r="410" spans="1:30" hidden="1" x14ac:dyDescent="0.45">
      <c r="A410">
        <v>405</v>
      </c>
      <c r="B410">
        <v>6300</v>
      </c>
      <c r="C410" t="s">
        <v>347</v>
      </c>
      <c r="D410" t="s">
        <v>1732</v>
      </c>
      <c r="E410">
        <v>59</v>
      </c>
      <c r="F410" t="s">
        <v>128</v>
      </c>
      <c r="G410" t="s">
        <v>1733</v>
      </c>
      <c r="H410" t="s">
        <v>1734</v>
      </c>
      <c r="I410" t="s">
        <v>347</v>
      </c>
      <c r="J410" t="s">
        <v>128</v>
      </c>
      <c r="L410" t="b">
        <v>1</v>
      </c>
      <c r="M410" t="s">
        <v>29</v>
      </c>
      <c r="N410" t="s">
        <v>8245</v>
      </c>
      <c r="O410" s="1">
        <v>23447</v>
      </c>
      <c r="P410" t="s">
        <v>439</v>
      </c>
      <c r="Q410" t="s">
        <v>1735</v>
      </c>
      <c r="S410" s="1">
        <v>45020.209027777775</v>
      </c>
      <c r="V410">
        <v>1964</v>
      </c>
      <c r="W410">
        <v>125.08</v>
      </c>
      <c r="X410">
        <v>2.9</v>
      </c>
      <c r="Y410" s="2">
        <v>19910000000000</v>
      </c>
      <c r="Z410">
        <v>50.6</v>
      </c>
      <c r="AA410">
        <v>100.2</v>
      </c>
      <c r="AB410">
        <v>9.4</v>
      </c>
      <c r="AC410">
        <v>59.2</v>
      </c>
      <c r="AD410">
        <v>1397715000</v>
      </c>
    </row>
    <row r="411" spans="1:30" hidden="1" x14ac:dyDescent="0.45">
      <c r="A411">
        <v>405</v>
      </c>
      <c r="B411">
        <v>6300</v>
      </c>
      <c r="C411" t="s">
        <v>296</v>
      </c>
      <c r="D411" t="s">
        <v>1736</v>
      </c>
      <c r="E411">
        <v>96</v>
      </c>
      <c r="F411" t="s">
        <v>490</v>
      </c>
      <c r="G411" t="s">
        <v>1737</v>
      </c>
      <c r="H411" t="s">
        <v>1738</v>
      </c>
      <c r="I411" t="s">
        <v>296</v>
      </c>
      <c r="J411" t="s">
        <v>490</v>
      </c>
      <c r="L411" t="b">
        <v>1</v>
      </c>
      <c r="M411" t="s">
        <v>29</v>
      </c>
      <c r="N411" t="s">
        <v>8245</v>
      </c>
      <c r="O411" s="1">
        <v>9694</v>
      </c>
      <c r="P411" t="s">
        <v>279</v>
      </c>
      <c r="Q411" t="s">
        <v>1739</v>
      </c>
      <c r="S411" s="1">
        <v>45020.209027777775</v>
      </c>
      <c r="V411">
        <v>1926</v>
      </c>
      <c r="W411">
        <v>108.15</v>
      </c>
      <c r="X411">
        <v>0.8</v>
      </c>
      <c r="Y411" s="2">
        <v>395098666122</v>
      </c>
      <c r="Z411">
        <v>63.4</v>
      </c>
      <c r="AA411">
        <v>104.9</v>
      </c>
      <c r="AB411">
        <v>23.1</v>
      </c>
      <c r="AC411">
        <v>25.3</v>
      </c>
      <c r="AD411">
        <v>9053300</v>
      </c>
    </row>
    <row r="412" spans="1:30" hidden="1" x14ac:dyDescent="0.45">
      <c r="A412">
        <v>411</v>
      </c>
      <c r="B412">
        <v>6200</v>
      </c>
      <c r="C412" t="s">
        <v>126</v>
      </c>
      <c r="D412" t="s">
        <v>1740</v>
      </c>
      <c r="E412">
        <v>59</v>
      </c>
      <c r="F412" t="s">
        <v>85</v>
      </c>
      <c r="G412" t="s">
        <v>86</v>
      </c>
      <c r="H412" t="s">
        <v>1741</v>
      </c>
      <c r="I412" t="s">
        <v>126</v>
      </c>
      <c r="J412" t="s">
        <v>85</v>
      </c>
      <c r="L412" t="b">
        <v>0</v>
      </c>
      <c r="M412" t="s">
        <v>611</v>
      </c>
      <c r="N412" t="s">
        <v>8246</v>
      </c>
      <c r="O412" s="1">
        <v>23133</v>
      </c>
      <c r="P412" t="s">
        <v>1742</v>
      </c>
      <c r="Q412" t="s">
        <v>1743</v>
      </c>
      <c r="S412" s="1">
        <v>45020.209027777775</v>
      </c>
      <c r="V412">
        <v>1963</v>
      </c>
      <c r="W412">
        <v>141.54</v>
      </c>
      <c r="X412">
        <v>3.6</v>
      </c>
      <c r="Y412" s="2">
        <v>1258286717125</v>
      </c>
      <c r="Z412">
        <v>40.200000000000003</v>
      </c>
      <c r="AA412">
        <v>105.8</v>
      </c>
      <c r="AB412">
        <v>13.1</v>
      </c>
      <c r="AC412">
        <v>55.1</v>
      </c>
      <c r="AD412">
        <v>126014024</v>
      </c>
    </row>
    <row r="413" spans="1:30" hidden="1" x14ac:dyDescent="0.45">
      <c r="A413">
        <v>411</v>
      </c>
      <c r="B413">
        <v>6200</v>
      </c>
      <c r="C413" t="s">
        <v>91</v>
      </c>
      <c r="D413" t="s">
        <v>1744</v>
      </c>
      <c r="E413">
        <v>85</v>
      </c>
      <c r="F413" t="s">
        <v>577</v>
      </c>
      <c r="G413" t="s">
        <v>578</v>
      </c>
      <c r="H413" t="s">
        <v>317</v>
      </c>
      <c r="I413" t="s">
        <v>91</v>
      </c>
      <c r="J413" t="s">
        <v>577</v>
      </c>
      <c r="L413" t="b">
        <v>1</v>
      </c>
      <c r="M413" t="s">
        <v>39</v>
      </c>
      <c r="N413" t="s">
        <v>8245</v>
      </c>
      <c r="O413" s="1">
        <v>13942</v>
      </c>
      <c r="P413" t="s">
        <v>1745</v>
      </c>
      <c r="Q413" t="s">
        <v>1746</v>
      </c>
      <c r="S413" s="1">
        <v>45020.209027777775</v>
      </c>
      <c r="V413">
        <v>1938</v>
      </c>
      <c r="W413">
        <v>110.51</v>
      </c>
      <c r="X413">
        <v>1.8</v>
      </c>
      <c r="Y413" s="2">
        <v>530832908738</v>
      </c>
      <c r="Z413">
        <v>67</v>
      </c>
      <c r="AA413">
        <v>126.6</v>
      </c>
      <c r="AB413">
        <v>27.9</v>
      </c>
      <c r="AC413">
        <v>49.1</v>
      </c>
      <c r="AD413">
        <v>10285453</v>
      </c>
    </row>
    <row r="414" spans="1:30" hidden="1" x14ac:dyDescent="0.45">
      <c r="A414">
        <v>411</v>
      </c>
      <c r="B414">
        <v>6200</v>
      </c>
      <c r="C414" t="s">
        <v>436</v>
      </c>
      <c r="D414" t="s">
        <v>1747</v>
      </c>
      <c r="E414">
        <v>89</v>
      </c>
      <c r="F414" t="s">
        <v>641</v>
      </c>
      <c r="G414" t="s">
        <v>1748</v>
      </c>
      <c r="H414" t="s">
        <v>1749</v>
      </c>
      <c r="I414" t="s">
        <v>436</v>
      </c>
      <c r="J414" t="s">
        <v>641</v>
      </c>
      <c r="L414" t="b">
        <v>1</v>
      </c>
      <c r="M414" t="s">
        <v>29</v>
      </c>
      <c r="N414" t="s">
        <v>8245</v>
      </c>
      <c r="O414" s="1">
        <v>12268</v>
      </c>
      <c r="P414" t="s">
        <v>1750</v>
      </c>
      <c r="Q414" t="s">
        <v>1751</v>
      </c>
      <c r="S414" s="1">
        <v>45020.209027777775</v>
      </c>
      <c r="V414">
        <v>1933</v>
      </c>
      <c r="W414">
        <v>115.91</v>
      </c>
      <c r="X414">
        <v>2.6</v>
      </c>
      <c r="Y414" s="2">
        <v>909070395161</v>
      </c>
      <c r="Z414">
        <v>85</v>
      </c>
      <c r="AA414">
        <v>104.2</v>
      </c>
      <c r="AB414">
        <v>23</v>
      </c>
      <c r="AC414">
        <v>41.2</v>
      </c>
      <c r="AD414">
        <v>17332850</v>
      </c>
    </row>
    <row r="415" spans="1:30" hidden="1" x14ac:dyDescent="0.45">
      <c r="A415">
        <v>411</v>
      </c>
      <c r="B415">
        <v>6200</v>
      </c>
      <c r="C415" t="s">
        <v>126</v>
      </c>
      <c r="D415" t="s">
        <v>1752</v>
      </c>
      <c r="E415">
        <v>59</v>
      </c>
      <c r="F415" t="s">
        <v>128</v>
      </c>
      <c r="G415" t="s">
        <v>234</v>
      </c>
      <c r="H415" t="s">
        <v>1426</v>
      </c>
      <c r="I415" t="s">
        <v>126</v>
      </c>
      <c r="J415" t="s">
        <v>128</v>
      </c>
      <c r="L415" t="b">
        <v>1</v>
      </c>
      <c r="M415" t="s">
        <v>29</v>
      </c>
      <c r="N415" t="s">
        <v>8245</v>
      </c>
      <c r="O415" s="1">
        <v>23377</v>
      </c>
      <c r="P415" t="s">
        <v>1261</v>
      </c>
      <c r="Q415" t="s">
        <v>1753</v>
      </c>
      <c r="S415" s="1">
        <v>45020.209027777775</v>
      </c>
      <c r="V415">
        <v>1964</v>
      </c>
      <c r="W415">
        <v>125.08</v>
      </c>
      <c r="X415">
        <v>2.9</v>
      </c>
      <c r="Y415" s="2">
        <v>19910000000000</v>
      </c>
      <c r="Z415">
        <v>50.6</v>
      </c>
      <c r="AA415">
        <v>100.2</v>
      </c>
      <c r="AB415">
        <v>9.4</v>
      </c>
      <c r="AC415">
        <v>59.2</v>
      </c>
      <c r="AD415">
        <v>1397715000</v>
      </c>
    </row>
    <row r="416" spans="1:30" hidden="1" x14ac:dyDescent="0.45">
      <c r="A416">
        <v>411</v>
      </c>
      <c r="B416">
        <v>6200</v>
      </c>
      <c r="C416" t="s">
        <v>296</v>
      </c>
      <c r="D416" t="s">
        <v>1754</v>
      </c>
      <c r="E416">
        <v>59</v>
      </c>
      <c r="F416" t="s">
        <v>128</v>
      </c>
      <c r="G416" t="s">
        <v>960</v>
      </c>
      <c r="H416" t="s">
        <v>1755</v>
      </c>
      <c r="I416" t="s">
        <v>296</v>
      </c>
      <c r="J416" t="s">
        <v>228</v>
      </c>
      <c r="L416" t="b">
        <v>1</v>
      </c>
      <c r="M416" t="s">
        <v>29</v>
      </c>
      <c r="N416" t="s">
        <v>8245</v>
      </c>
      <c r="O416" s="1">
        <v>23377</v>
      </c>
      <c r="P416" t="s">
        <v>1756</v>
      </c>
      <c r="Q416" t="s">
        <v>1047</v>
      </c>
      <c r="S416" s="1">
        <v>45020.209027777775</v>
      </c>
      <c r="V416">
        <v>1964</v>
      </c>
      <c r="W416">
        <v>125.08</v>
      </c>
      <c r="X416">
        <v>2.9</v>
      </c>
      <c r="Y416" s="2">
        <v>19910000000000</v>
      </c>
      <c r="Z416">
        <v>50.6</v>
      </c>
      <c r="AA416">
        <v>100.2</v>
      </c>
      <c r="AB416">
        <v>9.4</v>
      </c>
      <c r="AC416">
        <v>59.2</v>
      </c>
      <c r="AD416">
        <v>1397715000</v>
      </c>
    </row>
    <row r="417" spans="1:30" hidden="1" x14ac:dyDescent="0.45">
      <c r="A417">
        <v>411</v>
      </c>
      <c r="B417">
        <v>6200</v>
      </c>
      <c r="C417" t="s">
        <v>296</v>
      </c>
      <c r="D417" t="s">
        <v>1757</v>
      </c>
      <c r="E417">
        <v>51</v>
      </c>
      <c r="F417" t="s">
        <v>128</v>
      </c>
      <c r="G417" t="s">
        <v>960</v>
      </c>
      <c r="H417" t="s">
        <v>1758</v>
      </c>
      <c r="I417" t="s">
        <v>296</v>
      </c>
      <c r="J417" t="s">
        <v>228</v>
      </c>
      <c r="L417" t="b">
        <v>1</v>
      </c>
      <c r="M417" t="s">
        <v>29</v>
      </c>
      <c r="N417" t="s">
        <v>8245</v>
      </c>
      <c r="O417" s="1">
        <v>26299</v>
      </c>
      <c r="P417" t="s">
        <v>1756</v>
      </c>
      <c r="Q417" t="s">
        <v>1759</v>
      </c>
      <c r="S417" s="1">
        <v>45020.209027777775</v>
      </c>
      <c r="V417">
        <v>1972</v>
      </c>
      <c r="W417">
        <v>125.08</v>
      </c>
      <c r="X417">
        <v>2.9</v>
      </c>
      <c r="Y417" s="2">
        <v>19910000000000</v>
      </c>
      <c r="Z417">
        <v>50.6</v>
      </c>
      <c r="AA417">
        <v>100.2</v>
      </c>
      <c r="AB417">
        <v>9.4</v>
      </c>
      <c r="AC417">
        <v>59.2</v>
      </c>
      <c r="AD417">
        <v>1397715000</v>
      </c>
    </row>
    <row r="418" spans="1:30" hidden="1" x14ac:dyDescent="0.45">
      <c r="A418">
        <v>411</v>
      </c>
      <c r="B418">
        <v>6200</v>
      </c>
      <c r="C418" t="s">
        <v>61</v>
      </c>
      <c r="D418" t="s">
        <v>1760</v>
      </c>
      <c r="E418">
        <v>60</v>
      </c>
      <c r="F418" t="s">
        <v>1761</v>
      </c>
      <c r="G418" t="s">
        <v>1762</v>
      </c>
      <c r="H418" t="s">
        <v>317</v>
      </c>
      <c r="I418" t="s">
        <v>61</v>
      </c>
      <c r="J418" t="s">
        <v>1761</v>
      </c>
      <c r="L418" t="b">
        <v>1</v>
      </c>
      <c r="M418" t="s">
        <v>611</v>
      </c>
      <c r="N418" t="s">
        <v>8245</v>
      </c>
      <c r="O418" s="1">
        <v>22838</v>
      </c>
      <c r="P418" t="s">
        <v>1763</v>
      </c>
      <c r="Q418" t="s">
        <v>1764</v>
      </c>
      <c r="S418" s="1">
        <v>45020.209027777775</v>
      </c>
      <c r="V418">
        <v>1962</v>
      </c>
      <c r="W418">
        <v>114.11</v>
      </c>
      <c r="X418">
        <v>2.2000000000000002</v>
      </c>
      <c r="Y418" s="2">
        <v>592164400688</v>
      </c>
      <c r="Z418">
        <v>67.8</v>
      </c>
      <c r="AA418">
        <v>100</v>
      </c>
      <c r="AB418">
        <v>17.399999999999999</v>
      </c>
      <c r="AC418">
        <v>40.799999999999997</v>
      </c>
      <c r="AD418">
        <v>37970874</v>
      </c>
    </row>
    <row r="419" spans="1:30" hidden="1" x14ac:dyDescent="0.45">
      <c r="A419">
        <v>418</v>
      </c>
      <c r="B419">
        <v>6100</v>
      </c>
      <c r="C419" t="s">
        <v>91</v>
      </c>
      <c r="D419" t="s">
        <v>1765</v>
      </c>
      <c r="E419">
        <v>69</v>
      </c>
      <c r="F419" t="s">
        <v>667</v>
      </c>
      <c r="G419" t="s">
        <v>668</v>
      </c>
      <c r="H419" t="s">
        <v>1766</v>
      </c>
      <c r="I419" t="s">
        <v>91</v>
      </c>
      <c r="J419" t="s">
        <v>667</v>
      </c>
      <c r="L419" t="b">
        <v>1</v>
      </c>
      <c r="M419" t="s">
        <v>39</v>
      </c>
      <c r="N419" t="s">
        <v>8245</v>
      </c>
      <c r="O419" s="1">
        <v>19478</v>
      </c>
      <c r="P419" t="s">
        <v>1767</v>
      </c>
      <c r="Q419" t="s">
        <v>858</v>
      </c>
      <c r="S419" s="1">
        <v>45020.209027777775</v>
      </c>
      <c r="V419">
        <v>1953</v>
      </c>
      <c r="W419">
        <v>267.51</v>
      </c>
      <c r="X419">
        <v>11.4</v>
      </c>
      <c r="Y419" s="2">
        <v>448120428859</v>
      </c>
      <c r="Z419">
        <v>10.199999999999999</v>
      </c>
      <c r="AA419">
        <v>84.7</v>
      </c>
      <c r="AB419">
        <v>1.5</v>
      </c>
      <c r="AC419">
        <v>34.799999999999997</v>
      </c>
      <c r="AD419">
        <v>200963599</v>
      </c>
    </row>
    <row r="420" spans="1:30" hidden="1" x14ac:dyDescent="0.45">
      <c r="A420">
        <v>418</v>
      </c>
      <c r="B420">
        <v>6100</v>
      </c>
      <c r="C420" t="s">
        <v>61</v>
      </c>
      <c r="D420" t="s">
        <v>1768</v>
      </c>
      <c r="E420">
        <v>58</v>
      </c>
      <c r="F420" t="s">
        <v>35</v>
      </c>
      <c r="G420" t="s">
        <v>1026</v>
      </c>
      <c r="H420" t="s">
        <v>930</v>
      </c>
      <c r="I420" t="s">
        <v>61</v>
      </c>
      <c r="J420" t="s">
        <v>35</v>
      </c>
      <c r="L420" t="b">
        <v>1</v>
      </c>
      <c r="M420" t="s">
        <v>29</v>
      </c>
      <c r="N420" t="s">
        <v>8245</v>
      </c>
      <c r="O420" s="1">
        <v>23589</v>
      </c>
      <c r="P420" t="s">
        <v>1769</v>
      </c>
      <c r="Q420" t="s">
        <v>1770</v>
      </c>
      <c r="S420" s="1">
        <v>45020.209027777775</v>
      </c>
      <c r="T420" t="s">
        <v>115</v>
      </c>
      <c r="U420" t="s">
        <v>53</v>
      </c>
      <c r="V420">
        <v>1964</v>
      </c>
      <c r="W420">
        <v>117.24</v>
      </c>
      <c r="X420">
        <v>7.5</v>
      </c>
      <c r="Y420" s="2">
        <v>21427700000000</v>
      </c>
      <c r="Z420">
        <v>88.2</v>
      </c>
      <c r="AA420">
        <v>101.8</v>
      </c>
      <c r="AB420">
        <v>9.6</v>
      </c>
      <c r="AC420">
        <v>36.6</v>
      </c>
      <c r="AD420">
        <v>328239523</v>
      </c>
    </row>
    <row r="421" spans="1:30" hidden="1" x14ac:dyDescent="0.45">
      <c r="A421">
        <v>418</v>
      </c>
      <c r="B421">
        <v>6100</v>
      </c>
      <c r="C421" t="s">
        <v>23</v>
      </c>
      <c r="D421" t="s">
        <v>1771</v>
      </c>
      <c r="E421">
        <v>79</v>
      </c>
      <c r="F421" t="s">
        <v>194</v>
      </c>
      <c r="G421" t="s">
        <v>1038</v>
      </c>
      <c r="H421" t="s">
        <v>1772</v>
      </c>
      <c r="I421" t="s">
        <v>23</v>
      </c>
      <c r="J421" t="s">
        <v>194</v>
      </c>
      <c r="L421" t="b">
        <v>0</v>
      </c>
      <c r="M421" t="s">
        <v>29</v>
      </c>
      <c r="N421" t="s">
        <v>8245</v>
      </c>
      <c r="O421" s="1">
        <v>15977</v>
      </c>
      <c r="P421" t="s">
        <v>1773</v>
      </c>
      <c r="Q421" t="s">
        <v>81</v>
      </c>
      <c r="S421" s="1">
        <v>45020.209027777775</v>
      </c>
      <c r="V421">
        <v>1943</v>
      </c>
      <c r="W421">
        <v>112.85</v>
      </c>
      <c r="X421">
        <v>1.4</v>
      </c>
      <c r="Y421" s="2">
        <v>3845630030824</v>
      </c>
      <c r="Z421">
        <v>70.2</v>
      </c>
      <c r="AA421">
        <v>104</v>
      </c>
      <c r="AB421">
        <v>11.5</v>
      </c>
      <c r="AC421">
        <v>48.8</v>
      </c>
      <c r="AD421">
        <v>83132799</v>
      </c>
    </row>
    <row r="422" spans="1:30" hidden="1" x14ac:dyDescent="0.45">
      <c r="A422">
        <v>418</v>
      </c>
      <c r="B422">
        <v>6100</v>
      </c>
      <c r="C422" t="s">
        <v>23</v>
      </c>
      <c r="D422" t="s">
        <v>1774</v>
      </c>
      <c r="E422">
        <v>72</v>
      </c>
      <c r="F422" t="s">
        <v>194</v>
      </c>
      <c r="G422" t="s">
        <v>1038</v>
      </c>
      <c r="H422" t="s">
        <v>1772</v>
      </c>
      <c r="I422" t="s">
        <v>23</v>
      </c>
      <c r="J422" t="s">
        <v>194</v>
      </c>
      <c r="L422" t="b">
        <v>0</v>
      </c>
      <c r="M422" t="s">
        <v>29</v>
      </c>
      <c r="N422" t="s">
        <v>8245</v>
      </c>
      <c r="O422" s="1">
        <v>18629</v>
      </c>
      <c r="P422" t="s">
        <v>1773</v>
      </c>
      <c r="Q422" t="s">
        <v>1775</v>
      </c>
      <c r="S422" s="1">
        <v>45020.209027777775</v>
      </c>
      <c r="V422">
        <v>1951</v>
      </c>
      <c r="W422">
        <v>112.85</v>
      </c>
      <c r="X422">
        <v>1.4</v>
      </c>
      <c r="Y422" s="2">
        <v>3845630030824</v>
      </c>
      <c r="Z422">
        <v>70.2</v>
      </c>
      <c r="AA422">
        <v>104</v>
      </c>
      <c r="AB422">
        <v>11.5</v>
      </c>
      <c r="AC422">
        <v>48.8</v>
      </c>
      <c r="AD422">
        <v>83132799</v>
      </c>
    </row>
    <row r="423" spans="1:30" hidden="1" x14ac:dyDescent="0.45">
      <c r="A423">
        <v>418</v>
      </c>
      <c r="B423">
        <v>6100</v>
      </c>
      <c r="C423" t="s">
        <v>347</v>
      </c>
      <c r="D423" t="s">
        <v>1776</v>
      </c>
      <c r="E423">
        <v>81</v>
      </c>
      <c r="F423" t="s">
        <v>228</v>
      </c>
      <c r="G423" t="s">
        <v>228</v>
      </c>
      <c r="H423" t="s">
        <v>1777</v>
      </c>
      <c r="I423" t="s">
        <v>347</v>
      </c>
      <c r="J423" t="s">
        <v>228</v>
      </c>
      <c r="L423" t="b">
        <v>0</v>
      </c>
      <c r="M423" t="s">
        <v>39</v>
      </c>
      <c r="N423" t="s">
        <v>8245</v>
      </c>
      <c r="O423" s="1">
        <v>15176</v>
      </c>
      <c r="P423" t="s">
        <v>1778</v>
      </c>
      <c r="Q423" t="s">
        <v>81</v>
      </c>
      <c r="S423" s="1">
        <v>45020.209027777775</v>
      </c>
      <c r="V423">
        <v>1941</v>
      </c>
      <c r="W423"/>
      <c r="Y423"/>
    </row>
    <row r="424" spans="1:30" hidden="1" x14ac:dyDescent="0.45">
      <c r="A424">
        <v>418</v>
      </c>
      <c r="B424">
        <v>6100</v>
      </c>
      <c r="C424" t="s">
        <v>83</v>
      </c>
      <c r="D424" t="s">
        <v>1779</v>
      </c>
      <c r="E424">
        <v>65</v>
      </c>
      <c r="H424" t="s">
        <v>83</v>
      </c>
      <c r="I424" t="s">
        <v>83</v>
      </c>
      <c r="J424" t="s">
        <v>93</v>
      </c>
      <c r="L424" t="b">
        <v>1</v>
      </c>
      <c r="M424" t="s">
        <v>285</v>
      </c>
      <c r="N424" t="s">
        <v>8245</v>
      </c>
      <c r="O424" s="1">
        <v>21116</v>
      </c>
      <c r="P424" t="s">
        <v>525</v>
      </c>
      <c r="Q424" t="s">
        <v>1780</v>
      </c>
      <c r="S424" s="1">
        <v>45020.209027777775</v>
      </c>
      <c r="V424">
        <v>1957</v>
      </c>
      <c r="W424"/>
      <c r="Y424"/>
    </row>
    <row r="425" spans="1:30" hidden="1" x14ac:dyDescent="0.45">
      <c r="A425">
        <v>418</v>
      </c>
      <c r="B425">
        <v>6100</v>
      </c>
      <c r="C425" t="s">
        <v>45</v>
      </c>
      <c r="D425" t="s">
        <v>1781</v>
      </c>
      <c r="E425">
        <v>53</v>
      </c>
      <c r="F425" t="s">
        <v>228</v>
      </c>
      <c r="G425" t="s">
        <v>228</v>
      </c>
      <c r="H425" t="s">
        <v>1782</v>
      </c>
      <c r="I425" t="s">
        <v>45</v>
      </c>
      <c r="J425" t="s">
        <v>228</v>
      </c>
      <c r="K425" t="s">
        <v>1783</v>
      </c>
      <c r="L425" t="b">
        <v>1</v>
      </c>
      <c r="M425" t="s">
        <v>39</v>
      </c>
      <c r="N425" t="s">
        <v>8246</v>
      </c>
      <c r="O425"/>
      <c r="P425" t="s">
        <v>1784</v>
      </c>
      <c r="Q425" t="s">
        <v>1785</v>
      </c>
      <c r="R425" t="s">
        <v>938</v>
      </c>
      <c r="S425" s="1">
        <v>45020.209027777775</v>
      </c>
      <c r="W425"/>
      <c r="Y425"/>
    </row>
    <row r="426" spans="1:30" hidden="1" x14ac:dyDescent="0.45">
      <c r="A426">
        <v>425</v>
      </c>
      <c r="B426">
        <v>6000</v>
      </c>
      <c r="C426" t="s">
        <v>326</v>
      </c>
      <c r="D426" t="s">
        <v>1786</v>
      </c>
      <c r="E426">
        <v>64</v>
      </c>
      <c r="F426" t="s">
        <v>363</v>
      </c>
      <c r="G426" t="s">
        <v>381</v>
      </c>
      <c r="H426" t="s">
        <v>1787</v>
      </c>
      <c r="I426" t="s">
        <v>326</v>
      </c>
      <c r="J426" t="s">
        <v>363</v>
      </c>
      <c r="L426" t="b">
        <v>1</v>
      </c>
      <c r="M426" t="s">
        <v>29</v>
      </c>
      <c r="N426" t="s">
        <v>8245</v>
      </c>
      <c r="O426" s="1">
        <v>21601</v>
      </c>
      <c r="P426" t="s">
        <v>1788</v>
      </c>
      <c r="Q426" t="s">
        <v>1040</v>
      </c>
      <c r="S426" s="1">
        <v>45020.209027777775</v>
      </c>
      <c r="V426">
        <v>1959</v>
      </c>
      <c r="W426">
        <v>180.75</v>
      </c>
      <c r="X426">
        <v>4.5</v>
      </c>
      <c r="Y426" s="2">
        <v>1699876578871</v>
      </c>
      <c r="Z426">
        <v>81.900000000000006</v>
      </c>
      <c r="AA426">
        <v>102.6</v>
      </c>
      <c r="AB426">
        <v>11.4</v>
      </c>
      <c r="AC426">
        <v>46.2</v>
      </c>
      <c r="AD426">
        <v>144373535</v>
      </c>
    </row>
    <row r="427" spans="1:30" hidden="1" x14ac:dyDescent="0.45">
      <c r="A427">
        <v>425</v>
      </c>
      <c r="B427">
        <v>6000</v>
      </c>
      <c r="C427" t="s">
        <v>302</v>
      </c>
      <c r="D427" t="s">
        <v>1789</v>
      </c>
      <c r="E427">
        <v>46</v>
      </c>
      <c r="F427" t="s">
        <v>255</v>
      </c>
      <c r="H427" t="s">
        <v>1790</v>
      </c>
      <c r="I427" t="s">
        <v>302</v>
      </c>
      <c r="J427" t="s">
        <v>255</v>
      </c>
      <c r="L427" t="b">
        <v>1</v>
      </c>
      <c r="M427" t="s">
        <v>29</v>
      </c>
      <c r="N427" t="s">
        <v>8245</v>
      </c>
      <c r="O427" s="1">
        <v>28204</v>
      </c>
      <c r="P427" t="s">
        <v>1791</v>
      </c>
      <c r="Q427" t="s">
        <v>1792</v>
      </c>
      <c r="S427" s="1">
        <v>45020.209027777775</v>
      </c>
      <c r="V427">
        <v>1977</v>
      </c>
      <c r="W427">
        <v>118.06</v>
      </c>
      <c r="X427">
        <v>1.5</v>
      </c>
      <c r="Y427" s="2">
        <v>446314739528</v>
      </c>
      <c r="Z427">
        <v>85.1</v>
      </c>
      <c r="AA427">
        <v>103.1</v>
      </c>
      <c r="AB427">
        <v>25.4</v>
      </c>
      <c r="AC427">
        <v>51.4</v>
      </c>
      <c r="AD427">
        <v>8877067</v>
      </c>
    </row>
    <row r="428" spans="1:30" hidden="1" x14ac:dyDescent="0.45">
      <c r="A428">
        <v>425</v>
      </c>
      <c r="B428">
        <v>6000</v>
      </c>
      <c r="C428" t="s">
        <v>302</v>
      </c>
      <c r="D428" t="s">
        <v>1793</v>
      </c>
      <c r="E428">
        <v>85</v>
      </c>
      <c r="F428" t="s">
        <v>35</v>
      </c>
      <c r="G428" t="s">
        <v>433</v>
      </c>
      <c r="H428" t="s">
        <v>304</v>
      </c>
      <c r="I428" t="s">
        <v>302</v>
      </c>
      <c r="J428" t="s">
        <v>35</v>
      </c>
      <c r="L428" t="b">
        <v>1</v>
      </c>
      <c r="M428" t="s">
        <v>29</v>
      </c>
      <c r="N428" t="s">
        <v>8245</v>
      </c>
      <c r="O428" s="1">
        <v>13892</v>
      </c>
      <c r="P428" t="s">
        <v>1794</v>
      </c>
      <c r="Q428" t="s">
        <v>1795</v>
      </c>
      <c r="S428" s="1">
        <v>45020.209027777775</v>
      </c>
      <c r="T428" t="s">
        <v>435</v>
      </c>
      <c r="U428" t="s">
        <v>69</v>
      </c>
      <c r="V428">
        <v>1938</v>
      </c>
      <c r="W428">
        <v>117.24</v>
      </c>
      <c r="X428">
        <v>7.5</v>
      </c>
      <c r="Y428" s="2">
        <v>21427700000000</v>
      </c>
      <c r="Z428">
        <v>88.2</v>
      </c>
      <c r="AA428">
        <v>101.8</v>
      </c>
      <c r="AB428">
        <v>9.6</v>
      </c>
      <c r="AC428">
        <v>36.6</v>
      </c>
      <c r="AD428">
        <v>328239523</v>
      </c>
    </row>
    <row r="429" spans="1:30" hidden="1" x14ac:dyDescent="0.45">
      <c r="A429">
        <v>425</v>
      </c>
      <c r="B429">
        <v>6000</v>
      </c>
      <c r="C429" t="s">
        <v>23</v>
      </c>
      <c r="D429" t="s">
        <v>1796</v>
      </c>
      <c r="E429">
        <v>74</v>
      </c>
      <c r="F429" t="s">
        <v>164</v>
      </c>
      <c r="G429" t="s">
        <v>1797</v>
      </c>
      <c r="H429" t="s">
        <v>1798</v>
      </c>
      <c r="I429" t="s">
        <v>23</v>
      </c>
      <c r="J429" t="s">
        <v>164</v>
      </c>
      <c r="K429" t="s">
        <v>1799</v>
      </c>
      <c r="L429" t="b">
        <v>1</v>
      </c>
      <c r="M429" t="s">
        <v>29</v>
      </c>
      <c r="N429" t="s">
        <v>8245</v>
      </c>
      <c r="O429" s="1">
        <v>17947</v>
      </c>
      <c r="P429" t="s">
        <v>1800</v>
      </c>
      <c r="Q429" t="s">
        <v>280</v>
      </c>
      <c r="R429" t="s">
        <v>32</v>
      </c>
      <c r="S429" s="1">
        <v>45020.209027777775</v>
      </c>
      <c r="V429">
        <v>1949</v>
      </c>
      <c r="W429">
        <v>116.76</v>
      </c>
      <c r="X429">
        <v>1.9</v>
      </c>
      <c r="Y429" s="2">
        <v>1736425629520</v>
      </c>
      <c r="Z429">
        <v>68.900000000000006</v>
      </c>
      <c r="AA429">
        <v>100.9</v>
      </c>
      <c r="AB429">
        <v>12.8</v>
      </c>
      <c r="AC429">
        <v>24.5</v>
      </c>
      <c r="AD429">
        <v>36991981</v>
      </c>
    </row>
    <row r="430" spans="1:30" hidden="1" x14ac:dyDescent="0.45">
      <c r="A430">
        <v>425</v>
      </c>
      <c r="B430">
        <v>6000</v>
      </c>
      <c r="C430" t="s">
        <v>45</v>
      </c>
      <c r="D430" t="s">
        <v>1801</v>
      </c>
      <c r="E430">
        <v>63</v>
      </c>
      <c r="F430" t="s">
        <v>35</v>
      </c>
      <c r="G430" t="s">
        <v>1802</v>
      </c>
      <c r="H430" t="s">
        <v>1803</v>
      </c>
      <c r="I430" t="s">
        <v>45</v>
      </c>
      <c r="J430" t="s">
        <v>35</v>
      </c>
      <c r="L430" t="b">
        <v>1</v>
      </c>
      <c r="M430" t="s">
        <v>39</v>
      </c>
      <c r="N430" t="s">
        <v>8245</v>
      </c>
      <c r="O430" s="1">
        <v>21788</v>
      </c>
      <c r="P430" t="s">
        <v>1804</v>
      </c>
      <c r="Q430" t="s">
        <v>1805</v>
      </c>
      <c r="S430" s="1">
        <v>45020.209027777775</v>
      </c>
      <c r="T430" t="s">
        <v>245</v>
      </c>
      <c r="U430" t="s">
        <v>53</v>
      </c>
      <c r="V430">
        <v>1959</v>
      </c>
      <c r="W430">
        <v>117.24</v>
      </c>
      <c r="X430">
        <v>7.5</v>
      </c>
      <c r="Y430" s="2">
        <v>21427700000000</v>
      </c>
      <c r="Z430">
        <v>88.2</v>
      </c>
      <c r="AA430">
        <v>101.8</v>
      </c>
      <c r="AB430">
        <v>9.6</v>
      </c>
      <c r="AC430">
        <v>36.6</v>
      </c>
      <c r="AD430">
        <v>328239523</v>
      </c>
    </row>
    <row r="431" spans="1:30" hidden="1" x14ac:dyDescent="0.45">
      <c r="A431">
        <v>425</v>
      </c>
      <c r="B431">
        <v>6000</v>
      </c>
      <c r="C431" t="s">
        <v>23</v>
      </c>
      <c r="D431" t="s">
        <v>1806</v>
      </c>
      <c r="E431">
        <v>65</v>
      </c>
      <c r="F431" t="s">
        <v>93</v>
      </c>
      <c r="G431" t="s">
        <v>94</v>
      </c>
      <c r="H431" t="s">
        <v>622</v>
      </c>
      <c r="I431" t="s">
        <v>23</v>
      </c>
      <c r="J431" t="s">
        <v>93</v>
      </c>
      <c r="L431" t="b">
        <v>1</v>
      </c>
      <c r="M431" t="s">
        <v>39</v>
      </c>
      <c r="N431" t="s">
        <v>8245</v>
      </c>
      <c r="O431" s="1">
        <v>21186</v>
      </c>
      <c r="P431" t="s">
        <v>623</v>
      </c>
      <c r="Q431" t="s">
        <v>1807</v>
      </c>
      <c r="S431" s="1">
        <v>45020.209027777775</v>
      </c>
      <c r="V431">
        <v>1958</v>
      </c>
      <c r="W431">
        <v>180.44</v>
      </c>
      <c r="X431">
        <v>7.7</v>
      </c>
      <c r="Y431" s="2">
        <v>2611000000000</v>
      </c>
      <c r="Z431">
        <v>28.1</v>
      </c>
      <c r="AA431">
        <v>113</v>
      </c>
      <c r="AB431">
        <v>11.2</v>
      </c>
      <c r="AC431">
        <v>49.7</v>
      </c>
      <c r="AD431">
        <v>1366417754</v>
      </c>
    </row>
    <row r="432" spans="1:30" hidden="1" x14ac:dyDescent="0.45">
      <c r="A432">
        <v>425</v>
      </c>
      <c r="B432">
        <v>6000</v>
      </c>
      <c r="C432" t="s">
        <v>91</v>
      </c>
      <c r="D432" t="s">
        <v>1808</v>
      </c>
      <c r="E432">
        <v>88</v>
      </c>
      <c r="F432" t="s">
        <v>628</v>
      </c>
      <c r="G432" t="s">
        <v>629</v>
      </c>
      <c r="H432" t="s">
        <v>91</v>
      </c>
      <c r="I432" t="s">
        <v>91</v>
      </c>
      <c r="J432" t="s">
        <v>628</v>
      </c>
      <c r="L432" t="b">
        <v>0</v>
      </c>
      <c r="M432" t="s">
        <v>29</v>
      </c>
      <c r="N432" t="s">
        <v>8245</v>
      </c>
      <c r="O432" s="1">
        <v>12725</v>
      </c>
      <c r="P432" t="s">
        <v>1809</v>
      </c>
      <c r="Q432" t="s">
        <v>1810</v>
      </c>
      <c r="S432" s="1">
        <v>45020.209027777775</v>
      </c>
      <c r="V432">
        <v>1934</v>
      </c>
      <c r="W432">
        <v>113.27</v>
      </c>
      <c r="X432">
        <v>0.7</v>
      </c>
      <c r="Y432" s="2">
        <v>543649976166</v>
      </c>
      <c r="Z432">
        <v>49.3</v>
      </c>
      <c r="AA432">
        <v>99.8</v>
      </c>
      <c r="AB432">
        <v>14.9</v>
      </c>
      <c r="AC432">
        <v>29.5</v>
      </c>
      <c r="AD432">
        <v>69625582</v>
      </c>
    </row>
    <row r="433" spans="1:30" hidden="1" x14ac:dyDescent="0.45">
      <c r="A433">
        <v>425</v>
      </c>
      <c r="B433">
        <v>6000</v>
      </c>
      <c r="C433" t="s">
        <v>61</v>
      </c>
      <c r="D433" t="s">
        <v>1811</v>
      </c>
      <c r="E433">
        <v>86</v>
      </c>
      <c r="F433" t="s">
        <v>1812</v>
      </c>
      <c r="G433" t="s">
        <v>1813</v>
      </c>
      <c r="H433" t="s">
        <v>317</v>
      </c>
      <c r="I433" t="s">
        <v>61</v>
      </c>
      <c r="J433" t="s">
        <v>272</v>
      </c>
      <c r="L433" t="b">
        <v>1</v>
      </c>
      <c r="M433" t="s">
        <v>29</v>
      </c>
      <c r="N433" t="s">
        <v>8245</v>
      </c>
      <c r="O433" s="1">
        <v>13551</v>
      </c>
      <c r="P433" t="s">
        <v>1814</v>
      </c>
      <c r="Q433" t="s">
        <v>1313</v>
      </c>
      <c r="S433" s="1">
        <v>45020.209027777775</v>
      </c>
      <c r="V433">
        <v>1937</v>
      </c>
      <c r="W433"/>
      <c r="Y433"/>
    </row>
    <row r="434" spans="1:30" hidden="1" x14ac:dyDescent="0.45">
      <c r="A434">
        <v>425</v>
      </c>
      <c r="B434">
        <v>6000</v>
      </c>
      <c r="C434" t="s">
        <v>61</v>
      </c>
      <c r="D434" t="s">
        <v>1815</v>
      </c>
      <c r="E434">
        <v>92</v>
      </c>
      <c r="F434" t="s">
        <v>490</v>
      </c>
      <c r="G434" t="s">
        <v>1737</v>
      </c>
      <c r="H434" t="s">
        <v>317</v>
      </c>
      <c r="I434" t="s">
        <v>61</v>
      </c>
      <c r="J434" t="s">
        <v>328</v>
      </c>
      <c r="L434" t="b">
        <v>1</v>
      </c>
      <c r="M434" t="s">
        <v>39</v>
      </c>
      <c r="N434" t="s">
        <v>8245</v>
      </c>
      <c r="O434" s="1">
        <v>11253</v>
      </c>
      <c r="P434" t="s">
        <v>1816</v>
      </c>
      <c r="Q434" t="s">
        <v>1817</v>
      </c>
      <c r="S434" s="1">
        <v>45020.209027777775</v>
      </c>
      <c r="V434">
        <v>1930</v>
      </c>
      <c r="W434">
        <v>108.15</v>
      </c>
      <c r="X434">
        <v>0.8</v>
      </c>
      <c r="Y434" s="2">
        <v>395098666122</v>
      </c>
      <c r="Z434">
        <v>63.4</v>
      </c>
      <c r="AA434">
        <v>104.9</v>
      </c>
      <c r="AB434">
        <v>23.1</v>
      </c>
      <c r="AC434">
        <v>25.3</v>
      </c>
      <c r="AD434">
        <v>9053300</v>
      </c>
    </row>
    <row r="435" spans="1:30" hidden="1" x14ac:dyDescent="0.45">
      <c r="A435">
        <v>425</v>
      </c>
      <c r="B435">
        <v>6000</v>
      </c>
      <c r="C435" t="s">
        <v>61</v>
      </c>
      <c r="D435" t="s">
        <v>1818</v>
      </c>
      <c r="E435">
        <v>76</v>
      </c>
      <c r="F435" t="s">
        <v>35</v>
      </c>
      <c r="G435" t="s">
        <v>964</v>
      </c>
      <c r="H435" t="s">
        <v>317</v>
      </c>
      <c r="I435" t="s">
        <v>61</v>
      </c>
      <c r="J435" t="s">
        <v>35</v>
      </c>
      <c r="L435" t="b">
        <v>1</v>
      </c>
      <c r="M435" t="s">
        <v>29</v>
      </c>
      <c r="N435" t="s">
        <v>8245</v>
      </c>
      <c r="O435" s="1">
        <v>16987</v>
      </c>
      <c r="P435" t="s">
        <v>1819</v>
      </c>
      <c r="Q435" t="s">
        <v>81</v>
      </c>
      <c r="S435" s="1">
        <v>45020.209027777775</v>
      </c>
      <c r="T435" t="s">
        <v>115</v>
      </c>
      <c r="U435" t="s">
        <v>53</v>
      </c>
      <c r="V435">
        <v>1946</v>
      </c>
      <c r="W435">
        <v>117.24</v>
      </c>
      <c r="X435">
        <v>7.5</v>
      </c>
      <c r="Y435" s="2">
        <v>21427700000000</v>
      </c>
      <c r="Z435">
        <v>88.2</v>
      </c>
      <c r="AA435">
        <v>101.8</v>
      </c>
      <c r="AB435">
        <v>9.6</v>
      </c>
      <c r="AC435">
        <v>36.6</v>
      </c>
      <c r="AD435">
        <v>328239523</v>
      </c>
    </row>
    <row r="436" spans="1:30" hidden="1" x14ac:dyDescent="0.45">
      <c r="A436">
        <v>425</v>
      </c>
      <c r="B436">
        <v>6000</v>
      </c>
      <c r="C436" t="s">
        <v>45</v>
      </c>
      <c r="D436" t="s">
        <v>1820</v>
      </c>
      <c r="E436">
        <v>71</v>
      </c>
      <c r="F436" t="s">
        <v>35</v>
      </c>
      <c r="G436" t="s">
        <v>1508</v>
      </c>
      <c r="H436" t="s">
        <v>1821</v>
      </c>
      <c r="I436" t="s">
        <v>45</v>
      </c>
      <c r="J436" t="s">
        <v>35</v>
      </c>
      <c r="L436" t="b">
        <v>1</v>
      </c>
      <c r="M436" t="s">
        <v>29</v>
      </c>
      <c r="N436" t="s">
        <v>8245</v>
      </c>
      <c r="O436" s="1">
        <v>18811</v>
      </c>
      <c r="P436" t="s">
        <v>1822</v>
      </c>
      <c r="Q436" t="s">
        <v>169</v>
      </c>
      <c r="S436" s="1">
        <v>45020.209027777775</v>
      </c>
      <c r="T436" t="s">
        <v>1153</v>
      </c>
      <c r="U436" t="s">
        <v>69</v>
      </c>
      <c r="V436">
        <v>1951</v>
      </c>
      <c r="W436">
        <v>117.24</v>
      </c>
      <c r="X436">
        <v>7.5</v>
      </c>
      <c r="Y436" s="2">
        <v>21427700000000</v>
      </c>
      <c r="Z436">
        <v>88.2</v>
      </c>
      <c r="AA436">
        <v>101.8</v>
      </c>
      <c r="AB436">
        <v>9.6</v>
      </c>
      <c r="AC436">
        <v>36.6</v>
      </c>
      <c r="AD436">
        <v>328239523</v>
      </c>
    </row>
    <row r="437" spans="1:30" hidden="1" x14ac:dyDescent="0.45">
      <c r="A437">
        <v>425</v>
      </c>
      <c r="B437">
        <v>6000</v>
      </c>
      <c r="C437" t="s">
        <v>23</v>
      </c>
      <c r="D437" t="s">
        <v>1823</v>
      </c>
      <c r="E437">
        <v>85</v>
      </c>
      <c r="F437" t="s">
        <v>35</v>
      </c>
      <c r="G437" t="s">
        <v>1824</v>
      </c>
      <c r="H437" t="s">
        <v>196</v>
      </c>
      <c r="I437" t="s">
        <v>23</v>
      </c>
      <c r="J437" t="s">
        <v>35</v>
      </c>
      <c r="L437" t="b">
        <v>1</v>
      </c>
      <c r="M437" t="s">
        <v>29</v>
      </c>
      <c r="N437" t="s">
        <v>8245</v>
      </c>
      <c r="O437" s="1">
        <v>13766</v>
      </c>
      <c r="P437" t="s">
        <v>1825</v>
      </c>
      <c r="Q437" t="s">
        <v>1826</v>
      </c>
      <c r="S437" s="1">
        <v>45020.209027777775</v>
      </c>
      <c r="T437" t="s">
        <v>1827</v>
      </c>
      <c r="U437" t="s">
        <v>69</v>
      </c>
      <c r="V437">
        <v>1937</v>
      </c>
      <c r="W437">
        <v>117.24</v>
      </c>
      <c r="X437">
        <v>7.5</v>
      </c>
      <c r="Y437" s="2">
        <v>21427700000000</v>
      </c>
      <c r="Z437">
        <v>88.2</v>
      </c>
      <c r="AA437">
        <v>101.8</v>
      </c>
      <c r="AB437">
        <v>9.6</v>
      </c>
      <c r="AC437">
        <v>36.6</v>
      </c>
      <c r="AD437">
        <v>328239523</v>
      </c>
    </row>
    <row r="438" spans="1:30" hidden="1" x14ac:dyDescent="0.45">
      <c r="A438">
        <v>437</v>
      </c>
      <c r="B438">
        <v>5900</v>
      </c>
      <c r="C438" t="s">
        <v>302</v>
      </c>
      <c r="D438" t="s">
        <v>1828</v>
      </c>
      <c r="E438">
        <v>60</v>
      </c>
      <c r="F438" t="s">
        <v>128</v>
      </c>
      <c r="G438" t="s">
        <v>777</v>
      </c>
      <c r="H438" t="s">
        <v>304</v>
      </c>
      <c r="I438" t="s">
        <v>302</v>
      </c>
      <c r="J438" t="s">
        <v>128</v>
      </c>
      <c r="L438" t="b">
        <v>1</v>
      </c>
      <c r="M438" t="s">
        <v>39</v>
      </c>
      <c r="N438" t="s">
        <v>8245</v>
      </c>
      <c r="O438" s="1">
        <v>23012</v>
      </c>
      <c r="P438" t="s">
        <v>1829</v>
      </c>
      <c r="Q438" t="s">
        <v>1830</v>
      </c>
      <c r="S438" s="1">
        <v>45020.209027777775</v>
      </c>
      <c r="V438">
        <v>1963</v>
      </c>
      <c r="W438">
        <v>125.08</v>
      </c>
      <c r="X438">
        <v>2.9</v>
      </c>
      <c r="Y438" s="2">
        <v>19910000000000</v>
      </c>
      <c r="Z438">
        <v>50.6</v>
      </c>
      <c r="AA438">
        <v>100.2</v>
      </c>
      <c r="AB438">
        <v>9.4</v>
      </c>
      <c r="AC438">
        <v>59.2</v>
      </c>
      <c r="AD438">
        <v>1397715000</v>
      </c>
    </row>
    <row r="439" spans="1:30" hidden="1" x14ac:dyDescent="0.45">
      <c r="A439">
        <v>437</v>
      </c>
      <c r="B439">
        <v>5900</v>
      </c>
      <c r="C439" t="s">
        <v>91</v>
      </c>
      <c r="D439" t="s">
        <v>1831</v>
      </c>
      <c r="E439">
        <v>93</v>
      </c>
      <c r="F439" t="s">
        <v>628</v>
      </c>
      <c r="G439" t="s">
        <v>629</v>
      </c>
      <c r="H439" t="s">
        <v>91</v>
      </c>
      <c r="I439" t="s">
        <v>91</v>
      </c>
      <c r="J439" t="s">
        <v>628</v>
      </c>
      <c r="L439" t="b">
        <v>0</v>
      </c>
      <c r="M439" t="s">
        <v>29</v>
      </c>
      <c r="N439" t="s">
        <v>8245</v>
      </c>
      <c r="O439" s="1">
        <v>11049</v>
      </c>
      <c r="P439" t="s">
        <v>1832</v>
      </c>
      <c r="Q439" t="s">
        <v>1833</v>
      </c>
      <c r="S439" s="1">
        <v>45020.209027777775</v>
      </c>
      <c r="V439">
        <v>1930</v>
      </c>
      <c r="W439">
        <v>113.27</v>
      </c>
      <c r="X439">
        <v>0.7</v>
      </c>
      <c r="Y439" s="2">
        <v>543649976166</v>
      </c>
      <c r="Z439">
        <v>49.3</v>
      </c>
      <c r="AA439">
        <v>99.8</v>
      </c>
      <c r="AB439">
        <v>14.9</v>
      </c>
      <c r="AC439">
        <v>29.5</v>
      </c>
      <c r="AD439">
        <v>69625582</v>
      </c>
    </row>
    <row r="440" spans="1:30" x14ac:dyDescent="0.45">
      <c r="A440">
        <v>437</v>
      </c>
      <c r="B440" s="6">
        <v>5900</v>
      </c>
      <c r="C440" t="s">
        <v>61</v>
      </c>
      <c r="D440" t="s">
        <v>1834</v>
      </c>
      <c r="E440">
        <v>61</v>
      </c>
      <c r="F440" t="s">
        <v>35</v>
      </c>
      <c r="G440" t="s">
        <v>1835</v>
      </c>
      <c r="H440" t="s">
        <v>248</v>
      </c>
      <c r="I440" t="s">
        <v>61</v>
      </c>
      <c r="J440" t="s">
        <v>1297</v>
      </c>
      <c r="K440" t="s">
        <v>1836</v>
      </c>
      <c r="L440" t="b">
        <v>1</v>
      </c>
      <c r="M440" t="s">
        <v>39</v>
      </c>
      <c r="N440" t="s">
        <v>8245</v>
      </c>
      <c r="O440" s="10">
        <v>22394</v>
      </c>
      <c r="P440" t="s">
        <v>1837</v>
      </c>
      <c r="Q440" t="s">
        <v>774</v>
      </c>
      <c r="R440" t="s">
        <v>688</v>
      </c>
      <c r="S440" s="8">
        <v>45020.209027777775</v>
      </c>
      <c r="T440" t="s">
        <v>479</v>
      </c>
      <c r="U440" t="s">
        <v>82</v>
      </c>
      <c r="V440">
        <v>1961</v>
      </c>
      <c r="W440" s="12">
        <v>117.24</v>
      </c>
      <c r="X440">
        <v>7.5</v>
      </c>
      <c r="Y440" s="14">
        <v>21427700000000</v>
      </c>
      <c r="Z440">
        <v>88.2</v>
      </c>
      <c r="AA440">
        <v>101.8</v>
      </c>
      <c r="AB440">
        <v>9.6</v>
      </c>
      <c r="AC440">
        <v>36.6</v>
      </c>
      <c r="AD440">
        <v>328239523</v>
      </c>
    </row>
    <row r="441" spans="1:30" hidden="1" x14ac:dyDescent="0.45">
      <c r="A441">
        <v>437</v>
      </c>
      <c r="B441">
        <v>5900</v>
      </c>
      <c r="C441" t="s">
        <v>61</v>
      </c>
      <c r="D441" t="s">
        <v>1838</v>
      </c>
      <c r="E441">
        <v>62</v>
      </c>
      <c r="F441" t="s">
        <v>35</v>
      </c>
      <c r="G441" t="s">
        <v>964</v>
      </c>
      <c r="H441" t="s">
        <v>1839</v>
      </c>
      <c r="I441" t="s">
        <v>61</v>
      </c>
      <c r="J441" t="s">
        <v>35</v>
      </c>
      <c r="L441" t="b">
        <v>1</v>
      </c>
      <c r="M441" t="s">
        <v>29</v>
      </c>
      <c r="N441" t="s">
        <v>8245</v>
      </c>
      <c r="O441" s="1">
        <v>22201</v>
      </c>
      <c r="P441" t="s">
        <v>1840</v>
      </c>
      <c r="Q441" t="s">
        <v>1841</v>
      </c>
      <c r="S441" s="1">
        <v>45020.209027777775</v>
      </c>
      <c r="T441" t="s">
        <v>115</v>
      </c>
      <c r="U441" t="s">
        <v>53</v>
      </c>
      <c r="V441">
        <v>1960</v>
      </c>
      <c r="W441">
        <v>117.24</v>
      </c>
      <c r="X441">
        <v>7.5</v>
      </c>
      <c r="Y441" s="2">
        <v>21427700000000</v>
      </c>
      <c r="Z441">
        <v>88.2</v>
      </c>
      <c r="AA441">
        <v>101.8</v>
      </c>
      <c r="AB441">
        <v>9.6</v>
      </c>
      <c r="AC441">
        <v>36.6</v>
      </c>
      <c r="AD441">
        <v>328239523</v>
      </c>
    </row>
    <row r="442" spans="1:30" hidden="1" x14ac:dyDescent="0.45">
      <c r="A442">
        <v>437</v>
      </c>
      <c r="B442">
        <v>5900</v>
      </c>
      <c r="C442" t="s">
        <v>126</v>
      </c>
      <c r="D442" t="s">
        <v>1842</v>
      </c>
      <c r="E442">
        <v>66</v>
      </c>
      <c r="F442" t="s">
        <v>128</v>
      </c>
      <c r="G442" t="s">
        <v>292</v>
      </c>
      <c r="H442" t="s">
        <v>1843</v>
      </c>
      <c r="I442" t="s">
        <v>126</v>
      </c>
      <c r="J442" t="s">
        <v>1259</v>
      </c>
      <c r="L442" t="b">
        <v>0</v>
      </c>
      <c r="M442" t="s">
        <v>39</v>
      </c>
      <c r="N442" t="s">
        <v>8245</v>
      </c>
      <c r="O442" s="1">
        <v>20835</v>
      </c>
      <c r="P442" t="s">
        <v>1323</v>
      </c>
      <c r="Q442" t="s">
        <v>1844</v>
      </c>
      <c r="S442" s="1">
        <v>45020.209027777775</v>
      </c>
      <c r="V442">
        <v>1957</v>
      </c>
      <c r="W442">
        <v>125.08</v>
      </c>
      <c r="X442">
        <v>2.9</v>
      </c>
      <c r="Y442" s="2">
        <v>19910000000000</v>
      </c>
      <c r="Z442">
        <v>50.6</v>
      </c>
      <c r="AA442">
        <v>100.2</v>
      </c>
      <c r="AB442">
        <v>9.4</v>
      </c>
      <c r="AC442">
        <v>59.2</v>
      </c>
      <c r="AD442">
        <v>1397715000</v>
      </c>
    </row>
    <row r="443" spans="1:30" hidden="1" x14ac:dyDescent="0.45">
      <c r="A443">
        <v>442</v>
      </c>
      <c r="B443">
        <v>5800</v>
      </c>
      <c r="C443" t="s">
        <v>61</v>
      </c>
      <c r="D443" t="s">
        <v>1845</v>
      </c>
      <c r="E443">
        <v>58</v>
      </c>
      <c r="F443" t="s">
        <v>35</v>
      </c>
      <c r="G443" t="s">
        <v>247</v>
      </c>
      <c r="H443" t="s">
        <v>930</v>
      </c>
      <c r="I443" t="s">
        <v>61</v>
      </c>
      <c r="J443" t="s">
        <v>35</v>
      </c>
      <c r="L443" t="b">
        <v>1</v>
      </c>
      <c r="M443" t="s">
        <v>611</v>
      </c>
      <c r="N443" t="s">
        <v>8245</v>
      </c>
      <c r="O443" s="1">
        <v>23740</v>
      </c>
      <c r="P443" t="s">
        <v>1846</v>
      </c>
      <c r="Q443" t="s">
        <v>1847</v>
      </c>
      <c r="S443" s="1">
        <v>45020.209027777775</v>
      </c>
      <c r="T443" t="s">
        <v>253</v>
      </c>
      <c r="U443" t="s">
        <v>44</v>
      </c>
      <c r="V443">
        <v>1964</v>
      </c>
      <c r="W443">
        <v>117.24</v>
      </c>
      <c r="X443">
        <v>7.5</v>
      </c>
      <c r="Y443" s="2">
        <v>21427700000000</v>
      </c>
      <c r="Z443">
        <v>88.2</v>
      </c>
      <c r="AA443">
        <v>101.8</v>
      </c>
      <c r="AB443">
        <v>9.6</v>
      </c>
      <c r="AC443">
        <v>36.6</v>
      </c>
      <c r="AD443">
        <v>328239523</v>
      </c>
    </row>
    <row r="444" spans="1:30" hidden="1" x14ac:dyDescent="0.45">
      <c r="A444">
        <v>442</v>
      </c>
      <c r="B444">
        <v>5800</v>
      </c>
      <c r="C444" t="s">
        <v>402</v>
      </c>
      <c r="D444" t="s">
        <v>1848</v>
      </c>
      <c r="E444">
        <v>75</v>
      </c>
      <c r="F444" t="s">
        <v>1385</v>
      </c>
      <c r="G444" t="s">
        <v>1849</v>
      </c>
      <c r="H444" t="s">
        <v>645</v>
      </c>
      <c r="I444" t="s">
        <v>402</v>
      </c>
      <c r="J444" t="s">
        <v>1385</v>
      </c>
      <c r="L444" t="b">
        <v>0</v>
      </c>
      <c r="M444" t="s">
        <v>39</v>
      </c>
      <c r="N444" t="s">
        <v>8245</v>
      </c>
      <c r="O444" s="1">
        <v>17465</v>
      </c>
      <c r="P444" t="s">
        <v>1850</v>
      </c>
      <c r="Q444" t="s">
        <v>1851</v>
      </c>
      <c r="S444" s="1">
        <v>45020.209027777775</v>
      </c>
      <c r="V444">
        <v>1947</v>
      </c>
      <c r="W444">
        <v>110.35</v>
      </c>
      <c r="X444">
        <v>0.8</v>
      </c>
      <c r="Y444" s="2">
        <v>348078018464</v>
      </c>
      <c r="Z444">
        <v>80.599999999999994</v>
      </c>
      <c r="AA444">
        <v>101.3</v>
      </c>
      <c r="AB444">
        <v>32.4</v>
      </c>
      <c r="AC444">
        <v>23.8</v>
      </c>
      <c r="AD444">
        <v>5818553</v>
      </c>
    </row>
    <row r="445" spans="1:30" hidden="1" x14ac:dyDescent="0.45">
      <c r="A445">
        <v>442</v>
      </c>
      <c r="B445">
        <v>5800</v>
      </c>
      <c r="C445" t="s">
        <v>402</v>
      </c>
      <c r="D445" t="s">
        <v>1852</v>
      </c>
      <c r="E445">
        <v>70</v>
      </c>
      <c r="F445" t="s">
        <v>35</v>
      </c>
      <c r="G445" t="s">
        <v>964</v>
      </c>
      <c r="H445" t="s">
        <v>610</v>
      </c>
      <c r="I445" t="s">
        <v>402</v>
      </c>
      <c r="J445" t="s">
        <v>35</v>
      </c>
      <c r="L445" t="b">
        <v>1</v>
      </c>
      <c r="M445" t="s">
        <v>39</v>
      </c>
      <c r="N445" t="s">
        <v>8245</v>
      </c>
      <c r="O445" s="1">
        <v>19204</v>
      </c>
      <c r="P445" t="s">
        <v>1853</v>
      </c>
      <c r="Q445" t="s">
        <v>1213</v>
      </c>
      <c r="S445" s="1">
        <v>45020.209027777775</v>
      </c>
      <c r="T445" t="s">
        <v>115</v>
      </c>
      <c r="U445" t="s">
        <v>53</v>
      </c>
      <c r="V445">
        <v>1952</v>
      </c>
      <c r="W445">
        <v>117.24</v>
      </c>
      <c r="X445">
        <v>7.5</v>
      </c>
      <c r="Y445" s="2">
        <v>21427700000000</v>
      </c>
      <c r="Z445">
        <v>88.2</v>
      </c>
      <c r="AA445">
        <v>101.8</v>
      </c>
      <c r="AB445">
        <v>9.6</v>
      </c>
      <c r="AC445">
        <v>36.6</v>
      </c>
      <c r="AD445">
        <v>328239523</v>
      </c>
    </row>
    <row r="446" spans="1:30" hidden="1" x14ac:dyDescent="0.45">
      <c r="A446">
        <v>445</v>
      </c>
      <c r="B446">
        <v>5700</v>
      </c>
      <c r="C446" t="s">
        <v>326</v>
      </c>
      <c r="D446" t="s">
        <v>1854</v>
      </c>
      <c r="E446">
        <v>56</v>
      </c>
      <c r="F446" t="s">
        <v>1855</v>
      </c>
      <c r="G446" t="s">
        <v>1856</v>
      </c>
      <c r="H446" t="s">
        <v>1857</v>
      </c>
      <c r="I446" t="s">
        <v>326</v>
      </c>
      <c r="J446" t="s">
        <v>1855</v>
      </c>
      <c r="L446" t="b">
        <v>1</v>
      </c>
      <c r="M446" t="s">
        <v>29</v>
      </c>
      <c r="N446" t="s">
        <v>8245</v>
      </c>
      <c r="O446" s="1">
        <v>24371</v>
      </c>
      <c r="P446" t="s">
        <v>1858</v>
      </c>
      <c r="Q446" t="s">
        <v>1859</v>
      </c>
      <c r="S446" s="1">
        <v>45020.209027777775</v>
      </c>
      <c r="V446">
        <v>1966</v>
      </c>
      <c r="W446">
        <v>281.66000000000003</v>
      </c>
      <c r="X446">
        <v>7.9</v>
      </c>
      <c r="Y446" s="2">
        <v>153781069118</v>
      </c>
      <c r="Z446">
        <v>82.7</v>
      </c>
      <c r="AA446">
        <v>99</v>
      </c>
      <c r="AB446">
        <v>20.100000000000001</v>
      </c>
      <c r="AC446">
        <v>45.2</v>
      </c>
      <c r="AD446">
        <v>44385155</v>
      </c>
    </row>
    <row r="447" spans="1:30" hidden="1" x14ac:dyDescent="0.45">
      <c r="A447">
        <v>445</v>
      </c>
      <c r="B447">
        <v>5700</v>
      </c>
      <c r="C447" t="s">
        <v>402</v>
      </c>
      <c r="D447" t="s">
        <v>1860</v>
      </c>
      <c r="E447">
        <v>88</v>
      </c>
      <c r="F447" t="s">
        <v>35</v>
      </c>
      <c r="G447" t="s">
        <v>1130</v>
      </c>
      <c r="H447" t="s">
        <v>1529</v>
      </c>
      <c r="I447" t="s">
        <v>402</v>
      </c>
      <c r="J447" t="s">
        <v>35</v>
      </c>
      <c r="L447" t="b">
        <v>1</v>
      </c>
      <c r="M447" t="s">
        <v>29</v>
      </c>
      <c r="N447" t="s">
        <v>8245</v>
      </c>
      <c r="O447" s="1">
        <v>12677</v>
      </c>
      <c r="P447" t="s">
        <v>1861</v>
      </c>
      <c r="Q447" t="s">
        <v>225</v>
      </c>
      <c r="S447" s="1">
        <v>45020.209027777775</v>
      </c>
      <c r="T447" t="s">
        <v>1134</v>
      </c>
      <c r="U447" t="s">
        <v>44</v>
      </c>
      <c r="V447">
        <v>1934</v>
      </c>
      <c r="W447">
        <v>117.24</v>
      </c>
      <c r="X447">
        <v>7.5</v>
      </c>
      <c r="Y447" s="2">
        <v>21427700000000</v>
      </c>
      <c r="Z447">
        <v>88.2</v>
      </c>
      <c r="AA447">
        <v>101.8</v>
      </c>
      <c r="AB447">
        <v>9.6</v>
      </c>
      <c r="AC447">
        <v>36.6</v>
      </c>
      <c r="AD447">
        <v>328239523</v>
      </c>
    </row>
    <row r="448" spans="1:30" hidden="1" x14ac:dyDescent="0.45">
      <c r="A448">
        <v>445</v>
      </c>
      <c r="B448">
        <v>5700</v>
      </c>
      <c r="C448" t="s">
        <v>76</v>
      </c>
      <c r="D448" t="s">
        <v>1862</v>
      </c>
      <c r="E448">
        <v>76</v>
      </c>
      <c r="F448" t="s">
        <v>1863</v>
      </c>
      <c r="G448" t="s">
        <v>1864</v>
      </c>
      <c r="H448" t="s">
        <v>1865</v>
      </c>
      <c r="I448" t="s">
        <v>76</v>
      </c>
      <c r="J448" t="s">
        <v>272</v>
      </c>
      <c r="L448" t="b">
        <v>1</v>
      </c>
      <c r="M448" t="s">
        <v>611</v>
      </c>
      <c r="N448" t="s">
        <v>8245</v>
      </c>
      <c r="O448" s="1">
        <v>17149</v>
      </c>
      <c r="P448" t="s">
        <v>1866</v>
      </c>
      <c r="Q448" t="s">
        <v>1867</v>
      </c>
      <c r="S448" s="1">
        <v>45020.209027777775</v>
      </c>
      <c r="V448">
        <v>1946</v>
      </c>
      <c r="W448"/>
      <c r="Y448"/>
    </row>
    <row r="449" spans="1:30" hidden="1" x14ac:dyDescent="0.45">
      <c r="A449">
        <v>445</v>
      </c>
      <c r="B449">
        <v>5700</v>
      </c>
      <c r="C449" t="s">
        <v>347</v>
      </c>
      <c r="D449" t="s">
        <v>1868</v>
      </c>
      <c r="E449">
        <v>93</v>
      </c>
      <c r="F449" t="s">
        <v>164</v>
      </c>
      <c r="G449" t="s">
        <v>1869</v>
      </c>
      <c r="H449" t="s">
        <v>462</v>
      </c>
      <c r="I449" t="s">
        <v>347</v>
      </c>
      <c r="J449" t="s">
        <v>164</v>
      </c>
      <c r="L449" t="b">
        <v>0</v>
      </c>
      <c r="M449" t="s">
        <v>29</v>
      </c>
      <c r="N449" t="s">
        <v>8245</v>
      </c>
      <c r="O449" s="1">
        <v>10959</v>
      </c>
      <c r="P449" t="s">
        <v>1870</v>
      </c>
      <c r="Q449" t="s">
        <v>1329</v>
      </c>
      <c r="S449" s="1">
        <v>45020.209027777775</v>
      </c>
      <c r="V449">
        <v>1930</v>
      </c>
      <c r="W449">
        <v>116.76</v>
      </c>
      <c r="X449">
        <v>1.9</v>
      </c>
      <c r="Y449" s="2">
        <v>1736425629520</v>
      </c>
      <c r="Z449">
        <v>68.900000000000006</v>
      </c>
      <c r="AA449">
        <v>100.9</v>
      </c>
      <c r="AB449">
        <v>12.8</v>
      </c>
      <c r="AC449">
        <v>24.5</v>
      </c>
      <c r="AD449">
        <v>36991981</v>
      </c>
    </row>
    <row r="450" spans="1:30" hidden="1" x14ac:dyDescent="0.45">
      <c r="A450">
        <v>445</v>
      </c>
      <c r="B450">
        <v>5700</v>
      </c>
      <c r="C450" t="s">
        <v>302</v>
      </c>
      <c r="D450" t="s">
        <v>1871</v>
      </c>
      <c r="E450">
        <v>71</v>
      </c>
      <c r="F450" t="s">
        <v>577</v>
      </c>
      <c r="G450" t="s">
        <v>578</v>
      </c>
      <c r="H450" t="s">
        <v>1405</v>
      </c>
      <c r="I450" t="s">
        <v>302</v>
      </c>
      <c r="J450" t="s">
        <v>577</v>
      </c>
      <c r="L450" t="b">
        <v>0</v>
      </c>
      <c r="M450" t="s">
        <v>39</v>
      </c>
      <c r="N450" t="s">
        <v>8245</v>
      </c>
      <c r="O450" s="1">
        <v>18845</v>
      </c>
      <c r="P450" t="s">
        <v>1872</v>
      </c>
      <c r="Q450" t="s">
        <v>1873</v>
      </c>
      <c r="S450" s="1">
        <v>45020.209027777775</v>
      </c>
      <c r="V450">
        <v>1951</v>
      </c>
      <c r="W450">
        <v>110.51</v>
      </c>
      <c r="X450">
        <v>1.8</v>
      </c>
      <c r="Y450" s="2">
        <v>530832908738</v>
      </c>
      <c r="Z450">
        <v>67</v>
      </c>
      <c r="AA450">
        <v>126.6</v>
      </c>
      <c r="AB450">
        <v>27.9</v>
      </c>
      <c r="AC450">
        <v>49.1</v>
      </c>
      <c r="AD450">
        <v>10285453</v>
      </c>
    </row>
    <row r="451" spans="1:30" hidden="1" x14ac:dyDescent="0.45">
      <c r="A451">
        <v>445</v>
      </c>
      <c r="B451">
        <v>5700</v>
      </c>
      <c r="C451" t="s">
        <v>689</v>
      </c>
      <c r="D451" t="s">
        <v>1874</v>
      </c>
      <c r="E451">
        <v>77</v>
      </c>
      <c r="F451" t="s">
        <v>205</v>
      </c>
      <c r="G451" t="s">
        <v>1875</v>
      </c>
      <c r="H451" t="s">
        <v>1377</v>
      </c>
      <c r="I451" t="s">
        <v>689</v>
      </c>
      <c r="J451" t="s">
        <v>205</v>
      </c>
      <c r="L451" t="b">
        <v>0</v>
      </c>
      <c r="M451" t="s">
        <v>29</v>
      </c>
      <c r="N451" t="s">
        <v>8245</v>
      </c>
      <c r="O451" s="1">
        <v>16788</v>
      </c>
      <c r="P451" t="s">
        <v>1876</v>
      </c>
      <c r="Q451" t="s">
        <v>358</v>
      </c>
      <c r="S451" s="1">
        <v>45020.209027777775</v>
      </c>
      <c r="V451">
        <v>1945</v>
      </c>
      <c r="W451">
        <v>99.55</v>
      </c>
      <c r="X451">
        <v>0.4</v>
      </c>
      <c r="Y451" s="2">
        <v>703082435360</v>
      </c>
      <c r="Z451">
        <v>59.6</v>
      </c>
      <c r="AA451">
        <v>105.2</v>
      </c>
      <c r="AB451">
        <v>10.1</v>
      </c>
      <c r="AC451">
        <v>28.8</v>
      </c>
      <c r="AD451">
        <v>8574832</v>
      </c>
    </row>
    <row r="452" spans="1:30" hidden="1" x14ac:dyDescent="0.45">
      <c r="A452">
        <v>445</v>
      </c>
      <c r="B452">
        <v>5700</v>
      </c>
      <c r="C452" t="s">
        <v>203</v>
      </c>
      <c r="D452" t="s">
        <v>1877</v>
      </c>
      <c r="E452">
        <v>83</v>
      </c>
      <c r="F452" t="s">
        <v>228</v>
      </c>
      <c r="G452" t="s">
        <v>228</v>
      </c>
      <c r="H452" t="s">
        <v>207</v>
      </c>
      <c r="I452" t="s">
        <v>203</v>
      </c>
      <c r="J452" t="s">
        <v>255</v>
      </c>
      <c r="L452" t="b">
        <v>0</v>
      </c>
      <c r="M452" t="s">
        <v>29</v>
      </c>
      <c r="N452" t="s">
        <v>8245</v>
      </c>
      <c r="O452" s="1">
        <v>14589</v>
      </c>
      <c r="P452" t="s">
        <v>1878</v>
      </c>
      <c r="Q452" t="s">
        <v>1879</v>
      </c>
      <c r="S452" s="1">
        <v>45020.209027777775</v>
      </c>
      <c r="V452">
        <v>1939</v>
      </c>
      <c r="W452"/>
      <c r="Y452"/>
    </row>
    <row r="453" spans="1:30" hidden="1" x14ac:dyDescent="0.45">
      <c r="A453">
        <v>445</v>
      </c>
      <c r="B453">
        <v>5700</v>
      </c>
      <c r="C453" t="s">
        <v>61</v>
      </c>
      <c r="D453" t="s">
        <v>1880</v>
      </c>
      <c r="E453">
        <v>51</v>
      </c>
      <c r="F453" t="s">
        <v>35</v>
      </c>
      <c r="G453" t="s">
        <v>78</v>
      </c>
      <c r="H453" t="s">
        <v>317</v>
      </c>
      <c r="I453" t="s">
        <v>61</v>
      </c>
      <c r="J453" t="s">
        <v>35</v>
      </c>
      <c r="L453" t="b">
        <v>0</v>
      </c>
      <c r="M453" t="s">
        <v>29</v>
      </c>
      <c r="N453" t="s">
        <v>8245</v>
      </c>
      <c r="O453" s="1">
        <v>26239</v>
      </c>
      <c r="P453" t="s">
        <v>1881</v>
      </c>
      <c r="Q453" t="s">
        <v>520</v>
      </c>
      <c r="S453" s="1">
        <v>45020.209027777775</v>
      </c>
      <c r="T453" t="s">
        <v>78</v>
      </c>
      <c r="U453" t="s">
        <v>82</v>
      </c>
      <c r="V453">
        <v>1971</v>
      </c>
      <c r="W453">
        <v>117.24</v>
      </c>
      <c r="X453">
        <v>7.5</v>
      </c>
      <c r="Y453" s="2">
        <v>21427700000000</v>
      </c>
      <c r="Z453">
        <v>88.2</v>
      </c>
      <c r="AA453">
        <v>101.8</v>
      </c>
      <c r="AB453">
        <v>9.6</v>
      </c>
      <c r="AC453">
        <v>36.6</v>
      </c>
      <c r="AD453">
        <v>328239523</v>
      </c>
    </row>
    <row r="454" spans="1:30" hidden="1" x14ac:dyDescent="0.45">
      <c r="A454">
        <v>445</v>
      </c>
      <c r="B454">
        <v>5700</v>
      </c>
      <c r="C454" t="s">
        <v>61</v>
      </c>
      <c r="D454" t="s">
        <v>1882</v>
      </c>
      <c r="E454">
        <v>59</v>
      </c>
      <c r="F454" t="s">
        <v>35</v>
      </c>
      <c r="G454" t="s">
        <v>1883</v>
      </c>
      <c r="H454" t="s">
        <v>317</v>
      </c>
      <c r="I454" t="s">
        <v>61</v>
      </c>
      <c r="J454" t="s">
        <v>35</v>
      </c>
      <c r="L454" t="b">
        <v>0</v>
      </c>
      <c r="M454" t="s">
        <v>29</v>
      </c>
      <c r="N454" t="s">
        <v>8245</v>
      </c>
      <c r="O454" s="1">
        <v>23468</v>
      </c>
      <c r="P454" t="s">
        <v>1881</v>
      </c>
      <c r="Q454" t="s">
        <v>1884</v>
      </c>
      <c r="S454" s="1">
        <v>45020.209027777775</v>
      </c>
      <c r="T454" t="s">
        <v>253</v>
      </c>
      <c r="U454" t="s">
        <v>44</v>
      </c>
      <c r="V454">
        <v>1964</v>
      </c>
      <c r="W454">
        <v>117.24</v>
      </c>
      <c r="X454">
        <v>7.5</v>
      </c>
      <c r="Y454" s="2">
        <v>21427700000000</v>
      </c>
      <c r="Z454">
        <v>88.2</v>
      </c>
      <c r="AA454">
        <v>101.8</v>
      </c>
      <c r="AB454">
        <v>9.6</v>
      </c>
      <c r="AC454">
        <v>36.6</v>
      </c>
      <c r="AD454">
        <v>328239523</v>
      </c>
    </row>
    <row r="455" spans="1:30" hidden="1" x14ac:dyDescent="0.45">
      <c r="A455">
        <v>445</v>
      </c>
      <c r="B455">
        <v>5700</v>
      </c>
      <c r="C455" t="s">
        <v>61</v>
      </c>
      <c r="D455" t="s">
        <v>1885</v>
      </c>
      <c r="E455">
        <v>56</v>
      </c>
      <c r="F455" t="s">
        <v>35</v>
      </c>
      <c r="G455" t="s">
        <v>78</v>
      </c>
      <c r="H455" t="s">
        <v>317</v>
      </c>
      <c r="I455" t="s">
        <v>61</v>
      </c>
      <c r="J455" t="s">
        <v>35</v>
      </c>
      <c r="L455" t="b">
        <v>0</v>
      </c>
      <c r="M455" t="s">
        <v>29</v>
      </c>
      <c r="N455" t="s">
        <v>8245</v>
      </c>
      <c r="O455" s="1">
        <v>24331</v>
      </c>
      <c r="P455" t="s">
        <v>1881</v>
      </c>
      <c r="Q455" t="s">
        <v>619</v>
      </c>
      <c r="S455" s="1">
        <v>45020.209027777775</v>
      </c>
      <c r="T455" t="s">
        <v>78</v>
      </c>
      <c r="U455" t="s">
        <v>82</v>
      </c>
      <c r="V455">
        <v>1966</v>
      </c>
      <c r="W455">
        <v>117.24</v>
      </c>
      <c r="X455">
        <v>7.5</v>
      </c>
      <c r="Y455" s="2">
        <v>21427700000000</v>
      </c>
      <c r="Z455">
        <v>88.2</v>
      </c>
      <c r="AA455">
        <v>101.8</v>
      </c>
      <c r="AB455">
        <v>9.6</v>
      </c>
      <c r="AC455">
        <v>36.6</v>
      </c>
      <c r="AD455">
        <v>328239523</v>
      </c>
    </row>
    <row r="456" spans="1:30" hidden="1" x14ac:dyDescent="0.45">
      <c r="A456">
        <v>455</v>
      </c>
      <c r="B456">
        <v>5600</v>
      </c>
      <c r="C456" t="s">
        <v>203</v>
      </c>
      <c r="D456" t="s">
        <v>1886</v>
      </c>
      <c r="E456">
        <v>41</v>
      </c>
      <c r="F456" t="s">
        <v>1887</v>
      </c>
      <c r="H456" t="s">
        <v>207</v>
      </c>
      <c r="I456" t="s">
        <v>203</v>
      </c>
      <c r="J456" t="s">
        <v>1887</v>
      </c>
      <c r="L456" t="b">
        <v>0</v>
      </c>
      <c r="M456" t="s">
        <v>258</v>
      </c>
      <c r="N456" t="s">
        <v>8246</v>
      </c>
      <c r="O456" s="1">
        <v>30000</v>
      </c>
      <c r="P456" t="s">
        <v>1888</v>
      </c>
      <c r="Q456" t="s">
        <v>1889</v>
      </c>
      <c r="S456" s="1">
        <v>45020.209027777775</v>
      </c>
      <c r="V456">
        <v>1982</v>
      </c>
      <c r="W456">
        <v>101.87</v>
      </c>
      <c r="X456">
        <v>0.2</v>
      </c>
      <c r="Y456" s="2">
        <v>209852761469</v>
      </c>
      <c r="Z456">
        <v>136.6</v>
      </c>
      <c r="AA456">
        <v>99.6</v>
      </c>
      <c r="AB456">
        <v>26.2</v>
      </c>
      <c r="AC456">
        <v>51.9</v>
      </c>
      <c r="AD456">
        <v>10716322</v>
      </c>
    </row>
    <row r="457" spans="1:30" hidden="1" x14ac:dyDescent="0.45">
      <c r="A457">
        <v>455</v>
      </c>
      <c r="B457">
        <v>5600</v>
      </c>
      <c r="C457" t="s">
        <v>347</v>
      </c>
      <c r="D457" t="s">
        <v>1890</v>
      </c>
      <c r="E457">
        <v>79</v>
      </c>
      <c r="F457" t="s">
        <v>35</v>
      </c>
      <c r="G457" t="s">
        <v>704</v>
      </c>
      <c r="H457" t="s">
        <v>1891</v>
      </c>
      <c r="I457" t="s">
        <v>347</v>
      </c>
      <c r="J457" t="s">
        <v>35</v>
      </c>
      <c r="L457" t="b">
        <v>0</v>
      </c>
      <c r="M457" t="s">
        <v>39</v>
      </c>
      <c r="N457" t="s">
        <v>8245</v>
      </c>
      <c r="O457" s="1">
        <v>15802</v>
      </c>
      <c r="P457" t="s">
        <v>1892</v>
      </c>
      <c r="Q457" t="s">
        <v>1893</v>
      </c>
      <c r="S457" s="1">
        <v>45020.209027777775</v>
      </c>
      <c r="T457" t="s">
        <v>43</v>
      </c>
      <c r="U457" t="s">
        <v>44</v>
      </c>
      <c r="V457">
        <v>1943</v>
      </c>
      <c r="W457">
        <v>117.24</v>
      </c>
      <c r="X457">
        <v>7.5</v>
      </c>
      <c r="Y457" s="2">
        <v>21427700000000</v>
      </c>
      <c r="Z457">
        <v>88.2</v>
      </c>
      <c r="AA457">
        <v>101.8</v>
      </c>
      <c r="AB457">
        <v>9.6</v>
      </c>
      <c r="AC457">
        <v>36.6</v>
      </c>
      <c r="AD457">
        <v>328239523</v>
      </c>
    </row>
    <row r="458" spans="1:30" hidden="1" x14ac:dyDescent="0.45">
      <c r="A458">
        <v>455</v>
      </c>
      <c r="B458">
        <v>5600</v>
      </c>
      <c r="C458" t="s">
        <v>203</v>
      </c>
      <c r="D458" t="s">
        <v>1894</v>
      </c>
      <c r="E458">
        <v>52</v>
      </c>
      <c r="F458" t="s">
        <v>128</v>
      </c>
      <c r="G458" t="s">
        <v>292</v>
      </c>
      <c r="H458" t="s">
        <v>438</v>
      </c>
      <c r="I458" t="s">
        <v>203</v>
      </c>
      <c r="J458" t="s">
        <v>128</v>
      </c>
      <c r="L458" t="b">
        <v>1</v>
      </c>
      <c r="M458" t="s">
        <v>29</v>
      </c>
      <c r="N458" t="s">
        <v>8245</v>
      </c>
      <c r="O458" s="1">
        <v>25903</v>
      </c>
      <c r="P458" t="s">
        <v>1895</v>
      </c>
      <c r="Q458" t="s">
        <v>1896</v>
      </c>
      <c r="S458" s="1">
        <v>45020.209027777775</v>
      </c>
      <c r="V458">
        <v>1970</v>
      </c>
      <c r="W458">
        <v>125.08</v>
      </c>
      <c r="X458">
        <v>2.9</v>
      </c>
      <c r="Y458" s="2">
        <v>19910000000000</v>
      </c>
      <c r="Z458">
        <v>50.6</v>
      </c>
      <c r="AA458">
        <v>100.2</v>
      </c>
      <c r="AB458">
        <v>9.4</v>
      </c>
      <c r="AC458">
        <v>59.2</v>
      </c>
      <c r="AD458">
        <v>1397715000</v>
      </c>
    </row>
    <row r="459" spans="1:30" hidden="1" x14ac:dyDescent="0.45">
      <c r="A459">
        <v>455</v>
      </c>
      <c r="B459">
        <v>5600</v>
      </c>
      <c r="C459" t="s">
        <v>33</v>
      </c>
      <c r="D459" t="s">
        <v>1897</v>
      </c>
      <c r="E459">
        <v>81</v>
      </c>
      <c r="F459" t="s">
        <v>93</v>
      </c>
      <c r="G459" t="s">
        <v>343</v>
      </c>
      <c r="H459" t="s">
        <v>1898</v>
      </c>
      <c r="I459" t="s">
        <v>33</v>
      </c>
      <c r="J459" t="s">
        <v>93</v>
      </c>
      <c r="L459" t="b">
        <v>0</v>
      </c>
      <c r="M459" t="s">
        <v>29</v>
      </c>
      <c r="N459" t="s">
        <v>8245</v>
      </c>
      <c r="O459" s="1">
        <v>15405</v>
      </c>
      <c r="P459" t="s">
        <v>1899</v>
      </c>
      <c r="Q459" t="s">
        <v>1900</v>
      </c>
      <c r="S459" s="1">
        <v>45020.209027777775</v>
      </c>
      <c r="V459">
        <v>1942</v>
      </c>
      <c r="W459">
        <v>180.44</v>
      </c>
      <c r="X459">
        <v>7.7</v>
      </c>
      <c r="Y459" s="2">
        <v>2611000000000</v>
      </c>
      <c r="Z459">
        <v>28.1</v>
      </c>
      <c r="AA459">
        <v>113</v>
      </c>
      <c r="AB459">
        <v>11.2</v>
      </c>
      <c r="AC459">
        <v>49.7</v>
      </c>
      <c r="AD459">
        <v>1366417754</v>
      </c>
    </row>
    <row r="460" spans="1:30" hidden="1" x14ac:dyDescent="0.45">
      <c r="A460">
        <v>455</v>
      </c>
      <c r="B460">
        <v>5600</v>
      </c>
      <c r="C460" t="s">
        <v>61</v>
      </c>
      <c r="D460" t="s">
        <v>1901</v>
      </c>
      <c r="E460">
        <v>87</v>
      </c>
      <c r="F460" t="s">
        <v>35</v>
      </c>
      <c r="G460" t="s">
        <v>1902</v>
      </c>
      <c r="H460" t="s">
        <v>317</v>
      </c>
      <c r="I460" t="s">
        <v>61</v>
      </c>
      <c r="J460" t="s">
        <v>35</v>
      </c>
      <c r="L460" t="b">
        <v>1</v>
      </c>
      <c r="M460" t="s">
        <v>39</v>
      </c>
      <c r="N460" t="s">
        <v>8245</v>
      </c>
      <c r="O460" s="1">
        <v>13043</v>
      </c>
      <c r="P460" t="s">
        <v>1903</v>
      </c>
      <c r="Q460" t="s">
        <v>251</v>
      </c>
      <c r="S460" s="1">
        <v>45020.209027777775</v>
      </c>
      <c r="T460" t="s">
        <v>78</v>
      </c>
      <c r="U460" t="s">
        <v>82</v>
      </c>
      <c r="V460">
        <v>1935</v>
      </c>
      <c r="W460">
        <v>117.24</v>
      </c>
      <c r="X460">
        <v>7.5</v>
      </c>
      <c r="Y460" s="2">
        <v>21427700000000</v>
      </c>
      <c r="Z460">
        <v>88.2</v>
      </c>
      <c r="AA460">
        <v>101.8</v>
      </c>
      <c r="AB460">
        <v>9.6</v>
      </c>
      <c r="AC460">
        <v>36.6</v>
      </c>
      <c r="AD460">
        <v>328239523</v>
      </c>
    </row>
    <row r="461" spans="1:30" hidden="1" x14ac:dyDescent="0.45">
      <c r="A461">
        <v>455</v>
      </c>
      <c r="B461">
        <v>5600</v>
      </c>
      <c r="C461" t="s">
        <v>402</v>
      </c>
      <c r="D461" t="s">
        <v>1904</v>
      </c>
      <c r="E461">
        <v>56</v>
      </c>
      <c r="F461" t="s">
        <v>128</v>
      </c>
      <c r="G461" t="s">
        <v>292</v>
      </c>
      <c r="H461" t="s">
        <v>1905</v>
      </c>
      <c r="I461" t="s">
        <v>402</v>
      </c>
      <c r="J461" t="s">
        <v>35</v>
      </c>
      <c r="L461" t="b">
        <v>1</v>
      </c>
      <c r="M461" t="s">
        <v>285</v>
      </c>
      <c r="N461" t="s">
        <v>8245</v>
      </c>
      <c r="O461" s="1">
        <v>24473</v>
      </c>
      <c r="P461" t="s">
        <v>230</v>
      </c>
      <c r="Q461" t="s">
        <v>1906</v>
      </c>
      <c r="S461" s="1">
        <v>45020.209027777775</v>
      </c>
      <c r="V461">
        <v>1967</v>
      </c>
      <c r="W461">
        <v>125.08</v>
      </c>
      <c r="X461">
        <v>2.9</v>
      </c>
      <c r="Y461" s="2">
        <v>19910000000000</v>
      </c>
      <c r="Z461">
        <v>50.6</v>
      </c>
      <c r="AA461">
        <v>100.2</v>
      </c>
      <c r="AB461">
        <v>9.4</v>
      </c>
      <c r="AC461">
        <v>59.2</v>
      </c>
      <c r="AD461">
        <v>1397715000</v>
      </c>
    </row>
    <row r="462" spans="1:30" hidden="1" x14ac:dyDescent="0.45">
      <c r="A462">
        <v>455</v>
      </c>
      <c r="B462">
        <v>5600</v>
      </c>
      <c r="C462" t="s">
        <v>61</v>
      </c>
      <c r="D462" t="s">
        <v>1907</v>
      </c>
      <c r="E462">
        <v>65</v>
      </c>
      <c r="F462" t="s">
        <v>35</v>
      </c>
      <c r="G462" t="s">
        <v>1908</v>
      </c>
      <c r="H462" t="s">
        <v>1909</v>
      </c>
      <c r="I462" t="s">
        <v>61</v>
      </c>
      <c r="J462" t="s">
        <v>35</v>
      </c>
      <c r="L462" t="b">
        <v>0</v>
      </c>
      <c r="M462" t="s">
        <v>39</v>
      </c>
      <c r="N462" t="s">
        <v>8246</v>
      </c>
      <c r="O462" s="1">
        <v>21192</v>
      </c>
      <c r="P462" t="s">
        <v>1910</v>
      </c>
      <c r="Q462" t="s">
        <v>1911</v>
      </c>
      <c r="S462" s="1">
        <v>45020.209027777775</v>
      </c>
      <c r="T462" t="s">
        <v>479</v>
      </c>
      <c r="U462" t="s">
        <v>82</v>
      </c>
      <c r="V462">
        <v>1958</v>
      </c>
      <c r="W462">
        <v>117.24</v>
      </c>
      <c r="X462">
        <v>7.5</v>
      </c>
      <c r="Y462" s="2">
        <v>21427700000000</v>
      </c>
      <c r="Z462">
        <v>88.2</v>
      </c>
      <c r="AA462">
        <v>101.8</v>
      </c>
      <c r="AB462">
        <v>9.6</v>
      </c>
      <c r="AC462">
        <v>36.6</v>
      </c>
      <c r="AD462">
        <v>328239523</v>
      </c>
    </row>
    <row r="463" spans="1:30" hidden="1" x14ac:dyDescent="0.45">
      <c r="A463">
        <v>455</v>
      </c>
      <c r="B463">
        <v>5600</v>
      </c>
      <c r="C463" t="s">
        <v>436</v>
      </c>
      <c r="D463" t="s">
        <v>1912</v>
      </c>
      <c r="E463">
        <v>69</v>
      </c>
      <c r="F463" t="s">
        <v>35</v>
      </c>
      <c r="G463" t="s">
        <v>704</v>
      </c>
      <c r="H463" t="s">
        <v>1909</v>
      </c>
      <c r="I463" t="s">
        <v>436</v>
      </c>
      <c r="J463" t="s">
        <v>35</v>
      </c>
      <c r="L463" t="b">
        <v>0</v>
      </c>
      <c r="M463" t="s">
        <v>29</v>
      </c>
      <c r="N463" t="s">
        <v>8245</v>
      </c>
      <c r="O463" s="1">
        <v>19628</v>
      </c>
      <c r="P463" t="s">
        <v>1913</v>
      </c>
      <c r="Q463" t="s">
        <v>619</v>
      </c>
      <c r="S463" s="1">
        <v>45020.209027777775</v>
      </c>
      <c r="T463" t="s">
        <v>43</v>
      </c>
      <c r="U463" t="s">
        <v>44</v>
      </c>
      <c r="V463">
        <v>1953</v>
      </c>
      <c r="W463">
        <v>117.24</v>
      </c>
      <c r="X463">
        <v>7.5</v>
      </c>
      <c r="Y463" s="2">
        <v>21427700000000</v>
      </c>
      <c r="Z463">
        <v>88.2</v>
      </c>
      <c r="AA463">
        <v>101.8</v>
      </c>
      <c r="AB463">
        <v>9.6</v>
      </c>
      <c r="AC463">
        <v>36.6</v>
      </c>
      <c r="AD463">
        <v>328239523</v>
      </c>
    </row>
    <row r="464" spans="1:30" hidden="1" x14ac:dyDescent="0.45">
      <c r="A464">
        <v>455</v>
      </c>
      <c r="B464">
        <v>5600</v>
      </c>
      <c r="C464" t="s">
        <v>239</v>
      </c>
      <c r="D464" t="s">
        <v>1914</v>
      </c>
      <c r="E464">
        <v>51</v>
      </c>
      <c r="F464" t="s">
        <v>490</v>
      </c>
      <c r="G464" t="s">
        <v>1737</v>
      </c>
      <c r="H464" t="s">
        <v>1915</v>
      </c>
      <c r="I464" t="s">
        <v>239</v>
      </c>
      <c r="J464" t="s">
        <v>490</v>
      </c>
      <c r="L464" t="b">
        <v>1</v>
      </c>
      <c r="M464" t="s">
        <v>611</v>
      </c>
      <c r="N464" t="s">
        <v>8245</v>
      </c>
      <c r="O464" s="1">
        <v>26238</v>
      </c>
      <c r="P464" t="s">
        <v>1916</v>
      </c>
      <c r="Q464" t="s">
        <v>1917</v>
      </c>
      <c r="S464" s="1">
        <v>45020.209027777775</v>
      </c>
      <c r="V464">
        <v>1971</v>
      </c>
      <c r="W464">
        <v>108.15</v>
      </c>
      <c r="X464">
        <v>0.8</v>
      </c>
      <c r="Y464" s="2">
        <v>395098666122</v>
      </c>
      <c r="Z464">
        <v>63.4</v>
      </c>
      <c r="AA464">
        <v>104.9</v>
      </c>
      <c r="AB464">
        <v>23.1</v>
      </c>
      <c r="AC464">
        <v>25.3</v>
      </c>
      <c r="AD464">
        <v>9053300</v>
      </c>
    </row>
    <row r="465" spans="1:30" hidden="1" x14ac:dyDescent="0.45">
      <c r="A465">
        <v>455</v>
      </c>
      <c r="B465">
        <v>5600</v>
      </c>
      <c r="C465" t="s">
        <v>402</v>
      </c>
      <c r="D465" t="s">
        <v>1918</v>
      </c>
      <c r="E465">
        <v>65</v>
      </c>
      <c r="F465" t="s">
        <v>928</v>
      </c>
      <c r="G465" t="s">
        <v>929</v>
      </c>
      <c r="H465" t="s">
        <v>1919</v>
      </c>
      <c r="I465" t="s">
        <v>402</v>
      </c>
      <c r="J465" t="s">
        <v>928</v>
      </c>
      <c r="K465" t="s">
        <v>1920</v>
      </c>
      <c r="L465" t="b">
        <v>1</v>
      </c>
      <c r="M465" t="s">
        <v>39</v>
      </c>
      <c r="N465" t="s">
        <v>8245</v>
      </c>
      <c r="O465" s="1">
        <v>21116</v>
      </c>
      <c r="P465" t="s">
        <v>1921</v>
      </c>
      <c r="Q465" t="s">
        <v>1922</v>
      </c>
      <c r="S465" s="1">
        <v>45020.209027777775</v>
      </c>
      <c r="V465">
        <v>1957</v>
      </c>
      <c r="W465">
        <v>115.16</v>
      </c>
      <c r="X465">
        <v>0.4</v>
      </c>
      <c r="Y465" s="2">
        <v>2029000000000</v>
      </c>
      <c r="Z465">
        <v>94.3</v>
      </c>
      <c r="AA465">
        <v>98.1</v>
      </c>
      <c r="AB465">
        <v>15.6</v>
      </c>
      <c r="AC465">
        <v>33.200000000000003</v>
      </c>
      <c r="AD465">
        <v>51709098</v>
      </c>
    </row>
    <row r="466" spans="1:30" hidden="1" x14ac:dyDescent="0.45">
      <c r="A466">
        <v>455</v>
      </c>
      <c r="B466">
        <v>5600</v>
      </c>
      <c r="C466" t="s">
        <v>33</v>
      </c>
      <c r="D466" t="s">
        <v>1923</v>
      </c>
      <c r="E466">
        <v>59</v>
      </c>
      <c r="F466" t="s">
        <v>128</v>
      </c>
      <c r="G466" t="s">
        <v>960</v>
      </c>
      <c r="H466" t="s">
        <v>752</v>
      </c>
      <c r="I466" t="s">
        <v>33</v>
      </c>
      <c r="J466" t="s">
        <v>228</v>
      </c>
      <c r="L466" t="b">
        <v>1</v>
      </c>
      <c r="M466" t="s">
        <v>39</v>
      </c>
      <c r="N466" t="s">
        <v>8245</v>
      </c>
      <c r="O466" s="1">
        <v>23377</v>
      </c>
      <c r="P466" t="s">
        <v>894</v>
      </c>
      <c r="Q466" t="s">
        <v>1924</v>
      </c>
      <c r="S466" s="1">
        <v>45020.209027777775</v>
      </c>
      <c r="V466">
        <v>1964</v>
      </c>
      <c r="W466">
        <v>125.08</v>
      </c>
      <c r="X466">
        <v>2.9</v>
      </c>
      <c r="Y466" s="2">
        <v>19910000000000</v>
      </c>
      <c r="Z466">
        <v>50.6</v>
      </c>
      <c r="AA466">
        <v>100.2</v>
      </c>
      <c r="AB466">
        <v>9.4</v>
      </c>
      <c r="AC466">
        <v>59.2</v>
      </c>
      <c r="AD466">
        <v>1397715000</v>
      </c>
    </row>
    <row r="467" spans="1:30" x14ac:dyDescent="0.45">
      <c r="A467">
        <v>466</v>
      </c>
      <c r="B467" s="6">
        <v>5500</v>
      </c>
      <c r="C467" t="s">
        <v>436</v>
      </c>
      <c r="D467" t="s">
        <v>1925</v>
      </c>
      <c r="E467">
        <v>73</v>
      </c>
      <c r="F467" t="s">
        <v>35</v>
      </c>
      <c r="G467" t="s">
        <v>1926</v>
      </c>
      <c r="H467" t="s">
        <v>1927</v>
      </c>
      <c r="I467" t="s">
        <v>436</v>
      </c>
      <c r="J467" t="s">
        <v>35</v>
      </c>
      <c r="K467" t="s">
        <v>1928</v>
      </c>
      <c r="L467" t="b">
        <v>0</v>
      </c>
      <c r="M467" t="s">
        <v>39</v>
      </c>
      <c r="N467" t="s">
        <v>8245</v>
      </c>
      <c r="O467" s="10">
        <v>18078</v>
      </c>
      <c r="P467" t="s">
        <v>1929</v>
      </c>
      <c r="Q467" t="s">
        <v>1930</v>
      </c>
      <c r="R467" t="s">
        <v>32</v>
      </c>
      <c r="S467" s="8">
        <v>45020.209027777775</v>
      </c>
      <c r="T467" t="s">
        <v>253</v>
      </c>
      <c r="U467" t="s">
        <v>44</v>
      </c>
      <c r="V467">
        <v>1949</v>
      </c>
      <c r="W467" s="12">
        <v>117.24</v>
      </c>
      <c r="X467">
        <v>7.5</v>
      </c>
      <c r="Y467" s="14">
        <v>21427700000000</v>
      </c>
      <c r="Z467">
        <v>88.2</v>
      </c>
      <c r="AA467">
        <v>101.8</v>
      </c>
      <c r="AB467">
        <v>9.6</v>
      </c>
      <c r="AC467">
        <v>36.6</v>
      </c>
      <c r="AD467">
        <v>328239523</v>
      </c>
    </row>
    <row r="468" spans="1:30" hidden="1" x14ac:dyDescent="0.45">
      <c r="A468">
        <v>466</v>
      </c>
      <c r="B468">
        <v>5500</v>
      </c>
      <c r="C468" t="s">
        <v>76</v>
      </c>
      <c r="D468" t="s">
        <v>1931</v>
      </c>
      <c r="E468">
        <v>65</v>
      </c>
      <c r="F468" t="s">
        <v>35</v>
      </c>
      <c r="G468" t="s">
        <v>1932</v>
      </c>
      <c r="H468" t="s">
        <v>1131</v>
      </c>
      <c r="I468" t="s">
        <v>76</v>
      </c>
      <c r="J468" t="s">
        <v>35</v>
      </c>
      <c r="L468" t="b">
        <v>0</v>
      </c>
      <c r="M468" t="s">
        <v>29</v>
      </c>
      <c r="N468" t="s">
        <v>8245</v>
      </c>
      <c r="O468" s="1">
        <v>20922</v>
      </c>
      <c r="P468" t="s">
        <v>1933</v>
      </c>
      <c r="Q468" t="s">
        <v>401</v>
      </c>
      <c r="S468" s="1">
        <v>45020.209027777775</v>
      </c>
      <c r="T468" t="s">
        <v>78</v>
      </c>
      <c r="U468" t="s">
        <v>82</v>
      </c>
      <c r="V468">
        <v>1957</v>
      </c>
      <c r="W468">
        <v>117.24</v>
      </c>
      <c r="X468">
        <v>7.5</v>
      </c>
      <c r="Y468" s="2">
        <v>21427700000000</v>
      </c>
      <c r="Z468">
        <v>88.2</v>
      </c>
      <c r="AA468">
        <v>101.8</v>
      </c>
      <c r="AB468">
        <v>9.6</v>
      </c>
      <c r="AC468">
        <v>36.6</v>
      </c>
      <c r="AD468">
        <v>328239523</v>
      </c>
    </row>
    <row r="469" spans="1:30" hidden="1" x14ac:dyDescent="0.45">
      <c r="A469">
        <v>466</v>
      </c>
      <c r="B469">
        <v>5500</v>
      </c>
      <c r="C469" t="s">
        <v>45</v>
      </c>
      <c r="D469" t="s">
        <v>1934</v>
      </c>
      <c r="E469">
        <v>66</v>
      </c>
      <c r="F469" t="s">
        <v>1259</v>
      </c>
      <c r="G469" t="s">
        <v>1260</v>
      </c>
      <c r="H469" t="s">
        <v>1400</v>
      </c>
      <c r="I469" t="s">
        <v>45</v>
      </c>
      <c r="J469" t="s">
        <v>1259</v>
      </c>
      <c r="L469" t="b">
        <v>1</v>
      </c>
      <c r="M469" t="s">
        <v>29</v>
      </c>
      <c r="N469" t="s">
        <v>8245</v>
      </c>
      <c r="O469" s="1">
        <v>20726</v>
      </c>
      <c r="P469" t="s">
        <v>679</v>
      </c>
      <c r="Q469" t="s">
        <v>1078</v>
      </c>
      <c r="S469" s="1">
        <v>45020.209027777775</v>
      </c>
      <c r="V469">
        <v>1956</v>
      </c>
      <c r="W469"/>
      <c r="Y469"/>
    </row>
    <row r="470" spans="1:30" x14ac:dyDescent="0.45">
      <c r="A470">
        <v>466</v>
      </c>
      <c r="B470" s="6">
        <v>5500</v>
      </c>
      <c r="C470" t="s">
        <v>45</v>
      </c>
      <c r="D470" t="s">
        <v>1935</v>
      </c>
      <c r="E470">
        <v>32</v>
      </c>
      <c r="F470" t="s">
        <v>35</v>
      </c>
      <c r="G470" t="s">
        <v>991</v>
      </c>
      <c r="H470" t="s">
        <v>1936</v>
      </c>
      <c r="I470" t="s">
        <v>45</v>
      </c>
      <c r="J470" t="s">
        <v>1486</v>
      </c>
      <c r="K470" t="s">
        <v>1937</v>
      </c>
      <c r="L470" t="b">
        <v>1</v>
      </c>
      <c r="M470" t="s">
        <v>39</v>
      </c>
      <c r="N470" t="s">
        <v>8245</v>
      </c>
      <c r="O470" s="10">
        <v>33091</v>
      </c>
      <c r="P470" t="s">
        <v>1938</v>
      </c>
      <c r="Q470" t="s">
        <v>225</v>
      </c>
      <c r="R470" t="s">
        <v>138</v>
      </c>
      <c r="S470" s="8">
        <v>45020.209027777775</v>
      </c>
      <c r="T470" t="s">
        <v>115</v>
      </c>
      <c r="U470" t="s">
        <v>53</v>
      </c>
      <c r="V470">
        <v>1990</v>
      </c>
      <c r="W470" s="12">
        <v>117.24</v>
      </c>
      <c r="X470">
        <v>7.5</v>
      </c>
      <c r="Y470" s="14">
        <v>21427700000000</v>
      </c>
      <c r="Z470">
        <v>88.2</v>
      </c>
      <c r="AA470">
        <v>101.8</v>
      </c>
      <c r="AB470">
        <v>9.6</v>
      </c>
      <c r="AC470">
        <v>36.6</v>
      </c>
      <c r="AD470">
        <v>328239523</v>
      </c>
    </row>
    <row r="471" spans="1:30" x14ac:dyDescent="0.45">
      <c r="A471">
        <v>466</v>
      </c>
      <c r="B471" s="6">
        <v>5500</v>
      </c>
      <c r="C471" t="s">
        <v>45</v>
      </c>
      <c r="D471" t="s">
        <v>1939</v>
      </c>
      <c r="E471">
        <v>34</v>
      </c>
      <c r="F471" t="s">
        <v>35</v>
      </c>
      <c r="G471" t="s">
        <v>991</v>
      </c>
      <c r="H471" t="s">
        <v>1940</v>
      </c>
      <c r="I471" t="s">
        <v>45</v>
      </c>
      <c r="J471" t="s">
        <v>1486</v>
      </c>
      <c r="K471" t="s">
        <v>1937</v>
      </c>
      <c r="L471" t="b">
        <v>1</v>
      </c>
      <c r="M471" t="s">
        <v>39</v>
      </c>
      <c r="N471" t="s">
        <v>8245</v>
      </c>
      <c r="O471" s="10">
        <v>32395</v>
      </c>
      <c r="P471" t="s">
        <v>1938</v>
      </c>
      <c r="Q471" t="s">
        <v>1213</v>
      </c>
      <c r="R471" t="s">
        <v>138</v>
      </c>
      <c r="S471" s="8">
        <v>45020.209027777775</v>
      </c>
      <c r="T471" t="s">
        <v>115</v>
      </c>
      <c r="U471" t="s">
        <v>53</v>
      </c>
      <c r="V471">
        <v>1988</v>
      </c>
      <c r="W471" s="12">
        <v>117.24</v>
      </c>
      <c r="X471">
        <v>7.5</v>
      </c>
      <c r="Y471" s="14">
        <v>21427700000000</v>
      </c>
      <c r="Z471">
        <v>88.2</v>
      </c>
      <c r="AA471">
        <v>101.8</v>
      </c>
      <c r="AB471">
        <v>9.6</v>
      </c>
      <c r="AC471">
        <v>36.6</v>
      </c>
      <c r="AD471">
        <v>328239523</v>
      </c>
    </row>
    <row r="472" spans="1:30" hidden="1" x14ac:dyDescent="0.45">
      <c r="A472">
        <v>466</v>
      </c>
      <c r="B472">
        <v>5500</v>
      </c>
      <c r="C472" t="s">
        <v>296</v>
      </c>
      <c r="D472" t="s">
        <v>1941</v>
      </c>
      <c r="E472">
        <v>93</v>
      </c>
      <c r="F472" t="s">
        <v>35</v>
      </c>
      <c r="G472" t="s">
        <v>1942</v>
      </c>
      <c r="H472" t="s">
        <v>1943</v>
      </c>
      <c r="I472" t="s">
        <v>296</v>
      </c>
      <c r="J472" t="s">
        <v>35</v>
      </c>
      <c r="L472" t="b">
        <v>1</v>
      </c>
      <c r="M472" t="s">
        <v>29</v>
      </c>
      <c r="N472" t="s">
        <v>8245</v>
      </c>
      <c r="O472" s="1">
        <v>10693</v>
      </c>
      <c r="P472" t="s">
        <v>1944</v>
      </c>
      <c r="Q472" t="s">
        <v>1945</v>
      </c>
      <c r="S472" s="1">
        <v>45020.209027777775</v>
      </c>
      <c r="T472" t="s">
        <v>115</v>
      </c>
      <c r="U472" t="s">
        <v>53</v>
      </c>
      <c r="V472">
        <v>1929</v>
      </c>
      <c r="W472">
        <v>117.24</v>
      </c>
      <c r="X472">
        <v>7.5</v>
      </c>
      <c r="Y472" s="2">
        <v>21427700000000</v>
      </c>
      <c r="Z472">
        <v>88.2</v>
      </c>
      <c r="AA472">
        <v>101.8</v>
      </c>
      <c r="AB472">
        <v>9.6</v>
      </c>
      <c r="AC472">
        <v>36.6</v>
      </c>
      <c r="AD472">
        <v>328239523</v>
      </c>
    </row>
    <row r="473" spans="1:30" hidden="1" x14ac:dyDescent="0.45">
      <c r="A473">
        <v>466</v>
      </c>
      <c r="B473">
        <v>5500</v>
      </c>
      <c r="C473" t="s">
        <v>33</v>
      </c>
      <c r="D473" t="s">
        <v>1946</v>
      </c>
      <c r="E473">
        <v>77</v>
      </c>
      <c r="F473" t="s">
        <v>214</v>
      </c>
      <c r="G473" t="s">
        <v>1947</v>
      </c>
      <c r="H473" t="s">
        <v>481</v>
      </c>
      <c r="I473" t="s">
        <v>33</v>
      </c>
      <c r="J473" t="s">
        <v>214</v>
      </c>
      <c r="L473" t="b">
        <v>0</v>
      </c>
      <c r="M473" t="s">
        <v>29</v>
      </c>
      <c r="N473" t="s">
        <v>8245</v>
      </c>
      <c r="O473" s="1">
        <v>16579</v>
      </c>
      <c r="P473" t="s">
        <v>1948</v>
      </c>
      <c r="Q473" t="s">
        <v>1949</v>
      </c>
      <c r="S473" s="1">
        <v>45020.209027777775</v>
      </c>
      <c r="V473">
        <v>1945</v>
      </c>
      <c r="W473">
        <v>110.62</v>
      </c>
      <c r="X473">
        <v>0.6</v>
      </c>
      <c r="Y473" s="2">
        <v>2001244392042</v>
      </c>
      <c r="Z473">
        <v>61.9</v>
      </c>
      <c r="AA473">
        <v>101.9</v>
      </c>
      <c r="AB473">
        <v>24.3</v>
      </c>
      <c r="AC473">
        <v>59.1</v>
      </c>
      <c r="AD473">
        <v>60297396</v>
      </c>
    </row>
    <row r="474" spans="1:30" x14ac:dyDescent="0.45">
      <c r="A474">
        <v>466</v>
      </c>
      <c r="B474" s="6">
        <v>5500</v>
      </c>
      <c r="C474" t="s">
        <v>33</v>
      </c>
      <c r="D474" t="s">
        <v>1950</v>
      </c>
      <c r="E474">
        <v>58</v>
      </c>
      <c r="F474" t="s">
        <v>35</v>
      </c>
      <c r="G474" t="s">
        <v>870</v>
      </c>
      <c r="H474" t="s">
        <v>1951</v>
      </c>
      <c r="I474" t="s">
        <v>33</v>
      </c>
      <c r="J474" t="s">
        <v>35</v>
      </c>
      <c r="K474" t="s">
        <v>1952</v>
      </c>
      <c r="L474" t="b">
        <v>0</v>
      </c>
      <c r="M474" t="s">
        <v>29</v>
      </c>
      <c r="N474" t="s">
        <v>8245</v>
      </c>
      <c r="O474" s="10">
        <v>23800</v>
      </c>
      <c r="P474" t="s">
        <v>1953</v>
      </c>
      <c r="Q474" t="s">
        <v>1652</v>
      </c>
      <c r="R474" t="s">
        <v>1954</v>
      </c>
      <c r="S474" s="8">
        <v>45020.209027777775</v>
      </c>
      <c r="T474" t="s">
        <v>43</v>
      </c>
      <c r="U474" t="s">
        <v>44</v>
      </c>
      <c r="V474">
        <v>1965</v>
      </c>
      <c r="W474" s="12">
        <v>117.24</v>
      </c>
      <c r="X474">
        <v>7.5</v>
      </c>
      <c r="Y474" s="14">
        <v>21427700000000</v>
      </c>
      <c r="Z474">
        <v>88.2</v>
      </c>
      <c r="AA474">
        <v>101.8</v>
      </c>
      <c r="AB474">
        <v>9.6</v>
      </c>
      <c r="AC474">
        <v>36.6</v>
      </c>
      <c r="AD474">
        <v>328239523</v>
      </c>
    </row>
    <row r="475" spans="1:30" hidden="1" x14ac:dyDescent="0.45">
      <c r="A475">
        <v>466</v>
      </c>
      <c r="B475">
        <v>5500</v>
      </c>
      <c r="C475" t="s">
        <v>91</v>
      </c>
      <c r="D475" t="s">
        <v>1955</v>
      </c>
      <c r="E475">
        <v>95</v>
      </c>
      <c r="F475" t="s">
        <v>164</v>
      </c>
      <c r="G475" t="s">
        <v>1869</v>
      </c>
      <c r="H475" t="s">
        <v>91</v>
      </c>
      <c r="I475" t="s">
        <v>91</v>
      </c>
      <c r="J475" t="s">
        <v>164</v>
      </c>
      <c r="L475" t="b">
        <v>0</v>
      </c>
      <c r="M475" t="s">
        <v>29</v>
      </c>
      <c r="N475" t="s">
        <v>8245</v>
      </c>
      <c r="O475" s="1">
        <v>10307</v>
      </c>
      <c r="P475" t="s">
        <v>1870</v>
      </c>
      <c r="Q475" t="s">
        <v>401</v>
      </c>
      <c r="S475" s="1">
        <v>45020.209027777775</v>
      </c>
      <c r="V475">
        <v>1928</v>
      </c>
      <c r="W475">
        <v>116.76</v>
      </c>
      <c r="X475">
        <v>1.9</v>
      </c>
      <c r="Y475" s="2">
        <v>1736425629520</v>
      </c>
      <c r="Z475">
        <v>68.900000000000006</v>
      </c>
      <c r="AA475">
        <v>100.9</v>
      </c>
      <c r="AB475">
        <v>12.8</v>
      </c>
      <c r="AC475">
        <v>24.5</v>
      </c>
      <c r="AD475">
        <v>36991981</v>
      </c>
    </row>
    <row r="476" spans="1:30" hidden="1" x14ac:dyDescent="0.45">
      <c r="A476">
        <v>466</v>
      </c>
      <c r="B476">
        <v>5500</v>
      </c>
      <c r="C476" t="s">
        <v>296</v>
      </c>
      <c r="D476" t="s">
        <v>1956</v>
      </c>
      <c r="E476">
        <v>68</v>
      </c>
      <c r="F476" t="s">
        <v>128</v>
      </c>
      <c r="G476" t="s">
        <v>777</v>
      </c>
      <c r="H476" t="s">
        <v>399</v>
      </c>
      <c r="I476" t="s">
        <v>296</v>
      </c>
      <c r="J476" t="s">
        <v>128</v>
      </c>
      <c r="L476" t="b">
        <v>1</v>
      </c>
      <c r="M476" t="s">
        <v>39</v>
      </c>
      <c r="N476" t="s">
        <v>8245</v>
      </c>
      <c r="O476" s="1">
        <v>20149</v>
      </c>
      <c r="P476" t="s">
        <v>748</v>
      </c>
      <c r="Q476" t="s">
        <v>1957</v>
      </c>
      <c r="S476" s="1">
        <v>45020.209027777775</v>
      </c>
      <c r="V476">
        <v>1955</v>
      </c>
      <c r="W476">
        <v>125.08</v>
      </c>
      <c r="X476">
        <v>2.9</v>
      </c>
      <c r="Y476" s="2">
        <v>19910000000000</v>
      </c>
      <c r="Z476">
        <v>50.6</v>
      </c>
      <c r="AA476">
        <v>100.2</v>
      </c>
      <c r="AB476">
        <v>9.4</v>
      </c>
      <c r="AC476">
        <v>59.2</v>
      </c>
      <c r="AD476">
        <v>1397715000</v>
      </c>
    </row>
    <row r="477" spans="1:30" hidden="1" x14ac:dyDescent="0.45">
      <c r="A477">
        <v>466</v>
      </c>
      <c r="B477">
        <v>5500</v>
      </c>
      <c r="C477" t="s">
        <v>402</v>
      </c>
      <c r="D477" t="s">
        <v>1958</v>
      </c>
      <c r="E477">
        <v>81</v>
      </c>
      <c r="F477" t="s">
        <v>194</v>
      </c>
      <c r="G477" t="s">
        <v>1103</v>
      </c>
      <c r="H477" t="s">
        <v>610</v>
      </c>
      <c r="I477" t="s">
        <v>402</v>
      </c>
      <c r="J477" t="s">
        <v>194</v>
      </c>
      <c r="L477" t="b">
        <v>1</v>
      </c>
      <c r="M477" t="s">
        <v>29</v>
      </c>
      <c r="N477" t="s">
        <v>8245</v>
      </c>
      <c r="O477" s="1">
        <v>15131</v>
      </c>
      <c r="P477" t="s">
        <v>1959</v>
      </c>
      <c r="Q477" t="s">
        <v>1775</v>
      </c>
      <c r="S477" s="1">
        <v>45020.209027777775</v>
      </c>
      <c r="V477">
        <v>1941</v>
      </c>
      <c r="W477">
        <v>112.85</v>
      </c>
      <c r="X477">
        <v>1.4</v>
      </c>
      <c r="Y477" s="2">
        <v>3845630030824</v>
      </c>
      <c r="Z477">
        <v>70.2</v>
      </c>
      <c r="AA477">
        <v>104</v>
      </c>
      <c r="AB477">
        <v>11.5</v>
      </c>
      <c r="AC477">
        <v>48.8</v>
      </c>
      <c r="AD477">
        <v>83132799</v>
      </c>
    </row>
    <row r="478" spans="1:30" hidden="1" x14ac:dyDescent="0.45">
      <c r="A478">
        <v>466</v>
      </c>
      <c r="B478">
        <v>5500</v>
      </c>
      <c r="C478" t="s">
        <v>61</v>
      </c>
      <c r="D478" t="s">
        <v>1960</v>
      </c>
      <c r="E478">
        <v>58</v>
      </c>
      <c r="F478" t="s">
        <v>194</v>
      </c>
      <c r="G478" t="s">
        <v>1961</v>
      </c>
      <c r="H478" t="s">
        <v>610</v>
      </c>
      <c r="I478" t="s">
        <v>61</v>
      </c>
      <c r="J478" t="s">
        <v>194</v>
      </c>
      <c r="L478" t="b">
        <v>0</v>
      </c>
      <c r="M478" t="s">
        <v>39</v>
      </c>
      <c r="N478" t="s">
        <v>8245</v>
      </c>
      <c r="O478" s="1">
        <v>23743</v>
      </c>
      <c r="P478" t="s">
        <v>1962</v>
      </c>
      <c r="Q478" t="s">
        <v>1963</v>
      </c>
      <c r="S478" s="1">
        <v>45020.209027777775</v>
      </c>
      <c r="V478">
        <v>1965</v>
      </c>
      <c r="W478">
        <v>112.85</v>
      </c>
      <c r="X478">
        <v>1.4</v>
      </c>
      <c r="Y478" s="2">
        <v>3845630030824</v>
      </c>
      <c r="Z478">
        <v>70.2</v>
      </c>
      <c r="AA478">
        <v>104</v>
      </c>
      <c r="AB478">
        <v>11.5</v>
      </c>
      <c r="AC478">
        <v>48.8</v>
      </c>
      <c r="AD478">
        <v>83132799</v>
      </c>
    </row>
    <row r="479" spans="1:30" hidden="1" x14ac:dyDescent="0.45">
      <c r="A479">
        <v>466</v>
      </c>
      <c r="B479">
        <v>5500</v>
      </c>
      <c r="C479" t="s">
        <v>296</v>
      </c>
      <c r="D479" t="s">
        <v>1964</v>
      </c>
      <c r="E479">
        <v>66</v>
      </c>
      <c r="F479" t="s">
        <v>35</v>
      </c>
      <c r="G479" t="s">
        <v>1965</v>
      </c>
      <c r="H479" t="s">
        <v>1360</v>
      </c>
      <c r="I479" t="s">
        <v>296</v>
      </c>
      <c r="J479" t="s">
        <v>35</v>
      </c>
      <c r="L479" t="b">
        <v>1</v>
      </c>
      <c r="M479" t="s">
        <v>39</v>
      </c>
      <c r="N479" t="s">
        <v>8245</v>
      </c>
      <c r="O479" s="1">
        <v>20688</v>
      </c>
      <c r="P479" t="s">
        <v>1362</v>
      </c>
      <c r="Q479" t="s">
        <v>1966</v>
      </c>
      <c r="S479" s="1">
        <v>45020.209027777775</v>
      </c>
      <c r="T479" t="s">
        <v>1681</v>
      </c>
      <c r="U479" t="s">
        <v>44</v>
      </c>
      <c r="V479">
        <v>1956</v>
      </c>
      <c r="W479">
        <v>117.24</v>
      </c>
      <c r="X479">
        <v>7.5</v>
      </c>
      <c r="Y479" s="2">
        <v>21427700000000</v>
      </c>
      <c r="Z479">
        <v>88.2</v>
      </c>
      <c r="AA479">
        <v>101.8</v>
      </c>
      <c r="AB479">
        <v>9.6</v>
      </c>
      <c r="AC479">
        <v>36.6</v>
      </c>
      <c r="AD479">
        <v>328239523</v>
      </c>
    </row>
    <row r="480" spans="1:30" hidden="1" x14ac:dyDescent="0.45">
      <c r="A480">
        <v>466</v>
      </c>
      <c r="B480">
        <v>5500</v>
      </c>
      <c r="C480" t="s">
        <v>76</v>
      </c>
      <c r="D480" t="s">
        <v>1967</v>
      </c>
      <c r="E480">
        <v>78</v>
      </c>
      <c r="F480" t="s">
        <v>35</v>
      </c>
      <c r="G480" t="s">
        <v>1968</v>
      </c>
      <c r="H480" t="s">
        <v>1131</v>
      </c>
      <c r="I480" t="s">
        <v>76</v>
      </c>
      <c r="J480" t="s">
        <v>35</v>
      </c>
      <c r="L480" t="b">
        <v>0</v>
      </c>
      <c r="M480" t="s">
        <v>29</v>
      </c>
      <c r="N480" t="s">
        <v>8246</v>
      </c>
      <c r="O480" s="1">
        <v>16449</v>
      </c>
      <c r="P480" t="s">
        <v>1969</v>
      </c>
      <c r="Q480" t="s">
        <v>1970</v>
      </c>
      <c r="S480" s="1">
        <v>45020.209027777775</v>
      </c>
      <c r="T480" t="s">
        <v>78</v>
      </c>
      <c r="U480" t="s">
        <v>82</v>
      </c>
      <c r="V480">
        <v>1945</v>
      </c>
      <c r="W480">
        <v>117.24</v>
      </c>
      <c r="X480">
        <v>7.5</v>
      </c>
      <c r="Y480" s="2">
        <v>21427700000000</v>
      </c>
      <c r="Z480">
        <v>88.2</v>
      </c>
      <c r="AA480">
        <v>101.8</v>
      </c>
      <c r="AB480">
        <v>9.6</v>
      </c>
      <c r="AC480">
        <v>36.6</v>
      </c>
      <c r="AD480">
        <v>328239523</v>
      </c>
    </row>
    <row r="481" spans="1:30" hidden="1" x14ac:dyDescent="0.45">
      <c r="A481">
        <v>466</v>
      </c>
      <c r="B481">
        <v>5500</v>
      </c>
      <c r="C481" t="s">
        <v>61</v>
      </c>
      <c r="D481" t="s">
        <v>1971</v>
      </c>
      <c r="E481">
        <v>57</v>
      </c>
      <c r="F481" t="s">
        <v>228</v>
      </c>
      <c r="G481" t="s">
        <v>228</v>
      </c>
      <c r="H481" t="s">
        <v>1839</v>
      </c>
      <c r="I481" t="s">
        <v>61</v>
      </c>
      <c r="J481" t="s">
        <v>393</v>
      </c>
      <c r="L481" t="b">
        <v>1</v>
      </c>
      <c r="M481" t="s">
        <v>29</v>
      </c>
      <c r="N481" t="s">
        <v>8245</v>
      </c>
      <c r="O481" s="1">
        <v>24077</v>
      </c>
      <c r="P481" t="s">
        <v>1972</v>
      </c>
      <c r="Q481" t="s">
        <v>1973</v>
      </c>
      <c r="S481" s="1">
        <v>45020.209027777775</v>
      </c>
      <c r="V481">
        <v>1965</v>
      </c>
      <c r="W481"/>
      <c r="Y481"/>
    </row>
    <row r="482" spans="1:30" x14ac:dyDescent="0.45">
      <c r="A482">
        <v>466</v>
      </c>
      <c r="B482" s="6">
        <v>5500</v>
      </c>
      <c r="C482" t="s">
        <v>61</v>
      </c>
      <c r="D482" t="s">
        <v>1974</v>
      </c>
      <c r="E482">
        <v>78</v>
      </c>
      <c r="F482" t="s">
        <v>35</v>
      </c>
      <c r="G482" t="s">
        <v>78</v>
      </c>
      <c r="H482" t="s">
        <v>248</v>
      </c>
      <c r="I482" t="s">
        <v>61</v>
      </c>
      <c r="J482" t="s">
        <v>35</v>
      </c>
      <c r="K482" t="s">
        <v>1975</v>
      </c>
      <c r="L482" t="b">
        <v>1</v>
      </c>
      <c r="M482" t="s">
        <v>29</v>
      </c>
      <c r="N482" t="s">
        <v>8245</v>
      </c>
      <c r="O482" s="10">
        <v>16306</v>
      </c>
      <c r="P482" t="s">
        <v>1976</v>
      </c>
      <c r="Q482" t="s">
        <v>1977</v>
      </c>
      <c r="R482" t="s">
        <v>688</v>
      </c>
      <c r="S482" s="8">
        <v>45020.209027777775</v>
      </c>
      <c r="T482" t="s">
        <v>78</v>
      </c>
      <c r="U482" t="s">
        <v>82</v>
      </c>
      <c r="V482">
        <v>1944</v>
      </c>
      <c r="W482" s="12">
        <v>117.24</v>
      </c>
      <c r="X482">
        <v>7.5</v>
      </c>
      <c r="Y482" s="14">
        <v>21427700000000</v>
      </c>
      <c r="Z482">
        <v>88.2</v>
      </c>
      <c r="AA482">
        <v>101.8</v>
      </c>
      <c r="AB482">
        <v>9.6</v>
      </c>
      <c r="AC482">
        <v>36.6</v>
      </c>
      <c r="AD482">
        <v>328239523</v>
      </c>
    </row>
    <row r="483" spans="1:30" hidden="1" x14ac:dyDescent="0.45">
      <c r="A483">
        <v>466</v>
      </c>
      <c r="B483">
        <v>5500</v>
      </c>
      <c r="C483" t="s">
        <v>402</v>
      </c>
      <c r="D483" t="s">
        <v>1978</v>
      </c>
      <c r="E483">
        <v>80</v>
      </c>
      <c r="F483" t="s">
        <v>214</v>
      </c>
      <c r="G483" t="s">
        <v>1979</v>
      </c>
      <c r="H483" t="s">
        <v>1980</v>
      </c>
      <c r="I483" t="s">
        <v>402</v>
      </c>
      <c r="J483" t="s">
        <v>214</v>
      </c>
      <c r="L483" t="b">
        <v>1</v>
      </c>
      <c r="M483" t="s">
        <v>29</v>
      </c>
      <c r="N483" t="s">
        <v>8245</v>
      </c>
      <c r="O483" s="1">
        <v>15785</v>
      </c>
      <c r="P483" t="s">
        <v>1981</v>
      </c>
      <c r="Q483" t="s">
        <v>1982</v>
      </c>
      <c r="S483" s="1">
        <v>45020.209027777775</v>
      </c>
      <c r="V483">
        <v>1943</v>
      </c>
      <c r="W483">
        <v>110.62</v>
      </c>
      <c r="X483">
        <v>0.6</v>
      </c>
      <c r="Y483" s="2">
        <v>2001244392042</v>
      </c>
      <c r="Z483">
        <v>61.9</v>
      </c>
      <c r="AA483">
        <v>101.9</v>
      </c>
      <c r="AB483">
        <v>24.3</v>
      </c>
      <c r="AC483">
        <v>59.1</v>
      </c>
      <c r="AD483">
        <v>60297396</v>
      </c>
    </row>
    <row r="484" spans="1:30" hidden="1" x14ac:dyDescent="0.45">
      <c r="A484">
        <v>466</v>
      </c>
      <c r="B484">
        <v>5500</v>
      </c>
      <c r="C484" t="s">
        <v>76</v>
      </c>
      <c r="D484" t="s">
        <v>1983</v>
      </c>
      <c r="E484">
        <v>80</v>
      </c>
      <c r="F484" t="s">
        <v>35</v>
      </c>
      <c r="G484" t="s">
        <v>1984</v>
      </c>
      <c r="H484" t="s">
        <v>1131</v>
      </c>
      <c r="I484" t="s">
        <v>76</v>
      </c>
      <c r="J484" t="s">
        <v>35</v>
      </c>
      <c r="L484" t="b">
        <v>0</v>
      </c>
      <c r="M484" t="s">
        <v>29</v>
      </c>
      <c r="N484" t="s">
        <v>8246</v>
      </c>
      <c r="O484" s="1">
        <v>15446</v>
      </c>
      <c r="P484" t="s">
        <v>1985</v>
      </c>
      <c r="Q484" t="s">
        <v>1986</v>
      </c>
      <c r="S484" s="1">
        <v>45020.209027777775</v>
      </c>
      <c r="T484" t="s">
        <v>78</v>
      </c>
      <c r="U484" t="s">
        <v>82</v>
      </c>
      <c r="V484">
        <v>1942</v>
      </c>
      <c r="W484">
        <v>117.24</v>
      </c>
      <c r="X484">
        <v>7.5</v>
      </c>
      <c r="Y484" s="2">
        <v>21427700000000</v>
      </c>
      <c r="Z484">
        <v>88.2</v>
      </c>
      <c r="AA484">
        <v>101.8</v>
      </c>
      <c r="AB484">
        <v>9.6</v>
      </c>
      <c r="AC484">
        <v>36.6</v>
      </c>
      <c r="AD484">
        <v>328239523</v>
      </c>
    </row>
    <row r="485" spans="1:30" hidden="1" x14ac:dyDescent="0.45">
      <c r="A485">
        <v>466</v>
      </c>
      <c r="B485">
        <v>5500</v>
      </c>
      <c r="C485" t="s">
        <v>45</v>
      </c>
      <c r="D485" t="s">
        <v>1987</v>
      </c>
      <c r="E485">
        <v>68</v>
      </c>
      <c r="F485" t="s">
        <v>328</v>
      </c>
      <c r="G485" t="s">
        <v>724</v>
      </c>
      <c r="H485" t="s">
        <v>856</v>
      </c>
      <c r="I485" t="s">
        <v>45</v>
      </c>
      <c r="J485" t="s">
        <v>328</v>
      </c>
      <c r="L485" t="b">
        <v>1</v>
      </c>
      <c r="M485" t="s">
        <v>29</v>
      </c>
      <c r="N485" t="s">
        <v>8245</v>
      </c>
      <c r="O485" s="1">
        <v>20180</v>
      </c>
      <c r="P485" t="s">
        <v>1988</v>
      </c>
      <c r="Q485" t="s">
        <v>1068</v>
      </c>
      <c r="S485" s="1">
        <v>45020.209027777775</v>
      </c>
      <c r="V485">
        <v>1955</v>
      </c>
      <c r="W485">
        <v>119.8</v>
      </c>
      <c r="X485">
        <v>1.6</v>
      </c>
      <c r="Y485" s="2">
        <v>1392680589329</v>
      </c>
      <c r="Z485">
        <v>113.1</v>
      </c>
      <c r="AA485">
        <v>100.3</v>
      </c>
      <c r="AB485">
        <v>23</v>
      </c>
      <c r="AC485">
        <v>47.4</v>
      </c>
      <c r="AD485">
        <v>25766605</v>
      </c>
    </row>
    <row r="486" spans="1:30" hidden="1" x14ac:dyDescent="0.45">
      <c r="A486">
        <v>466</v>
      </c>
      <c r="B486">
        <v>5500</v>
      </c>
      <c r="C486" t="s">
        <v>91</v>
      </c>
      <c r="D486" t="s">
        <v>1989</v>
      </c>
      <c r="E486">
        <v>56</v>
      </c>
      <c r="F486" t="s">
        <v>128</v>
      </c>
      <c r="G486" t="s">
        <v>187</v>
      </c>
      <c r="H486" t="s">
        <v>1919</v>
      </c>
      <c r="I486" t="s">
        <v>91</v>
      </c>
      <c r="J486" t="s">
        <v>128</v>
      </c>
      <c r="L486" t="b">
        <v>1</v>
      </c>
      <c r="M486" t="s">
        <v>39</v>
      </c>
      <c r="N486" t="s">
        <v>8246</v>
      </c>
      <c r="O486" s="1">
        <v>24473</v>
      </c>
      <c r="P486" t="s">
        <v>850</v>
      </c>
      <c r="Q486" t="s">
        <v>1990</v>
      </c>
      <c r="S486" s="1">
        <v>45020.209027777775</v>
      </c>
      <c r="V486">
        <v>1967</v>
      </c>
      <c r="W486">
        <v>125.08</v>
      </c>
      <c r="X486">
        <v>2.9</v>
      </c>
      <c r="Y486" s="2">
        <v>19910000000000</v>
      </c>
      <c r="Z486">
        <v>50.6</v>
      </c>
      <c r="AA486">
        <v>100.2</v>
      </c>
      <c r="AB486">
        <v>9.4</v>
      </c>
      <c r="AC486">
        <v>59.2</v>
      </c>
      <c r="AD486">
        <v>1397715000</v>
      </c>
    </row>
    <row r="487" spans="1:30" hidden="1" x14ac:dyDescent="0.45">
      <c r="A487">
        <v>486</v>
      </c>
      <c r="B487">
        <v>5400</v>
      </c>
      <c r="C487" t="s">
        <v>23</v>
      </c>
      <c r="D487" t="s">
        <v>1991</v>
      </c>
      <c r="E487">
        <v>77</v>
      </c>
      <c r="F487" t="s">
        <v>214</v>
      </c>
      <c r="G487" t="s">
        <v>802</v>
      </c>
      <c r="H487" t="s">
        <v>200</v>
      </c>
      <c r="I487" t="s">
        <v>23</v>
      </c>
      <c r="J487" t="s">
        <v>214</v>
      </c>
      <c r="L487" t="b">
        <v>1</v>
      </c>
      <c r="M487" t="s">
        <v>29</v>
      </c>
      <c r="N487" t="s">
        <v>8245</v>
      </c>
      <c r="O487" s="1">
        <v>16803</v>
      </c>
      <c r="P487" t="s">
        <v>1992</v>
      </c>
      <c r="Q487" t="s">
        <v>1993</v>
      </c>
      <c r="S487" s="1">
        <v>45020.209027777775</v>
      </c>
      <c r="V487">
        <v>1946</v>
      </c>
      <c r="W487">
        <v>110.62</v>
      </c>
      <c r="X487">
        <v>0.6</v>
      </c>
      <c r="Y487" s="2">
        <v>2001244392042</v>
      </c>
      <c r="Z487">
        <v>61.9</v>
      </c>
      <c r="AA487">
        <v>101.9</v>
      </c>
      <c r="AB487">
        <v>24.3</v>
      </c>
      <c r="AC487">
        <v>59.1</v>
      </c>
      <c r="AD487">
        <v>60297396</v>
      </c>
    </row>
    <row r="488" spans="1:30" hidden="1" x14ac:dyDescent="0.45">
      <c r="A488">
        <v>486</v>
      </c>
      <c r="B488">
        <v>5400</v>
      </c>
      <c r="C488" t="s">
        <v>296</v>
      </c>
      <c r="D488" t="s">
        <v>1994</v>
      </c>
      <c r="E488">
        <v>81</v>
      </c>
      <c r="F488" t="s">
        <v>93</v>
      </c>
      <c r="G488" t="s">
        <v>94</v>
      </c>
      <c r="H488" t="s">
        <v>659</v>
      </c>
      <c r="I488" t="s">
        <v>296</v>
      </c>
      <c r="J488" t="s">
        <v>93</v>
      </c>
      <c r="L488" t="b">
        <v>0</v>
      </c>
      <c r="M488" t="s">
        <v>39</v>
      </c>
      <c r="N488" t="s">
        <v>8245</v>
      </c>
      <c r="O488" s="1">
        <v>15085</v>
      </c>
      <c r="P488" t="s">
        <v>1995</v>
      </c>
      <c r="Q488" t="s">
        <v>1996</v>
      </c>
      <c r="S488" s="1">
        <v>45020.209027777775</v>
      </c>
      <c r="V488">
        <v>1941</v>
      </c>
      <c r="W488">
        <v>180.44</v>
      </c>
      <c r="X488">
        <v>7.7</v>
      </c>
      <c r="Y488" s="2">
        <v>2611000000000</v>
      </c>
      <c r="Z488">
        <v>28.1</v>
      </c>
      <c r="AA488">
        <v>113</v>
      </c>
      <c r="AB488">
        <v>11.2</v>
      </c>
      <c r="AC488">
        <v>49.7</v>
      </c>
      <c r="AD488">
        <v>1366417754</v>
      </c>
    </row>
    <row r="489" spans="1:30" hidden="1" x14ac:dyDescent="0.45">
      <c r="A489">
        <v>486</v>
      </c>
      <c r="B489">
        <v>5400</v>
      </c>
      <c r="C489" t="s">
        <v>61</v>
      </c>
      <c r="D489" t="s">
        <v>1997</v>
      </c>
      <c r="E489">
        <v>43</v>
      </c>
      <c r="F489" t="s">
        <v>35</v>
      </c>
      <c r="G489" t="s">
        <v>1998</v>
      </c>
      <c r="H489" t="s">
        <v>1999</v>
      </c>
      <c r="I489" t="s">
        <v>61</v>
      </c>
      <c r="J489" t="s">
        <v>35</v>
      </c>
      <c r="L489" t="b">
        <v>0</v>
      </c>
      <c r="M489" t="s">
        <v>29</v>
      </c>
      <c r="N489" t="s">
        <v>8245</v>
      </c>
      <c r="O489" s="1">
        <v>29226</v>
      </c>
      <c r="P489" t="s">
        <v>2000</v>
      </c>
      <c r="Q489" t="s">
        <v>2001</v>
      </c>
      <c r="S489" s="1">
        <v>45020.209027777775</v>
      </c>
      <c r="T489" t="s">
        <v>521</v>
      </c>
      <c r="U489" t="s">
        <v>69</v>
      </c>
      <c r="V489">
        <v>1980</v>
      </c>
      <c r="W489">
        <v>117.24</v>
      </c>
      <c r="X489">
        <v>7.5</v>
      </c>
      <c r="Y489" s="2">
        <v>21427700000000</v>
      </c>
      <c r="Z489">
        <v>88.2</v>
      </c>
      <c r="AA489">
        <v>101.8</v>
      </c>
      <c r="AB489">
        <v>9.6</v>
      </c>
      <c r="AC489">
        <v>36.6</v>
      </c>
      <c r="AD489">
        <v>328239523</v>
      </c>
    </row>
    <row r="490" spans="1:30" hidden="1" x14ac:dyDescent="0.45">
      <c r="A490">
        <v>486</v>
      </c>
      <c r="B490">
        <v>5400</v>
      </c>
      <c r="C490" t="s">
        <v>45</v>
      </c>
      <c r="D490" t="s">
        <v>2002</v>
      </c>
      <c r="E490">
        <v>68</v>
      </c>
      <c r="F490" t="s">
        <v>574</v>
      </c>
      <c r="G490" t="s">
        <v>574</v>
      </c>
      <c r="H490" t="s">
        <v>1821</v>
      </c>
      <c r="I490" t="s">
        <v>45</v>
      </c>
      <c r="J490" t="s">
        <v>35</v>
      </c>
      <c r="L490" t="b">
        <v>1</v>
      </c>
      <c r="M490" t="s">
        <v>39</v>
      </c>
      <c r="N490" t="s">
        <v>8245</v>
      </c>
      <c r="O490" s="1">
        <v>20135</v>
      </c>
      <c r="P490" t="s">
        <v>2003</v>
      </c>
      <c r="Q490" t="s">
        <v>2004</v>
      </c>
      <c r="S490" s="1">
        <v>45020.209027777775</v>
      </c>
      <c r="V490">
        <v>1955</v>
      </c>
      <c r="W490">
        <v>114.41</v>
      </c>
      <c r="X490">
        <v>0.6</v>
      </c>
      <c r="Y490" s="2">
        <v>372062527489</v>
      </c>
      <c r="Z490">
        <v>84.8</v>
      </c>
      <c r="AA490">
        <v>100.6</v>
      </c>
      <c r="AB490">
        <v>13.1</v>
      </c>
      <c r="AC490">
        <v>21</v>
      </c>
      <c r="AD490">
        <v>5703569</v>
      </c>
    </row>
    <row r="491" spans="1:30" hidden="1" x14ac:dyDescent="0.45">
      <c r="A491">
        <v>486</v>
      </c>
      <c r="B491">
        <v>5400</v>
      </c>
      <c r="C491" t="s">
        <v>91</v>
      </c>
      <c r="D491" t="s">
        <v>2005</v>
      </c>
      <c r="E491">
        <v>58</v>
      </c>
      <c r="F491" t="s">
        <v>128</v>
      </c>
      <c r="G491" t="s">
        <v>2006</v>
      </c>
      <c r="H491" t="s">
        <v>2007</v>
      </c>
      <c r="I491" t="s">
        <v>91</v>
      </c>
      <c r="J491" t="s">
        <v>128</v>
      </c>
      <c r="L491" t="b">
        <v>1</v>
      </c>
      <c r="M491" t="s">
        <v>39</v>
      </c>
      <c r="N491" t="s">
        <v>8245</v>
      </c>
      <c r="O491" s="1">
        <v>23743</v>
      </c>
      <c r="P491" t="s">
        <v>2008</v>
      </c>
      <c r="Q491" t="s">
        <v>2009</v>
      </c>
      <c r="S491" s="1">
        <v>45020.209027777775</v>
      </c>
      <c r="V491">
        <v>1965</v>
      </c>
      <c r="W491">
        <v>125.08</v>
      </c>
      <c r="X491">
        <v>2.9</v>
      </c>
      <c r="Y491" s="2">
        <v>19910000000000</v>
      </c>
      <c r="Z491">
        <v>50.6</v>
      </c>
      <c r="AA491">
        <v>100.2</v>
      </c>
      <c r="AB491">
        <v>9.4</v>
      </c>
      <c r="AC491">
        <v>59.2</v>
      </c>
      <c r="AD491">
        <v>1397715000</v>
      </c>
    </row>
    <row r="492" spans="1:30" hidden="1" x14ac:dyDescent="0.45">
      <c r="A492">
        <v>486</v>
      </c>
      <c r="B492">
        <v>5400</v>
      </c>
      <c r="C492" t="s">
        <v>296</v>
      </c>
      <c r="D492" t="s">
        <v>2010</v>
      </c>
      <c r="E492">
        <v>77</v>
      </c>
      <c r="F492" t="s">
        <v>205</v>
      </c>
      <c r="G492" t="s">
        <v>2011</v>
      </c>
      <c r="H492" t="s">
        <v>2012</v>
      </c>
      <c r="I492" t="s">
        <v>296</v>
      </c>
      <c r="J492" t="s">
        <v>205</v>
      </c>
      <c r="K492" t="s">
        <v>2013</v>
      </c>
      <c r="L492" t="b">
        <v>1</v>
      </c>
      <c r="M492" t="s">
        <v>29</v>
      </c>
      <c r="N492" t="s">
        <v>8245</v>
      </c>
      <c r="O492" s="1">
        <v>16838</v>
      </c>
      <c r="P492" t="s">
        <v>2014</v>
      </c>
      <c r="Q492" t="s">
        <v>81</v>
      </c>
      <c r="R492" t="s">
        <v>2015</v>
      </c>
      <c r="S492" s="1">
        <v>45020.209027777775</v>
      </c>
      <c r="V492">
        <v>1946</v>
      </c>
      <c r="W492">
        <v>99.55</v>
      </c>
      <c r="X492">
        <v>0.4</v>
      </c>
      <c r="Y492" s="2">
        <v>703082435360</v>
      </c>
      <c r="Z492">
        <v>59.6</v>
      </c>
      <c r="AA492">
        <v>105.2</v>
      </c>
      <c r="AB492">
        <v>10.1</v>
      </c>
      <c r="AC492">
        <v>28.8</v>
      </c>
      <c r="AD492">
        <v>8574832</v>
      </c>
    </row>
    <row r="493" spans="1:30" hidden="1" x14ac:dyDescent="0.45">
      <c r="A493">
        <v>486</v>
      </c>
      <c r="B493">
        <v>5400</v>
      </c>
      <c r="C493" t="s">
        <v>23</v>
      </c>
      <c r="D493" t="s">
        <v>2016</v>
      </c>
      <c r="E493">
        <v>73</v>
      </c>
      <c r="F493" t="s">
        <v>214</v>
      </c>
      <c r="G493" t="s">
        <v>802</v>
      </c>
      <c r="H493" t="s">
        <v>200</v>
      </c>
      <c r="I493" t="s">
        <v>23</v>
      </c>
      <c r="J493" t="s">
        <v>214</v>
      </c>
      <c r="K493" t="s">
        <v>2017</v>
      </c>
      <c r="L493" t="b">
        <v>0</v>
      </c>
      <c r="M493" t="s">
        <v>29</v>
      </c>
      <c r="N493" t="s">
        <v>8246</v>
      </c>
      <c r="O493" s="1">
        <v>18028</v>
      </c>
      <c r="P493" t="s">
        <v>2017</v>
      </c>
      <c r="Q493" t="s">
        <v>2018</v>
      </c>
      <c r="R493" t="s">
        <v>2019</v>
      </c>
      <c r="S493" s="1">
        <v>45020.209027777775</v>
      </c>
      <c r="V493">
        <v>1949</v>
      </c>
      <c r="W493">
        <v>110.62</v>
      </c>
      <c r="X493">
        <v>0.6</v>
      </c>
      <c r="Y493" s="2">
        <v>2001244392042</v>
      </c>
      <c r="Z493">
        <v>61.9</v>
      </c>
      <c r="AA493">
        <v>101.9</v>
      </c>
      <c r="AB493">
        <v>24.3</v>
      </c>
      <c r="AC493">
        <v>59.1</v>
      </c>
      <c r="AD493">
        <v>60297396</v>
      </c>
    </row>
    <row r="494" spans="1:30" hidden="1" x14ac:dyDescent="0.45">
      <c r="A494">
        <v>486</v>
      </c>
      <c r="B494">
        <v>5400</v>
      </c>
      <c r="C494" t="s">
        <v>23</v>
      </c>
      <c r="D494" t="s">
        <v>2020</v>
      </c>
      <c r="E494">
        <v>70</v>
      </c>
      <c r="F494" t="s">
        <v>194</v>
      </c>
      <c r="G494" t="s">
        <v>2021</v>
      </c>
      <c r="H494" t="s">
        <v>2022</v>
      </c>
      <c r="I494" t="s">
        <v>23</v>
      </c>
      <c r="J494" t="s">
        <v>194</v>
      </c>
      <c r="L494" t="b">
        <v>0</v>
      </c>
      <c r="M494" t="s">
        <v>39</v>
      </c>
      <c r="N494" t="s">
        <v>8245</v>
      </c>
      <c r="O494" s="1">
        <v>19271</v>
      </c>
      <c r="P494" t="s">
        <v>2023</v>
      </c>
      <c r="Q494" t="s">
        <v>1775</v>
      </c>
      <c r="S494" s="1">
        <v>45020.209027777775</v>
      </c>
      <c r="V494">
        <v>1952</v>
      </c>
      <c r="W494">
        <v>112.85</v>
      </c>
      <c r="X494">
        <v>1.4</v>
      </c>
      <c r="Y494" s="2">
        <v>3845630030824</v>
      </c>
      <c r="Z494">
        <v>70.2</v>
      </c>
      <c r="AA494">
        <v>104</v>
      </c>
      <c r="AB494">
        <v>11.5</v>
      </c>
      <c r="AC494">
        <v>48.8</v>
      </c>
      <c r="AD494">
        <v>83132799</v>
      </c>
    </row>
    <row r="495" spans="1:30" hidden="1" x14ac:dyDescent="0.45">
      <c r="A495">
        <v>486</v>
      </c>
      <c r="B495">
        <v>5400</v>
      </c>
      <c r="C495" t="s">
        <v>23</v>
      </c>
      <c r="D495" t="s">
        <v>2024</v>
      </c>
      <c r="E495">
        <v>58</v>
      </c>
      <c r="F495" t="s">
        <v>194</v>
      </c>
      <c r="G495" t="s">
        <v>1665</v>
      </c>
      <c r="H495" t="s">
        <v>2022</v>
      </c>
      <c r="I495" t="s">
        <v>23</v>
      </c>
      <c r="J495" t="s">
        <v>194</v>
      </c>
      <c r="L495" t="b">
        <v>0</v>
      </c>
      <c r="M495" t="s">
        <v>39</v>
      </c>
      <c r="N495" t="s">
        <v>8245</v>
      </c>
      <c r="O495" s="1">
        <v>23831</v>
      </c>
      <c r="P495" t="s">
        <v>2025</v>
      </c>
      <c r="Q495" t="s">
        <v>2026</v>
      </c>
      <c r="S495" s="1">
        <v>45020.209027777775</v>
      </c>
      <c r="V495">
        <v>1965</v>
      </c>
      <c r="W495">
        <v>112.85</v>
      </c>
      <c r="X495">
        <v>1.4</v>
      </c>
      <c r="Y495" s="2">
        <v>3845630030824</v>
      </c>
      <c r="Z495">
        <v>70.2</v>
      </c>
      <c r="AA495">
        <v>104</v>
      </c>
      <c r="AB495">
        <v>11.5</v>
      </c>
      <c r="AC495">
        <v>48.8</v>
      </c>
      <c r="AD495">
        <v>83132799</v>
      </c>
    </row>
    <row r="496" spans="1:30" hidden="1" x14ac:dyDescent="0.45">
      <c r="A496">
        <v>486</v>
      </c>
      <c r="B496">
        <v>5400</v>
      </c>
      <c r="C496" t="s">
        <v>23</v>
      </c>
      <c r="D496" t="s">
        <v>2027</v>
      </c>
      <c r="E496">
        <v>59</v>
      </c>
      <c r="F496" t="s">
        <v>255</v>
      </c>
      <c r="G496" t="s">
        <v>1247</v>
      </c>
      <c r="H496" t="s">
        <v>2022</v>
      </c>
      <c r="I496" t="s">
        <v>23</v>
      </c>
      <c r="J496" t="s">
        <v>194</v>
      </c>
      <c r="L496" t="b">
        <v>0</v>
      </c>
      <c r="M496" t="s">
        <v>39</v>
      </c>
      <c r="N496" t="s">
        <v>8245</v>
      </c>
      <c r="O496" s="1">
        <v>23205</v>
      </c>
      <c r="P496" t="s">
        <v>2025</v>
      </c>
      <c r="Q496" t="s">
        <v>370</v>
      </c>
      <c r="S496" s="1">
        <v>45020.209027777775</v>
      </c>
      <c r="V496">
        <v>1963</v>
      </c>
      <c r="W496">
        <v>118.06</v>
      </c>
      <c r="X496">
        <v>1.5</v>
      </c>
      <c r="Y496" s="2">
        <v>446314739528</v>
      </c>
      <c r="Z496">
        <v>85.1</v>
      </c>
      <c r="AA496">
        <v>103.1</v>
      </c>
      <c r="AB496">
        <v>25.4</v>
      </c>
      <c r="AC496">
        <v>51.4</v>
      </c>
      <c r="AD496">
        <v>8877067</v>
      </c>
    </row>
    <row r="497" spans="1:30" hidden="1" x14ac:dyDescent="0.45">
      <c r="A497">
        <v>486</v>
      </c>
      <c r="B497">
        <v>5400</v>
      </c>
      <c r="C497" t="s">
        <v>23</v>
      </c>
      <c r="D497" t="s">
        <v>2028</v>
      </c>
      <c r="E497">
        <v>71</v>
      </c>
      <c r="F497" t="s">
        <v>255</v>
      </c>
      <c r="G497" t="s">
        <v>1247</v>
      </c>
      <c r="H497" t="s">
        <v>2022</v>
      </c>
      <c r="I497" t="s">
        <v>23</v>
      </c>
      <c r="J497" t="s">
        <v>194</v>
      </c>
      <c r="L497" t="b">
        <v>0</v>
      </c>
      <c r="M497" t="s">
        <v>39</v>
      </c>
      <c r="N497" t="s">
        <v>8246</v>
      </c>
      <c r="O497" s="1">
        <v>18909</v>
      </c>
      <c r="P497" t="s">
        <v>2029</v>
      </c>
      <c r="Q497" t="s">
        <v>2030</v>
      </c>
      <c r="S497" s="1">
        <v>45020.209027777775</v>
      </c>
      <c r="V497">
        <v>1951</v>
      </c>
      <c r="W497">
        <v>118.06</v>
      </c>
      <c r="X497">
        <v>1.5</v>
      </c>
      <c r="Y497" s="2">
        <v>446314739528</v>
      </c>
      <c r="Z497">
        <v>85.1</v>
      </c>
      <c r="AA497">
        <v>103.1</v>
      </c>
      <c r="AB497">
        <v>25.4</v>
      </c>
      <c r="AC497">
        <v>51.4</v>
      </c>
      <c r="AD497">
        <v>8877067</v>
      </c>
    </row>
    <row r="498" spans="1:30" hidden="1" x14ac:dyDescent="0.45">
      <c r="A498">
        <v>497</v>
      </c>
      <c r="B498">
        <v>5300</v>
      </c>
      <c r="C498" t="s">
        <v>61</v>
      </c>
      <c r="D498" t="s">
        <v>2031</v>
      </c>
      <c r="E498">
        <v>49</v>
      </c>
      <c r="F498" t="s">
        <v>35</v>
      </c>
      <c r="G498" t="s">
        <v>1835</v>
      </c>
      <c r="H498" t="s">
        <v>1839</v>
      </c>
      <c r="I498" t="s">
        <v>61</v>
      </c>
      <c r="J498" t="s">
        <v>35</v>
      </c>
      <c r="L498" t="b">
        <v>1</v>
      </c>
      <c r="M498" t="s">
        <v>29</v>
      </c>
      <c r="N498" t="s">
        <v>8245</v>
      </c>
      <c r="O498" s="1">
        <v>26927</v>
      </c>
      <c r="P498" t="s">
        <v>2032</v>
      </c>
      <c r="Q498" t="s">
        <v>2033</v>
      </c>
      <c r="S498" s="1">
        <v>45020.209027777775</v>
      </c>
      <c r="T498" t="s">
        <v>479</v>
      </c>
      <c r="U498" t="s">
        <v>82</v>
      </c>
      <c r="V498">
        <v>1973</v>
      </c>
      <c r="W498">
        <v>117.24</v>
      </c>
      <c r="X498">
        <v>7.5</v>
      </c>
      <c r="Y498" s="2">
        <v>21427700000000</v>
      </c>
      <c r="Z498">
        <v>88.2</v>
      </c>
      <c r="AA498">
        <v>101.8</v>
      </c>
      <c r="AB498">
        <v>9.6</v>
      </c>
      <c r="AC498">
        <v>36.6</v>
      </c>
      <c r="AD498">
        <v>328239523</v>
      </c>
    </row>
    <row r="499" spans="1:30" hidden="1" x14ac:dyDescent="0.45">
      <c r="A499">
        <v>497</v>
      </c>
      <c r="B499">
        <v>5300</v>
      </c>
      <c r="C499" t="s">
        <v>302</v>
      </c>
      <c r="D499" t="s">
        <v>2034</v>
      </c>
      <c r="E499">
        <v>64</v>
      </c>
      <c r="F499" t="s">
        <v>35</v>
      </c>
      <c r="G499" t="s">
        <v>964</v>
      </c>
      <c r="H499" t="s">
        <v>304</v>
      </c>
      <c r="I499" t="s">
        <v>302</v>
      </c>
      <c r="J499" t="s">
        <v>35</v>
      </c>
      <c r="L499" t="b">
        <v>1</v>
      </c>
      <c r="M499" t="s">
        <v>29</v>
      </c>
      <c r="N499" t="s">
        <v>8245</v>
      </c>
      <c r="O499" s="1">
        <v>21557</v>
      </c>
      <c r="P499" t="s">
        <v>2035</v>
      </c>
      <c r="Q499" t="s">
        <v>951</v>
      </c>
      <c r="S499" s="1">
        <v>45020.209027777775</v>
      </c>
      <c r="T499" t="s">
        <v>115</v>
      </c>
      <c r="U499" t="s">
        <v>53</v>
      </c>
      <c r="V499">
        <v>1959</v>
      </c>
      <c r="W499">
        <v>117.24</v>
      </c>
      <c r="X499">
        <v>7.5</v>
      </c>
      <c r="Y499" s="2">
        <v>21427700000000</v>
      </c>
      <c r="Z499">
        <v>88.2</v>
      </c>
      <c r="AA499">
        <v>101.8</v>
      </c>
      <c r="AB499">
        <v>9.6</v>
      </c>
      <c r="AC499">
        <v>36.6</v>
      </c>
      <c r="AD499">
        <v>328239523</v>
      </c>
    </row>
    <row r="500" spans="1:30" hidden="1" x14ac:dyDescent="0.45">
      <c r="A500">
        <v>497</v>
      </c>
      <c r="B500">
        <v>5300</v>
      </c>
      <c r="C500" t="s">
        <v>296</v>
      </c>
      <c r="D500" t="s">
        <v>2036</v>
      </c>
      <c r="E500">
        <v>60</v>
      </c>
      <c r="F500" t="s">
        <v>2037</v>
      </c>
      <c r="G500" t="s">
        <v>2038</v>
      </c>
      <c r="H500" t="s">
        <v>2039</v>
      </c>
      <c r="I500" t="s">
        <v>296</v>
      </c>
      <c r="J500" t="s">
        <v>2037</v>
      </c>
      <c r="L500" t="b">
        <v>1</v>
      </c>
      <c r="M500" t="s">
        <v>29</v>
      </c>
      <c r="N500" t="s">
        <v>8245</v>
      </c>
      <c r="O500" s="1">
        <v>22915</v>
      </c>
      <c r="P500" t="s">
        <v>2040</v>
      </c>
      <c r="Q500" t="s">
        <v>2041</v>
      </c>
      <c r="S500" s="1">
        <v>45020.209027777775</v>
      </c>
      <c r="V500">
        <v>1962</v>
      </c>
      <c r="W500">
        <v>234.44</v>
      </c>
      <c r="X500">
        <v>15.2</v>
      </c>
      <c r="Y500" s="2">
        <v>754411708203</v>
      </c>
      <c r="Z500">
        <v>23.9</v>
      </c>
      <c r="AA500">
        <v>93.2</v>
      </c>
      <c r="AB500">
        <v>17.899999999999999</v>
      </c>
      <c r="AC500">
        <v>42.3</v>
      </c>
      <c r="AD500">
        <v>83429615</v>
      </c>
    </row>
    <row r="501" spans="1:30" hidden="1" x14ac:dyDescent="0.45">
      <c r="A501">
        <v>497</v>
      </c>
      <c r="B501">
        <v>5300</v>
      </c>
      <c r="C501" t="s">
        <v>61</v>
      </c>
      <c r="D501" t="s">
        <v>2042</v>
      </c>
      <c r="E501">
        <v>59</v>
      </c>
      <c r="F501" t="s">
        <v>35</v>
      </c>
      <c r="G501" t="s">
        <v>1549</v>
      </c>
      <c r="H501" t="s">
        <v>423</v>
      </c>
      <c r="I501" t="s">
        <v>61</v>
      </c>
      <c r="J501" t="s">
        <v>35</v>
      </c>
      <c r="L501" t="b">
        <v>0</v>
      </c>
      <c r="M501" t="s">
        <v>29</v>
      </c>
      <c r="N501" t="s">
        <v>8246</v>
      </c>
      <c r="O501" s="1">
        <v>23138</v>
      </c>
      <c r="P501" t="s">
        <v>425</v>
      </c>
      <c r="Q501" t="s">
        <v>1011</v>
      </c>
      <c r="S501" s="1">
        <v>45020.209027777775</v>
      </c>
      <c r="T501" t="s">
        <v>427</v>
      </c>
      <c r="U501" t="s">
        <v>82</v>
      </c>
      <c r="V501">
        <v>1963</v>
      </c>
      <c r="W501">
        <v>117.24</v>
      </c>
      <c r="X501">
        <v>7.5</v>
      </c>
      <c r="Y501" s="2">
        <v>21427700000000</v>
      </c>
      <c r="Z501">
        <v>88.2</v>
      </c>
      <c r="AA501">
        <v>101.8</v>
      </c>
      <c r="AB501">
        <v>9.6</v>
      </c>
      <c r="AC501">
        <v>36.6</v>
      </c>
      <c r="AD501">
        <v>328239523</v>
      </c>
    </row>
    <row r="502" spans="1:30" x14ac:dyDescent="0.45">
      <c r="A502">
        <v>497</v>
      </c>
      <c r="B502" s="6">
        <v>5300</v>
      </c>
      <c r="C502" t="s">
        <v>61</v>
      </c>
      <c r="D502" t="s">
        <v>2043</v>
      </c>
      <c r="E502">
        <v>65</v>
      </c>
      <c r="F502" t="s">
        <v>35</v>
      </c>
      <c r="G502" t="s">
        <v>583</v>
      </c>
      <c r="H502" t="s">
        <v>1064</v>
      </c>
      <c r="I502" t="s">
        <v>61</v>
      </c>
      <c r="J502" t="s">
        <v>35</v>
      </c>
      <c r="K502" t="s">
        <v>2044</v>
      </c>
      <c r="L502" t="b">
        <v>1</v>
      </c>
      <c r="M502" t="s">
        <v>39</v>
      </c>
      <c r="N502" t="s">
        <v>8245</v>
      </c>
      <c r="O502" s="10">
        <v>21005</v>
      </c>
      <c r="P502" t="s">
        <v>2045</v>
      </c>
      <c r="Q502" t="s">
        <v>1745</v>
      </c>
      <c r="R502" t="s">
        <v>2046</v>
      </c>
      <c r="S502" s="8">
        <v>45020.209027777775</v>
      </c>
      <c r="T502" t="s">
        <v>115</v>
      </c>
      <c r="U502" t="s">
        <v>53</v>
      </c>
      <c r="V502">
        <v>1957</v>
      </c>
      <c r="W502" s="12">
        <v>117.24</v>
      </c>
      <c r="X502">
        <v>7.5</v>
      </c>
      <c r="Y502" s="14">
        <v>21427700000000</v>
      </c>
      <c r="Z502">
        <v>88.2</v>
      </c>
      <c r="AA502">
        <v>101.8</v>
      </c>
      <c r="AB502">
        <v>9.6</v>
      </c>
      <c r="AC502">
        <v>36.6</v>
      </c>
      <c r="AD502">
        <v>328239523</v>
      </c>
    </row>
    <row r="503" spans="1:30" hidden="1" x14ac:dyDescent="0.45">
      <c r="A503">
        <v>497</v>
      </c>
      <c r="B503">
        <v>5300</v>
      </c>
      <c r="C503" t="s">
        <v>91</v>
      </c>
      <c r="D503" t="s">
        <v>2047</v>
      </c>
      <c r="E503">
        <v>78</v>
      </c>
      <c r="F503" t="s">
        <v>349</v>
      </c>
      <c r="G503" t="s">
        <v>350</v>
      </c>
      <c r="H503" t="s">
        <v>1256</v>
      </c>
      <c r="I503" t="s">
        <v>91</v>
      </c>
      <c r="J503" t="s">
        <v>349</v>
      </c>
      <c r="L503" t="b">
        <v>0</v>
      </c>
      <c r="M503" t="s">
        <v>39</v>
      </c>
      <c r="N503" t="s">
        <v>8245</v>
      </c>
      <c r="O503" s="1">
        <v>16205</v>
      </c>
      <c r="P503" t="s">
        <v>2048</v>
      </c>
      <c r="Q503" t="s">
        <v>2049</v>
      </c>
      <c r="S503" s="1">
        <v>45020.209027777775</v>
      </c>
      <c r="V503">
        <v>1944</v>
      </c>
      <c r="W503">
        <v>151.18</v>
      </c>
      <c r="X503">
        <v>3</v>
      </c>
      <c r="Y503" s="2">
        <v>1119190780753</v>
      </c>
      <c r="Z503">
        <v>36.299999999999997</v>
      </c>
      <c r="AA503">
        <v>106.4</v>
      </c>
      <c r="AB503">
        <v>10.199999999999999</v>
      </c>
      <c r="AC503">
        <v>30.1</v>
      </c>
      <c r="AD503">
        <v>270203917</v>
      </c>
    </row>
    <row r="504" spans="1:30" x14ac:dyDescent="0.45">
      <c r="A504">
        <v>497</v>
      </c>
      <c r="B504" s="6">
        <v>5300</v>
      </c>
      <c r="C504" t="s">
        <v>61</v>
      </c>
      <c r="D504" t="s">
        <v>2050</v>
      </c>
      <c r="E504">
        <v>72</v>
      </c>
      <c r="F504" t="s">
        <v>35</v>
      </c>
      <c r="G504" t="s">
        <v>433</v>
      </c>
      <c r="H504" t="s">
        <v>1909</v>
      </c>
      <c r="I504" t="s">
        <v>61</v>
      </c>
      <c r="J504" t="s">
        <v>35</v>
      </c>
      <c r="K504" t="s">
        <v>2051</v>
      </c>
      <c r="L504" t="b">
        <v>0</v>
      </c>
      <c r="M504" t="s">
        <v>29</v>
      </c>
      <c r="N504" t="s">
        <v>8245</v>
      </c>
      <c r="O504" s="10">
        <v>18420</v>
      </c>
      <c r="P504" t="s">
        <v>1910</v>
      </c>
      <c r="Q504" t="s">
        <v>358</v>
      </c>
      <c r="R504" t="s">
        <v>334</v>
      </c>
      <c r="S504" s="8">
        <v>45020.209027777775</v>
      </c>
      <c r="T504" t="s">
        <v>435</v>
      </c>
      <c r="U504" t="s">
        <v>69</v>
      </c>
      <c r="V504">
        <v>1950</v>
      </c>
      <c r="W504" s="12">
        <v>117.24</v>
      </c>
      <c r="X504">
        <v>7.5</v>
      </c>
      <c r="Y504" s="14">
        <v>21427700000000</v>
      </c>
      <c r="Z504">
        <v>88.2</v>
      </c>
      <c r="AA504">
        <v>101.8</v>
      </c>
      <c r="AB504">
        <v>9.6</v>
      </c>
      <c r="AC504">
        <v>36.6</v>
      </c>
      <c r="AD504">
        <v>328239523</v>
      </c>
    </row>
    <row r="505" spans="1:30" hidden="1" x14ac:dyDescent="0.45">
      <c r="A505">
        <v>497</v>
      </c>
      <c r="B505">
        <v>5300</v>
      </c>
      <c r="C505" t="s">
        <v>126</v>
      </c>
      <c r="D505" t="s">
        <v>2052</v>
      </c>
      <c r="E505">
        <v>80</v>
      </c>
      <c r="F505" t="s">
        <v>35</v>
      </c>
      <c r="G505" t="s">
        <v>1026</v>
      </c>
      <c r="H505" t="s">
        <v>1372</v>
      </c>
      <c r="I505" t="s">
        <v>126</v>
      </c>
      <c r="J505" t="s">
        <v>35</v>
      </c>
      <c r="L505" t="b">
        <v>1</v>
      </c>
      <c r="M505" t="s">
        <v>285</v>
      </c>
      <c r="N505" t="s">
        <v>8246</v>
      </c>
      <c r="O505" s="1">
        <v>15708</v>
      </c>
      <c r="P505" t="s">
        <v>2053</v>
      </c>
      <c r="Q505" t="s">
        <v>2054</v>
      </c>
      <c r="S505" s="1">
        <v>45020.209027777775</v>
      </c>
      <c r="T505" t="s">
        <v>115</v>
      </c>
      <c r="U505" t="s">
        <v>53</v>
      </c>
      <c r="V505">
        <v>1943</v>
      </c>
      <c r="W505">
        <v>117.24</v>
      </c>
      <c r="X505">
        <v>7.5</v>
      </c>
      <c r="Y505" s="2">
        <v>21427700000000</v>
      </c>
      <c r="Z505">
        <v>88.2</v>
      </c>
      <c r="AA505">
        <v>101.8</v>
      </c>
      <c r="AB505">
        <v>9.6</v>
      </c>
      <c r="AC505">
        <v>36.6</v>
      </c>
      <c r="AD505">
        <v>328239523</v>
      </c>
    </row>
    <row r="506" spans="1:30" hidden="1" x14ac:dyDescent="0.45">
      <c r="A506">
        <v>497</v>
      </c>
      <c r="B506">
        <v>5300</v>
      </c>
      <c r="C506" t="s">
        <v>126</v>
      </c>
      <c r="D506" t="s">
        <v>2055</v>
      </c>
      <c r="E506">
        <v>86</v>
      </c>
      <c r="F506" t="s">
        <v>35</v>
      </c>
      <c r="G506" t="s">
        <v>1026</v>
      </c>
      <c r="H506" t="s">
        <v>1372</v>
      </c>
      <c r="I506" t="s">
        <v>126</v>
      </c>
      <c r="J506" t="s">
        <v>35</v>
      </c>
      <c r="L506" t="b">
        <v>1</v>
      </c>
      <c r="M506" t="s">
        <v>285</v>
      </c>
      <c r="N506" t="s">
        <v>8245</v>
      </c>
      <c r="O506" s="1">
        <v>13508</v>
      </c>
      <c r="P506" t="s">
        <v>2053</v>
      </c>
      <c r="Q506" t="s">
        <v>2056</v>
      </c>
      <c r="S506" s="1">
        <v>45020.209027777775</v>
      </c>
      <c r="T506" t="s">
        <v>115</v>
      </c>
      <c r="U506" t="s">
        <v>53</v>
      </c>
      <c r="V506">
        <v>1936</v>
      </c>
      <c r="W506">
        <v>117.24</v>
      </c>
      <c r="X506">
        <v>7.5</v>
      </c>
      <c r="Y506" s="2">
        <v>21427700000000</v>
      </c>
      <c r="Z506">
        <v>88.2</v>
      </c>
      <c r="AA506">
        <v>101.8</v>
      </c>
      <c r="AB506">
        <v>9.6</v>
      </c>
      <c r="AC506">
        <v>36.6</v>
      </c>
      <c r="AD506">
        <v>328239523</v>
      </c>
    </row>
    <row r="507" spans="1:30" hidden="1" x14ac:dyDescent="0.45">
      <c r="A507">
        <v>497</v>
      </c>
      <c r="B507">
        <v>5300</v>
      </c>
      <c r="C507" t="s">
        <v>436</v>
      </c>
      <c r="D507" t="s">
        <v>2057</v>
      </c>
      <c r="E507">
        <v>78</v>
      </c>
      <c r="F507" t="s">
        <v>35</v>
      </c>
      <c r="G507" t="s">
        <v>1130</v>
      </c>
      <c r="H507" t="s">
        <v>2058</v>
      </c>
      <c r="I507" t="s">
        <v>436</v>
      </c>
      <c r="J507" t="s">
        <v>35</v>
      </c>
      <c r="L507" t="b">
        <v>0</v>
      </c>
      <c r="M507" t="s">
        <v>611</v>
      </c>
      <c r="N507" t="s">
        <v>8245</v>
      </c>
      <c r="O507" s="1">
        <v>16314</v>
      </c>
      <c r="P507" t="s">
        <v>2059</v>
      </c>
      <c r="Q507" t="s">
        <v>2060</v>
      </c>
      <c r="S507" s="1">
        <v>45020.209027777775</v>
      </c>
      <c r="T507" t="s">
        <v>1134</v>
      </c>
      <c r="U507" t="s">
        <v>44</v>
      </c>
      <c r="V507">
        <v>1944</v>
      </c>
      <c r="W507">
        <v>117.24</v>
      </c>
      <c r="X507">
        <v>7.5</v>
      </c>
      <c r="Y507" s="2">
        <v>21427700000000</v>
      </c>
      <c r="Z507">
        <v>88.2</v>
      </c>
      <c r="AA507">
        <v>101.8</v>
      </c>
      <c r="AB507">
        <v>9.6</v>
      </c>
      <c r="AC507">
        <v>36.6</v>
      </c>
      <c r="AD507">
        <v>328239523</v>
      </c>
    </row>
    <row r="508" spans="1:30" x14ac:dyDescent="0.45">
      <c r="A508">
        <v>497</v>
      </c>
      <c r="B508" s="6">
        <v>5300</v>
      </c>
      <c r="C508" t="s">
        <v>61</v>
      </c>
      <c r="D508" t="s">
        <v>2061</v>
      </c>
      <c r="E508">
        <v>62</v>
      </c>
      <c r="F508" t="s">
        <v>35</v>
      </c>
      <c r="G508" t="s">
        <v>433</v>
      </c>
      <c r="H508" t="s">
        <v>2062</v>
      </c>
      <c r="I508" t="s">
        <v>61</v>
      </c>
      <c r="J508" t="s">
        <v>35</v>
      </c>
      <c r="K508" t="s">
        <v>2063</v>
      </c>
      <c r="L508" t="b">
        <v>1</v>
      </c>
      <c r="M508" t="s">
        <v>29</v>
      </c>
      <c r="N508" t="s">
        <v>8245</v>
      </c>
      <c r="O508" s="10">
        <v>22058</v>
      </c>
      <c r="P508" t="s">
        <v>2064</v>
      </c>
      <c r="Q508" t="s">
        <v>137</v>
      </c>
      <c r="R508" t="s">
        <v>42</v>
      </c>
      <c r="S508" s="8">
        <v>45020.209027777775</v>
      </c>
      <c r="T508" t="s">
        <v>435</v>
      </c>
      <c r="U508" t="s">
        <v>69</v>
      </c>
      <c r="V508">
        <v>1960</v>
      </c>
      <c r="W508" s="12">
        <v>117.24</v>
      </c>
      <c r="X508">
        <v>7.5</v>
      </c>
      <c r="Y508" s="14">
        <v>21427700000000</v>
      </c>
      <c r="Z508">
        <v>88.2</v>
      </c>
      <c r="AA508">
        <v>101.8</v>
      </c>
      <c r="AB508">
        <v>9.6</v>
      </c>
      <c r="AC508">
        <v>36.6</v>
      </c>
      <c r="AD508">
        <v>328239523</v>
      </c>
    </row>
    <row r="509" spans="1:30" hidden="1" x14ac:dyDescent="0.45">
      <c r="A509">
        <v>497</v>
      </c>
      <c r="B509">
        <v>5300</v>
      </c>
      <c r="C509" t="s">
        <v>296</v>
      </c>
      <c r="D509" t="s">
        <v>2065</v>
      </c>
      <c r="E509">
        <v>81</v>
      </c>
      <c r="F509" t="s">
        <v>35</v>
      </c>
      <c r="G509" t="s">
        <v>2066</v>
      </c>
      <c r="H509" t="s">
        <v>1268</v>
      </c>
      <c r="I509" t="s">
        <v>296</v>
      </c>
      <c r="J509" t="s">
        <v>35</v>
      </c>
      <c r="L509" t="b">
        <v>1</v>
      </c>
      <c r="M509" t="s">
        <v>39</v>
      </c>
      <c r="N509" t="s">
        <v>8245</v>
      </c>
      <c r="O509" s="1">
        <v>15115</v>
      </c>
      <c r="P509" t="s">
        <v>2067</v>
      </c>
      <c r="Q509" t="s">
        <v>2068</v>
      </c>
      <c r="S509" s="1">
        <v>45020.209027777775</v>
      </c>
      <c r="T509" t="s">
        <v>253</v>
      </c>
      <c r="U509" t="s">
        <v>44</v>
      </c>
      <c r="V509">
        <v>1941</v>
      </c>
      <c r="W509">
        <v>117.24</v>
      </c>
      <c r="X509">
        <v>7.5</v>
      </c>
      <c r="Y509" s="2">
        <v>21427700000000</v>
      </c>
      <c r="Z509">
        <v>88.2</v>
      </c>
      <c r="AA509">
        <v>101.8</v>
      </c>
      <c r="AB509">
        <v>9.6</v>
      </c>
      <c r="AC509">
        <v>36.6</v>
      </c>
      <c r="AD509">
        <v>328239523</v>
      </c>
    </row>
    <row r="510" spans="1:30" hidden="1" x14ac:dyDescent="0.45">
      <c r="A510">
        <v>497</v>
      </c>
      <c r="B510">
        <v>5300</v>
      </c>
      <c r="C510" t="s">
        <v>126</v>
      </c>
      <c r="D510" t="s">
        <v>2069</v>
      </c>
      <c r="E510">
        <v>77</v>
      </c>
      <c r="F510" t="s">
        <v>194</v>
      </c>
      <c r="G510" t="s">
        <v>2070</v>
      </c>
      <c r="H510" t="s">
        <v>2071</v>
      </c>
      <c r="I510" t="s">
        <v>126</v>
      </c>
      <c r="J510" t="s">
        <v>194</v>
      </c>
      <c r="L510" t="b">
        <v>1</v>
      </c>
      <c r="M510" t="s">
        <v>39</v>
      </c>
      <c r="N510" t="s">
        <v>8245</v>
      </c>
      <c r="O510" s="1">
        <v>16590</v>
      </c>
      <c r="P510" t="s">
        <v>2072</v>
      </c>
      <c r="Q510" t="s">
        <v>2073</v>
      </c>
      <c r="S510" s="1">
        <v>45020.209027777775</v>
      </c>
      <c r="V510">
        <v>1945</v>
      </c>
      <c r="W510">
        <v>112.85</v>
      </c>
      <c r="X510">
        <v>1.4</v>
      </c>
      <c r="Y510" s="2">
        <v>3845630030824</v>
      </c>
      <c r="Z510">
        <v>70.2</v>
      </c>
      <c r="AA510">
        <v>104</v>
      </c>
      <c r="AB510">
        <v>11.5</v>
      </c>
      <c r="AC510">
        <v>48.8</v>
      </c>
      <c r="AD510">
        <v>83132799</v>
      </c>
    </row>
    <row r="511" spans="1:30" hidden="1" x14ac:dyDescent="0.45">
      <c r="A511">
        <v>497</v>
      </c>
      <c r="B511">
        <v>5300</v>
      </c>
      <c r="C511" t="s">
        <v>23</v>
      </c>
      <c r="D511" t="s">
        <v>2074</v>
      </c>
      <c r="E511">
        <v>67</v>
      </c>
      <c r="F511" t="s">
        <v>360</v>
      </c>
      <c r="G511" t="s">
        <v>2075</v>
      </c>
      <c r="H511" t="s">
        <v>196</v>
      </c>
      <c r="I511" t="s">
        <v>23</v>
      </c>
      <c r="J511" t="s">
        <v>93</v>
      </c>
      <c r="L511" t="b">
        <v>1</v>
      </c>
      <c r="M511" t="s">
        <v>39</v>
      </c>
      <c r="N511" t="s">
        <v>8245</v>
      </c>
      <c r="O511" s="1">
        <v>20408</v>
      </c>
      <c r="P511" t="s">
        <v>2076</v>
      </c>
      <c r="Q511" t="s">
        <v>2077</v>
      </c>
      <c r="S511" s="1">
        <v>45020.209027777775</v>
      </c>
      <c r="V511">
        <v>1955</v>
      </c>
      <c r="W511">
        <v>114.52</v>
      </c>
      <c r="X511">
        <v>-1.9</v>
      </c>
      <c r="Y511" s="2">
        <v>421142267938</v>
      </c>
      <c r="Z511">
        <v>36.799999999999997</v>
      </c>
      <c r="AA511">
        <v>108.4</v>
      </c>
      <c r="AB511">
        <v>0.1</v>
      </c>
      <c r="AC511">
        <v>15.9</v>
      </c>
      <c r="AD511">
        <v>9770529</v>
      </c>
    </row>
    <row r="512" spans="1:30" hidden="1" x14ac:dyDescent="0.45">
      <c r="A512">
        <v>511</v>
      </c>
      <c r="B512">
        <v>5200</v>
      </c>
      <c r="C512" t="s">
        <v>61</v>
      </c>
      <c r="D512" t="s">
        <v>2078</v>
      </c>
      <c r="E512">
        <v>56</v>
      </c>
      <c r="F512" t="s">
        <v>35</v>
      </c>
      <c r="G512" t="s">
        <v>474</v>
      </c>
      <c r="H512" t="s">
        <v>317</v>
      </c>
      <c r="I512" t="s">
        <v>61</v>
      </c>
      <c r="J512" t="s">
        <v>558</v>
      </c>
      <c r="L512" t="b">
        <v>1</v>
      </c>
      <c r="M512" t="s">
        <v>29</v>
      </c>
      <c r="N512" t="s">
        <v>8245</v>
      </c>
      <c r="O512" s="1">
        <v>24523</v>
      </c>
      <c r="P512" t="s">
        <v>2079</v>
      </c>
      <c r="Q512" t="s">
        <v>2080</v>
      </c>
      <c r="S512" s="1">
        <v>45020.209027777775</v>
      </c>
      <c r="T512" t="s">
        <v>479</v>
      </c>
      <c r="U512" t="s">
        <v>82</v>
      </c>
      <c r="V512">
        <v>1967</v>
      </c>
      <c r="W512">
        <v>117.24</v>
      </c>
      <c r="X512">
        <v>7.5</v>
      </c>
      <c r="Y512" s="2">
        <v>21427700000000</v>
      </c>
      <c r="Z512">
        <v>88.2</v>
      </c>
      <c r="AA512">
        <v>101.8</v>
      </c>
      <c r="AB512">
        <v>9.6</v>
      </c>
      <c r="AC512">
        <v>36.6</v>
      </c>
      <c r="AD512">
        <v>328239523</v>
      </c>
    </row>
    <row r="513" spans="1:30" hidden="1" x14ac:dyDescent="0.45">
      <c r="A513">
        <v>511</v>
      </c>
      <c r="B513">
        <v>5200</v>
      </c>
      <c r="C513" t="s">
        <v>126</v>
      </c>
      <c r="D513" t="s">
        <v>2081</v>
      </c>
      <c r="E513">
        <v>53</v>
      </c>
      <c r="F513" t="s">
        <v>128</v>
      </c>
      <c r="G513" t="s">
        <v>388</v>
      </c>
      <c r="H513" t="s">
        <v>590</v>
      </c>
      <c r="I513" t="s">
        <v>126</v>
      </c>
      <c r="J513" t="s">
        <v>128</v>
      </c>
      <c r="L513" t="b">
        <v>1</v>
      </c>
      <c r="M513" t="s">
        <v>39</v>
      </c>
      <c r="N513" t="s">
        <v>8246</v>
      </c>
      <c r="O513" s="1">
        <v>25625</v>
      </c>
      <c r="P513" t="s">
        <v>2082</v>
      </c>
      <c r="Q513" t="s">
        <v>2083</v>
      </c>
      <c r="S513" s="1">
        <v>45020.209027777775</v>
      </c>
      <c r="V513">
        <v>1970</v>
      </c>
      <c r="W513">
        <v>125.08</v>
      </c>
      <c r="X513">
        <v>2.9</v>
      </c>
      <c r="Y513" s="2">
        <v>19910000000000</v>
      </c>
      <c r="Z513">
        <v>50.6</v>
      </c>
      <c r="AA513">
        <v>100.2</v>
      </c>
      <c r="AB513">
        <v>9.4</v>
      </c>
      <c r="AC513">
        <v>59.2</v>
      </c>
      <c r="AD513">
        <v>1397715000</v>
      </c>
    </row>
    <row r="514" spans="1:30" hidden="1" x14ac:dyDescent="0.45">
      <c r="A514">
        <v>511</v>
      </c>
      <c r="B514">
        <v>5200</v>
      </c>
      <c r="C514" t="s">
        <v>302</v>
      </c>
      <c r="D514" t="s">
        <v>2084</v>
      </c>
      <c r="E514">
        <v>59</v>
      </c>
      <c r="F514" t="s">
        <v>35</v>
      </c>
      <c r="G514" t="s">
        <v>2085</v>
      </c>
      <c r="H514" t="s">
        <v>2086</v>
      </c>
      <c r="I514" t="s">
        <v>302</v>
      </c>
      <c r="J514" t="s">
        <v>35</v>
      </c>
      <c r="L514" t="b">
        <v>1</v>
      </c>
      <c r="M514" t="s">
        <v>258</v>
      </c>
      <c r="N514" t="s">
        <v>8245</v>
      </c>
      <c r="O514" s="1">
        <v>23287</v>
      </c>
      <c r="P514" t="s">
        <v>2087</v>
      </c>
      <c r="Q514" t="s">
        <v>619</v>
      </c>
      <c r="S514" s="1">
        <v>45020.209027777775</v>
      </c>
      <c r="T514" t="s">
        <v>2088</v>
      </c>
      <c r="U514" t="s">
        <v>44</v>
      </c>
      <c r="V514">
        <v>1963</v>
      </c>
      <c r="W514">
        <v>117.24</v>
      </c>
      <c r="X514">
        <v>7.5</v>
      </c>
      <c r="Y514" s="2">
        <v>21427700000000</v>
      </c>
      <c r="Z514">
        <v>88.2</v>
      </c>
      <c r="AA514">
        <v>101.8</v>
      </c>
      <c r="AB514">
        <v>9.6</v>
      </c>
      <c r="AC514">
        <v>36.6</v>
      </c>
      <c r="AD514">
        <v>328239523</v>
      </c>
    </row>
    <row r="515" spans="1:30" hidden="1" x14ac:dyDescent="0.45">
      <c r="A515">
        <v>511</v>
      </c>
      <c r="B515">
        <v>5200</v>
      </c>
      <c r="C515" t="s">
        <v>23</v>
      </c>
      <c r="D515" t="s">
        <v>2089</v>
      </c>
      <c r="E515">
        <v>71</v>
      </c>
      <c r="F515" t="s">
        <v>128</v>
      </c>
      <c r="G515" t="s">
        <v>2090</v>
      </c>
      <c r="H515" t="s">
        <v>1475</v>
      </c>
      <c r="I515" t="s">
        <v>23</v>
      </c>
      <c r="J515" t="s">
        <v>128</v>
      </c>
      <c r="L515" t="b">
        <v>1</v>
      </c>
      <c r="M515" t="s">
        <v>29</v>
      </c>
      <c r="N515" t="s">
        <v>8245</v>
      </c>
      <c r="O515" s="1">
        <v>19025</v>
      </c>
      <c r="P515" t="s">
        <v>1725</v>
      </c>
      <c r="Q515" t="s">
        <v>2091</v>
      </c>
      <c r="S515" s="1">
        <v>45020.209027777775</v>
      </c>
      <c r="V515">
        <v>1952</v>
      </c>
      <c r="W515">
        <v>125.08</v>
      </c>
      <c r="X515">
        <v>2.9</v>
      </c>
      <c r="Y515" s="2">
        <v>19910000000000</v>
      </c>
      <c r="Z515">
        <v>50.6</v>
      </c>
      <c r="AA515">
        <v>100.2</v>
      </c>
      <c r="AB515">
        <v>9.4</v>
      </c>
      <c r="AC515">
        <v>59.2</v>
      </c>
      <c r="AD515">
        <v>1397715000</v>
      </c>
    </row>
    <row r="516" spans="1:30" hidden="1" x14ac:dyDescent="0.45">
      <c r="A516">
        <v>511</v>
      </c>
      <c r="B516">
        <v>5200</v>
      </c>
      <c r="C516" t="s">
        <v>23</v>
      </c>
      <c r="D516" t="s">
        <v>2092</v>
      </c>
      <c r="E516">
        <v>71</v>
      </c>
      <c r="F516" t="s">
        <v>360</v>
      </c>
      <c r="G516" t="s">
        <v>767</v>
      </c>
      <c r="H516" t="s">
        <v>196</v>
      </c>
      <c r="I516" t="s">
        <v>23</v>
      </c>
      <c r="J516" t="s">
        <v>93</v>
      </c>
      <c r="L516" t="b">
        <v>0</v>
      </c>
      <c r="M516" t="s">
        <v>29</v>
      </c>
      <c r="N516" t="s">
        <v>8245</v>
      </c>
      <c r="O516" s="1">
        <v>18899</v>
      </c>
      <c r="P516" t="s">
        <v>2093</v>
      </c>
      <c r="Q516" t="s">
        <v>1930</v>
      </c>
      <c r="S516" s="1">
        <v>45020.209027777775</v>
      </c>
      <c r="V516">
        <v>1951</v>
      </c>
      <c r="W516">
        <v>114.52</v>
      </c>
      <c r="X516">
        <v>-1.9</v>
      </c>
      <c r="Y516" s="2">
        <v>421142267938</v>
      </c>
      <c r="Z516">
        <v>36.799999999999997</v>
      </c>
      <c r="AA516">
        <v>108.4</v>
      </c>
      <c r="AB516">
        <v>0.1</v>
      </c>
      <c r="AC516">
        <v>15.9</v>
      </c>
      <c r="AD516">
        <v>9770529</v>
      </c>
    </row>
    <row r="517" spans="1:30" hidden="1" x14ac:dyDescent="0.45">
      <c r="A517">
        <v>511</v>
      </c>
      <c r="B517">
        <v>5200</v>
      </c>
      <c r="C517" t="s">
        <v>83</v>
      </c>
      <c r="D517" t="s">
        <v>2094</v>
      </c>
      <c r="E517">
        <v>85</v>
      </c>
      <c r="F517" t="s">
        <v>762</v>
      </c>
      <c r="G517" t="s">
        <v>889</v>
      </c>
      <c r="H517" t="s">
        <v>2095</v>
      </c>
      <c r="I517" t="s">
        <v>83</v>
      </c>
      <c r="J517" t="s">
        <v>762</v>
      </c>
      <c r="L517" t="b">
        <v>1</v>
      </c>
      <c r="M517" t="s">
        <v>39</v>
      </c>
      <c r="N517" t="s">
        <v>8245</v>
      </c>
      <c r="O517" s="1">
        <v>13971</v>
      </c>
      <c r="P517" t="s">
        <v>2096</v>
      </c>
      <c r="Q517" t="s">
        <v>2097</v>
      </c>
      <c r="S517" s="1">
        <v>45020.209027777775</v>
      </c>
      <c r="V517">
        <v>1938</v>
      </c>
      <c r="W517">
        <v>121.46</v>
      </c>
      <c r="X517">
        <v>0.7</v>
      </c>
      <c r="Y517" s="2">
        <v>364701517788</v>
      </c>
      <c r="Z517">
        <v>45.1</v>
      </c>
      <c r="AA517">
        <v>105.3</v>
      </c>
      <c r="AB517">
        <v>12</v>
      </c>
      <c r="AC517">
        <v>38.700000000000003</v>
      </c>
      <c r="AD517">
        <v>32447385</v>
      </c>
    </row>
    <row r="518" spans="1:30" hidden="1" x14ac:dyDescent="0.45">
      <c r="A518">
        <v>511</v>
      </c>
      <c r="B518">
        <v>5200</v>
      </c>
      <c r="C518" t="s">
        <v>45</v>
      </c>
      <c r="D518" t="s">
        <v>2098</v>
      </c>
      <c r="E518">
        <v>73</v>
      </c>
      <c r="F518" t="s">
        <v>1259</v>
      </c>
      <c r="G518" t="s">
        <v>1260</v>
      </c>
      <c r="H518" t="s">
        <v>1400</v>
      </c>
      <c r="I518" t="s">
        <v>45</v>
      </c>
      <c r="J518" t="s">
        <v>1259</v>
      </c>
      <c r="L518" t="b">
        <v>1</v>
      </c>
      <c r="M518" t="s">
        <v>39</v>
      </c>
      <c r="N518" t="s">
        <v>8245</v>
      </c>
      <c r="O518" s="1">
        <v>18012</v>
      </c>
      <c r="P518" t="s">
        <v>2099</v>
      </c>
      <c r="Q518" t="s">
        <v>2100</v>
      </c>
      <c r="S518" s="1">
        <v>45020.209027777775</v>
      </c>
      <c r="V518">
        <v>1949</v>
      </c>
      <c r="W518"/>
      <c r="Y518"/>
    </row>
    <row r="519" spans="1:30" hidden="1" x14ac:dyDescent="0.45">
      <c r="A519">
        <v>511</v>
      </c>
      <c r="B519">
        <v>5200</v>
      </c>
      <c r="C519" t="s">
        <v>126</v>
      </c>
      <c r="D519" t="s">
        <v>2101</v>
      </c>
      <c r="E519">
        <v>82</v>
      </c>
      <c r="F519" t="s">
        <v>35</v>
      </c>
      <c r="G519" t="s">
        <v>2102</v>
      </c>
      <c r="H519" t="s">
        <v>2103</v>
      </c>
      <c r="I519" t="s">
        <v>126</v>
      </c>
      <c r="J519" t="s">
        <v>35</v>
      </c>
      <c r="L519" t="b">
        <v>0</v>
      </c>
      <c r="M519" t="s">
        <v>29</v>
      </c>
      <c r="N519" t="s">
        <v>8245</v>
      </c>
      <c r="O519" s="1">
        <v>15001</v>
      </c>
      <c r="P519" t="s">
        <v>2104</v>
      </c>
      <c r="Q519" t="s">
        <v>619</v>
      </c>
      <c r="S519" s="1">
        <v>45020.209027777775</v>
      </c>
      <c r="T519" t="s">
        <v>253</v>
      </c>
      <c r="U519" t="s">
        <v>44</v>
      </c>
      <c r="V519">
        <v>1941</v>
      </c>
      <c r="W519">
        <v>117.24</v>
      </c>
      <c r="X519">
        <v>7.5</v>
      </c>
      <c r="Y519" s="2">
        <v>21427700000000</v>
      </c>
      <c r="Z519">
        <v>88.2</v>
      </c>
      <c r="AA519">
        <v>101.8</v>
      </c>
      <c r="AB519">
        <v>9.6</v>
      </c>
      <c r="AC519">
        <v>36.6</v>
      </c>
      <c r="AD519">
        <v>328239523</v>
      </c>
    </row>
    <row r="520" spans="1:30" hidden="1" x14ac:dyDescent="0.45">
      <c r="A520">
        <v>511</v>
      </c>
      <c r="B520">
        <v>5200</v>
      </c>
      <c r="C520" t="s">
        <v>239</v>
      </c>
      <c r="D520" t="s">
        <v>2105</v>
      </c>
      <c r="E520">
        <v>49</v>
      </c>
      <c r="F520" t="s">
        <v>272</v>
      </c>
      <c r="G520" t="s">
        <v>2106</v>
      </c>
      <c r="H520" t="s">
        <v>1540</v>
      </c>
      <c r="I520" t="s">
        <v>239</v>
      </c>
      <c r="J520" t="s">
        <v>164</v>
      </c>
      <c r="L520" t="b">
        <v>1</v>
      </c>
      <c r="M520" t="s">
        <v>39</v>
      </c>
      <c r="N520" t="s">
        <v>8245</v>
      </c>
      <c r="O520" s="1">
        <v>27025</v>
      </c>
      <c r="P520" t="s">
        <v>2107</v>
      </c>
      <c r="Q520" t="s">
        <v>137</v>
      </c>
      <c r="S520" s="1">
        <v>45020.209027777775</v>
      </c>
      <c r="V520">
        <v>1973</v>
      </c>
      <c r="W520">
        <v>119.62</v>
      </c>
      <c r="X520">
        <v>1.7</v>
      </c>
      <c r="Y520" s="2">
        <v>2827113184696</v>
      </c>
      <c r="Z520">
        <v>60</v>
      </c>
      <c r="AA520">
        <v>101.2</v>
      </c>
      <c r="AB520">
        <v>25.5</v>
      </c>
      <c r="AC520">
        <v>30.6</v>
      </c>
      <c r="AD520">
        <v>66834405</v>
      </c>
    </row>
    <row r="521" spans="1:30" hidden="1" x14ac:dyDescent="0.45">
      <c r="A521">
        <v>511</v>
      </c>
      <c r="B521">
        <v>5200</v>
      </c>
      <c r="C521" t="s">
        <v>45</v>
      </c>
      <c r="D521" t="s">
        <v>2108</v>
      </c>
      <c r="E521">
        <v>74</v>
      </c>
      <c r="F521" t="s">
        <v>35</v>
      </c>
      <c r="G521" t="s">
        <v>47</v>
      </c>
      <c r="H521" t="s">
        <v>71</v>
      </c>
      <c r="I521" t="s">
        <v>45</v>
      </c>
      <c r="J521" t="s">
        <v>35</v>
      </c>
      <c r="L521" t="b">
        <v>1</v>
      </c>
      <c r="M521" t="s">
        <v>39</v>
      </c>
      <c r="N521" t="s">
        <v>8245</v>
      </c>
      <c r="O521" s="1">
        <v>17786</v>
      </c>
      <c r="P521" t="s">
        <v>2109</v>
      </c>
      <c r="Q521" t="s">
        <v>144</v>
      </c>
      <c r="S521" s="1">
        <v>45020.209027777775</v>
      </c>
      <c r="T521" t="s">
        <v>52</v>
      </c>
      <c r="U521" t="s">
        <v>53</v>
      </c>
      <c r="V521">
        <v>1948</v>
      </c>
      <c r="W521">
        <v>117.24</v>
      </c>
      <c r="X521">
        <v>7.5</v>
      </c>
      <c r="Y521" s="2">
        <v>21427700000000</v>
      </c>
      <c r="Z521">
        <v>88.2</v>
      </c>
      <c r="AA521">
        <v>101.8</v>
      </c>
      <c r="AB521">
        <v>9.6</v>
      </c>
      <c r="AC521">
        <v>36.6</v>
      </c>
      <c r="AD521">
        <v>328239523</v>
      </c>
    </row>
    <row r="522" spans="1:30" hidden="1" x14ac:dyDescent="0.45">
      <c r="A522">
        <v>511</v>
      </c>
      <c r="B522">
        <v>5200</v>
      </c>
      <c r="C522" t="s">
        <v>302</v>
      </c>
      <c r="D522" t="s">
        <v>2110</v>
      </c>
      <c r="E522">
        <v>78</v>
      </c>
      <c r="F522" t="s">
        <v>35</v>
      </c>
      <c r="G522" t="s">
        <v>2111</v>
      </c>
      <c r="H522" t="s">
        <v>2112</v>
      </c>
      <c r="I522" t="s">
        <v>302</v>
      </c>
      <c r="J522" t="s">
        <v>35</v>
      </c>
      <c r="L522" t="b">
        <v>1</v>
      </c>
      <c r="M522" t="s">
        <v>29</v>
      </c>
      <c r="N522" t="s">
        <v>8245</v>
      </c>
      <c r="O522" s="1">
        <v>16318</v>
      </c>
      <c r="P522" t="s">
        <v>2113</v>
      </c>
      <c r="Q522" t="s">
        <v>2114</v>
      </c>
      <c r="S522" s="1">
        <v>45020.209027777775</v>
      </c>
      <c r="T522" t="s">
        <v>435</v>
      </c>
      <c r="U522" t="s">
        <v>69</v>
      </c>
      <c r="V522">
        <v>1944</v>
      </c>
      <c r="W522">
        <v>117.24</v>
      </c>
      <c r="X522">
        <v>7.5</v>
      </c>
      <c r="Y522" s="2">
        <v>21427700000000</v>
      </c>
      <c r="Z522">
        <v>88.2</v>
      </c>
      <c r="AA522">
        <v>101.8</v>
      </c>
      <c r="AB522">
        <v>9.6</v>
      </c>
      <c r="AC522">
        <v>36.6</v>
      </c>
      <c r="AD522">
        <v>328239523</v>
      </c>
    </row>
    <row r="523" spans="1:30" hidden="1" x14ac:dyDescent="0.45">
      <c r="A523">
        <v>511</v>
      </c>
      <c r="B523">
        <v>5200</v>
      </c>
      <c r="C523" t="s">
        <v>302</v>
      </c>
      <c r="D523" t="s">
        <v>2115</v>
      </c>
      <c r="E523">
        <v>81</v>
      </c>
      <c r="F523" t="s">
        <v>35</v>
      </c>
      <c r="G523" t="s">
        <v>433</v>
      </c>
      <c r="H523" t="s">
        <v>2116</v>
      </c>
      <c r="I523" t="s">
        <v>302</v>
      </c>
      <c r="J523" t="s">
        <v>35</v>
      </c>
      <c r="L523" t="b">
        <v>1</v>
      </c>
      <c r="M523" t="s">
        <v>39</v>
      </c>
      <c r="N523" t="s">
        <v>8245</v>
      </c>
      <c r="O523" s="1">
        <v>15247</v>
      </c>
      <c r="P523" t="s">
        <v>2117</v>
      </c>
      <c r="Q523" t="s">
        <v>2118</v>
      </c>
      <c r="S523" s="1">
        <v>45020.209027777775</v>
      </c>
      <c r="T523" t="s">
        <v>435</v>
      </c>
      <c r="V523">
        <v>1941</v>
      </c>
      <c r="W523">
        <v>117.24</v>
      </c>
      <c r="X523">
        <v>7.5</v>
      </c>
      <c r="Y523" s="2">
        <v>21427700000000</v>
      </c>
      <c r="Z523">
        <v>88.2</v>
      </c>
      <c r="AA523">
        <v>101.8</v>
      </c>
      <c r="AB523">
        <v>9.6</v>
      </c>
      <c r="AC523">
        <v>36.6</v>
      </c>
      <c r="AD523">
        <v>328239523</v>
      </c>
    </row>
    <row r="524" spans="1:30" hidden="1" x14ac:dyDescent="0.45">
      <c r="A524">
        <v>523</v>
      </c>
      <c r="B524">
        <v>5100</v>
      </c>
      <c r="C524" t="s">
        <v>296</v>
      </c>
      <c r="D524" t="s">
        <v>2119</v>
      </c>
      <c r="E524">
        <v>49</v>
      </c>
      <c r="F524" t="s">
        <v>128</v>
      </c>
      <c r="G524" t="s">
        <v>187</v>
      </c>
      <c r="H524" t="s">
        <v>523</v>
      </c>
      <c r="I524" t="s">
        <v>296</v>
      </c>
      <c r="J524" t="s">
        <v>128</v>
      </c>
      <c r="L524" t="b">
        <v>1</v>
      </c>
      <c r="M524" t="s">
        <v>29</v>
      </c>
      <c r="N524" t="s">
        <v>8245</v>
      </c>
      <c r="O524" s="1">
        <v>26911</v>
      </c>
      <c r="P524" t="s">
        <v>2120</v>
      </c>
      <c r="Q524" t="s">
        <v>440</v>
      </c>
      <c r="S524" s="1">
        <v>45020.209027777775</v>
      </c>
      <c r="V524">
        <v>1973</v>
      </c>
      <c r="W524">
        <v>125.08</v>
      </c>
      <c r="X524">
        <v>2.9</v>
      </c>
      <c r="Y524" s="2">
        <v>19910000000000</v>
      </c>
      <c r="Z524">
        <v>50.6</v>
      </c>
      <c r="AA524">
        <v>100.2</v>
      </c>
      <c r="AB524">
        <v>9.4</v>
      </c>
      <c r="AC524">
        <v>59.2</v>
      </c>
      <c r="AD524">
        <v>1397715000</v>
      </c>
    </row>
    <row r="525" spans="1:30" hidden="1" x14ac:dyDescent="0.45">
      <c r="A525">
        <v>523</v>
      </c>
      <c r="B525">
        <v>5100</v>
      </c>
      <c r="C525" t="s">
        <v>61</v>
      </c>
      <c r="D525" t="s">
        <v>2121</v>
      </c>
      <c r="E525">
        <v>59</v>
      </c>
      <c r="F525" t="s">
        <v>93</v>
      </c>
      <c r="G525" t="s">
        <v>94</v>
      </c>
      <c r="H525" t="s">
        <v>317</v>
      </c>
      <c r="I525" t="s">
        <v>61</v>
      </c>
      <c r="J525" t="s">
        <v>93</v>
      </c>
      <c r="L525" t="b">
        <v>0</v>
      </c>
      <c r="M525" t="s">
        <v>258</v>
      </c>
      <c r="N525" t="s">
        <v>8246</v>
      </c>
      <c r="O525" s="1">
        <v>23266</v>
      </c>
      <c r="P525" t="s">
        <v>2122</v>
      </c>
      <c r="Q525" t="s">
        <v>2123</v>
      </c>
      <c r="S525" s="1">
        <v>45020.209027777775</v>
      </c>
      <c r="V525">
        <v>1963</v>
      </c>
      <c r="W525">
        <v>180.44</v>
      </c>
      <c r="X525">
        <v>7.7</v>
      </c>
      <c r="Y525" s="2">
        <v>2611000000000</v>
      </c>
      <c r="Z525">
        <v>28.1</v>
      </c>
      <c r="AA525">
        <v>113</v>
      </c>
      <c r="AB525">
        <v>11.2</v>
      </c>
      <c r="AC525">
        <v>49.7</v>
      </c>
      <c r="AD525">
        <v>1366417754</v>
      </c>
    </row>
    <row r="526" spans="1:30" x14ac:dyDescent="0.45">
      <c r="A526">
        <v>523</v>
      </c>
      <c r="B526" s="6">
        <v>5100</v>
      </c>
      <c r="C526" t="s">
        <v>61</v>
      </c>
      <c r="D526" t="s">
        <v>2124</v>
      </c>
      <c r="E526">
        <v>90</v>
      </c>
      <c r="F526" t="s">
        <v>35</v>
      </c>
      <c r="G526" t="s">
        <v>355</v>
      </c>
      <c r="H526" t="s">
        <v>2125</v>
      </c>
      <c r="I526" t="s">
        <v>61</v>
      </c>
      <c r="J526" t="s">
        <v>35</v>
      </c>
      <c r="K526" t="s">
        <v>2126</v>
      </c>
      <c r="L526" t="b">
        <v>0</v>
      </c>
      <c r="M526" t="s">
        <v>611</v>
      </c>
      <c r="N526" t="s">
        <v>8245</v>
      </c>
      <c r="O526" s="10">
        <v>12060</v>
      </c>
      <c r="P526" t="s">
        <v>425</v>
      </c>
      <c r="Q526" t="s">
        <v>2127</v>
      </c>
      <c r="R526" t="s">
        <v>2128</v>
      </c>
      <c r="S526" s="8">
        <v>45020.209027777775</v>
      </c>
      <c r="T526" t="s">
        <v>253</v>
      </c>
      <c r="U526" t="s">
        <v>44</v>
      </c>
      <c r="V526">
        <v>1933</v>
      </c>
      <c r="W526" s="12">
        <v>117.24</v>
      </c>
      <c r="X526">
        <v>7.5</v>
      </c>
      <c r="Y526" s="14">
        <v>21427700000000</v>
      </c>
      <c r="Z526">
        <v>88.2</v>
      </c>
      <c r="AA526">
        <v>101.8</v>
      </c>
      <c r="AB526">
        <v>9.6</v>
      </c>
      <c r="AC526">
        <v>36.6</v>
      </c>
      <c r="AD526">
        <v>328239523</v>
      </c>
    </row>
    <row r="527" spans="1:30" hidden="1" x14ac:dyDescent="0.45">
      <c r="A527">
        <v>523</v>
      </c>
      <c r="B527">
        <v>5100</v>
      </c>
      <c r="C527" t="s">
        <v>76</v>
      </c>
      <c r="D527" t="s">
        <v>2129</v>
      </c>
      <c r="E527">
        <v>49</v>
      </c>
      <c r="F527" t="s">
        <v>928</v>
      </c>
      <c r="G527" t="s">
        <v>929</v>
      </c>
      <c r="H527" t="s">
        <v>336</v>
      </c>
      <c r="I527" t="s">
        <v>76</v>
      </c>
      <c r="J527" t="s">
        <v>928</v>
      </c>
      <c r="K527" t="s">
        <v>2130</v>
      </c>
      <c r="L527" t="b">
        <v>1</v>
      </c>
      <c r="M527" t="s">
        <v>39</v>
      </c>
      <c r="N527" t="s">
        <v>8245</v>
      </c>
      <c r="O527" s="1">
        <v>27030</v>
      </c>
      <c r="P527" t="s">
        <v>2131</v>
      </c>
      <c r="Q527" t="s">
        <v>2132</v>
      </c>
      <c r="S527" s="1">
        <v>45020.209027777775</v>
      </c>
      <c r="V527">
        <v>1974</v>
      </c>
      <c r="W527">
        <v>115.16</v>
      </c>
      <c r="X527">
        <v>0.4</v>
      </c>
      <c r="Y527" s="2">
        <v>2029000000000</v>
      </c>
      <c r="Z527">
        <v>94.3</v>
      </c>
      <c r="AA527">
        <v>98.1</v>
      </c>
      <c r="AB527">
        <v>15.6</v>
      </c>
      <c r="AC527">
        <v>33.200000000000003</v>
      </c>
      <c r="AD527">
        <v>51709098</v>
      </c>
    </row>
    <row r="528" spans="1:30" hidden="1" x14ac:dyDescent="0.45">
      <c r="A528">
        <v>523</v>
      </c>
      <c r="B528">
        <v>5100</v>
      </c>
      <c r="C528" t="s">
        <v>61</v>
      </c>
      <c r="D528" t="s">
        <v>2133</v>
      </c>
      <c r="E528">
        <v>61</v>
      </c>
      <c r="F528" t="s">
        <v>35</v>
      </c>
      <c r="G528" t="s">
        <v>1223</v>
      </c>
      <c r="H528" t="s">
        <v>930</v>
      </c>
      <c r="I528" t="s">
        <v>61</v>
      </c>
      <c r="J528" t="s">
        <v>35</v>
      </c>
      <c r="L528" t="b">
        <v>1</v>
      </c>
      <c r="M528" t="s">
        <v>29</v>
      </c>
      <c r="N528" t="s">
        <v>8245</v>
      </c>
      <c r="O528" s="1">
        <v>22475</v>
      </c>
      <c r="P528" t="s">
        <v>2134</v>
      </c>
      <c r="Q528" t="s">
        <v>2135</v>
      </c>
      <c r="S528" s="1">
        <v>45020.209027777775</v>
      </c>
      <c r="T528" t="s">
        <v>253</v>
      </c>
      <c r="U528" t="s">
        <v>44</v>
      </c>
      <c r="V528">
        <v>1961</v>
      </c>
      <c r="W528">
        <v>117.24</v>
      </c>
      <c r="X528">
        <v>7.5</v>
      </c>
      <c r="Y528" s="2">
        <v>21427700000000</v>
      </c>
      <c r="Z528">
        <v>88.2</v>
      </c>
      <c r="AA528">
        <v>101.8</v>
      </c>
      <c r="AB528">
        <v>9.6</v>
      </c>
      <c r="AC528">
        <v>36.6</v>
      </c>
      <c r="AD528">
        <v>328239523</v>
      </c>
    </row>
    <row r="529" spans="1:30" hidden="1" x14ac:dyDescent="0.45">
      <c r="A529">
        <v>523</v>
      </c>
      <c r="B529">
        <v>5100</v>
      </c>
      <c r="C529" t="s">
        <v>203</v>
      </c>
      <c r="D529" t="s">
        <v>2136</v>
      </c>
      <c r="E529">
        <v>64</v>
      </c>
      <c r="F529" t="s">
        <v>1297</v>
      </c>
      <c r="G529" t="s">
        <v>2137</v>
      </c>
      <c r="H529" t="s">
        <v>2138</v>
      </c>
      <c r="I529" t="s">
        <v>203</v>
      </c>
      <c r="J529" t="s">
        <v>1297</v>
      </c>
      <c r="L529" t="b">
        <v>1</v>
      </c>
      <c r="M529" t="s">
        <v>39</v>
      </c>
      <c r="N529" t="s">
        <v>8245</v>
      </c>
      <c r="O529" s="1">
        <v>21483</v>
      </c>
      <c r="P529" t="s">
        <v>2139</v>
      </c>
      <c r="Q529" t="s">
        <v>2140</v>
      </c>
      <c r="S529" s="1">
        <v>45020.209027777775</v>
      </c>
      <c r="V529">
        <v>1958</v>
      </c>
      <c r="W529">
        <v>120.27</v>
      </c>
      <c r="X529">
        <v>2.2000000000000002</v>
      </c>
      <c r="Y529" s="2">
        <v>403336363636</v>
      </c>
      <c r="Z529">
        <v>82</v>
      </c>
      <c r="AA529">
        <v>100.3</v>
      </c>
      <c r="AB529">
        <v>23.9</v>
      </c>
      <c r="AC529">
        <v>36.200000000000003</v>
      </c>
      <c r="AD529">
        <v>5347896</v>
      </c>
    </row>
    <row r="530" spans="1:30" hidden="1" x14ac:dyDescent="0.45">
      <c r="A530">
        <v>523</v>
      </c>
      <c r="B530">
        <v>5100</v>
      </c>
      <c r="C530" t="s">
        <v>61</v>
      </c>
      <c r="D530" t="s">
        <v>2141</v>
      </c>
      <c r="E530">
        <v>65</v>
      </c>
      <c r="F530" t="s">
        <v>35</v>
      </c>
      <c r="G530" t="s">
        <v>78</v>
      </c>
      <c r="H530" t="s">
        <v>930</v>
      </c>
      <c r="I530" t="s">
        <v>61</v>
      </c>
      <c r="J530" t="s">
        <v>35</v>
      </c>
      <c r="L530" t="b">
        <v>1</v>
      </c>
      <c r="M530" t="s">
        <v>29</v>
      </c>
      <c r="N530" t="s">
        <v>8245</v>
      </c>
      <c r="O530" s="1">
        <v>21105</v>
      </c>
      <c r="P530" t="s">
        <v>2142</v>
      </c>
      <c r="Q530" t="s">
        <v>2143</v>
      </c>
      <c r="S530" s="1">
        <v>45020.209027777775</v>
      </c>
      <c r="T530" t="s">
        <v>78</v>
      </c>
      <c r="U530" t="s">
        <v>82</v>
      </c>
      <c r="V530">
        <v>1957</v>
      </c>
      <c r="W530">
        <v>117.24</v>
      </c>
      <c r="X530">
        <v>7.5</v>
      </c>
      <c r="Y530" s="2">
        <v>21427700000000</v>
      </c>
      <c r="Z530">
        <v>88.2</v>
      </c>
      <c r="AA530">
        <v>101.8</v>
      </c>
      <c r="AB530">
        <v>9.6</v>
      </c>
      <c r="AC530">
        <v>36.6</v>
      </c>
      <c r="AD530">
        <v>328239523</v>
      </c>
    </row>
    <row r="531" spans="1:30" hidden="1" x14ac:dyDescent="0.45">
      <c r="A531">
        <v>523</v>
      </c>
      <c r="B531">
        <v>5100</v>
      </c>
      <c r="C531" t="s">
        <v>402</v>
      </c>
      <c r="D531" t="s">
        <v>2144</v>
      </c>
      <c r="E531">
        <v>71</v>
      </c>
      <c r="F531" t="s">
        <v>228</v>
      </c>
      <c r="G531" t="s">
        <v>228</v>
      </c>
      <c r="H531" t="s">
        <v>610</v>
      </c>
      <c r="I531" t="s">
        <v>402</v>
      </c>
      <c r="J531" t="s">
        <v>128</v>
      </c>
      <c r="L531" t="b">
        <v>1</v>
      </c>
      <c r="M531" t="s">
        <v>39</v>
      </c>
      <c r="N531" t="s">
        <v>8245</v>
      </c>
      <c r="O531" s="1">
        <v>18996</v>
      </c>
      <c r="P531" t="s">
        <v>2145</v>
      </c>
      <c r="Q531" t="s">
        <v>1600</v>
      </c>
      <c r="S531" s="1">
        <v>45020.209027777775</v>
      </c>
      <c r="V531">
        <v>1952</v>
      </c>
      <c r="W531"/>
      <c r="Y531"/>
    </row>
    <row r="532" spans="1:30" x14ac:dyDescent="0.45">
      <c r="A532">
        <v>523</v>
      </c>
      <c r="B532" s="6">
        <v>5100</v>
      </c>
      <c r="C532" t="s">
        <v>45</v>
      </c>
      <c r="D532" t="s">
        <v>2146</v>
      </c>
      <c r="E532">
        <v>75</v>
      </c>
      <c r="F532" t="s">
        <v>35</v>
      </c>
      <c r="G532" t="s">
        <v>110</v>
      </c>
      <c r="H532" t="s">
        <v>856</v>
      </c>
      <c r="I532" t="s">
        <v>45</v>
      </c>
      <c r="J532" t="s">
        <v>35</v>
      </c>
      <c r="K532" t="s">
        <v>2147</v>
      </c>
      <c r="L532" t="b">
        <v>1</v>
      </c>
      <c r="M532" t="s">
        <v>29</v>
      </c>
      <c r="N532" t="s">
        <v>8245</v>
      </c>
      <c r="O532" s="10">
        <v>17404</v>
      </c>
      <c r="P532" t="s">
        <v>2148</v>
      </c>
      <c r="Q532" t="s">
        <v>2149</v>
      </c>
      <c r="R532" t="s">
        <v>98</v>
      </c>
      <c r="S532" s="8">
        <v>45020.209027777775</v>
      </c>
      <c r="T532" t="s">
        <v>115</v>
      </c>
      <c r="U532" t="s">
        <v>53</v>
      </c>
      <c r="V532">
        <v>1947</v>
      </c>
      <c r="W532" s="12">
        <v>117.24</v>
      </c>
      <c r="X532">
        <v>7.5</v>
      </c>
      <c r="Y532" s="14">
        <v>21427700000000</v>
      </c>
      <c r="Z532">
        <v>88.2</v>
      </c>
      <c r="AA532">
        <v>101.8</v>
      </c>
      <c r="AB532">
        <v>9.6</v>
      </c>
      <c r="AC532">
        <v>36.6</v>
      </c>
      <c r="AD532">
        <v>328239523</v>
      </c>
    </row>
    <row r="533" spans="1:30" hidden="1" x14ac:dyDescent="0.45">
      <c r="A533">
        <v>523</v>
      </c>
      <c r="B533">
        <v>5100</v>
      </c>
      <c r="C533" t="s">
        <v>402</v>
      </c>
      <c r="D533" t="s">
        <v>2150</v>
      </c>
      <c r="E533">
        <v>88</v>
      </c>
      <c r="F533" t="s">
        <v>35</v>
      </c>
      <c r="G533" t="s">
        <v>2151</v>
      </c>
      <c r="H533" t="s">
        <v>645</v>
      </c>
      <c r="I533" t="s">
        <v>402</v>
      </c>
      <c r="J533" t="s">
        <v>205</v>
      </c>
      <c r="L533" t="b">
        <v>1</v>
      </c>
      <c r="M533" t="s">
        <v>29</v>
      </c>
      <c r="N533" t="s">
        <v>8245</v>
      </c>
      <c r="O533" s="1">
        <v>12785</v>
      </c>
      <c r="P533" t="s">
        <v>2152</v>
      </c>
      <c r="Q533" t="s">
        <v>2153</v>
      </c>
      <c r="S533" s="1">
        <v>45020.209027777775</v>
      </c>
      <c r="T533" t="s">
        <v>226</v>
      </c>
      <c r="U533" t="s">
        <v>44</v>
      </c>
      <c r="V533">
        <v>1935</v>
      </c>
      <c r="W533">
        <v>117.24</v>
      </c>
      <c r="X533">
        <v>7.5</v>
      </c>
      <c r="Y533" s="2">
        <v>21427700000000</v>
      </c>
      <c r="Z533">
        <v>88.2</v>
      </c>
      <c r="AA533">
        <v>101.8</v>
      </c>
      <c r="AB533">
        <v>9.6</v>
      </c>
      <c r="AC533">
        <v>36.6</v>
      </c>
      <c r="AD533">
        <v>328239523</v>
      </c>
    </row>
    <row r="534" spans="1:30" x14ac:dyDescent="0.45">
      <c r="A534">
        <v>523</v>
      </c>
      <c r="B534" s="6">
        <v>5100</v>
      </c>
      <c r="C534" t="s">
        <v>702</v>
      </c>
      <c r="D534" t="s">
        <v>2154</v>
      </c>
      <c r="E534">
        <v>72</v>
      </c>
      <c r="F534" t="s">
        <v>35</v>
      </c>
      <c r="G534" t="s">
        <v>2155</v>
      </c>
      <c r="H534" t="s">
        <v>2156</v>
      </c>
      <c r="I534" t="s">
        <v>702</v>
      </c>
      <c r="J534" t="s">
        <v>35</v>
      </c>
      <c r="K534" t="s">
        <v>2156</v>
      </c>
      <c r="L534" t="b">
        <v>0</v>
      </c>
      <c r="M534" t="s">
        <v>29</v>
      </c>
      <c r="N534" t="s">
        <v>8246</v>
      </c>
      <c r="O534" s="10">
        <v>18557</v>
      </c>
      <c r="P534" t="s">
        <v>2157</v>
      </c>
      <c r="Q534" t="s">
        <v>1542</v>
      </c>
      <c r="R534" t="s">
        <v>1494</v>
      </c>
      <c r="S534" s="8">
        <v>45020.209027777775</v>
      </c>
      <c r="T534" t="s">
        <v>1827</v>
      </c>
      <c r="U534" t="s">
        <v>69</v>
      </c>
      <c r="V534">
        <v>1950</v>
      </c>
      <c r="W534" s="12">
        <v>117.24</v>
      </c>
      <c r="X534">
        <v>7.5</v>
      </c>
      <c r="Y534" s="14">
        <v>21427700000000</v>
      </c>
      <c r="Z534">
        <v>88.2</v>
      </c>
      <c r="AA534">
        <v>101.8</v>
      </c>
      <c r="AB534">
        <v>9.6</v>
      </c>
      <c r="AC534">
        <v>36.6</v>
      </c>
      <c r="AD534">
        <v>328239523</v>
      </c>
    </row>
    <row r="535" spans="1:30" hidden="1" x14ac:dyDescent="0.45">
      <c r="A535">
        <v>534</v>
      </c>
      <c r="B535">
        <v>5000</v>
      </c>
      <c r="C535" t="s">
        <v>61</v>
      </c>
      <c r="D535" t="s">
        <v>2158</v>
      </c>
      <c r="E535">
        <v>79</v>
      </c>
      <c r="F535" t="s">
        <v>35</v>
      </c>
      <c r="G535" t="s">
        <v>78</v>
      </c>
      <c r="H535" t="s">
        <v>1580</v>
      </c>
      <c r="I535" t="s">
        <v>61</v>
      </c>
      <c r="J535" t="s">
        <v>35</v>
      </c>
      <c r="L535" t="b">
        <v>1</v>
      </c>
      <c r="M535" t="s">
        <v>29</v>
      </c>
      <c r="N535" t="s">
        <v>8245</v>
      </c>
      <c r="O535" s="1">
        <v>15849</v>
      </c>
      <c r="P535" t="s">
        <v>2159</v>
      </c>
      <c r="Q535" t="s">
        <v>2160</v>
      </c>
      <c r="S535" s="1">
        <v>45020.209027777775</v>
      </c>
      <c r="T535" t="s">
        <v>78</v>
      </c>
      <c r="U535" t="s">
        <v>82</v>
      </c>
      <c r="V535">
        <v>1943</v>
      </c>
      <c r="W535">
        <v>117.24</v>
      </c>
      <c r="X535">
        <v>7.5</v>
      </c>
      <c r="Y535" s="2">
        <v>21427700000000</v>
      </c>
      <c r="Z535">
        <v>88.2</v>
      </c>
      <c r="AA535">
        <v>101.8</v>
      </c>
      <c r="AB535">
        <v>9.6</v>
      </c>
      <c r="AC535">
        <v>36.6</v>
      </c>
      <c r="AD535">
        <v>328239523</v>
      </c>
    </row>
    <row r="536" spans="1:30" hidden="1" x14ac:dyDescent="0.45">
      <c r="A536">
        <v>534</v>
      </c>
      <c r="B536">
        <v>5000</v>
      </c>
      <c r="C536" t="s">
        <v>347</v>
      </c>
      <c r="D536" t="s">
        <v>2161</v>
      </c>
      <c r="E536">
        <v>75</v>
      </c>
      <c r="F536" t="s">
        <v>35</v>
      </c>
      <c r="G536" t="s">
        <v>159</v>
      </c>
      <c r="H536" t="s">
        <v>2162</v>
      </c>
      <c r="I536" t="s">
        <v>347</v>
      </c>
      <c r="J536" t="s">
        <v>35</v>
      </c>
      <c r="L536" t="b">
        <v>0</v>
      </c>
      <c r="M536" t="s">
        <v>39</v>
      </c>
      <c r="N536" t="s">
        <v>8245</v>
      </c>
      <c r="O536" s="1">
        <v>17611</v>
      </c>
      <c r="P536" t="s">
        <v>2163</v>
      </c>
      <c r="Q536" t="s">
        <v>619</v>
      </c>
      <c r="S536" s="1">
        <v>45020.209027777775</v>
      </c>
      <c r="T536" t="s">
        <v>43</v>
      </c>
      <c r="U536" t="s">
        <v>44</v>
      </c>
      <c r="V536">
        <v>1948</v>
      </c>
      <c r="W536">
        <v>117.24</v>
      </c>
      <c r="X536">
        <v>7.5</v>
      </c>
      <c r="Y536" s="2">
        <v>21427700000000</v>
      </c>
      <c r="Z536">
        <v>88.2</v>
      </c>
      <c r="AA536">
        <v>101.8</v>
      </c>
      <c r="AB536">
        <v>9.6</v>
      </c>
      <c r="AC536">
        <v>36.6</v>
      </c>
      <c r="AD536">
        <v>328239523</v>
      </c>
    </row>
    <row r="537" spans="1:30" hidden="1" x14ac:dyDescent="0.45">
      <c r="A537">
        <v>534</v>
      </c>
      <c r="B537">
        <v>5000</v>
      </c>
      <c r="C537" t="s">
        <v>402</v>
      </c>
      <c r="D537" t="s">
        <v>2164</v>
      </c>
      <c r="E537">
        <v>55</v>
      </c>
      <c r="F537" t="s">
        <v>205</v>
      </c>
      <c r="G537" t="s">
        <v>983</v>
      </c>
      <c r="H537" t="s">
        <v>2165</v>
      </c>
      <c r="I537" t="s">
        <v>402</v>
      </c>
      <c r="J537" t="s">
        <v>205</v>
      </c>
      <c r="L537" t="b">
        <v>0</v>
      </c>
      <c r="M537" t="s">
        <v>29</v>
      </c>
      <c r="N537" t="s">
        <v>8246</v>
      </c>
      <c r="O537" s="1">
        <v>24838</v>
      </c>
      <c r="P537" t="s">
        <v>985</v>
      </c>
      <c r="Q537" t="s">
        <v>2166</v>
      </c>
      <c r="S537" s="1">
        <v>45020.209027777775</v>
      </c>
      <c r="V537">
        <v>1968</v>
      </c>
      <c r="W537">
        <v>99.55</v>
      </c>
      <c r="X537">
        <v>0.4</v>
      </c>
      <c r="Y537" s="2">
        <v>703082435360</v>
      </c>
      <c r="Z537">
        <v>59.6</v>
      </c>
      <c r="AA537">
        <v>105.2</v>
      </c>
      <c r="AB537">
        <v>10.1</v>
      </c>
      <c r="AC537">
        <v>28.8</v>
      </c>
      <c r="AD537">
        <v>8574832</v>
      </c>
    </row>
    <row r="538" spans="1:30" hidden="1" x14ac:dyDescent="0.45">
      <c r="A538">
        <v>534</v>
      </c>
      <c r="B538">
        <v>5000</v>
      </c>
      <c r="C538" t="s">
        <v>61</v>
      </c>
      <c r="D538" t="s">
        <v>2167</v>
      </c>
      <c r="E538">
        <v>43</v>
      </c>
      <c r="F538" t="s">
        <v>272</v>
      </c>
      <c r="G538" t="s">
        <v>273</v>
      </c>
      <c r="H538" t="s">
        <v>2168</v>
      </c>
      <c r="I538" t="s">
        <v>61</v>
      </c>
      <c r="J538" t="s">
        <v>272</v>
      </c>
      <c r="L538" t="b">
        <v>1</v>
      </c>
      <c r="M538" t="s">
        <v>258</v>
      </c>
      <c r="N538" t="s">
        <v>8245</v>
      </c>
      <c r="O538" s="1">
        <v>29192</v>
      </c>
      <c r="P538" t="s">
        <v>2169</v>
      </c>
      <c r="Q538" t="s">
        <v>1040</v>
      </c>
      <c r="S538" s="1">
        <v>45020.209027777775</v>
      </c>
      <c r="V538">
        <v>1979</v>
      </c>
      <c r="W538">
        <v>119.62</v>
      </c>
      <c r="X538">
        <v>1.7</v>
      </c>
      <c r="Y538" s="2">
        <v>2827113184696</v>
      </c>
      <c r="Z538">
        <v>60</v>
      </c>
      <c r="AA538">
        <v>101.2</v>
      </c>
      <c r="AB538">
        <v>25.5</v>
      </c>
      <c r="AC538">
        <v>30.6</v>
      </c>
      <c r="AD538">
        <v>66834405</v>
      </c>
    </row>
    <row r="539" spans="1:30" hidden="1" x14ac:dyDescent="0.45">
      <c r="A539">
        <v>534</v>
      </c>
      <c r="B539">
        <v>5000</v>
      </c>
      <c r="C539" t="s">
        <v>45</v>
      </c>
      <c r="D539" t="s">
        <v>2170</v>
      </c>
      <c r="E539">
        <v>69</v>
      </c>
      <c r="F539" t="s">
        <v>205</v>
      </c>
      <c r="G539" t="s">
        <v>601</v>
      </c>
      <c r="H539" t="s">
        <v>2171</v>
      </c>
      <c r="I539" t="s">
        <v>45</v>
      </c>
      <c r="J539" t="s">
        <v>205</v>
      </c>
      <c r="L539" t="b">
        <v>0</v>
      </c>
      <c r="M539" t="s">
        <v>29</v>
      </c>
      <c r="N539" t="s">
        <v>8245</v>
      </c>
      <c r="O539" s="1">
        <v>19725</v>
      </c>
      <c r="P539" t="s">
        <v>2172</v>
      </c>
      <c r="Q539" t="s">
        <v>2173</v>
      </c>
      <c r="S539" s="1">
        <v>45020.209027777775</v>
      </c>
      <c r="V539">
        <v>1954</v>
      </c>
      <c r="W539">
        <v>99.55</v>
      </c>
      <c r="X539">
        <v>0.4</v>
      </c>
      <c r="Y539" s="2">
        <v>703082435360</v>
      </c>
      <c r="Z539">
        <v>59.6</v>
      </c>
      <c r="AA539">
        <v>105.2</v>
      </c>
      <c r="AB539">
        <v>10.1</v>
      </c>
      <c r="AC539">
        <v>28.8</v>
      </c>
      <c r="AD539">
        <v>8574832</v>
      </c>
    </row>
    <row r="540" spans="1:30" hidden="1" x14ac:dyDescent="0.45">
      <c r="A540">
        <v>534</v>
      </c>
      <c r="B540">
        <v>5000</v>
      </c>
      <c r="C540" t="s">
        <v>83</v>
      </c>
      <c r="D540" t="s">
        <v>2174</v>
      </c>
      <c r="E540">
        <v>56</v>
      </c>
      <c r="F540" t="s">
        <v>35</v>
      </c>
      <c r="G540" t="s">
        <v>1549</v>
      </c>
      <c r="H540" t="s">
        <v>83</v>
      </c>
      <c r="I540" t="s">
        <v>83</v>
      </c>
      <c r="J540" t="s">
        <v>35</v>
      </c>
      <c r="L540" t="b">
        <v>1</v>
      </c>
      <c r="M540" t="s">
        <v>29</v>
      </c>
      <c r="N540" t="s">
        <v>8245</v>
      </c>
      <c r="O540" s="1">
        <v>24296</v>
      </c>
      <c r="P540" t="s">
        <v>2175</v>
      </c>
      <c r="Q540" t="s">
        <v>619</v>
      </c>
      <c r="S540" s="1">
        <v>45020.209027777775</v>
      </c>
      <c r="T540" t="s">
        <v>427</v>
      </c>
      <c r="U540" t="s">
        <v>82</v>
      </c>
      <c r="V540">
        <v>1966</v>
      </c>
      <c r="W540">
        <v>117.24</v>
      </c>
      <c r="X540">
        <v>7.5</v>
      </c>
      <c r="Y540" s="2">
        <v>21427700000000</v>
      </c>
      <c r="Z540">
        <v>88.2</v>
      </c>
      <c r="AA540">
        <v>101.8</v>
      </c>
      <c r="AB540">
        <v>9.6</v>
      </c>
      <c r="AC540">
        <v>36.6</v>
      </c>
      <c r="AD540">
        <v>328239523</v>
      </c>
    </row>
    <row r="541" spans="1:30" hidden="1" x14ac:dyDescent="0.45">
      <c r="A541">
        <v>534</v>
      </c>
      <c r="B541">
        <v>5000</v>
      </c>
      <c r="C541" t="s">
        <v>402</v>
      </c>
      <c r="D541" t="s">
        <v>2176</v>
      </c>
      <c r="E541">
        <v>50</v>
      </c>
      <c r="F541" t="s">
        <v>363</v>
      </c>
      <c r="G541" t="s">
        <v>381</v>
      </c>
      <c r="H541" t="s">
        <v>610</v>
      </c>
      <c r="I541" t="s">
        <v>402</v>
      </c>
      <c r="J541" t="s">
        <v>363</v>
      </c>
      <c r="L541" t="b">
        <v>1</v>
      </c>
      <c r="M541" t="s">
        <v>29</v>
      </c>
      <c r="N541" t="s">
        <v>8245</v>
      </c>
      <c r="O541" s="1">
        <v>26623</v>
      </c>
      <c r="P541" t="s">
        <v>2177</v>
      </c>
      <c r="Q541" t="s">
        <v>876</v>
      </c>
      <c r="S541" s="1">
        <v>45020.209027777775</v>
      </c>
      <c r="V541">
        <v>1972</v>
      </c>
      <c r="W541">
        <v>180.75</v>
      </c>
      <c r="X541">
        <v>4.5</v>
      </c>
      <c r="Y541" s="2">
        <v>1699876578871</v>
      </c>
      <c r="Z541">
        <v>81.900000000000006</v>
      </c>
      <c r="AA541">
        <v>102.6</v>
      </c>
      <c r="AB541">
        <v>11.4</v>
      </c>
      <c r="AC541">
        <v>46.2</v>
      </c>
      <c r="AD541">
        <v>144373535</v>
      </c>
    </row>
    <row r="542" spans="1:30" hidden="1" x14ac:dyDescent="0.45">
      <c r="A542">
        <v>534</v>
      </c>
      <c r="B542">
        <v>5000</v>
      </c>
      <c r="C542" t="s">
        <v>45</v>
      </c>
      <c r="D542" t="s">
        <v>2178</v>
      </c>
      <c r="E542">
        <v>57</v>
      </c>
      <c r="F542" t="s">
        <v>928</v>
      </c>
      <c r="G542" t="s">
        <v>929</v>
      </c>
      <c r="H542" t="s">
        <v>2179</v>
      </c>
      <c r="I542" t="s">
        <v>45</v>
      </c>
      <c r="J542" t="s">
        <v>928</v>
      </c>
      <c r="L542" t="b">
        <v>1</v>
      </c>
      <c r="M542" t="s">
        <v>39</v>
      </c>
      <c r="N542" t="s">
        <v>8245</v>
      </c>
      <c r="O542" s="1">
        <v>24193</v>
      </c>
      <c r="P542" t="s">
        <v>932</v>
      </c>
      <c r="Q542" t="s">
        <v>2180</v>
      </c>
      <c r="S542" s="1">
        <v>45020.209027777775</v>
      </c>
      <c r="V542">
        <v>1966</v>
      </c>
      <c r="W542">
        <v>115.16</v>
      </c>
      <c r="X542">
        <v>0.4</v>
      </c>
      <c r="Y542" s="2">
        <v>2029000000000</v>
      </c>
      <c r="Z542">
        <v>94.3</v>
      </c>
      <c r="AA542">
        <v>98.1</v>
      </c>
      <c r="AB542">
        <v>15.6</v>
      </c>
      <c r="AC542">
        <v>33.200000000000003</v>
      </c>
      <c r="AD542">
        <v>51709098</v>
      </c>
    </row>
    <row r="543" spans="1:30" hidden="1" x14ac:dyDescent="0.45">
      <c r="A543">
        <v>534</v>
      </c>
      <c r="B543">
        <v>5000</v>
      </c>
      <c r="C543" t="s">
        <v>23</v>
      </c>
      <c r="D543" t="s">
        <v>2181</v>
      </c>
      <c r="E543">
        <v>50</v>
      </c>
      <c r="F543" t="s">
        <v>35</v>
      </c>
      <c r="G543" t="s">
        <v>78</v>
      </c>
      <c r="H543" t="s">
        <v>2182</v>
      </c>
      <c r="I543" t="s">
        <v>23</v>
      </c>
      <c r="J543" t="s">
        <v>35</v>
      </c>
      <c r="L543" t="b">
        <v>0</v>
      </c>
      <c r="M543" t="s">
        <v>39</v>
      </c>
      <c r="N543" t="s">
        <v>8246</v>
      </c>
      <c r="O543" s="1">
        <v>26665</v>
      </c>
      <c r="P543" t="s">
        <v>449</v>
      </c>
      <c r="Q543" t="s">
        <v>2183</v>
      </c>
      <c r="S543" s="1">
        <v>45020.209027777775</v>
      </c>
      <c r="T543" t="s">
        <v>78</v>
      </c>
      <c r="U543" t="s">
        <v>82</v>
      </c>
      <c r="V543">
        <v>1973</v>
      </c>
      <c r="W543">
        <v>117.24</v>
      </c>
      <c r="X543">
        <v>7.5</v>
      </c>
      <c r="Y543" s="2">
        <v>21427700000000</v>
      </c>
      <c r="Z543">
        <v>88.2</v>
      </c>
      <c r="AA543">
        <v>101.8</v>
      </c>
      <c r="AB543">
        <v>9.6</v>
      </c>
      <c r="AC543">
        <v>36.6</v>
      </c>
      <c r="AD543">
        <v>328239523</v>
      </c>
    </row>
    <row r="544" spans="1:30" hidden="1" x14ac:dyDescent="0.45">
      <c r="A544">
        <v>534</v>
      </c>
      <c r="B544">
        <v>5000</v>
      </c>
      <c r="C544" t="s">
        <v>23</v>
      </c>
      <c r="D544" t="s">
        <v>2184</v>
      </c>
      <c r="E544">
        <v>83</v>
      </c>
      <c r="F544" t="s">
        <v>25</v>
      </c>
      <c r="G544" t="s">
        <v>2185</v>
      </c>
      <c r="H544" t="s">
        <v>2186</v>
      </c>
      <c r="I544" t="s">
        <v>23</v>
      </c>
      <c r="J544" t="s">
        <v>25</v>
      </c>
      <c r="L544" t="b">
        <v>0</v>
      </c>
      <c r="M544" t="s">
        <v>29</v>
      </c>
      <c r="N544" t="s">
        <v>8245</v>
      </c>
      <c r="O544" s="1">
        <v>14392</v>
      </c>
      <c r="P544" t="s">
        <v>2187</v>
      </c>
      <c r="Q544" t="s">
        <v>2188</v>
      </c>
      <c r="S544" s="1">
        <v>45020.209027777775</v>
      </c>
      <c r="V544">
        <v>1939</v>
      </c>
      <c r="W544">
        <v>110.05</v>
      </c>
      <c r="X544">
        <v>1.1000000000000001</v>
      </c>
      <c r="Y544" s="2">
        <v>2715518274227</v>
      </c>
      <c r="Z544">
        <v>65.599999999999994</v>
      </c>
      <c r="AA544">
        <v>102.5</v>
      </c>
      <c r="AB544">
        <v>24.2</v>
      </c>
      <c r="AC544">
        <v>60.7</v>
      </c>
      <c r="AD544">
        <v>67059887</v>
      </c>
    </row>
    <row r="545" spans="1:30" hidden="1" x14ac:dyDescent="0.45">
      <c r="A545">
        <v>534</v>
      </c>
      <c r="B545">
        <v>5000</v>
      </c>
      <c r="C545" t="s">
        <v>76</v>
      </c>
      <c r="D545" t="s">
        <v>2189</v>
      </c>
      <c r="E545">
        <v>78</v>
      </c>
      <c r="F545" t="s">
        <v>35</v>
      </c>
      <c r="G545" t="s">
        <v>2190</v>
      </c>
      <c r="H545" t="s">
        <v>2191</v>
      </c>
      <c r="I545" t="s">
        <v>76</v>
      </c>
      <c r="J545" t="s">
        <v>35</v>
      </c>
      <c r="L545" t="b">
        <v>1</v>
      </c>
      <c r="M545" t="s">
        <v>39</v>
      </c>
      <c r="N545" t="s">
        <v>8245</v>
      </c>
      <c r="O545" s="1">
        <v>16206</v>
      </c>
      <c r="P545" t="s">
        <v>2192</v>
      </c>
      <c r="Q545" t="s">
        <v>714</v>
      </c>
      <c r="S545" s="1">
        <v>45020.209027777775</v>
      </c>
      <c r="T545" t="s">
        <v>115</v>
      </c>
      <c r="U545" t="s">
        <v>53</v>
      </c>
      <c r="V545">
        <v>1944</v>
      </c>
      <c r="W545">
        <v>117.24</v>
      </c>
      <c r="X545">
        <v>7.5</v>
      </c>
      <c r="Y545" s="2">
        <v>21427700000000</v>
      </c>
      <c r="Z545">
        <v>88.2</v>
      </c>
      <c r="AA545">
        <v>101.8</v>
      </c>
      <c r="AB545">
        <v>9.6</v>
      </c>
      <c r="AC545">
        <v>36.6</v>
      </c>
      <c r="AD545">
        <v>328239523</v>
      </c>
    </row>
    <row r="546" spans="1:30" hidden="1" x14ac:dyDescent="0.45">
      <c r="A546">
        <v>534</v>
      </c>
      <c r="B546">
        <v>5000</v>
      </c>
      <c r="C546" t="s">
        <v>702</v>
      </c>
      <c r="D546" t="s">
        <v>2193</v>
      </c>
      <c r="E546">
        <v>86</v>
      </c>
      <c r="F546" t="s">
        <v>35</v>
      </c>
      <c r="G546" t="s">
        <v>870</v>
      </c>
      <c r="H546" t="s">
        <v>2194</v>
      </c>
      <c r="I546" t="s">
        <v>702</v>
      </c>
      <c r="J546" t="s">
        <v>35</v>
      </c>
      <c r="L546" t="b">
        <v>0</v>
      </c>
      <c r="M546" t="s">
        <v>29</v>
      </c>
      <c r="N546" t="s">
        <v>8246</v>
      </c>
      <c r="O546" s="1">
        <v>13423</v>
      </c>
      <c r="P546" t="s">
        <v>2195</v>
      </c>
      <c r="Q546" t="s">
        <v>2196</v>
      </c>
      <c r="S546" s="1">
        <v>45020.209027777775</v>
      </c>
      <c r="T546" t="s">
        <v>43</v>
      </c>
      <c r="U546" t="s">
        <v>44</v>
      </c>
      <c r="V546">
        <v>1936</v>
      </c>
      <c r="W546">
        <v>117.24</v>
      </c>
      <c r="X546">
        <v>7.5</v>
      </c>
      <c r="Y546" s="2">
        <v>21427700000000</v>
      </c>
      <c r="Z546">
        <v>88.2</v>
      </c>
      <c r="AA546">
        <v>101.8</v>
      </c>
      <c r="AB546">
        <v>9.6</v>
      </c>
      <c r="AC546">
        <v>36.6</v>
      </c>
      <c r="AD546">
        <v>328239523</v>
      </c>
    </row>
    <row r="547" spans="1:30" hidden="1" x14ac:dyDescent="0.45">
      <c r="A547">
        <v>534</v>
      </c>
      <c r="B547">
        <v>5000</v>
      </c>
      <c r="C547" t="s">
        <v>402</v>
      </c>
      <c r="D547" t="s">
        <v>2197</v>
      </c>
      <c r="E547">
        <v>57</v>
      </c>
      <c r="F547" t="s">
        <v>194</v>
      </c>
      <c r="G547" t="s">
        <v>2198</v>
      </c>
      <c r="H547" t="s">
        <v>2199</v>
      </c>
      <c r="I547" t="s">
        <v>402</v>
      </c>
      <c r="J547" t="s">
        <v>194</v>
      </c>
      <c r="L547" t="b">
        <v>1</v>
      </c>
      <c r="M547" t="s">
        <v>39</v>
      </c>
      <c r="N547" t="s">
        <v>8245</v>
      </c>
      <c r="O547" s="1">
        <v>24004</v>
      </c>
      <c r="P547" t="s">
        <v>2200</v>
      </c>
      <c r="Q547" t="s">
        <v>2201</v>
      </c>
      <c r="S547" s="1">
        <v>45020.209027777775</v>
      </c>
      <c r="V547">
        <v>1965</v>
      </c>
      <c r="W547">
        <v>112.85</v>
      </c>
      <c r="X547">
        <v>1.4</v>
      </c>
      <c r="Y547" s="2">
        <v>3845630030824</v>
      </c>
      <c r="Z547">
        <v>70.2</v>
      </c>
      <c r="AA547">
        <v>104</v>
      </c>
      <c r="AB547">
        <v>11.5</v>
      </c>
      <c r="AC547">
        <v>48.8</v>
      </c>
      <c r="AD547">
        <v>83132799</v>
      </c>
    </row>
    <row r="548" spans="1:30" hidden="1" x14ac:dyDescent="0.45">
      <c r="A548">
        <v>534</v>
      </c>
      <c r="B548">
        <v>5000</v>
      </c>
      <c r="C548" t="s">
        <v>302</v>
      </c>
      <c r="D548" t="s">
        <v>2202</v>
      </c>
      <c r="E548">
        <v>64</v>
      </c>
      <c r="F548" t="s">
        <v>194</v>
      </c>
      <c r="G548" t="s">
        <v>1665</v>
      </c>
      <c r="H548" t="s">
        <v>304</v>
      </c>
      <c r="I548" t="s">
        <v>302</v>
      </c>
      <c r="J548" t="s">
        <v>194</v>
      </c>
      <c r="L548" t="b">
        <v>0</v>
      </c>
      <c r="M548" t="s">
        <v>29</v>
      </c>
      <c r="N548" t="s">
        <v>8246</v>
      </c>
      <c r="O548" s="1">
        <v>21390</v>
      </c>
      <c r="P548" t="s">
        <v>2203</v>
      </c>
      <c r="Q548" t="s">
        <v>2204</v>
      </c>
      <c r="S548" s="1">
        <v>45020.209027777775</v>
      </c>
      <c r="V548">
        <v>1958</v>
      </c>
      <c r="W548">
        <v>112.85</v>
      </c>
      <c r="X548">
        <v>1.4</v>
      </c>
      <c r="Y548" s="2">
        <v>3845630030824</v>
      </c>
      <c r="Z548">
        <v>70.2</v>
      </c>
      <c r="AA548">
        <v>104</v>
      </c>
      <c r="AB548">
        <v>11.5</v>
      </c>
      <c r="AC548">
        <v>48.8</v>
      </c>
      <c r="AD548">
        <v>83132799</v>
      </c>
    </row>
    <row r="549" spans="1:30" hidden="1" x14ac:dyDescent="0.45">
      <c r="A549">
        <v>534</v>
      </c>
      <c r="B549">
        <v>5000</v>
      </c>
      <c r="C549" t="s">
        <v>402</v>
      </c>
      <c r="D549" t="s">
        <v>2205</v>
      </c>
      <c r="E549">
        <v>59</v>
      </c>
      <c r="F549" t="s">
        <v>205</v>
      </c>
      <c r="G549" t="s">
        <v>2206</v>
      </c>
      <c r="H549" t="s">
        <v>2207</v>
      </c>
      <c r="I549" t="s">
        <v>402</v>
      </c>
      <c r="J549" t="s">
        <v>205</v>
      </c>
      <c r="L549" t="b">
        <v>0</v>
      </c>
      <c r="M549" t="s">
        <v>39</v>
      </c>
      <c r="N549" t="s">
        <v>8245</v>
      </c>
      <c r="O549" s="1">
        <v>23214</v>
      </c>
      <c r="P549" t="s">
        <v>2208</v>
      </c>
      <c r="Q549" t="s">
        <v>358</v>
      </c>
      <c r="S549" s="1">
        <v>45020.209027777775</v>
      </c>
      <c r="V549">
        <v>1963</v>
      </c>
      <c r="W549">
        <v>99.55</v>
      </c>
      <c r="X549">
        <v>0.4</v>
      </c>
      <c r="Y549" s="2">
        <v>703082435360</v>
      </c>
      <c r="Z549">
        <v>59.6</v>
      </c>
      <c r="AA549">
        <v>105.2</v>
      </c>
      <c r="AB549">
        <v>10.1</v>
      </c>
      <c r="AC549">
        <v>28.8</v>
      </c>
      <c r="AD549">
        <v>8574832</v>
      </c>
    </row>
    <row r="550" spans="1:30" hidden="1" x14ac:dyDescent="0.45">
      <c r="A550">
        <v>534</v>
      </c>
      <c r="B550">
        <v>5000</v>
      </c>
      <c r="C550" t="s">
        <v>126</v>
      </c>
      <c r="D550" t="s">
        <v>2209</v>
      </c>
      <c r="E550">
        <v>64</v>
      </c>
      <c r="F550" t="s">
        <v>2037</v>
      </c>
      <c r="G550" t="s">
        <v>2038</v>
      </c>
      <c r="H550" t="s">
        <v>2210</v>
      </c>
      <c r="I550" t="s">
        <v>126</v>
      </c>
      <c r="J550" t="s">
        <v>2037</v>
      </c>
      <c r="L550" t="b">
        <v>0</v>
      </c>
      <c r="M550" t="s">
        <v>29</v>
      </c>
      <c r="N550" t="s">
        <v>8245</v>
      </c>
      <c r="O550" s="1">
        <v>21632</v>
      </c>
      <c r="P550" t="s">
        <v>2211</v>
      </c>
      <c r="Q550" t="s">
        <v>2212</v>
      </c>
      <c r="S550" s="1">
        <v>45020.209027777775</v>
      </c>
      <c r="V550">
        <v>1959</v>
      </c>
      <c r="W550">
        <v>234.44</v>
      </c>
      <c r="X550">
        <v>15.2</v>
      </c>
      <c r="Y550" s="2">
        <v>754411708203</v>
      </c>
      <c r="Z550">
        <v>23.9</v>
      </c>
      <c r="AA550">
        <v>93.2</v>
      </c>
      <c r="AB550">
        <v>17.899999999999999</v>
      </c>
      <c r="AC550">
        <v>42.3</v>
      </c>
      <c r="AD550">
        <v>83429615</v>
      </c>
    </row>
    <row r="551" spans="1:30" hidden="1" x14ac:dyDescent="0.45">
      <c r="A551">
        <v>534</v>
      </c>
      <c r="B551">
        <v>5000</v>
      </c>
      <c r="C551" t="s">
        <v>23</v>
      </c>
      <c r="D551" t="s">
        <v>2213</v>
      </c>
      <c r="E551">
        <v>66</v>
      </c>
      <c r="F551" t="s">
        <v>164</v>
      </c>
      <c r="G551" t="s">
        <v>978</v>
      </c>
      <c r="H551" t="s">
        <v>2214</v>
      </c>
      <c r="I551" t="s">
        <v>23</v>
      </c>
      <c r="J551" t="s">
        <v>164</v>
      </c>
      <c r="K551" t="s">
        <v>2214</v>
      </c>
      <c r="L551" t="b">
        <v>1</v>
      </c>
      <c r="M551" t="s">
        <v>39</v>
      </c>
      <c r="N551" t="s">
        <v>8245</v>
      </c>
      <c r="O551" s="1">
        <v>20821</v>
      </c>
      <c r="P551" t="s">
        <v>2151</v>
      </c>
      <c r="Q551" t="s">
        <v>2215</v>
      </c>
      <c r="R551" t="s">
        <v>170</v>
      </c>
      <c r="S551" s="1">
        <v>45020.209027777775</v>
      </c>
      <c r="V551">
        <v>1957</v>
      </c>
      <c r="W551">
        <v>116.76</v>
      </c>
      <c r="X551">
        <v>1.9</v>
      </c>
      <c r="Y551" s="2">
        <v>1736425629520</v>
      </c>
      <c r="Z551">
        <v>68.900000000000006</v>
      </c>
      <c r="AA551">
        <v>100.9</v>
      </c>
      <c r="AB551">
        <v>12.8</v>
      </c>
      <c r="AC551">
        <v>24.5</v>
      </c>
      <c r="AD551">
        <v>36991981</v>
      </c>
    </row>
    <row r="552" spans="1:30" hidden="1" x14ac:dyDescent="0.45">
      <c r="A552">
        <v>534</v>
      </c>
      <c r="B552">
        <v>5000</v>
      </c>
      <c r="C552" t="s">
        <v>302</v>
      </c>
      <c r="D552" t="s">
        <v>2216</v>
      </c>
      <c r="F552" t="s">
        <v>128</v>
      </c>
      <c r="G552" t="s">
        <v>187</v>
      </c>
      <c r="H552" t="s">
        <v>304</v>
      </c>
      <c r="I552" t="s">
        <v>302</v>
      </c>
      <c r="J552" t="s">
        <v>128</v>
      </c>
      <c r="L552" t="b">
        <v>0</v>
      </c>
      <c r="M552" t="s">
        <v>29</v>
      </c>
      <c r="N552" t="s">
        <v>8246</v>
      </c>
      <c r="O552"/>
      <c r="P552" t="s">
        <v>2217</v>
      </c>
      <c r="Q552" t="s">
        <v>1990</v>
      </c>
      <c r="S552" s="1">
        <v>45020.209027777775</v>
      </c>
      <c r="W552">
        <v>125.08</v>
      </c>
      <c r="X552">
        <v>2.9</v>
      </c>
      <c r="Y552" s="2">
        <v>19910000000000</v>
      </c>
      <c r="Z552">
        <v>50.6</v>
      </c>
      <c r="AA552">
        <v>100.2</v>
      </c>
      <c r="AB552">
        <v>9.4</v>
      </c>
      <c r="AC552">
        <v>59.2</v>
      </c>
      <c r="AD552">
        <v>1397715000</v>
      </c>
    </row>
    <row r="553" spans="1:30" x14ac:dyDescent="0.45">
      <c r="A553">
        <v>552</v>
      </c>
      <c r="B553" s="6">
        <v>4900</v>
      </c>
      <c r="C553" t="s">
        <v>296</v>
      </c>
      <c r="D553" t="s">
        <v>2218</v>
      </c>
      <c r="E553">
        <v>79</v>
      </c>
      <c r="F553" t="s">
        <v>35</v>
      </c>
      <c r="G553" t="s">
        <v>2219</v>
      </c>
      <c r="H553" t="s">
        <v>2220</v>
      </c>
      <c r="I553" t="s">
        <v>296</v>
      </c>
      <c r="J553" t="s">
        <v>35</v>
      </c>
      <c r="K553" t="s">
        <v>2220</v>
      </c>
      <c r="L553" t="b">
        <v>1</v>
      </c>
      <c r="M553" t="s">
        <v>39</v>
      </c>
      <c r="N553" t="s">
        <v>8245</v>
      </c>
      <c r="O553" s="10">
        <v>15843</v>
      </c>
      <c r="P553" t="s">
        <v>2221</v>
      </c>
      <c r="Q553" t="s">
        <v>153</v>
      </c>
      <c r="R553" t="s">
        <v>170</v>
      </c>
      <c r="S553" s="8">
        <v>45020.209027777775</v>
      </c>
      <c r="T553" t="s">
        <v>427</v>
      </c>
      <c r="U553" t="s">
        <v>82</v>
      </c>
      <c r="V553">
        <v>1943</v>
      </c>
      <c r="W553" s="12">
        <v>117.24</v>
      </c>
      <c r="X553">
        <v>7.5</v>
      </c>
      <c r="Y553" s="14">
        <v>21427700000000</v>
      </c>
      <c r="Z553">
        <v>88.2</v>
      </c>
      <c r="AA553">
        <v>101.8</v>
      </c>
      <c r="AB553">
        <v>9.6</v>
      </c>
      <c r="AC553">
        <v>36.6</v>
      </c>
      <c r="AD553">
        <v>328239523</v>
      </c>
    </row>
    <row r="554" spans="1:30" hidden="1" x14ac:dyDescent="0.45">
      <c r="A554">
        <v>552</v>
      </c>
      <c r="B554">
        <v>4900</v>
      </c>
      <c r="C554" t="s">
        <v>402</v>
      </c>
      <c r="D554" t="s">
        <v>2222</v>
      </c>
      <c r="E554">
        <v>72</v>
      </c>
      <c r="F554" t="s">
        <v>93</v>
      </c>
      <c r="G554" t="s">
        <v>2223</v>
      </c>
      <c r="H554" t="s">
        <v>610</v>
      </c>
      <c r="I554" t="s">
        <v>402</v>
      </c>
      <c r="J554" t="s">
        <v>93</v>
      </c>
      <c r="L554" t="b">
        <v>1</v>
      </c>
      <c r="M554" t="s">
        <v>39</v>
      </c>
      <c r="N554" t="s">
        <v>8245</v>
      </c>
      <c r="O554" s="1">
        <v>18704</v>
      </c>
      <c r="P554" t="s">
        <v>2224</v>
      </c>
      <c r="Q554" t="s">
        <v>2225</v>
      </c>
      <c r="S554" s="1">
        <v>45020.209027777775</v>
      </c>
      <c r="V554">
        <v>1951</v>
      </c>
      <c r="W554">
        <v>180.44</v>
      </c>
      <c r="X554">
        <v>7.7</v>
      </c>
      <c r="Y554" s="2">
        <v>2611000000000</v>
      </c>
      <c r="Z554">
        <v>28.1</v>
      </c>
      <c r="AA554">
        <v>113</v>
      </c>
      <c r="AB554">
        <v>11.2</v>
      </c>
      <c r="AC554">
        <v>49.7</v>
      </c>
      <c r="AD554">
        <v>1366417754</v>
      </c>
    </row>
    <row r="555" spans="1:30" hidden="1" x14ac:dyDescent="0.45">
      <c r="A555">
        <v>552</v>
      </c>
      <c r="B555">
        <v>4900</v>
      </c>
      <c r="C555" t="s">
        <v>45</v>
      </c>
      <c r="D555" t="s">
        <v>2226</v>
      </c>
      <c r="E555">
        <v>81</v>
      </c>
      <c r="F555" t="s">
        <v>35</v>
      </c>
      <c r="G555" t="s">
        <v>991</v>
      </c>
      <c r="H555" t="s">
        <v>2227</v>
      </c>
      <c r="I555" t="s">
        <v>45</v>
      </c>
      <c r="J555" t="s">
        <v>35</v>
      </c>
      <c r="L555" t="b">
        <v>0</v>
      </c>
      <c r="M555" t="s">
        <v>29</v>
      </c>
      <c r="N555" t="s">
        <v>8246</v>
      </c>
      <c r="O555" s="1">
        <v>15155</v>
      </c>
      <c r="P555" t="s">
        <v>2228</v>
      </c>
      <c r="Q555" t="s">
        <v>2229</v>
      </c>
      <c r="S555" s="1">
        <v>45020.209027777775</v>
      </c>
      <c r="T555" t="s">
        <v>115</v>
      </c>
      <c r="U555" t="s">
        <v>53</v>
      </c>
      <c r="V555">
        <v>1941</v>
      </c>
      <c r="W555">
        <v>117.24</v>
      </c>
      <c r="X555">
        <v>7.5</v>
      </c>
      <c r="Y555" s="2">
        <v>21427700000000</v>
      </c>
      <c r="Z555">
        <v>88.2</v>
      </c>
      <c r="AA555">
        <v>101.8</v>
      </c>
      <c r="AB555">
        <v>9.6</v>
      </c>
      <c r="AC555">
        <v>36.6</v>
      </c>
      <c r="AD555">
        <v>328239523</v>
      </c>
    </row>
    <row r="556" spans="1:30" hidden="1" x14ac:dyDescent="0.45">
      <c r="A556">
        <v>552</v>
      </c>
      <c r="B556">
        <v>4900</v>
      </c>
      <c r="C556" t="s">
        <v>45</v>
      </c>
      <c r="D556" t="s">
        <v>2230</v>
      </c>
      <c r="F556" t="s">
        <v>2231</v>
      </c>
      <c r="G556" t="s">
        <v>2232</v>
      </c>
      <c r="H556" t="s">
        <v>293</v>
      </c>
      <c r="I556" t="s">
        <v>45</v>
      </c>
      <c r="J556" t="s">
        <v>2231</v>
      </c>
      <c r="L556" t="b">
        <v>1</v>
      </c>
      <c r="M556" t="s">
        <v>29</v>
      </c>
      <c r="N556" t="s">
        <v>8245</v>
      </c>
      <c r="O556"/>
      <c r="P556" t="s">
        <v>2233</v>
      </c>
      <c r="Q556" t="s">
        <v>2234</v>
      </c>
      <c r="S556" s="1">
        <v>45020.209027777775</v>
      </c>
      <c r="W556">
        <v>232.75</v>
      </c>
      <c r="X556">
        <v>53.5</v>
      </c>
      <c r="Y556" s="2">
        <v>449663446954</v>
      </c>
      <c r="Z556">
        <v>90</v>
      </c>
      <c r="AA556">
        <v>109.7</v>
      </c>
      <c r="AB556">
        <v>10.1</v>
      </c>
      <c r="AC556">
        <v>106.3</v>
      </c>
      <c r="AD556">
        <v>44938712</v>
      </c>
    </row>
    <row r="557" spans="1:30" hidden="1" x14ac:dyDescent="0.45">
      <c r="A557">
        <v>552</v>
      </c>
      <c r="B557">
        <v>4900</v>
      </c>
      <c r="C557" t="s">
        <v>436</v>
      </c>
      <c r="D557" t="s">
        <v>2235</v>
      </c>
      <c r="E557">
        <v>81</v>
      </c>
      <c r="F557" t="s">
        <v>35</v>
      </c>
      <c r="G557" t="s">
        <v>751</v>
      </c>
      <c r="H557" t="s">
        <v>2236</v>
      </c>
      <c r="I557" t="s">
        <v>436</v>
      </c>
      <c r="J557" t="s">
        <v>35</v>
      </c>
      <c r="L557" t="b">
        <v>1</v>
      </c>
      <c r="M557" t="s">
        <v>39</v>
      </c>
      <c r="N557" t="s">
        <v>8245</v>
      </c>
      <c r="O557" s="1">
        <v>15294</v>
      </c>
      <c r="P557" t="s">
        <v>2237</v>
      </c>
      <c r="Q557" t="s">
        <v>1770</v>
      </c>
      <c r="S557" s="1">
        <v>45020.209027777775</v>
      </c>
      <c r="T557" t="s">
        <v>253</v>
      </c>
      <c r="U557" t="s">
        <v>44</v>
      </c>
      <c r="V557">
        <v>1941</v>
      </c>
      <c r="W557">
        <v>117.24</v>
      </c>
      <c r="X557">
        <v>7.5</v>
      </c>
      <c r="Y557" s="2">
        <v>21427700000000</v>
      </c>
      <c r="Z557">
        <v>88.2</v>
      </c>
      <c r="AA557">
        <v>101.8</v>
      </c>
      <c r="AB557">
        <v>9.6</v>
      </c>
      <c r="AC557">
        <v>36.6</v>
      </c>
      <c r="AD557">
        <v>328239523</v>
      </c>
    </row>
    <row r="558" spans="1:30" hidden="1" x14ac:dyDescent="0.45">
      <c r="A558">
        <v>552</v>
      </c>
      <c r="B558">
        <v>4900</v>
      </c>
      <c r="C558" t="s">
        <v>61</v>
      </c>
      <c r="D558" t="s">
        <v>2238</v>
      </c>
      <c r="E558">
        <v>53</v>
      </c>
      <c r="F558" t="s">
        <v>35</v>
      </c>
      <c r="G558" t="s">
        <v>78</v>
      </c>
      <c r="H558" t="s">
        <v>317</v>
      </c>
      <c r="I558" t="s">
        <v>61</v>
      </c>
      <c r="J558" t="s">
        <v>35</v>
      </c>
      <c r="L558" t="b">
        <v>1</v>
      </c>
      <c r="M558" t="s">
        <v>39</v>
      </c>
      <c r="N558" t="s">
        <v>8245</v>
      </c>
      <c r="O558" s="1">
        <v>25603</v>
      </c>
      <c r="P558" t="s">
        <v>2239</v>
      </c>
      <c r="Q558" t="s">
        <v>2240</v>
      </c>
      <c r="S558" s="1">
        <v>45020.209027777775</v>
      </c>
      <c r="T558" t="s">
        <v>78</v>
      </c>
      <c r="U558" t="s">
        <v>82</v>
      </c>
      <c r="V558">
        <v>1970</v>
      </c>
      <c r="W558">
        <v>117.24</v>
      </c>
      <c r="X558">
        <v>7.5</v>
      </c>
      <c r="Y558" s="2">
        <v>21427700000000</v>
      </c>
      <c r="Z558">
        <v>88.2</v>
      </c>
      <c r="AA558">
        <v>101.8</v>
      </c>
      <c r="AB558">
        <v>9.6</v>
      </c>
      <c r="AC558">
        <v>36.6</v>
      </c>
      <c r="AD558">
        <v>328239523</v>
      </c>
    </row>
    <row r="559" spans="1:30" hidden="1" x14ac:dyDescent="0.45">
      <c r="A559">
        <v>552</v>
      </c>
      <c r="B559">
        <v>4900</v>
      </c>
      <c r="C559" t="s">
        <v>61</v>
      </c>
      <c r="D559" t="s">
        <v>2241</v>
      </c>
      <c r="E559">
        <v>67</v>
      </c>
      <c r="F559" t="s">
        <v>1134</v>
      </c>
      <c r="G559" t="s">
        <v>2242</v>
      </c>
      <c r="H559" t="s">
        <v>317</v>
      </c>
      <c r="I559" t="s">
        <v>61</v>
      </c>
      <c r="J559" t="s">
        <v>1134</v>
      </c>
      <c r="L559" t="b">
        <v>1</v>
      </c>
      <c r="M559" t="s">
        <v>29</v>
      </c>
      <c r="N559" t="s">
        <v>8245</v>
      </c>
      <c r="O559" s="1">
        <v>20503</v>
      </c>
      <c r="P559" t="s">
        <v>2243</v>
      </c>
      <c r="Q559" t="s">
        <v>2244</v>
      </c>
      <c r="S559" s="1">
        <v>45020.209027777775</v>
      </c>
      <c r="V559">
        <v>1956</v>
      </c>
      <c r="W559">
        <v>133.61000000000001</v>
      </c>
      <c r="X559">
        <v>4.9000000000000004</v>
      </c>
      <c r="Y559" s="2">
        <v>17743195770</v>
      </c>
      <c r="Z559">
        <v>63.9</v>
      </c>
      <c r="AA559">
        <v>98.6</v>
      </c>
      <c r="AB559">
        <v>21.7</v>
      </c>
      <c r="AC559">
        <v>9.9</v>
      </c>
      <c r="AD559">
        <v>3720382</v>
      </c>
    </row>
    <row r="560" spans="1:30" hidden="1" x14ac:dyDescent="0.45">
      <c r="A560">
        <v>552</v>
      </c>
      <c r="B560">
        <v>4900</v>
      </c>
      <c r="C560" t="s">
        <v>326</v>
      </c>
      <c r="D560" t="s">
        <v>2245</v>
      </c>
      <c r="E560">
        <v>94</v>
      </c>
      <c r="F560" t="s">
        <v>349</v>
      </c>
      <c r="G560" t="s">
        <v>350</v>
      </c>
      <c r="H560" t="s">
        <v>2246</v>
      </c>
      <c r="I560" t="s">
        <v>326</v>
      </c>
      <c r="J560" t="s">
        <v>349</v>
      </c>
      <c r="L560" t="b">
        <v>1</v>
      </c>
      <c r="M560" t="s">
        <v>29</v>
      </c>
      <c r="N560" t="s">
        <v>8245</v>
      </c>
      <c r="O560" s="1">
        <v>10533</v>
      </c>
      <c r="P560" t="s">
        <v>2247</v>
      </c>
      <c r="Q560" t="s">
        <v>2248</v>
      </c>
      <c r="S560" s="1">
        <v>45020.209027777775</v>
      </c>
      <c r="V560">
        <v>1928</v>
      </c>
      <c r="W560">
        <v>151.18</v>
      </c>
      <c r="X560">
        <v>3</v>
      </c>
      <c r="Y560" s="2">
        <v>1119190780753</v>
      </c>
      <c r="Z560">
        <v>36.299999999999997</v>
      </c>
      <c r="AA560">
        <v>106.4</v>
      </c>
      <c r="AB560">
        <v>10.199999999999999</v>
      </c>
      <c r="AC560">
        <v>30.1</v>
      </c>
      <c r="AD560">
        <v>270203917</v>
      </c>
    </row>
    <row r="561" spans="1:30" hidden="1" x14ac:dyDescent="0.45">
      <c r="A561">
        <v>552</v>
      </c>
      <c r="B561">
        <v>4900</v>
      </c>
      <c r="C561" t="s">
        <v>402</v>
      </c>
      <c r="D561" t="s">
        <v>2249</v>
      </c>
      <c r="E561">
        <v>77</v>
      </c>
      <c r="F561" t="s">
        <v>205</v>
      </c>
      <c r="G561" t="s">
        <v>2250</v>
      </c>
      <c r="H561" t="s">
        <v>645</v>
      </c>
      <c r="I561" t="s">
        <v>402</v>
      </c>
      <c r="J561" t="s">
        <v>205</v>
      </c>
      <c r="L561" t="b">
        <v>1</v>
      </c>
      <c r="M561" t="s">
        <v>39</v>
      </c>
      <c r="N561" t="s">
        <v>8245</v>
      </c>
      <c r="O561" s="1">
        <v>16833</v>
      </c>
      <c r="P561" t="s">
        <v>2251</v>
      </c>
      <c r="Q561" t="s">
        <v>2252</v>
      </c>
      <c r="S561" s="1">
        <v>45020.209027777775</v>
      </c>
      <c r="V561">
        <v>1946</v>
      </c>
      <c r="W561">
        <v>99.55</v>
      </c>
      <c r="X561">
        <v>0.4</v>
      </c>
      <c r="Y561" s="2">
        <v>703082435360</v>
      </c>
      <c r="Z561">
        <v>59.6</v>
      </c>
      <c r="AA561">
        <v>105.2</v>
      </c>
      <c r="AB561">
        <v>10.1</v>
      </c>
      <c r="AC561">
        <v>28.8</v>
      </c>
      <c r="AD561">
        <v>8574832</v>
      </c>
    </row>
    <row r="562" spans="1:30" hidden="1" x14ac:dyDescent="0.45">
      <c r="A562">
        <v>552</v>
      </c>
      <c r="B562">
        <v>4900</v>
      </c>
      <c r="C562" t="s">
        <v>126</v>
      </c>
      <c r="D562" t="s">
        <v>2253</v>
      </c>
      <c r="E562">
        <v>86</v>
      </c>
      <c r="F562" t="s">
        <v>164</v>
      </c>
      <c r="G562" t="s">
        <v>1797</v>
      </c>
      <c r="H562" t="s">
        <v>418</v>
      </c>
      <c r="I562" t="s">
        <v>126</v>
      </c>
      <c r="J562" t="s">
        <v>164</v>
      </c>
      <c r="K562" t="s">
        <v>2254</v>
      </c>
      <c r="L562" t="b">
        <v>0</v>
      </c>
      <c r="M562" t="s">
        <v>29</v>
      </c>
      <c r="N562" t="s">
        <v>8245</v>
      </c>
      <c r="O562" s="1">
        <v>13516</v>
      </c>
      <c r="P562" t="s">
        <v>2254</v>
      </c>
      <c r="Q562" t="s">
        <v>2255</v>
      </c>
      <c r="R562" t="s">
        <v>170</v>
      </c>
      <c r="S562" s="1">
        <v>45020.209027777775</v>
      </c>
      <c r="V562">
        <v>1937</v>
      </c>
      <c r="W562">
        <v>116.76</v>
      </c>
      <c r="X562">
        <v>1.9</v>
      </c>
      <c r="Y562" s="2">
        <v>1736425629520</v>
      </c>
      <c r="Z562">
        <v>68.900000000000006</v>
      </c>
      <c r="AA562">
        <v>100.9</v>
      </c>
      <c r="AB562">
        <v>12.8</v>
      </c>
      <c r="AC562">
        <v>24.5</v>
      </c>
      <c r="AD562">
        <v>36991981</v>
      </c>
    </row>
    <row r="563" spans="1:30" hidden="1" x14ac:dyDescent="0.45">
      <c r="A563">
        <v>552</v>
      </c>
      <c r="B563">
        <v>4900</v>
      </c>
      <c r="C563" t="s">
        <v>33</v>
      </c>
      <c r="D563" t="s">
        <v>2256</v>
      </c>
      <c r="E563">
        <v>72</v>
      </c>
      <c r="F563" t="s">
        <v>35</v>
      </c>
      <c r="G563" t="s">
        <v>2257</v>
      </c>
      <c r="H563" t="s">
        <v>2258</v>
      </c>
      <c r="I563" t="s">
        <v>33</v>
      </c>
      <c r="J563" t="s">
        <v>35</v>
      </c>
      <c r="L563" t="b">
        <v>0</v>
      </c>
      <c r="M563" t="s">
        <v>29</v>
      </c>
      <c r="N563" t="s">
        <v>8245</v>
      </c>
      <c r="O563" s="1">
        <v>18587</v>
      </c>
      <c r="P563" t="s">
        <v>2259</v>
      </c>
      <c r="Q563" t="s">
        <v>137</v>
      </c>
      <c r="S563" s="1">
        <v>45020.209027777775</v>
      </c>
      <c r="T563" t="s">
        <v>2260</v>
      </c>
      <c r="U563" t="s">
        <v>53</v>
      </c>
      <c r="V563">
        <v>1950</v>
      </c>
      <c r="W563">
        <v>117.24</v>
      </c>
      <c r="X563">
        <v>7.5</v>
      </c>
      <c r="Y563" s="2">
        <v>21427700000000</v>
      </c>
      <c r="Z563">
        <v>88.2</v>
      </c>
      <c r="AA563">
        <v>101.8</v>
      </c>
      <c r="AB563">
        <v>9.6</v>
      </c>
      <c r="AC563">
        <v>36.6</v>
      </c>
      <c r="AD563">
        <v>328239523</v>
      </c>
    </row>
    <row r="564" spans="1:30" hidden="1" x14ac:dyDescent="0.45">
      <c r="A564">
        <v>552</v>
      </c>
      <c r="B564">
        <v>4900</v>
      </c>
      <c r="C564" t="s">
        <v>702</v>
      </c>
      <c r="D564" t="s">
        <v>2261</v>
      </c>
      <c r="E564">
        <v>58</v>
      </c>
      <c r="F564" t="s">
        <v>35</v>
      </c>
      <c r="G564" t="s">
        <v>1965</v>
      </c>
      <c r="H564" t="s">
        <v>2262</v>
      </c>
      <c r="I564" t="s">
        <v>702</v>
      </c>
      <c r="J564" t="s">
        <v>35</v>
      </c>
      <c r="L564" t="b">
        <v>1</v>
      </c>
      <c r="M564" t="s">
        <v>29</v>
      </c>
      <c r="N564" t="s">
        <v>8245</v>
      </c>
      <c r="O564" s="1">
        <v>23704</v>
      </c>
      <c r="P564" t="s">
        <v>2263</v>
      </c>
      <c r="Q564" t="s">
        <v>1652</v>
      </c>
      <c r="S564" s="1">
        <v>45020.209027777775</v>
      </c>
      <c r="T564" t="s">
        <v>1681</v>
      </c>
      <c r="U564" t="s">
        <v>44</v>
      </c>
      <c r="V564">
        <v>1964</v>
      </c>
      <c r="W564">
        <v>117.24</v>
      </c>
      <c r="X564">
        <v>7.5</v>
      </c>
      <c r="Y564" s="2">
        <v>21427700000000</v>
      </c>
      <c r="Z564">
        <v>88.2</v>
      </c>
      <c r="AA564">
        <v>101.8</v>
      </c>
      <c r="AB564">
        <v>9.6</v>
      </c>
      <c r="AC564">
        <v>36.6</v>
      </c>
      <c r="AD564">
        <v>328239523</v>
      </c>
    </row>
    <row r="565" spans="1:30" hidden="1" x14ac:dyDescent="0.45">
      <c r="A565">
        <v>552</v>
      </c>
      <c r="B565">
        <v>4900</v>
      </c>
      <c r="C565" t="s">
        <v>91</v>
      </c>
      <c r="D565" t="s">
        <v>2264</v>
      </c>
      <c r="E565">
        <v>60</v>
      </c>
      <c r="F565" t="s">
        <v>349</v>
      </c>
      <c r="G565" t="s">
        <v>350</v>
      </c>
      <c r="H565" t="s">
        <v>91</v>
      </c>
      <c r="I565" t="s">
        <v>91</v>
      </c>
      <c r="J565" t="s">
        <v>349</v>
      </c>
      <c r="L565" t="b">
        <v>1</v>
      </c>
      <c r="M565" t="s">
        <v>39</v>
      </c>
      <c r="N565" t="s">
        <v>8245</v>
      </c>
      <c r="O565" s="1">
        <v>22815</v>
      </c>
      <c r="P565" t="s">
        <v>2265</v>
      </c>
      <c r="Q565" t="s">
        <v>2266</v>
      </c>
      <c r="S565" s="1">
        <v>45020.209027777775</v>
      </c>
      <c r="V565">
        <v>1962</v>
      </c>
      <c r="W565">
        <v>151.18</v>
      </c>
      <c r="X565">
        <v>3</v>
      </c>
      <c r="Y565" s="2">
        <v>1119190780753</v>
      </c>
      <c r="Z565">
        <v>36.299999999999997</v>
      </c>
      <c r="AA565">
        <v>106.4</v>
      </c>
      <c r="AB565">
        <v>10.199999999999999</v>
      </c>
      <c r="AC565">
        <v>30.1</v>
      </c>
      <c r="AD565">
        <v>270203917</v>
      </c>
    </row>
    <row r="566" spans="1:30" hidden="1" x14ac:dyDescent="0.45">
      <c r="A566">
        <v>552</v>
      </c>
      <c r="B566">
        <v>4900</v>
      </c>
      <c r="C566" t="s">
        <v>347</v>
      </c>
      <c r="D566" t="s">
        <v>2267</v>
      </c>
      <c r="E566">
        <v>67</v>
      </c>
      <c r="F566" t="s">
        <v>35</v>
      </c>
      <c r="G566" t="s">
        <v>704</v>
      </c>
      <c r="H566" t="s">
        <v>1414</v>
      </c>
      <c r="I566" t="s">
        <v>347</v>
      </c>
      <c r="J566" t="s">
        <v>35</v>
      </c>
      <c r="L566" t="b">
        <v>1</v>
      </c>
      <c r="M566" t="s">
        <v>29</v>
      </c>
      <c r="N566" t="s">
        <v>8245</v>
      </c>
      <c r="O566" s="1">
        <v>20402</v>
      </c>
      <c r="P566" t="s">
        <v>67</v>
      </c>
      <c r="Q566" t="s">
        <v>2268</v>
      </c>
      <c r="S566" s="1">
        <v>45020.209027777775</v>
      </c>
      <c r="T566" t="s">
        <v>43</v>
      </c>
      <c r="U566" t="s">
        <v>44</v>
      </c>
      <c r="V566">
        <v>1955</v>
      </c>
      <c r="W566">
        <v>117.24</v>
      </c>
      <c r="X566">
        <v>7.5</v>
      </c>
      <c r="Y566" s="2">
        <v>21427700000000</v>
      </c>
      <c r="Z566">
        <v>88.2</v>
      </c>
      <c r="AA566">
        <v>101.8</v>
      </c>
      <c r="AB566">
        <v>9.6</v>
      </c>
      <c r="AC566">
        <v>36.6</v>
      </c>
      <c r="AD566">
        <v>328239523</v>
      </c>
    </row>
    <row r="567" spans="1:30" hidden="1" x14ac:dyDescent="0.45">
      <c r="A567">
        <v>552</v>
      </c>
      <c r="B567">
        <v>4900</v>
      </c>
      <c r="C567" t="s">
        <v>23</v>
      </c>
      <c r="D567" t="s">
        <v>2269</v>
      </c>
      <c r="E567">
        <v>50</v>
      </c>
      <c r="F567" t="s">
        <v>128</v>
      </c>
      <c r="G567" t="s">
        <v>187</v>
      </c>
      <c r="H567" t="s">
        <v>293</v>
      </c>
      <c r="I567" t="s">
        <v>23</v>
      </c>
      <c r="J567" t="s">
        <v>128</v>
      </c>
      <c r="L567" t="b">
        <v>1</v>
      </c>
      <c r="M567" t="s">
        <v>39</v>
      </c>
      <c r="N567" t="s">
        <v>8245</v>
      </c>
      <c r="O567" s="1">
        <v>26604</v>
      </c>
      <c r="P567" t="s">
        <v>190</v>
      </c>
      <c r="Q567" t="s">
        <v>2270</v>
      </c>
      <c r="S567" s="1">
        <v>45020.209027777775</v>
      </c>
      <c r="V567">
        <v>1972</v>
      </c>
      <c r="W567">
        <v>125.08</v>
      </c>
      <c r="X567">
        <v>2.9</v>
      </c>
      <c r="Y567" s="2">
        <v>19910000000000</v>
      </c>
      <c r="Z567">
        <v>50.6</v>
      </c>
      <c r="AA567">
        <v>100.2</v>
      </c>
      <c r="AB567">
        <v>9.4</v>
      </c>
      <c r="AC567">
        <v>59.2</v>
      </c>
      <c r="AD567">
        <v>1397715000</v>
      </c>
    </row>
    <row r="568" spans="1:30" hidden="1" x14ac:dyDescent="0.45">
      <c r="A568">
        <v>567</v>
      </c>
      <c r="B568">
        <v>4800</v>
      </c>
      <c r="C568" t="s">
        <v>23</v>
      </c>
      <c r="D568" t="s">
        <v>2271</v>
      </c>
      <c r="E568">
        <v>58</v>
      </c>
      <c r="F568" t="s">
        <v>272</v>
      </c>
      <c r="G568" t="s">
        <v>2272</v>
      </c>
      <c r="H568" t="s">
        <v>2273</v>
      </c>
      <c r="I568" t="s">
        <v>23</v>
      </c>
      <c r="J568" t="s">
        <v>272</v>
      </c>
      <c r="L568" t="b">
        <v>1</v>
      </c>
      <c r="M568" t="s">
        <v>29</v>
      </c>
      <c r="N568" t="s">
        <v>8245</v>
      </c>
      <c r="O568" s="1">
        <v>23632</v>
      </c>
      <c r="P568" t="s">
        <v>2274</v>
      </c>
      <c r="Q568" t="s">
        <v>81</v>
      </c>
      <c r="S568" s="1">
        <v>45020.209027777775</v>
      </c>
      <c r="V568">
        <v>1964</v>
      </c>
      <c r="W568">
        <v>119.62</v>
      </c>
      <c r="X568">
        <v>1.7</v>
      </c>
      <c r="Y568" s="2">
        <v>2827113184696</v>
      </c>
      <c r="Z568">
        <v>60</v>
      </c>
      <c r="AA568">
        <v>101.2</v>
      </c>
      <c r="AB568">
        <v>25.5</v>
      </c>
      <c r="AC568">
        <v>30.6</v>
      </c>
      <c r="AD568">
        <v>66834405</v>
      </c>
    </row>
    <row r="569" spans="1:30" hidden="1" x14ac:dyDescent="0.45">
      <c r="A569">
        <v>567</v>
      </c>
      <c r="B569">
        <v>4800</v>
      </c>
      <c r="C569" t="s">
        <v>23</v>
      </c>
      <c r="D569" t="s">
        <v>2275</v>
      </c>
      <c r="E569">
        <v>50</v>
      </c>
      <c r="F569" t="s">
        <v>1761</v>
      </c>
      <c r="G569" t="s">
        <v>2276</v>
      </c>
      <c r="H569" t="s">
        <v>594</v>
      </c>
      <c r="I569" t="s">
        <v>23</v>
      </c>
      <c r="J569" t="s">
        <v>1761</v>
      </c>
      <c r="L569" t="b">
        <v>1</v>
      </c>
      <c r="M569" t="s">
        <v>29</v>
      </c>
      <c r="N569" t="s">
        <v>8245</v>
      </c>
      <c r="O569" s="1">
        <v>26665</v>
      </c>
      <c r="P569" t="s">
        <v>2277</v>
      </c>
      <c r="Q569" t="s">
        <v>2278</v>
      </c>
      <c r="S569" s="1">
        <v>45020.209027777775</v>
      </c>
      <c r="V569">
        <v>1973</v>
      </c>
      <c r="W569">
        <v>114.11</v>
      </c>
      <c r="X569">
        <v>2.2000000000000002</v>
      </c>
      <c r="Y569" s="2">
        <v>592164400688</v>
      </c>
      <c r="Z569">
        <v>67.8</v>
      </c>
      <c r="AA569">
        <v>100</v>
      </c>
      <c r="AB569">
        <v>17.399999999999999</v>
      </c>
      <c r="AC569">
        <v>40.799999999999997</v>
      </c>
      <c r="AD569">
        <v>37970874</v>
      </c>
    </row>
    <row r="570" spans="1:30" hidden="1" x14ac:dyDescent="0.45">
      <c r="A570">
        <v>567</v>
      </c>
      <c r="B570">
        <v>4800</v>
      </c>
      <c r="C570" t="s">
        <v>402</v>
      </c>
      <c r="D570" t="s">
        <v>2279</v>
      </c>
      <c r="E570">
        <v>79</v>
      </c>
      <c r="F570" t="s">
        <v>194</v>
      </c>
      <c r="G570" t="s">
        <v>2280</v>
      </c>
      <c r="H570" t="s">
        <v>467</v>
      </c>
      <c r="I570" t="s">
        <v>402</v>
      </c>
      <c r="J570" t="s">
        <v>194</v>
      </c>
      <c r="L570" t="b">
        <v>1</v>
      </c>
      <c r="M570" t="s">
        <v>29</v>
      </c>
      <c r="N570" t="s">
        <v>8245</v>
      </c>
      <c r="O570" s="1">
        <v>16032</v>
      </c>
      <c r="P570" t="s">
        <v>2281</v>
      </c>
      <c r="Q570" t="s">
        <v>31</v>
      </c>
      <c r="S570" s="1">
        <v>45020.209027777775</v>
      </c>
      <c r="V570">
        <v>1943</v>
      </c>
      <c r="W570">
        <v>112.85</v>
      </c>
      <c r="X570">
        <v>1.4</v>
      </c>
      <c r="Y570" s="2">
        <v>3845630030824</v>
      </c>
      <c r="Z570">
        <v>70.2</v>
      </c>
      <c r="AA570">
        <v>104</v>
      </c>
      <c r="AB570">
        <v>11.5</v>
      </c>
      <c r="AC570">
        <v>48.8</v>
      </c>
      <c r="AD570">
        <v>83132799</v>
      </c>
    </row>
    <row r="571" spans="1:30" x14ac:dyDescent="0.45">
      <c r="A571">
        <v>567</v>
      </c>
      <c r="B571" s="6">
        <v>4800</v>
      </c>
      <c r="C571" t="s">
        <v>23</v>
      </c>
      <c r="D571" t="s">
        <v>2282</v>
      </c>
      <c r="E571">
        <v>69</v>
      </c>
      <c r="F571" t="s">
        <v>35</v>
      </c>
      <c r="G571" t="s">
        <v>2283</v>
      </c>
      <c r="H571" t="s">
        <v>2284</v>
      </c>
      <c r="I571" t="s">
        <v>23</v>
      </c>
      <c r="J571" t="s">
        <v>35</v>
      </c>
      <c r="K571" t="s">
        <v>2285</v>
      </c>
      <c r="L571" t="b">
        <v>0</v>
      </c>
      <c r="M571" t="s">
        <v>29</v>
      </c>
      <c r="N571" t="s">
        <v>8245</v>
      </c>
      <c r="O571" s="10">
        <v>19792</v>
      </c>
      <c r="P571" t="s">
        <v>2286</v>
      </c>
      <c r="Q571" t="s">
        <v>2287</v>
      </c>
      <c r="R571" t="s">
        <v>42</v>
      </c>
      <c r="S571" s="8">
        <v>45020.209027777775</v>
      </c>
      <c r="T571" t="s">
        <v>469</v>
      </c>
      <c r="U571" t="s">
        <v>44</v>
      </c>
      <c r="V571">
        <v>1954</v>
      </c>
      <c r="W571" s="12">
        <v>117.24</v>
      </c>
      <c r="X571">
        <v>7.5</v>
      </c>
      <c r="Y571" s="14">
        <v>21427700000000</v>
      </c>
      <c r="Z571">
        <v>88.2</v>
      </c>
      <c r="AA571">
        <v>101.8</v>
      </c>
      <c r="AB571">
        <v>9.6</v>
      </c>
      <c r="AC571">
        <v>36.6</v>
      </c>
      <c r="AD571">
        <v>328239523</v>
      </c>
    </row>
    <row r="572" spans="1:30" hidden="1" x14ac:dyDescent="0.45">
      <c r="A572">
        <v>567</v>
      </c>
      <c r="B572">
        <v>4800</v>
      </c>
      <c r="C572" t="s">
        <v>296</v>
      </c>
      <c r="D572" t="s">
        <v>2288</v>
      </c>
      <c r="E572">
        <v>64</v>
      </c>
      <c r="F572" t="s">
        <v>35</v>
      </c>
      <c r="G572" t="s">
        <v>2289</v>
      </c>
      <c r="H572" t="s">
        <v>2290</v>
      </c>
      <c r="I572" t="s">
        <v>296</v>
      </c>
      <c r="J572" t="s">
        <v>35</v>
      </c>
      <c r="L572" t="b">
        <v>0</v>
      </c>
      <c r="M572" t="s">
        <v>29</v>
      </c>
      <c r="N572" t="s">
        <v>8245</v>
      </c>
      <c r="O572" s="1">
        <v>21324</v>
      </c>
      <c r="P572" t="s">
        <v>425</v>
      </c>
      <c r="Q572" t="s">
        <v>2291</v>
      </c>
      <c r="S572" s="1">
        <v>45020.209027777775</v>
      </c>
      <c r="T572" t="s">
        <v>549</v>
      </c>
      <c r="U572" t="s">
        <v>69</v>
      </c>
      <c r="V572">
        <v>1958</v>
      </c>
      <c r="W572">
        <v>117.24</v>
      </c>
      <c r="X572">
        <v>7.5</v>
      </c>
      <c r="Y572" s="2">
        <v>21427700000000</v>
      </c>
      <c r="Z572">
        <v>88.2</v>
      </c>
      <c r="AA572">
        <v>101.8</v>
      </c>
      <c r="AB572">
        <v>9.6</v>
      </c>
      <c r="AC572">
        <v>36.6</v>
      </c>
      <c r="AD572">
        <v>328239523</v>
      </c>
    </row>
    <row r="573" spans="1:30" hidden="1" x14ac:dyDescent="0.45">
      <c r="A573">
        <v>567</v>
      </c>
      <c r="B573">
        <v>4800</v>
      </c>
      <c r="C573" t="s">
        <v>296</v>
      </c>
      <c r="D573" t="s">
        <v>2292</v>
      </c>
      <c r="E573">
        <v>67</v>
      </c>
      <c r="F573" t="s">
        <v>35</v>
      </c>
      <c r="G573" t="s">
        <v>2289</v>
      </c>
      <c r="H573" t="s">
        <v>2290</v>
      </c>
      <c r="I573" t="s">
        <v>296</v>
      </c>
      <c r="J573" t="s">
        <v>35</v>
      </c>
      <c r="L573" t="b">
        <v>0</v>
      </c>
      <c r="M573" t="s">
        <v>29</v>
      </c>
      <c r="N573" t="s">
        <v>8245</v>
      </c>
      <c r="O573" s="1">
        <v>20214</v>
      </c>
      <c r="P573" t="s">
        <v>425</v>
      </c>
      <c r="Q573" t="s">
        <v>2293</v>
      </c>
      <c r="S573" s="1">
        <v>45020.209027777775</v>
      </c>
      <c r="T573" t="s">
        <v>549</v>
      </c>
      <c r="U573" t="s">
        <v>69</v>
      </c>
      <c r="V573">
        <v>1955</v>
      </c>
      <c r="W573">
        <v>117.24</v>
      </c>
      <c r="X573">
        <v>7.5</v>
      </c>
      <c r="Y573" s="2">
        <v>21427700000000</v>
      </c>
      <c r="Z573">
        <v>88.2</v>
      </c>
      <c r="AA573">
        <v>101.8</v>
      </c>
      <c r="AB573">
        <v>9.6</v>
      </c>
      <c r="AC573">
        <v>36.6</v>
      </c>
      <c r="AD573">
        <v>328239523</v>
      </c>
    </row>
    <row r="574" spans="1:30" hidden="1" x14ac:dyDescent="0.45">
      <c r="A574">
        <v>567</v>
      </c>
      <c r="B574">
        <v>4800</v>
      </c>
      <c r="C574" t="s">
        <v>296</v>
      </c>
      <c r="D574" t="s">
        <v>2294</v>
      </c>
      <c r="E574">
        <v>66</v>
      </c>
      <c r="F574" t="s">
        <v>35</v>
      </c>
      <c r="G574" t="s">
        <v>2289</v>
      </c>
      <c r="H574" t="s">
        <v>2290</v>
      </c>
      <c r="I574" t="s">
        <v>296</v>
      </c>
      <c r="J574" t="s">
        <v>35</v>
      </c>
      <c r="L574" t="b">
        <v>0</v>
      </c>
      <c r="M574" t="s">
        <v>29</v>
      </c>
      <c r="N574" t="s">
        <v>8246</v>
      </c>
      <c r="O574" s="1">
        <v>20819</v>
      </c>
      <c r="P574" t="s">
        <v>2295</v>
      </c>
      <c r="Q574" t="s">
        <v>2296</v>
      </c>
      <c r="S574" s="1">
        <v>45020.209027777775</v>
      </c>
      <c r="T574" t="s">
        <v>549</v>
      </c>
      <c r="U574" t="s">
        <v>69</v>
      </c>
      <c r="V574">
        <v>1956</v>
      </c>
      <c r="W574">
        <v>117.24</v>
      </c>
      <c r="X574">
        <v>7.5</v>
      </c>
      <c r="Y574" s="2">
        <v>21427700000000</v>
      </c>
      <c r="Z574">
        <v>88.2</v>
      </c>
      <c r="AA574">
        <v>101.8</v>
      </c>
      <c r="AB574">
        <v>9.6</v>
      </c>
      <c r="AC574">
        <v>36.6</v>
      </c>
      <c r="AD574">
        <v>328239523</v>
      </c>
    </row>
    <row r="575" spans="1:30" x14ac:dyDescent="0.45">
      <c r="A575">
        <v>567</v>
      </c>
      <c r="B575" s="6">
        <v>4800</v>
      </c>
      <c r="C575" t="s">
        <v>45</v>
      </c>
      <c r="D575" t="s">
        <v>2297</v>
      </c>
      <c r="E575">
        <v>68</v>
      </c>
      <c r="F575" t="s">
        <v>35</v>
      </c>
      <c r="G575" t="s">
        <v>2298</v>
      </c>
      <c r="H575" t="s">
        <v>1064</v>
      </c>
      <c r="I575" t="s">
        <v>45</v>
      </c>
      <c r="J575" t="s">
        <v>35</v>
      </c>
      <c r="K575" t="s">
        <v>2299</v>
      </c>
      <c r="L575" t="b">
        <v>1</v>
      </c>
      <c r="M575" t="s">
        <v>39</v>
      </c>
      <c r="N575" t="s">
        <v>8245</v>
      </c>
      <c r="O575" s="10">
        <v>20117</v>
      </c>
      <c r="P575" t="s">
        <v>2300</v>
      </c>
      <c r="Q575" t="s">
        <v>904</v>
      </c>
      <c r="R575" t="s">
        <v>688</v>
      </c>
      <c r="S575" s="8">
        <v>45020.209027777775</v>
      </c>
      <c r="T575" t="s">
        <v>115</v>
      </c>
      <c r="U575" t="s">
        <v>53</v>
      </c>
      <c r="V575">
        <v>1955</v>
      </c>
      <c r="W575" s="12">
        <v>117.24</v>
      </c>
      <c r="X575">
        <v>7.5</v>
      </c>
      <c r="Y575" s="14">
        <v>21427700000000</v>
      </c>
      <c r="Z575">
        <v>88.2</v>
      </c>
      <c r="AA575">
        <v>101.8</v>
      </c>
      <c r="AB575">
        <v>9.6</v>
      </c>
      <c r="AC575">
        <v>36.6</v>
      </c>
      <c r="AD575">
        <v>328239523</v>
      </c>
    </row>
    <row r="576" spans="1:30" hidden="1" x14ac:dyDescent="0.45">
      <c r="A576">
        <v>567</v>
      </c>
      <c r="B576">
        <v>4800</v>
      </c>
      <c r="C576" t="s">
        <v>45</v>
      </c>
      <c r="D576" t="s">
        <v>2301</v>
      </c>
      <c r="E576">
        <v>64</v>
      </c>
      <c r="F576" t="s">
        <v>35</v>
      </c>
      <c r="G576" t="s">
        <v>36</v>
      </c>
      <c r="H576" t="s">
        <v>1821</v>
      </c>
      <c r="I576" t="s">
        <v>45</v>
      </c>
      <c r="J576" t="s">
        <v>35</v>
      </c>
      <c r="L576" t="b">
        <v>1</v>
      </c>
      <c r="M576" t="s">
        <v>29</v>
      </c>
      <c r="N576" t="s">
        <v>8246</v>
      </c>
      <c r="O576" s="1">
        <v>21516</v>
      </c>
      <c r="P576" t="s">
        <v>305</v>
      </c>
      <c r="Q576" t="s">
        <v>2302</v>
      </c>
      <c r="S576" s="1">
        <v>45020.209027777775</v>
      </c>
      <c r="T576" t="s">
        <v>43</v>
      </c>
      <c r="U576" t="s">
        <v>44</v>
      </c>
      <c r="V576">
        <v>1958</v>
      </c>
      <c r="W576">
        <v>117.24</v>
      </c>
      <c r="X576">
        <v>7.5</v>
      </c>
      <c r="Y576" s="2">
        <v>21427700000000</v>
      </c>
      <c r="Z576">
        <v>88.2</v>
      </c>
      <c r="AA576">
        <v>101.8</v>
      </c>
      <c r="AB576">
        <v>9.6</v>
      </c>
      <c r="AC576">
        <v>36.6</v>
      </c>
      <c r="AD576">
        <v>328239523</v>
      </c>
    </row>
    <row r="577" spans="1:30" hidden="1" x14ac:dyDescent="0.45">
      <c r="A577">
        <v>567</v>
      </c>
      <c r="B577">
        <v>4800</v>
      </c>
      <c r="C577" t="s">
        <v>296</v>
      </c>
      <c r="D577" t="s">
        <v>2303</v>
      </c>
      <c r="E577">
        <v>63</v>
      </c>
      <c r="F577" t="s">
        <v>35</v>
      </c>
      <c r="G577" t="s">
        <v>2304</v>
      </c>
      <c r="H577" t="s">
        <v>2290</v>
      </c>
      <c r="I577" t="s">
        <v>296</v>
      </c>
      <c r="J577" t="s">
        <v>35</v>
      </c>
      <c r="L577" t="b">
        <v>0</v>
      </c>
      <c r="M577" t="s">
        <v>29</v>
      </c>
      <c r="N577" t="s">
        <v>8246</v>
      </c>
      <c r="O577" s="1">
        <v>21646</v>
      </c>
      <c r="P577" t="s">
        <v>2305</v>
      </c>
      <c r="Q577" t="s">
        <v>2306</v>
      </c>
      <c r="S577" s="1">
        <v>45020.209027777775</v>
      </c>
      <c r="T577" t="s">
        <v>222</v>
      </c>
      <c r="U577" t="s">
        <v>44</v>
      </c>
      <c r="V577">
        <v>1959</v>
      </c>
      <c r="W577">
        <v>117.24</v>
      </c>
      <c r="X577">
        <v>7.5</v>
      </c>
      <c r="Y577" s="2">
        <v>21427700000000</v>
      </c>
      <c r="Z577">
        <v>88.2</v>
      </c>
      <c r="AA577">
        <v>101.8</v>
      </c>
      <c r="AB577">
        <v>9.6</v>
      </c>
      <c r="AC577">
        <v>36.6</v>
      </c>
      <c r="AD577">
        <v>328239523</v>
      </c>
    </row>
    <row r="578" spans="1:30" hidden="1" x14ac:dyDescent="0.45">
      <c r="A578">
        <v>567</v>
      </c>
      <c r="B578">
        <v>4800</v>
      </c>
      <c r="C578" t="s">
        <v>402</v>
      </c>
      <c r="D578" t="s">
        <v>2307</v>
      </c>
      <c r="E578">
        <v>70</v>
      </c>
      <c r="F578" t="s">
        <v>93</v>
      </c>
      <c r="G578" t="s">
        <v>176</v>
      </c>
      <c r="H578" t="s">
        <v>610</v>
      </c>
      <c r="I578" t="s">
        <v>402</v>
      </c>
      <c r="J578" t="s">
        <v>93</v>
      </c>
      <c r="L578" t="b">
        <v>0</v>
      </c>
      <c r="M578" t="s">
        <v>29</v>
      </c>
      <c r="N578" t="s">
        <v>8245</v>
      </c>
      <c r="O578" s="1">
        <v>19437</v>
      </c>
      <c r="P578" t="s">
        <v>2308</v>
      </c>
      <c r="Q578" t="s">
        <v>2309</v>
      </c>
      <c r="S578" s="1">
        <v>45020.209027777775</v>
      </c>
      <c r="V578">
        <v>1953</v>
      </c>
      <c r="W578">
        <v>180.44</v>
      </c>
      <c r="X578">
        <v>7.7</v>
      </c>
      <c r="Y578" s="2">
        <v>2611000000000</v>
      </c>
      <c r="Z578">
        <v>28.1</v>
      </c>
      <c r="AA578">
        <v>113</v>
      </c>
      <c r="AB578">
        <v>11.2</v>
      </c>
      <c r="AC578">
        <v>49.7</v>
      </c>
      <c r="AD578">
        <v>1366417754</v>
      </c>
    </row>
    <row r="579" spans="1:30" hidden="1" x14ac:dyDescent="0.45">
      <c r="A579">
        <v>567</v>
      </c>
      <c r="B579">
        <v>4800</v>
      </c>
      <c r="C579" t="s">
        <v>296</v>
      </c>
      <c r="D579" t="s">
        <v>2310</v>
      </c>
      <c r="E579">
        <v>78</v>
      </c>
      <c r="F579" t="s">
        <v>228</v>
      </c>
      <c r="G579" t="s">
        <v>228</v>
      </c>
      <c r="H579" t="s">
        <v>296</v>
      </c>
      <c r="I579" t="s">
        <v>296</v>
      </c>
      <c r="J579" t="s">
        <v>194</v>
      </c>
      <c r="L579" t="b">
        <v>1</v>
      </c>
      <c r="M579" t="s">
        <v>39</v>
      </c>
      <c r="N579" t="s">
        <v>8245</v>
      </c>
      <c r="O579" s="1">
        <v>16368</v>
      </c>
      <c r="P579" t="s">
        <v>2311</v>
      </c>
      <c r="Q579" t="s">
        <v>2312</v>
      </c>
      <c r="S579" s="1">
        <v>45020.209027777775</v>
      </c>
      <c r="V579">
        <v>1944</v>
      </c>
      <c r="W579"/>
      <c r="Y579"/>
    </row>
    <row r="580" spans="1:30" hidden="1" x14ac:dyDescent="0.45">
      <c r="A580">
        <v>567</v>
      </c>
      <c r="B580">
        <v>4800</v>
      </c>
      <c r="C580" t="s">
        <v>61</v>
      </c>
      <c r="D580" t="s">
        <v>2313</v>
      </c>
      <c r="E580">
        <v>62</v>
      </c>
      <c r="F580" t="s">
        <v>128</v>
      </c>
      <c r="G580" t="s">
        <v>292</v>
      </c>
      <c r="H580" t="s">
        <v>330</v>
      </c>
      <c r="I580" t="s">
        <v>61</v>
      </c>
      <c r="J580" t="s">
        <v>128</v>
      </c>
      <c r="L580" t="b">
        <v>1</v>
      </c>
      <c r="M580" t="s">
        <v>29</v>
      </c>
      <c r="N580" t="s">
        <v>8245</v>
      </c>
      <c r="O580" s="1">
        <v>22313</v>
      </c>
      <c r="P580" t="s">
        <v>2314</v>
      </c>
      <c r="Q580" t="s">
        <v>1345</v>
      </c>
      <c r="S580" s="1">
        <v>45020.209027777775</v>
      </c>
      <c r="V580">
        <v>1961</v>
      </c>
      <c r="W580">
        <v>125.08</v>
      </c>
      <c r="X580">
        <v>2.9</v>
      </c>
      <c r="Y580" s="2">
        <v>19910000000000</v>
      </c>
      <c r="Z580">
        <v>50.6</v>
      </c>
      <c r="AA580">
        <v>100.2</v>
      </c>
      <c r="AB580">
        <v>9.4</v>
      </c>
      <c r="AC580">
        <v>59.2</v>
      </c>
      <c r="AD580">
        <v>1397715000</v>
      </c>
    </row>
    <row r="581" spans="1:30" hidden="1" x14ac:dyDescent="0.45">
      <c r="A581">
        <v>580</v>
      </c>
      <c r="B581">
        <v>4700</v>
      </c>
      <c r="C581" t="s">
        <v>91</v>
      </c>
      <c r="D581" t="s">
        <v>2315</v>
      </c>
      <c r="E581">
        <v>88</v>
      </c>
      <c r="F581" t="s">
        <v>2316</v>
      </c>
      <c r="G581" t="s">
        <v>2317</v>
      </c>
      <c r="H581" t="s">
        <v>1008</v>
      </c>
      <c r="I581" t="s">
        <v>91</v>
      </c>
      <c r="J581" t="s">
        <v>2316</v>
      </c>
      <c r="L581" t="b">
        <v>0</v>
      </c>
      <c r="M581" t="s">
        <v>611</v>
      </c>
      <c r="N581" t="s">
        <v>8246</v>
      </c>
      <c r="O581" s="1">
        <v>12800</v>
      </c>
      <c r="P581" t="s">
        <v>2318</v>
      </c>
      <c r="Q581" t="s">
        <v>2319</v>
      </c>
      <c r="S581" s="1">
        <v>45020.209027777775</v>
      </c>
      <c r="V581">
        <v>1935</v>
      </c>
      <c r="W581">
        <v>110.62</v>
      </c>
      <c r="X581">
        <v>0.3</v>
      </c>
      <c r="Y581" s="2">
        <v>237686075635</v>
      </c>
      <c r="Z581">
        <v>63.9</v>
      </c>
      <c r="AA581">
        <v>106.2</v>
      </c>
      <c r="AB581">
        <v>22.8</v>
      </c>
      <c r="AC581">
        <v>39.799999999999997</v>
      </c>
      <c r="AD581">
        <v>10269417</v>
      </c>
    </row>
    <row r="582" spans="1:30" hidden="1" x14ac:dyDescent="0.45">
      <c r="A582">
        <v>580</v>
      </c>
      <c r="B582">
        <v>4700</v>
      </c>
      <c r="C582" t="s">
        <v>702</v>
      </c>
      <c r="D582" t="s">
        <v>2320</v>
      </c>
      <c r="E582">
        <v>76</v>
      </c>
      <c r="F582" t="s">
        <v>35</v>
      </c>
      <c r="G582" t="s">
        <v>2321</v>
      </c>
      <c r="H582" t="s">
        <v>2322</v>
      </c>
      <c r="I582" t="s">
        <v>702</v>
      </c>
      <c r="J582" t="s">
        <v>35</v>
      </c>
      <c r="L582" t="b">
        <v>0</v>
      </c>
      <c r="M582" t="s">
        <v>29</v>
      </c>
      <c r="N582" t="s">
        <v>8246</v>
      </c>
      <c r="O582" s="1">
        <v>17193</v>
      </c>
      <c r="P582" t="s">
        <v>2323</v>
      </c>
      <c r="Q582" t="s">
        <v>2324</v>
      </c>
      <c r="S582" s="1">
        <v>45020.209027777775</v>
      </c>
      <c r="T582" t="s">
        <v>2325</v>
      </c>
      <c r="U582" t="s">
        <v>44</v>
      </c>
      <c r="V582">
        <v>1947</v>
      </c>
      <c r="W582">
        <v>117.24</v>
      </c>
      <c r="X582">
        <v>7.5</v>
      </c>
      <c r="Y582" s="2">
        <v>21427700000000</v>
      </c>
      <c r="Z582">
        <v>88.2</v>
      </c>
      <c r="AA582">
        <v>101.8</v>
      </c>
      <c r="AB582">
        <v>9.6</v>
      </c>
      <c r="AC582">
        <v>36.6</v>
      </c>
      <c r="AD582">
        <v>328239523</v>
      </c>
    </row>
    <row r="583" spans="1:30" hidden="1" x14ac:dyDescent="0.45">
      <c r="A583">
        <v>580</v>
      </c>
      <c r="B583">
        <v>4700</v>
      </c>
      <c r="C583" t="s">
        <v>45</v>
      </c>
      <c r="D583" t="s">
        <v>2326</v>
      </c>
      <c r="E583">
        <v>78</v>
      </c>
      <c r="F583" t="s">
        <v>1259</v>
      </c>
      <c r="G583" t="s">
        <v>1260</v>
      </c>
      <c r="H583" t="s">
        <v>1400</v>
      </c>
      <c r="I583" t="s">
        <v>45</v>
      </c>
      <c r="J583" t="s">
        <v>574</v>
      </c>
      <c r="L583" t="b">
        <v>1</v>
      </c>
      <c r="M583" t="s">
        <v>29</v>
      </c>
      <c r="N583" t="s">
        <v>8245</v>
      </c>
      <c r="O583" s="1">
        <v>16193</v>
      </c>
      <c r="P583" t="s">
        <v>2327</v>
      </c>
      <c r="Q583" t="s">
        <v>2328</v>
      </c>
      <c r="S583" s="1">
        <v>45020.209027777775</v>
      </c>
      <c r="V583">
        <v>1944</v>
      </c>
      <c r="W583"/>
      <c r="Y583"/>
    </row>
    <row r="584" spans="1:30" hidden="1" x14ac:dyDescent="0.45">
      <c r="A584">
        <v>580</v>
      </c>
      <c r="B584">
        <v>4700</v>
      </c>
      <c r="C584" t="s">
        <v>296</v>
      </c>
      <c r="D584" t="s">
        <v>2329</v>
      </c>
      <c r="E584">
        <v>63</v>
      </c>
      <c r="F584" t="s">
        <v>2037</v>
      </c>
      <c r="G584" t="s">
        <v>2038</v>
      </c>
      <c r="H584" t="s">
        <v>2039</v>
      </c>
      <c r="I584" t="s">
        <v>296</v>
      </c>
      <c r="J584" t="s">
        <v>2037</v>
      </c>
      <c r="L584" t="b">
        <v>1</v>
      </c>
      <c r="M584" t="s">
        <v>29</v>
      </c>
      <c r="N584" t="s">
        <v>8245</v>
      </c>
      <c r="O584" s="1">
        <v>21874</v>
      </c>
      <c r="P584" t="s">
        <v>2040</v>
      </c>
      <c r="Q584" t="s">
        <v>2330</v>
      </c>
      <c r="S584" s="1">
        <v>45020.209027777775</v>
      </c>
      <c r="V584">
        <v>1959</v>
      </c>
      <c r="W584">
        <v>234.44</v>
      </c>
      <c r="X584">
        <v>15.2</v>
      </c>
      <c r="Y584" s="2">
        <v>754411708203</v>
      </c>
      <c r="Z584">
        <v>23.9</v>
      </c>
      <c r="AA584">
        <v>93.2</v>
      </c>
      <c r="AB584">
        <v>17.899999999999999</v>
      </c>
      <c r="AC584">
        <v>42.3</v>
      </c>
      <c r="AD584">
        <v>83429615</v>
      </c>
    </row>
    <row r="585" spans="1:30" hidden="1" x14ac:dyDescent="0.45">
      <c r="A585">
        <v>580</v>
      </c>
      <c r="B585">
        <v>4700</v>
      </c>
      <c r="C585" t="s">
        <v>61</v>
      </c>
      <c r="D585" t="s">
        <v>2331</v>
      </c>
      <c r="E585">
        <v>54</v>
      </c>
      <c r="F585" t="s">
        <v>558</v>
      </c>
      <c r="G585" t="s">
        <v>2332</v>
      </c>
      <c r="H585" t="s">
        <v>557</v>
      </c>
      <c r="I585" t="s">
        <v>61</v>
      </c>
      <c r="J585" t="s">
        <v>558</v>
      </c>
      <c r="L585" t="b">
        <v>1</v>
      </c>
      <c r="M585" t="s">
        <v>39</v>
      </c>
      <c r="N585" t="s">
        <v>8245</v>
      </c>
      <c r="O585" s="1">
        <v>25031</v>
      </c>
      <c r="P585" t="s">
        <v>2333</v>
      </c>
      <c r="Q585" t="s">
        <v>2334</v>
      </c>
      <c r="S585" s="1">
        <v>45020.209027777775</v>
      </c>
      <c r="V585">
        <v>1968</v>
      </c>
      <c r="W585">
        <v>167.4</v>
      </c>
      <c r="X585">
        <v>3.7</v>
      </c>
      <c r="Y585" s="2">
        <v>1839758040766</v>
      </c>
      <c r="Z585">
        <v>51.3</v>
      </c>
      <c r="AA585">
        <v>115.4</v>
      </c>
      <c r="AB585">
        <v>14.2</v>
      </c>
      <c r="AC585">
        <v>65.099999999999994</v>
      </c>
      <c r="AD585">
        <v>212559417</v>
      </c>
    </row>
    <row r="586" spans="1:30" hidden="1" x14ac:dyDescent="0.45">
      <c r="A586">
        <v>580</v>
      </c>
      <c r="B586">
        <v>4700</v>
      </c>
      <c r="C586" t="s">
        <v>302</v>
      </c>
      <c r="D586" t="s">
        <v>2335</v>
      </c>
      <c r="E586">
        <v>68</v>
      </c>
      <c r="F586" t="s">
        <v>164</v>
      </c>
      <c r="G586" t="s">
        <v>165</v>
      </c>
      <c r="H586" t="s">
        <v>304</v>
      </c>
      <c r="I586" t="s">
        <v>302</v>
      </c>
      <c r="J586" t="s">
        <v>164</v>
      </c>
      <c r="K586" t="s">
        <v>2336</v>
      </c>
      <c r="L586" t="b">
        <v>0</v>
      </c>
      <c r="M586" t="s">
        <v>29</v>
      </c>
      <c r="N586" t="s">
        <v>8245</v>
      </c>
      <c r="O586" s="1">
        <v>20090</v>
      </c>
      <c r="P586" t="s">
        <v>2337</v>
      </c>
      <c r="Q586" t="s">
        <v>2338</v>
      </c>
      <c r="R586" t="s">
        <v>170</v>
      </c>
      <c r="S586" s="1">
        <v>45020.209027777775</v>
      </c>
      <c r="V586">
        <v>1955</v>
      </c>
      <c r="W586">
        <v>116.76</v>
      </c>
      <c r="X586">
        <v>1.9</v>
      </c>
      <c r="Y586" s="2">
        <v>1736425629520</v>
      </c>
      <c r="Z586">
        <v>68.900000000000006</v>
      </c>
      <c r="AA586">
        <v>100.9</v>
      </c>
      <c r="AB586">
        <v>12.8</v>
      </c>
      <c r="AC586">
        <v>24.5</v>
      </c>
      <c r="AD586">
        <v>36991981</v>
      </c>
    </row>
    <row r="587" spans="1:30" hidden="1" x14ac:dyDescent="0.45">
      <c r="A587">
        <v>580</v>
      </c>
      <c r="B587">
        <v>4700</v>
      </c>
      <c r="C587" t="s">
        <v>45</v>
      </c>
      <c r="D587" t="s">
        <v>2339</v>
      </c>
      <c r="E587">
        <v>77</v>
      </c>
      <c r="F587" t="s">
        <v>928</v>
      </c>
      <c r="G587" t="s">
        <v>929</v>
      </c>
      <c r="H587" t="s">
        <v>1235</v>
      </c>
      <c r="I587" t="s">
        <v>45</v>
      </c>
      <c r="J587" t="s">
        <v>928</v>
      </c>
      <c r="L587" t="b">
        <v>0</v>
      </c>
      <c r="M587" t="s">
        <v>39</v>
      </c>
      <c r="N587" t="s">
        <v>8246</v>
      </c>
      <c r="O587" s="1">
        <v>16633</v>
      </c>
      <c r="P587" t="s">
        <v>2340</v>
      </c>
      <c r="Q587" t="s">
        <v>2341</v>
      </c>
      <c r="S587" s="1">
        <v>45020.209027777775</v>
      </c>
      <c r="V587">
        <v>1945</v>
      </c>
      <c r="W587">
        <v>115.16</v>
      </c>
      <c r="X587">
        <v>0.4</v>
      </c>
      <c r="Y587" s="2">
        <v>2029000000000</v>
      </c>
      <c r="Z587">
        <v>94.3</v>
      </c>
      <c r="AA587">
        <v>98.1</v>
      </c>
      <c r="AB587">
        <v>15.6</v>
      </c>
      <c r="AC587">
        <v>33.200000000000003</v>
      </c>
      <c r="AD587">
        <v>51709098</v>
      </c>
    </row>
    <row r="588" spans="1:30" hidden="1" x14ac:dyDescent="0.45">
      <c r="A588">
        <v>580</v>
      </c>
      <c r="B588">
        <v>4700</v>
      </c>
      <c r="C588" t="s">
        <v>296</v>
      </c>
      <c r="D588" t="s">
        <v>2342</v>
      </c>
      <c r="E588">
        <v>50</v>
      </c>
      <c r="F588" t="s">
        <v>128</v>
      </c>
      <c r="G588" t="s">
        <v>292</v>
      </c>
      <c r="H588" t="s">
        <v>2343</v>
      </c>
      <c r="I588" t="s">
        <v>296</v>
      </c>
      <c r="J588" t="s">
        <v>128</v>
      </c>
      <c r="L588" t="b">
        <v>1</v>
      </c>
      <c r="M588" t="s">
        <v>29</v>
      </c>
      <c r="N588" t="s">
        <v>8245</v>
      </c>
      <c r="O588" s="1">
        <v>26397</v>
      </c>
      <c r="P588" t="s">
        <v>230</v>
      </c>
      <c r="Q588" t="s">
        <v>2344</v>
      </c>
      <c r="S588" s="1">
        <v>45020.209027777775</v>
      </c>
      <c r="V588">
        <v>1972</v>
      </c>
      <c r="W588">
        <v>125.08</v>
      </c>
      <c r="X588">
        <v>2.9</v>
      </c>
      <c r="Y588" s="2">
        <v>19910000000000</v>
      </c>
      <c r="Z588">
        <v>50.6</v>
      </c>
      <c r="AA588">
        <v>100.2</v>
      </c>
      <c r="AB588">
        <v>9.4</v>
      </c>
      <c r="AC588">
        <v>59.2</v>
      </c>
      <c r="AD588">
        <v>1397715000</v>
      </c>
    </row>
    <row r="589" spans="1:30" hidden="1" x14ac:dyDescent="0.45">
      <c r="A589">
        <v>580</v>
      </c>
      <c r="B589">
        <v>4700</v>
      </c>
      <c r="C589" t="s">
        <v>76</v>
      </c>
      <c r="D589" t="s">
        <v>2345</v>
      </c>
      <c r="E589">
        <v>68</v>
      </c>
      <c r="F589" t="s">
        <v>35</v>
      </c>
      <c r="G589" t="s">
        <v>2346</v>
      </c>
      <c r="H589" t="s">
        <v>79</v>
      </c>
      <c r="I589" t="s">
        <v>76</v>
      </c>
      <c r="J589" t="s">
        <v>35</v>
      </c>
      <c r="L589" t="b">
        <v>1</v>
      </c>
      <c r="M589" t="s">
        <v>29</v>
      </c>
      <c r="N589" t="s">
        <v>8245</v>
      </c>
      <c r="O589" s="1">
        <v>19898</v>
      </c>
      <c r="P589" t="s">
        <v>2347</v>
      </c>
      <c r="Q589" t="s">
        <v>358</v>
      </c>
      <c r="S589" s="1">
        <v>45020.209027777775</v>
      </c>
      <c r="T589" t="s">
        <v>78</v>
      </c>
      <c r="U589" t="s">
        <v>82</v>
      </c>
      <c r="V589">
        <v>1954</v>
      </c>
      <c r="W589">
        <v>117.24</v>
      </c>
      <c r="X589">
        <v>7.5</v>
      </c>
      <c r="Y589" s="2">
        <v>21427700000000</v>
      </c>
      <c r="Z589">
        <v>88.2</v>
      </c>
      <c r="AA589">
        <v>101.8</v>
      </c>
      <c r="AB589">
        <v>9.6</v>
      </c>
      <c r="AC589">
        <v>36.6</v>
      </c>
      <c r="AD589">
        <v>328239523</v>
      </c>
    </row>
    <row r="590" spans="1:30" hidden="1" x14ac:dyDescent="0.45">
      <c r="A590">
        <v>580</v>
      </c>
      <c r="B590">
        <v>4700</v>
      </c>
      <c r="C590" t="s">
        <v>91</v>
      </c>
      <c r="D590" t="s">
        <v>2348</v>
      </c>
      <c r="E590">
        <v>76</v>
      </c>
      <c r="F590" t="s">
        <v>128</v>
      </c>
      <c r="G590" t="s">
        <v>2349</v>
      </c>
      <c r="H590" t="s">
        <v>2350</v>
      </c>
      <c r="I590" t="s">
        <v>91</v>
      </c>
      <c r="J590" t="s">
        <v>128</v>
      </c>
      <c r="L590" t="b">
        <v>1</v>
      </c>
      <c r="M590" t="s">
        <v>29</v>
      </c>
      <c r="N590" t="s">
        <v>8245</v>
      </c>
      <c r="O590" s="1">
        <v>17245</v>
      </c>
      <c r="P590" t="s">
        <v>2351</v>
      </c>
      <c r="Q590" t="s">
        <v>2352</v>
      </c>
      <c r="S590" s="1">
        <v>45020.209027777775</v>
      </c>
      <c r="V590">
        <v>1947</v>
      </c>
      <c r="W590">
        <v>125.08</v>
      </c>
      <c r="X590">
        <v>2.9</v>
      </c>
      <c r="Y590" s="2">
        <v>19910000000000</v>
      </c>
      <c r="Z590">
        <v>50.6</v>
      </c>
      <c r="AA590">
        <v>100.2</v>
      </c>
      <c r="AB590">
        <v>9.4</v>
      </c>
      <c r="AC590">
        <v>59.2</v>
      </c>
      <c r="AD590">
        <v>1397715000</v>
      </c>
    </row>
    <row r="591" spans="1:30" hidden="1" x14ac:dyDescent="0.45">
      <c r="A591">
        <v>580</v>
      </c>
      <c r="B591">
        <v>4700</v>
      </c>
      <c r="C591" t="s">
        <v>76</v>
      </c>
      <c r="D591" t="s">
        <v>2353</v>
      </c>
      <c r="E591">
        <v>52</v>
      </c>
      <c r="F591" t="s">
        <v>35</v>
      </c>
      <c r="G591" t="s">
        <v>1347</v>
      </c>
      <c r="H591" t="s">
        <v>2354</v>
      </c>
      <c r="I591" t="s">
        <v>76</v>
      </c>
      <c r="J591" t="s">
        <v>35</v>
      </c>
      <c r="L591" t="b">
        <v>1</v>
      </c>
      <c r="M591" t="s">
        <v>39</v>
      </c>
      <c r="N591" t="s">
        <v>8245</v>
      </c>
      <c r="O591" s="1">
        <v>25915</v>
      </c>
      <c r="P591" t="s">
        <v>2355</v>
      </c>
      <c r="Q591" t="s">
        <v>2356</v>
      </c>
      <c r="S591" s="1">
        <v>45020.209027777775</v>
      </c>
      <c r="T591" t="s">
        <v>1350</v>
      </c>
      <c r="U591" t="s">
        <v>44</v>
      </c>
      <c r="V591">
        <v>1970</v>
      </c>
      <c r="W591">
        <v>117.24</v>
      </c>
      <c r="X591">
        <v>7.5</v>
      </c>
      <c r="Y591" s="2">
        <v>21427700000000</v>
      </c>
      <c r="Z591">
        <v>88.2</v>
      </c>
      <c r="AA591">
        <v>101.8</v>
      </c>
      <c r="AB591">
        <v>9.6</v>
      </c>
      <c r="AC591">
        <v>36.6</v>
      </c>
      <c r="AD591">
        <v>328239523</v>
      </c>
    </row>
    <row r="592" spans="1:30" hidden="1" x14ac:dyDescent="0.45">
      <c r="A592">
        <v>591</v>
      </c>
      <c r="B592">
        <v>4600</v>
      </c>
      <c r="C592" t="s">
        <v>126</v>
      </c>
      <c r="D592" t="s">
        <v>2357</v>
      </c>
      <c r="E592">
        <v>61</v>
      </c>
      <c r="F592" t="s">
        <v>35</v>
      </c>
      <c r="G592" t="s">
        <v>36</v>
      </c>
      <c r="H592" t="s">
        <v>2358</v>
      </c>
      <c r="I592" t="s">
        <v>126</v>
      </c>
      <c r="J592" t="s">
        <v>35</v>
      </c>
      <c r="L592" t="b">
        <v>1</v>
      </c>
      <c r="M592" t="s">
        <v>29</v>
      </c>
      <c r="N592" t="s">
        <v>8245</v>
      </c>
      <c r="O592" s="1">
        <v>22647</v>
      </c>
      <c r="P592" t="s">
        <v>2359</v>
      </c>
      <c r="Q592" t="s">
        <v>2360</v>
      </c>
      <c r="S592" s="1">
        <v>45020.209027777775</v>
      </c>
      <c r="T592" t="s">
        <v>43</v>
      </c>
      <c r="U592" t="s">
        <v>44</v>
      </c>
      <c r="V592">
        <v>1962</v>
      </c>
      <c r="W592">
        <v>117.24</v>
      </c>
      <c r="X592">
        <v>7.5</v>
      </c>
      <c r="Y592" s="2">
        <v>21427700000000</v>
      </c>
      <c r="Z592">
        <v>88.2</v>
      </c>
      <c r="AA592">
        <v>101.8</v>
      </c>
      <c r="AB592">
        <v>9.6</v>
      </c>
      <c r="AC592">
        <v>36.6</v>
      </c>
      <c r="AD592">
        <v>328239523</v>
      </c>
    </row>
    <row r="593" spans="1:30" x14ac:dyDescent="0.45">
      <c r="A593">
        <v>591</v>
      </c>
      <c r="B593" s="6">
        <v>4600</v>
      </c>
      <c r="C593" t="s">
        <v>76</v>
      </c>
      <c r="D593" t="s">
        <v>2361</v>
      </c>
      <c r="E593">
        <v>64</v>
      </c>
      <c r="F593" t="s">
        <v>35</v>
      </c>
      <c r="G593" t="s">
        <v>704</v>
      </c>
      <c r="H593" t="s">
        <v>2362</v>
      </c>
      <c r="I593" t="s">
        <v>76</v>
      </c>
      <c r="J593" t="s">
        <v>35</v>
      </c>
      <c r="K593" t="s">
        <v>2363</v>
      </c>
      <c r="L593" t="b">
        <v>1</v>
      </c>
      <c r="M593" t="s">
        <v>39</v>
      </c>
      <c r="N593" t="s">
        <v>8245</v>
      </c>
      <c r="O593" s="10">
        <v>21397</v>
      </c>
      <c r="P593" t="s">
        <v>2364</v>
      </c>
      <c r="Q593" t="s">
        <v>137</v>
      </c>
      <c r="R593" t="s">
        <v>104</v>
      </c>
      <c r="S593" s="8">
        <v>45020.209027777775</v>
      </c>
      <c r="T593" t="s">
        <v>43</v>
      </c>
      <c r="U593" t="s">
        <v>44</v>
      </c>
      <c r="V593">
        <v>1958</v>
      </c>
      <c r="W593" s="12">
        <v>117.24</v>
      </c>
      <c r="X593">
        <v>7.5</v>
      </c>
      <c r="Y593" s="14">
        <v>21427700000000</v>
      </c>
      <c r="Z593">
        <v>88.2</v>
      </c>
      <c r="AA593">
        <v>101.8</v>
      </c>
      <c r="AB593">
        <v>9.6</v>
      </c>
      <c r="AC593">
        <v>36.6</v>
      </c>
      <c r="AD593">
        <v>328239523</v>
      </c>
    </row>
    <row r="594" spans="1:30" x14ac:dyDescent="0.45">
      <c r="A594">
        <v>591</v>
      </c>
      <c r="B594" s="6">
        <v>4600</v>
      </c>
      <c r="C594" t="s">
        <v>76</v>
      </c>
      <c r="D594" t="s">
        <v>2365</v>
      </c>
      <c r="E594">
        <v>96</v>
      </c>
      <c r="F594" t="s">
        <v>35</v>
      </c>
      <c r="G594" t="s">
        <v>2366</v>
      </c>
      <c r="H594" t="s">
        <v>1012</v>
      </c>
      <c r="I594" t="s">
        <v>76</v>
      </c>
      <c r="J594" t="s">
        <v>35</v>
      </c>
      <c r="K594" t="s">
        <v>2367</v>
      </c>
      <c r="L594" t="b">
        <v>1</v>
      </c>
      <c r="M594" t="s">
        <v>39</v>
      </c>
      <c r="N594" t="s">
        <v>8245</v>
      </c>
      <c r="O594" s="10">
        <v>9786</v>
      </c>
      <c r="P594" t="s">
        <v>2368</v>
      </c>
      <c r="Q594" t="s">
        <v>144</v>
      </c>
      <c r="R594" t="s">
        <v>51</v>
      </c>
      <c r="S594" s="8">
        <v>45020.209027777775</v>
      </c>
      <c r="T594" t="s">
        <v>78</v>
      </c>
      <c r="U594" t="s">
        <v>82</v>
      </c>
      <c r="V594">
        <v>1926</v>
      </c>
      <c r="W594" s="12">
        <v>117.24</v>
      </c>
      <c r="X594">
        <v>7.5</v>
      </c>
      <c r="Y594" s="14">
        <v>21427700000000</v>
      </c>
      <c r="Z594">
        <v>88.2</v>
      </c>
      <c r="AA594">
        <v>101.8</v>
      </c>
      <c r="AB594">
        <v>9.6</v>
      </c>
      <c r="AC594">
        <v>36.6</v>
      </c>
      <c r="AD594">
        <v>328239523</v>
      </c>
    </row>
    <row r="595" spans="1:30" x14ac:dyDescent="0.45">
      <c r="A595">
        <v>591</v>
      </c>
      <c r="B595" s="6">
        <v>4600</v>
      </c>
      <c r="C595" t="s">
        <v>45</v>
      </c>
      <c r="D595" t="s">
        <v>2369</v>
      </c>
      <c r="E595">
        <v>46</v>
      </c>
      <c r="F595" t="s">
        <v>35</v>
      </c>
      <c r="G595" t="s">
        <v>991</v>
      </c>
      <c r="H595" t="s">
        <v>2370</v>
      </c>
      <c r="I595" t="s">
        <v>45</v>
      </c>
      <c r="J595" t="s">
        <v>35</v>
      </c>
      <c r="K595" t="s">
        <v>2371</v>
      </c>
      <c r="L595" t="b">
        <v>1</v>
      </c>
      <c r="M595" t="s">
        <v>39</v>
      </c>
      <c r="N595" t="s">
        <v>8245</v>
      </c>
      <c r="O595" s="10">
        <v>28083</v>
      </c>
      <c r="P595" t="s">
        <v>2372</v>
      </c>
      <c r="Q595" t="s">
        <v>386</v>
      </c>
      <c r="R595" t="s">
        <v>138</v>
      </c>
      <c r="S595" s="8">
        <v>45020.209027777775</v>
      </c>
      <c r="T595" t="s">
        <v>115</v>
      </c>
      <c r="U595" t="s">
        <v>53</v>
      </c>
      <c r="V595">
        <v>1976</v>
      </c>
      <c r="W595" s="12">
        <v>117.24</v>
      </c>
      <c r="X595">
        <v>7.5</v>
      </c>
      <c r="Y595" s="14">
        <v>21427700000000</v>
      </c>
      <c r="Z595">
        <v>88.2</v>
      </c>
      <c r="AA595">
        <v>101.8</v>
      </c>
      <c r="AB595">
        <v>9.6</v>
      </c>
      <c r="AC595">
        <v>36.6</v>
      </c>
      <c r="AD595">
        <v>328239523</v>
      </c>
    </row>
    <row r="596" spans="1:30" hidden="1" x14ac:dyDescent="0.45">
      <c r="A596">
        <v>591</v>
      </c>
      <c r="B596">
        <v>4600</v>
      </c>
      <c r="C596" t="s">
        <v>347</v>
      </c>
      <c r="D596" t="s">
        <v>2373</v>
      </c>
      <c r="E596">
        <v>56</v>
      </c>
      <c r="F596" t="s">
        <v>128</v>
      </c>
      <c r="G596" t="s">
        <v>1086</v>
      </c>
      <c r="H596" t="s">
        <v>1256</v>
      </c>
      <c r="I596" t="s">
        <v>347</v>
      </c>
      <c r="J596" t="s">
        <v>128</v>
      </c>
      <c r="L596" t="b">
        <v>1</v>
      </c>
      <c r="M596" t="s">
        <v>39</v>
      </c>
      <c r="N596" t="s">
        <v>8246</v>
      </c>
      <c r="O596" s="1">
        <v>24473</v>
      </c>
      <c r="P596" t="s">
        <v>2374</v>
      </c>
      <c r="Q596" t="s">
        <v>2375</v>
      </c>
      <c r="S596" s="1">
        <v>45020.209027777775</v>
      </c>
      <c r="V596">
        <v>1967</v>
      </c>
      <c r="W596">
        <v>125.08</v>
      </c>
      <c r="X596">
        <v>2.9</v>
      </c>
      <c r="Y596" s="2">
        <v>19910000000000</v>
      </c>
      <c r="Z596">
        <v>50.6</v>
      </c>
      <c r="AA596">
        <v>100.2</v>
      </c>
      <c r="AB596">
        <v>9.4</v>
      </c>
      <c r="AC596">
        <v>59.2</v>
      </c>
      <c r="AD596">
        <v>1397715000</v>
      </c>
    </row>
    <row r="597" spans="1:30" hidden="1" x14ac:dyDescent="0.45">
      <c r="A597">
        <v>591</v>
      </c>
      <c r="B597">
        <v>4600</v>
      </c>
      <c r="C597" t="s">
        <v>326</v>
      </c>
      <c r="D597" t="s">
        <v>2376</v>
      </c>
      <c r="E597">
        <v>62</v>
      </c>
      <c r="F597" t="s">
        <v>2377</v>
      </c>
      <c r="G597" t="s">
        <v>2378</v>
      </c>
      <c r="H597" t="s">
        <v>330</v>
      </c>
      <c r="I597" t="s">
        <v>326</v>
      </c>
      <c r="J597" t="s">
        <v>2377</v>
      </c>
      <c r="L597" t="b">
        <v>1</v>
      </c>
      <c r="M597" t="s">
        <v>39</v>
      </c>
      <c r="N597" t="s">
        <v>8245</v>
      </c>
      <c r="O597" s="1">
        <v>22218</v>
      </c>
      <c r="P597" t="s">
        <v>932</v>
      </c>
      <c r="Q597" t="s">
        <v>384</v>
      </c>
      <c r="S597" s="1">
        <v>45020.209027777775</v>
      </c>
      <c r="V597">
        <v>1960</v>
      </c>
      <c r="W597">
        <v>182.75</v>
      </c>
      <c r="X597">
        <v>5.2</v>
      </c>
      <c r="Y597" s="2">
        <v>180161741180</v>
      </c>
      <c r="Z597">
        <v>61.7</v>
      </c>
      <c r="AA597">
        <v>104.4</v>
      </c>
      <c r="AB597">
        <v>11.7</v>
      </c>
      <c r="AC597">
        <v>28.4</v>
      </c>
      <c r="AD597">
        <v>18513930</v>
      </c>
    </row>
    <row r="598" spans="1:30" hidden="1" x14ac:dyDescent="0.45">
      <c r="A598">
        <v>591</v>
      </c>
      <c r="B598">
        <v>4600</v>
      </c>
      <c r="C598" t="s">
        <v>61</v>
      </c>
      <c r="D598" t="s">
        <v>2379</v>
      </c>
      <c r="E598">
        <v>55</v>
      </c>
      <c r="F598" t="s">
        <v>1259</v>
      </c>
      <c r="G598" t="s">
        <v>1260</v>
      </c>
      <c r="H598" t="s">
        <v>2380</v>
      </c>
      <c r="I598" t="s">
        <v>61</v>
      </c>
      <c r="J598" t="s">
        <v>1259</v>
      </c>
      <c r="L598" t="b">
        <v>0</v>
      </c>
      <c r="M598" t="s">
        <v>39</v>
      </c>
      <c r="N598" t="s">
        <v>8245</v>
      </c>
      <c r="O598" s="1">
        <v>24617</v>
      </c>
      <c r="P598" t="s">
        <v>2381</v>
      </c>
      <c r="Q598" t="s">
        <v>2334</v>
      </c>
      <c r="S598" s="1">
        <v>45020.209027777775</v>
      </c>
      <c r="V598">
        <v>1967</v>
      </c>
      <c r="W598"/>
      <c r="Y598"/>
    </row>
    <row r="599" spans="1:30" hidden="1" x14ac:dyDescent="0.45">
      <c r="A599">
        <v>591</v>
      </c>
      <c r="B599">
        <v>4600</v>
      </c>
      <c r="C599" t="s">
        <v>23</v>
      </c>
      <c r="D599" t="s">
        <v>2382</v>
      </c>
      <c r="E599">
        <v>79</v>
      </c>
      <c r="F599" t="s">
        <v>35</v>
      </c>
      <c r="G599" t="s">
        <v>78</v>
      </c>
      <c r="H599" t="s">
        <v>447</v>
      </c>
      <c r="I599" t="s">
        <v>23</v>
      </c>
      <c r="J599" t="s">
        <v>35</v>
      </c>
      <c r="L599" t="b">
        <v>0</v>
      </c>
      <c r="M599" t="s">
        <v>39</v>
      </c>
      <c r="N599" t="s">
        <v>8245</v>
      </c>
      <c r="O599" s="1">
        <v>16128</v>
      </c>
      <c r="P599" t="s">
        <v>449</v>
      </c>
      <c r="Q599" t="s">
        <v>2068</v>
      </c>
      <c r="S599" s="1">
        <v>45020.209027777775</v>
      </c>
      <c r="T599" t="s">
        <v>78</v>
      </c>
      <c r="U599" t="s">
        <v>82</v>
      </c>
      <c r="V599">
        <v>1944</v>
      </c>
      <c r="W599">
        <v>117.24</v>
      </c>
      <c r="X599">
        <v>7.5</v>
      </c>
      <c r="Y599" s="2">
        <v>21427700000000</v>
      </c>
      <c r="Z599">
        <v>88.2</v>
      </c>
      <c r="AA599">
        <v>101.8</v>
      </c>
      <c r="AB599">
        <v>9.6</v>
      </c>
      <c r="AC599">
        <v>36.6</v>
      </c>
      <c r="AD599">
        <v>328239523</v>
      </c>
    </row>
    <row r="600" spans="1:30" hidden="1" x14ac:dyDescent="0.45">
      <c r="A600">
        <v>591</v>
      </c>
      <c r="B600">
        <v>4600</v>
      </c>
      <c r="C600" t="s">
        <v>296</v>
      </c>
      <c r="D600" t="s">
        <v>2383</v>
      </c>
      <c r="E600">
        <v>54</v>
      </c>
      <c r="F600" t="s">
        <v>128</v>
      </c>
      <c r="G600" t="s">
        <v>2384</v>
      </c>
      <c r="H600" t="s">
        <v>2385</v>
      </c>
      <c r="I600" t="s">
        <v>296</v>
      </c>
      <c r="J600" t="s">
        <v>128</v>
      </c>
      <c r="L600" t="b">
        <v>1</v>
      </c>
      <c r="M600" t="s">
        <v>39</v>
      </c>
      <c r="N600" t="s">
        <v>8245</v>
      </c>
      <c r="O600" s="1">
        <v>25121</v>
      </c>
      <c r="P600" t="s">
        <v>230</v>
      </c>
      <c r="Q600" t="s">
        <v>2386</v>
      </c>
      <c r="S600" s="1">
        <v>45020.209027777775</v>
      </c>
      <c r="V600">
        <v>1968</v>
      </c>
      <c r="W600">
        <v>125.08</v>
      </c>
      <c r="X600">
        <v>2.9</v>
      </c>
      <c r="Y600" s="2">
        <v>19910000000000</v>
      </c>
      <c r="Z600">
        <v>50.6</v>
      </c>
      <c r="AA600">
        <v>100.2</v>
      </c>
      <c r="AB600">
        <v>9.4</v>
      </c>
      <c r="AC600">
        <v>59.2</v>
      </c>
      <c r="AD600">
        <v>1397715000</v>
      </c>
    </row>
    <row r="601" spans="1:30" hidden="1" x14ac:dyDescent="0.45">
      <c r="A601">
        <v>591</v>
      </c>
      <c r="B601">
        <v>4600</v>
      </c>
      <c r="C601" t="s">
        <v>76</v>
      </c>
      <c r="D601" t="s">
        <v>2387</v>
      </c>
      <c r="E601">
        <v>45</v>
      </c>
      <c r="F601" t="s">
        <v>574</v>
      </c>
      <c r="G601" t="s">
        <v>574</v>
      </c>
      <c r="H601" t="s">
        <v>2388</v>
      </c>
      <c r="I601" t="s">
        <v>76</v>
      </c>
      <c r="J601" t="s">
        <v>574</v>
      </c>
      <c r="L601" t="b">
        <v>1</v>
      </c>
      <c r="M601" t="s">
        <v>39</v>
      </c>
      <c r="N601" t="s">
        <v>8245</v>
      </c>
      <c r="O601" s="1">
        <v>28491</v>
      </c>
      <c r="P601" t="s">
        <v>230</v>
      </c>
      <c r="Q601" t="s">
        <v>471</v>
      </c>
      <c r="S601" s="1">
        <v>45020.209027777775</v>
      </c>
      <c r="V601">
        <v>1978</v>
      </c>
      <c r="W601">
        <v>114.41</v>
      </c>
      <c r="X601">
        <v>0.6</v>
      </c>
      <c r="Y601" s="2">
        <v>372062527489</v>
      </c>
      <c r="Z601">
        <v>84.8</v>
      </c>
      <c r="AA601">
        <v>100.6</v>
      </c>
      <c r="AB601">
        <v>13.1</v>
      </c>
      <c r="AC601">
        <v>21</v>
      </c>
      <c r="AD601">
        <v>5703569</v>
      </c>
    </row>
    <row r="602" spans="1:30" hidden="1" x14ac:dyDescent="0.45">
      <c r="A602">
        <v>591</v>
      </c>
      <c r="B602">
        <v>4600</v>
      </c>
      <c r="C602" t="s">
        <v>83</v>
      </c>
      <c r="D602" t="s">
        <v>2389</v>
      </c>
      <c r="E602">
        <v>56</v>
      </c>
      <c r="F602" t="s">
        <v>228</v>
      </c>
      <c r="G602" t="s">
        <v>228</v>
      </c>
      <c r="H602" t="s">
        <v>83</v>
      </c>
      <c r="I602" t="s">
        <v>83</v>
      </c>
      <c r="J602" t="s">
        <v>228</v>
      </c>
      <c r="L602" t="b">
        <v>0</v>
      </c>
      <c r="M602" t="s">
        <v>39</v>
      </c>
      <c r="N602" t="s">
        <v>8245</v>
      </c>
      <c r="O602" s="1">
        <v>24419</v>
      </c>
      <c r="P602" t="s">
        <v>230</v>
      </c>
      <c r="Q602" t="s">
        <v>1068</v>
      </c>
      <c r="S602" s="1">
        <v>45020.209027777775</v>
      </c>
      <c r="V602">
        <v>1966</v>
      </c>
      <c r="W602"/>
      <c r="Y602"/>
    </row>
    <row r="603" spans="1:30" hidden="1" x14ac:dyDescent="0.45">
      <c r="A603">
        <v>591</v>
      </c>
      <c r="B603">
        <v>4600</v>
      </c>
      <c r="C603" t="s">
        <v>23</v>
      </c>
      <c r="D603" t="s">
        <v>2390</v>
      </c>
      <c r="E603">
        <v>69</v>
      </c>
      <c r="F603" t="s">
        <v>35</v>
      </c>
      <c r="G603" t="s">
        <v>2391</v>
      </c>
      <c r="H603" t="s">
        <v>594</v>
      </c>
      <c r="I603" t="s">
        <v>23</v>
      </c>
      <c r="J603" t="s">
        <v>35</v>
      </c>
      <c r="L603" t="b">
        <v>0</v>
      </c>
      <c r="M603" t="s">
        <v>285</v>
      </c>
      <c r="N603" t="s">
        <v>8245</v>
      </c>
      <c r="O603" s="1">
        <v>19746</v>
      </c>
      <c r="P603" t="s">
        <v>2392</v>
      </c>
      <c r="Q603" t="s">
        <v>2393</v>
      </c>
      <c r="S603" s="1">
        <v>45020.209027777775</v>
      </c>
      <c r="T603" t="s">
        <v>521</v>
      </c>
      <c r="U603" t="s">
        <v>69</v>
      </c>
      <c r="V603">
        <v>1954</v>
      </c>
      <c r="W603">
        <v>117.24</v>
      </c>
      <c r="X603">
        <v>7.5</v>
      </c>
      <c r="Y603" s="2">
        <v>21427700000000</v>
      </c>
      <c r="Z603">
        <v>88.2</v>
      </c>
      <c r="AA603">
        <v>101.8</v>
      </c>
      <c r="AB603">
        <v>9.6</v>
      </c>
      <c r="AC603">
        <v>36.6</v>
      </c>
      <c r="AD603">
        <v>328239523</v>
      </c>
    </row>
    <row r="604" spans="1:30" hidden="1" x14ac:dyDescent="0.45">
      <c r="A604">
        <v>591</v>
      </c>
      <c r="B604">
        <v>4600</v>
      </c>
      <c r="C604" t="s">
        <v>23</v>
      </c>
      <c r="D604" t="s">
        <v>2394</v>
      </c>
      <c r="E604">
        <v>71</v>
      </c>
      <c r="F604" t="s">
        <v>35</v>
      </c>
      <c r="G604" t="s">
        <v>2391</v>
      </c>
      <c r="H604" t="s">
        <v>594</v>
      </c>
      <c r="I604" t="s">
        <v>23</v>
      </c>
      <c r="J604" t="s">
        <v>35</v>
      </c>
      <c r="L604" t="b">
        <v>0</v>
      </c>
      <c r="M604" t="s">
        <v>285</v>
      </c>
      <c r="N604" t="s">
        <v>8245</v>
      </c>
      <c r="O604" s="1">
        <v>19039</v>
      </c>
      <c r="P604" t="s">
        <v>2392</v>
      </c>
      <c r="Q604" t="s">
        <v>2395</v>
      </c>
      <c r="S604" s="1">
        <v>45020.209027777775</v>
      </c>
      <c r="T604" t="s">
        <v>521</v>
      </c>
      <c r="U604" t="s">
        <v>69</v>
      </c>
      <c r="V604">
        <v>1952</v>
      </c>
      <c r="W604">
        <v>117.24</v>
      </c>
      <c r="X604">
        <v>7.5</v>
      </c>
      <c r="Y604" s="2">
        <v>21427700000000</v>
      </c>
      <c r="Z604">
        <v>88.2</v>
      </c>
      <c r="AA604">
        <v>101.8</v>
      </c>
      <c r="AB604">
        <v>9.6</v>
      </c>
      <c r="AC604">
        <v>36.6</v>
      </c>
      <c r="AD604">
        <v>328239523</v>
      </c>
    </row>
    <row r="605" spans="1:30" hidden="1" x14ac:dyDescent="0.45">
      <c r="A605">
        <v>591</v>
      </c>
      <c r="B605">
        <v>4600</v>
      </c>
      <c r="C605" t="s">
        <v>23</v>
      </c>
      <c r="D605" t="s">
        <v>2396</v>
      </c>
      <c r="E605">
        <v>65</v>
      </c>
      <c r="F605" t="s">
        <v>35</v>
      </c>
      <c r="G605" t="s">
        <v>2391</v>
      </c>
      <c r="H605" t="s">
        <v>594</v>
      </c>
      <c r="I605" t="s">
        <v>23</v>
      </c>
      <c r="J605" t="s">
        <v>35</v>
      </c>
      <c r="L605" t="b">
        <v>0</v>
      </c>
      <c r="M605" t="s">
        <v>285</v>
      </c>
      <c r="N605" t="s">
        <v>8245</v>
      </c>
      <c r="O605" s="1">
        <v>21114</v>
      </c>
      <c r="P605" t="s">
        <v>2392</v>
      </c>
      <c r="Q605" t="s">
        <v>137</v>
      </c>
      <c r="S605" s="1">
        <v>45020.209027777775</v>
      </c>
      <c r="T605" t="s">
        <v>521</v>
      </c>
      <c r="U605" t="s">
        <v>69</v>
      </c>
      <c r="V605">
        <v>1957</v>
      </c>
      <c r="W605">
        <v>117.24</v>
      </c>
      <c r="X605">
        <v>7.5</v>
      </c>
      <c r="Y605" s="2">
        <v>21427700000000</v>
      </c>
      <c r="Z605">
        <v>88.2</v>
      </c>
      <c r="AA605">
        <v>101.8</v>
      </c>
      <c r="AB605">
        <v>9.6</v>
      </c>
      <c r="AC605">
        <v>36.6</v>
      </c>
      <c r="AD605">
        <v>328239523</v>
      </c>
    </row>
    <row r="606" spans="1:30" hidden="1" x14ac:dyDescent="0.45">
      <c r="A606">
        <v>591</v>
      </c>
      <c r="B606">
        <v>4600</v>
      </c>
      <c r="C606" t="s">
        <v>126</v>
      </c>
      <c r="D606" t="s">
        <v>2397</v>
      </c>
      <c r="E606">
        <v>79</v>
      </c>
      <c r="F606" t="s">
        <v>2398</v>
      </c>
      <c r="G606" t="s">
        <v>2399</v>
      </c>
      <c r="H606" t="s">
        <v>2210</v>
      </c>
      <c r="I606" t="s">
        <v>126</v>
      </c>
      <c r="J606" t="s">
        <v>2398</v>
      </c>
      <c r="L606" t="b">
        <v>1</v>
      </c>
      <c r="M606" t="s">
        <v>39</v>
      </c>
      <c r="N606" t="s">
        <v>8245</v>
      </c>
      <c r="O606" s="1">
        <v>16072</v>
      </c>
      <c r="P606" t="s">
        <v>2400</v>
      </c>
      <c r="Q606" t="s">
        <v>2401</v>
      </c>
      <c r="S606" s="1">
        <v>45020.209027777775</v>
      </c>
      <c r="V606">
        <v>1944</v>
      </c>
      <c r="W606">
        <v>151.36000000000001</v>
      </c>
      <c r="X606">
        <v>2</v>
      </c>
      <c r="Y606" s="2">
        <v>169988236398</v>
      </c>
      <c r="Z606">
        <v>51.4</v>
      </c>
      <c r="AA606">
        <v>109.9</v>
      </c>
      <c r="AB606">
        <v>37.200000000000003</v>
      </c>
      <c r="AC606">
        <v>66.099999999999994</v>
      </c>
      <c r="AD606">
        <v>43053054</v>
      </c>
    </row>
    <row r="607" spans="1:30" x14ac:dyDescent="0.45">
      <c r="A607">
        <v>591</v>
      </c>
      <c r="B607" s="6">
        <v>4600</v>
      </c>
      <c r="C607" t="s">
        <v>203</v>
      </c>
      <c r="D607" t="s">
        <v>2402</v>
      </c>
      <c r="E607">
        <v>78</v>
      </c>
      <c r="F607" t="s">
        <v>35</v>
      </c>
      <c r="G607" t="s">
        <v>2403</v>
      </c>
      <c r="H607" t="s">
        <v>2404</v>
      </c>
      <c r="I607" t="s">
        <v>203</v>
      </c>
      <c r="J607" t="s">
        <v>35</v>
      </c>
      <c r="K607" t="s">
        <v>2405</v>
      </c>
      <c r="L607" t="b">
        <v>1</v>
      </c>
      <c r="M607" t="s">
        <v>39</v>
      </c>
      <c r="N607" t="s">
        <v>8245</v>
      </c>
      <c r="O607" s="10">
        <v>16295</v>
      </c>
      <c r="P607" t="s">
        <v>1215</v>
      </c>
      <c r="Q607" t="s">
        <v>2406</v>
      </c>
      <c r="R607" t="s">
        <v>32</v>
      </c>
      <c r="S607" s="8">
        <v>45020.209027777775</v>
      </c>
      <c r="T607" t="s">
        <v>469</v>
      </c>
      <c r="U607" t="s">
        <v>44</v>
      </c>
      <c r="V607">
        <v>1944</v>
      </c>
      <c r="W607" s="12">
        <v>117.24</v>
      </c>
      <c r="X607">
        <v>7.5</v>
      </c>
      <c r="Y607" s="14">
        <v>21427700000000</v>
      </c>
      <c r="Z607">
        <v>88.2</v>
      </c>
      <c r="AA607">
        <v>101.8</v>
      </c>
      <c r="AB607">
        <v>9.6</v>
      </c>
      <c r="AC607">
        <v>36.6</v>
      </c>
      <c r="AD607">
        <v>328239523</v>
      </c>
    </row>
    <row r="608" spans="1:30" hidden="1" x14ac:dyDescent="0.45">
      <c r="A608">
        <v>591</v>
      </c>
      <c r="B608">
        <v>4600</v>
      </c>
      <c r="C608" t="s">
        <v>61</v>
      </c>
      <c r="D608" t="s">
        <v>2407</v>
      </c>
      <c r="E608">
        <v>62</v>
      </c>
      <c r="F608" t="s">
        <v>35</v>
      </c>
      <c r="G608" t="s">
        <v>247</v>
      </c>
      <c r="H608" t="s">
        <v>930</v>
      </c>
      <c r="I608" t="s">
        <v>61</v>
      </c>
      <c r="J608" t="s">
        <v>35</v>
      </c>
      <c r="L608" t="b">
        <v>1</v>
      </c>
      <c r="M608" t="s">
        <v>29</v>
      </c>
      <c r="N608" t="s">
        <v>8245</v>
      </c>
      <c r="O608" s="1">
        <v>22247</v>
      </c>
      <c r="P608" t="s">
        <v>2408</v>
      </c>
      <c r="Q608" t="s">
        <v>2100</v>
      </c>
      <c r="S608" s="1">
        <v>45020.209027777775</v>
      </c>
      <c r="T608" t="s">
        <v>253</v>
      </c>
      <c r="U608" t="s">
        <v>44</v>
      </c>
      <c r="V608">
        <v>1960</v>
      </c>
      <c r="W608">
        <v>117.24</v>
      </c>
      <c r="X608">
        <v>7.5</v>
      </c>
      <c r="Y608" s="2">
        <v>21427700000000</v>
      </c>
      <c r="Z608">
        <v>88.2</v>
      </c>
      <c r="AA608">
        <v>101.8</v>
      </c>
      <c r="AB608">
        <v>9.6</v>
      </c>
      <c r="AC608">
        <v>36.6</v>
      </c>
      <c r="AD608">
        <v>328239523</v>
      </c>
    </row>
    <row r="609" spans="1:30" hidden="1" x14ac:dyDescent="0.45">
      <c r="A609">
        <v>591</v>
      </c>
      <c r="B609">
        <v>4600</v>
      </c>
      <c r="C609" t="s">
        <v>296</v>
      </c>
      <c r="D609" t="s">
        <v>2409</v>
      </c>
      <c r="E609">
        <v>34</v>
      </c>
      <c r="F609" t="s">
        <v>194</v>
      </c>
      <c r="G609" t="s">
        <v>2410</v>
      </c>
      <c r="H609" t="s">
        <v>2411</v>
      </c>
      <c r="I609" t="s">
        <v>296</v>
      </c>
      <c r="J609" t="s">
        <v>194</v>
      </c>
      <c r="L609" t="b">
        <v>0</v>
      </c>
      <c r="M609" t="s">
        <v>39</v>
      </c>
      <c r="N609" t="s">
        <v>8245</v>
      </c>
      <c r="O609" s="1">
        <v>32550</v>
      </c>
      <c r="P609" t="s">
        <v>2412</v>
      </c>
      <c r="Q609" t="s">
        <v>2413</v>
      </c>
      <c r="S609" s="1">
        <v>45020.209027777775</v>
      </c>
      <c r="V609">
        <v>1989</v>
      </c>
      <c r="W609">
        <v>112.85</v>
      </c>
      <c r="X609">
        <v>1.4</v>
      </c>
      <c r="Y609" s="2">
        <v>3845630030824</v>
      </c>
      <c r="Z609">
        <v>70.2</v>
      </c>
      <c r="AA609">
        <v>104</v>
      </c>
      <c r="AB609">
        <v>11.5</v>
      </c>
      <c r="AC609">
        <v>48.8</v>
      </c>
      <c r="AD609">
        <v>83132799</v>
      </c>
    </row>
    <row r="610" spans="1:30" hidden="1" x14ac:dyDescent="0.45">
      <c r="A610">
        <v>591</v>
      </c>
      <c r="B610">
        <v>4600</v>
      </c>
      <c r="C610" t="s">
        <v>126</v>
      </c>
      <c r="D610" t="s">
        <v>2414</v>
      </c>
      <c r="E610">
        <v>52</v>
      </c>
      <c r="F610" t="s">
        <v>35</v>
      </c>
      <c r="G610" t="s">
        <v>2415</v>
      </c>
      <c r="H610" t="s">
        <v>2416</v>
      </c>
      <c r="I610" t="s">
        <v>126</v>
      </c>
      <c r="J610" t="s">
        <v>35</v>
      </c>
      <c r="L610" t="b">
        <v>1</v>
      </c>
      <c r="M610" t="s">
        <v>29</v>
      </c>
      <c r="N610" t="s">
        <v>8245</v>
      </c>
      <c r="O610" s="1">
        <v>25693</v>
      </c>
      <c r="P610" t="s">
        <v>2417</v>
      </c>
      <c r="Q610" t="s">
        <v>2418</v>
      </c>
      <c r="S610" s="1">
        <v>45020.209027777775</v>
      </c>
      <c r="T610" t="s">
        <v>253</v>
      </c>
      <c r="U610" t="s">
        <v>44</v>
      </c>
      <c r="V610">
        <v>1970</v>
      </c>
      <c r="W610">
        <v>117.24</v>
      </c>
      <c r="X610">
        <v>7.5</v>
      </c>
      <c r="Y610" s="2">
        <v>21427700000000</v>
      </c>
      <c r="Z610">
        <v>88.2</v>
      </c>
      <c r="AA610">
        <v>101.8</v>
      </c>
      <c r="AB610">
        <v>9.6</v>
      </c>
      <c r="AC610">
        <v>36.6</v>
      </c>
      <c r="AD610">
        <v>328239523</v>
      </c>
    </row>
    <row r="611" spans="1:30" hidden="1" x14ac:dyDescent="0.45">
      <c r="A611">
        <v>591</v>
      </c>
      <c r="B611">
        <v>4600</v>
      </c>
      <c r="C611" t="s">
        <v>402</v>
      </c>
      <c r="D611" t="s">
        <v>2419</v>
      </c>
      <c r="E611">
        <v>66</v>
      </c>
      <c r="F611" t="s">
        <v>128</v>
      </c>
      <c r="G611" t="s">
        <v>2420</v>
      </c>
      <c r="H611" t="s">
        <v>402</v>
      </c>
      <c r="I611" t="s">
        <v>402</v>
      </c>
      <c r="J611" t="s">
        <v>128</v>
      </c>
      <c r="L611" t="b">
        <v>1</v>
      </c>
      <c r="M611" t="s">
        <v>258</v>
      </c>
      <c r="N611" t="s">
        <v>8245</v>
      </c>
      <c r="O611" s="1">
        <v>20821</v>
      </c>
      <c r="P611" t="s">
        <v>2083</v>
      </c>
      <c r="Q611" t="s">
        <v>2421</v>
      </c>
      <c r="S611" s="1">
        <v>45020.209027777775</v>
      </c>
      <c r="V611">
        <v>1957</v>
      </c>
      <c r="W611">
        <v>125.08</v>
      </c>
      <c r="X611">
        <v>2.9</v>
      </c>
      <c r="Y611" s="2">
        <v>19910000000000</v>
      </c>
      <c r="Z611">
        <v>50.6</v>
      </c>
      <c r="AA611">
        <v>100.2</v>
      </c>
      <c r="AB611">
        <v>9.4</v>
      </c>
      <c r="AC611">
        <v>59.2</v>
      </c>
      <c r="AD611">
        <v>1397715000</v>
      </c>
    </row>
    <row r="612" spans="1:30" hidden="1" x14ac:dyDescent="0.45">
      <c r="A612">
        <v>611</v>
      </c>
      <c r="B612">
        <v>4500</v>
      </c>
      <c r="C612" t="s">
        <v>126</v>
      </c>
      <c r="D612" t="s">
        <v>2422</v>
      </c>
      <c r="E612">
        <v>55</v>
      </c>
      <c r="F612" t="s">
        <v>85</v>
      </c>
      <c r="H612" t="s">
        <v>2423</v>
      </c>
      <c r="I612" t="s">
        <v>126</v>
      </c>
      <c r="J612" t="s">
        <v>85</v>
      </c>
      <c r="L612" t="b">
        <v>0</v>
      </c>
      <c r="M612" t="s">
        <v>29</v>
      </c>
      <c r="N612" t="s">
        <v>8245</v>
      </c>
      <c r="O612" s="1">
        <v>24654</v>
      </c>
      <c r="P612" t="s">
        <v>2424</v>
      </c>
      <c r="Q612" t="s">
        <v>2425</v>
      </c>
      <c r="S612" s="1">
        <v>45020.209027777775</v>
      </c>
      <c r="V612">
        <v>1967</v>
      </c>
      <c r="W612">
        <v>141.54</v>
      </c>
      <c r="X612">
        <v>3.6</v>
      </c>
      <c r="Y612" s="2">
        <v>1258286717125</v>
      </c>
      <c r="Z612">
        <v>40.200000000000003</v>
      </c>
      <c r="AA612">
        <v>105.8</v>
      </c>
      <c r="AB612">
        <v>13.1</v>
      </c>
      <c r="AC612">
        <v>55.1</v>
      </c>
      <c r="AD612">
        <v>126014024</v>
      </c>
    </row>
    <row r="613" spans="1:30" hidden="1" x14ac:dyDescent="0.45">
      <c r="A613">
        <v>611</v>
      </c>
      <c r="B613">
        <v>4500</v>
      </c>
      <c r="C613" t="s">
        <v>45</v>
      </c>
      <c r="D613" t="s">
        <v>2426</v>
      </c>
      <c r="E613">
        <v>82</v>
      </c>
      <c r="F613" t="s">
        <v>194</v>
      </c>
      <c r="G613" t="s">
        <v>2427</v>
      </c>
      <c r="H613" t="s">
        <v>856</v>
      </c>
      <c r="I613" t="s">
        <v>45</v>
      </c>
      <c r="J613" t="s">
        <v>194</v>
      </c>
      <c r="L613" t="b">
        <v>1</v>
      </c>
      <c r="M613" t="s">
        <v>39</v>
      </c>
      <c r="N613" t="s">
        <v>8245</v>
      </c>
      <c r="O613" s="1">
        <v>14727</v>
      </c>
      <c r="P613" t="s">
        <v>2428</v>
      </c>
      <c r="Q613" t="s">
        <v>2429</v>
      </c>
      <c r="S613" s="1">
        <v>45020.209027777775</v>
      </c>
      <c r="V613">
        <v>1940</v>
      </c>
      <c r="W613">
        <v>112.85</v>
      </c>
      <c r="X613">
        <v>1.4</v>
      </c>
      <c r="Y613" s="2">
        <v>3845630030824</v>
      </c>
      <c r="Z613">
        <v>70.2</v>
      </c>
      <c r="AA613">
        <v>104</v>
      </c>
      <c r="AB613">
        <v>11.5</v>
      </c>
      <c r="AC613">
        <v>48.8</v>
      </c>
      <c r="AD613">
        <v>83132799</v>
      </c>
    </row>
    <row r="614" spans="1:30" hidden="1" x14ac:dyDescent="0.45">
      <c r="A614">
        <v>611</v>
      </c>
      <c r="B614">
        <v>4500</v>
      </c>
      <c r="C614" t="s">
        <v>45</v>
      </c>
      <c r="D614" t="s">
        <v>2430</v>
      </c>
      <c r="E614">
        <v>56</v>
      </c>
      <c r="F614" t="s">
        <v>128</v>
      </c>
      <c r="G614" t="s">
        <v>2431</v>
      </c>
      <c r="H614" t="s">
        <v>2432</v>
      </c>
      <c r="I614" t="s">
        <v>45</v>
      </c>
      <c r="J614" t="s">
        <v>128</v>
      </c>
      <c r="L614" t="b">
        <v>1</v>
      </c>
      <c r="M614" t="s">
        <v>39</v>
      </c>
      <c r="N614" t="s">
        <v>8245</v>
      </c>
      <c r="O614" s="1">
        <v>24366</v>
      </c>
      <c r="P614" t="s">
        <v>748</v>
      </c>
      <c r="Q614" t="s">
        <v>2433</v>
      </c>
      <c r="S614" s="1">
        <v>45020.209027777775</v>
      </c>
      <c r="V614">
        <v>1966</v>
      </c>
      <c r="W614">
        <v>125.08</v>
      </c>
      <c r="X614">
        <v>2.9</v>
      </c>
      <c r="Y614" s="2">
        <v>19910000000000</v>
      </c>
      <c r="Z614">
        <v>50.6</v>
      </c>
      <c r="AA614">
        <v>100.2</v>
      </c>
      <c r="AB614">
        <v>9.4</v>
      </c>
      <c r="AC614">
        <v>59.2</v>
      </c>
      <c r="AD614">
        <v>1397715000</v>
      </c>
    </row>
    <row r="615" spans="1:30" hidden="1" x14ac:dyDescent="0.45">
      <c r="A615">
        <v>611</v>
      </c>
      <c r="B615">
        <v>4500</v>
      </c>
      <c r="C615" t="s">
        <v>45</v>
      </c>
      <c r="D615" t="s">
        <v>2434</v>
      </c>
      <c r="E615">
        <v>54</v>
      </c>
      <c r="F615" t="s">
        <v>35</v>
      </c>
      <c r="G615" t="s">
        <v>36</v>
      </c>
      <c r="H615" t="s">
        <v>856</v>
      </c>
      <c r="I615" t="s">
        <v>45</v>
      </c>
      <c r="J615" t="s">
        <v>35</v>
      </c>
      <c r="L615" t="b">
        <v>1</v>
      </c>
      <c r="M615" t="s">
        <v>29</v>
      </c>
      <c r="N615" t="s">
        <v>8245</v>
      </c>
      <c r="O615" s="1">
        <v>25055</v>
      </c>
      <c r="P615" t="s">
        <v>2435</v>
      </c>
      <c r="Q615" t="s">
        <v>717</v>
      </c>
      <c r="S615" s="1">
        <v>45020.209027777775</v>
      </c>
      <c r="T615" t="s">
        <v>43</v>
      </c>
      <c r="U615" t="s">
        <v>44</v>
      </c>
      <c r="V615">
        <v>1968</v>
      </c>
      <c r="W615">
        <v>117.24</v>
      </c>
      <c r="X615">
        <v>7.5</v>
      </c>
      <c r="Y615" s="2">
        <v>21427700000000</v>
      </c>
      <c r="Z615">
        <v>88.2</v>
      </c>
      <c r="AA615">
        <v>101.8</v>
      </c>
      <c r="AB615">
        <v>9.6</v>
      </c>
      <c r="AC615">
        <v>36.6</v>
      </c>
      <c r="AD615">
        <v>328239523</v>
      </c>
    </row>
    <row r="616" spans="1:30" hidden="1" x14ac:dyDescent="0.45">
      <c r="A616">
        <v>611</v>
      </c>
      <c r="B616">
        <v>4500</v>
      </c>
      <c r="C616" t="s">
        <v>126</v>
      </c>
      <c r="D616" t="s">
        <v>2436</v>
      </c>
      <c r="E616">
        <v>83</v>
      </c>
      <c r="F616" t="s">
        <v>205</v>
      </c>
      <c r="G616" t="s">
        <v>601</v>
      </c>
      <c r="H616" t="s">
        <v>2437</v>
      </c>
      <c r="I616" t="s">
        <v>126</v>
      </c>
      <c r="J616" t="s">
        <v>194</v>
      </c>
      <c r="L616" t="b">
        <v>0</v>
      </c>
      <c r="M616" t="s">
        <v>39</v>
      </c>
      <c r="N616" t="s">
        <v>8245</v>
      </c>
      <c r="O616" s="1">
        <v>14640</v>
      </c>
      <c r="P616" t="s">
        <v>2438</v>
      </c>
      <c r="Q616" t="s">
        <v>565</v>
      </c>
      <c r="S616" s="1">
        <v>45020.209027777775</v>
      </c>
      <c r="V616">
        <v>1940</v>
      </c>
      <c r="W616">
        <v>99.55</v>
      </c>
      <c r="X616">
        <v>0.4</v>
      </c>
      <c r="Y616" s="2">
        <v>703082435360</v>
      </c>
      <c r="Z616">
        <v>59.6</v>
      </c>
      <c r="AA616">
        <v>105.2</v>
      </c>
      <c r="AB616">
        <v>10.1</v>
      </c>
      <c r="AC616">
        <v>28.8</v>
      </c>
      <c r="AD616">
        <v>8574832</v>
      </c>
    </row>
    <row r="617" spans="1:30" hidden="1" x14ac:dyDescent="0.45">
      <c r="A617">
        <v>611</v>
      </c>
      <c r="B617">
        <v>4500</v>
      </c>
      <c r="C617" t="s">
        <v>45</v>
      </c>
      <c r="D617" t="s">
        <v>2439</v>
      </c>
      <c r="E617">
        <v>76</v>
      </c>
      <c r="F617" t="s">
        <v>93</v>
      </c>
      <c r="G617" t="s">
        <v>1015</v>
      </c>
      <c r="H617" t="s">
        <v>1016</v>
      </c>
      <c r="I617" t="s">
        <v>45</v>
      </c>
      <c r="J617" t="s">
        <v>93</v>
      </c>
      <c r="L617" t="b">
        <v>1</v>
      </c>
      <c r="M617" t="s">
        <v>29</v>
      </c>
      <c r="N617" t="s">
        <v>8245</v>
      </c>
      <c r="O617" s="1">
        <v>17034</v>
      </c>
      <c r="P617" t="s">
        <v>2440</v>
      </c>
      <c r="Q617" t="s">
        <v>2441</v>
      </c>
      <c r="S617" s="1">
        <v>45020.209027777775</v>
      </c>
      <c r="V617">
        <v>1946</v>
      </c>
      <c r="W617">
        <v>180.44</v>
      </c>
      <c r="X617">
        <v>7.7</v>
      </c>
      <c r="Y617" s="2">
        <v>2611000000000</v>
      </c>
      <c r="Z617">
        <v>28.1</v>
      </c>
      <c r="AA617">
        <v>113</v>
      </c>
      <c r="AB617">
        <v>11.2</v>
      </c>
      <c r="AC617">
        <v>49.7</v>
      </c>
      <c r="AD617">
        <v>1366417754</v>
      </c>
    </row>
    <row r="618" spans="1:30" hidden="1" x14ac:dyDescent="0.45">
      <c r="A618">
        <v>611</v>
      </c>
      <c r="B618">
        <v>4500</v>
      </c>
      <c r="C618" t="s">
        <v>23</v>
      </c>
      <c r="D618" t="s">
        <v>2442</v>
      </c>
      <c r="E618">
        <v>71</v>
      </c>
      <c r="F618" t="s">
        <v>1297</v>
      </c>
      <c r="G618" t="s">
        <v>2443</v>
      </c>
      <c r="H618" t="s">
        <v>1089</v>
      </c>
      <c r="I618" t="s">
        <v>23</v>
      </c>
      <c r="J618" t="s">
        <v>1297</v>
      </c>
      <c r="L618" t="b">
        <v>0</v>
      </c>
      <c r="M618" t="s">
        <v>39</v>
      </c>
      <c r="N618" t="s">
        <v>8245</v>
      </c>
      <c r="O618" s="1">
        <v>18882</v>
      </c>
      <c r="P618" t="s">
        <v>2444</v>
      </c>
      <c r="Q618" t="s">
        <v>2445</v>
      </c>
      <c r="S618" s="1">
        <v>45020.209027777775</v>
      </c>
      <c r="V618">
        <v>1951</v>
      </c>
      <c r="W618">
        <v>120.27</v>
      </c>
      <c r="X618">
        <v>2.2000000000000002</v>
      </c>
      <c r="Y618" s="2">
        <v>403336363636</v>
      </c>
      <c r="Z618">
        <v>82</v>
      </c>
      <c r="AA618">
        <v>100.3</v>
      </c>
      <c r="AB618">
        <v>23.9</v>
      </c>
      <c r="AC618">
        <v>36.200000000000003</v>
      </c>
      <c r="AD618">
        <v>5347896</v>
      </c>
    </row>
    <row r="619" spans="1:30" hidden="1" x14ac:dyDescent="0.45">
      <c r="A619">
        <v>611</v>
      </c>
      <c r="B619">
        <v>4500</v>
      </c>
      <c r="C619" t="s">
        <v>61</v>
      </c>
      <c r="D619" t="s">
        <v>2446</v>
      </c>
      <c r="E619">
        <v>60</v>
      </c>
      <c r="F619" t="s">
        <v>35</v>
      </c>
      <c r="G619" t="s">
        <v>78</v>
      </c>
      <c r="H619" t="s">
        <v>930</v>
      </c>
      <c r="I619" t="s">
        <v>61</v>
      </c>
      <c r="J619" t="s">
        <v>35</v>
      </c>
      <c r="L619" t="b">
        <v>1</v>
      </c>
      <c r="M619" t="s">
        <v>39</v>
      </c>
      <c r="N619" t="s">
        <v>8245</v>
      </c>
      <c r="O619" s="1">
        <v>22877</v>
      </c>
      <c r="P619" t="s">
        <v>2447</v>
      </c>
      <c r="Q619" t="s">
        <v>1461</v>
      </c>
      <c r="S619" s="1">
        <v>45020.209027777775</v>
      </c>
      <c r="T619" t="s">
        <v>78</v>
      </c>
      <c r="U619" t="s">
        <v>82</v>
      </c>
      <c r="V619">
        <v>1962</v>
      </c>
      <c r="W619">
        <v>117.24</v>
      </c>
      <c r="X619">
        <v>7.5</v>
      </c>
      <c r="Y619" s="2">
        <v>21427700000000</v>
      </c>
      <c r="Z619">
        <v>88.2</v>
      </c>
      <c r="AA619">
        <v>101.8</v>
      </c>
      <c r="AB619">
        <v>9.6</v>
      </c>
      <c r="AC619">
        <v>36.6</v>
      </c>
      <c r="AD619">
        <v>328239523</v>
      </c>
    </row>
    <row r="620" spans="1:30" hidden="1" x14ac:dyDescent="0.45">
      <c r="A620">
        <v>611</v>
      </c>
      <c r="B620">
        <v>4500</v>
      </c>
      <c r="C620" t="s">
        <v>302</v>
      </c>
      <c r="D620" t="s">
        <v>2448</v>
      </c>
      <c r="E620">
        <v>70</v>
      </c>
      <c r="F620" t="s">
        <v>360</v>
      </c>
      <c r="G620" t="s">
        <v>767</v>
      </c>
      <c r="H620" t="s">
        <v>304</v>
      </c>
      <c r="I620" t="s">
        <v>302</v>
      </c>
      <c r="J620" t="s">
        <v>360</v>
      </c>
      <c r="L620" t="b">
        <v>1</v>
      </c>
      <c r="M620" t="s">
        <v>29</v>
      </c>
      <c r="N620" t="s">
        <v>8245</v>
      </c>
      <c r="O620" s="1">
        <v>19419</v>
      </c>
      <c r="P620" t="s">
        <v>2449</v>
      </c>
      <c r="Q620" t="s">
        <v>2450</v>
      </c>
      <c r="S620" s="1">
        <v>45020.209027777775</v>
      </c>
      <c r="V620">
        <v>1953</v>
      </c>
      <c r="W620">
        <v>114.52</v>
      </c>
      <c r="X620">
        <v>-1.9</v>
      </c>
      <c r="Y620" s="2">
        <v>421142267938</v>
      </c>
      <c r="Z620">
        <v>36.799999999999997</v>
      </c>
      <c r="AA620">
        <v>108.4</v>
      </c>
      <c r="AB620">
        <v>0.1</v>
      </c>
      <c r="AC620">
        <v>15.9</v>
      </c>
      <c r="AD620">
        <v>9770529</v>
      </c>
    </row>
    <row r="621" spans="1:30" hidden="1" x14ac:dyDescent="0.45">
      <c r="A621">
        <v>611</v>
      </c>
      <c r="B621">
        <v>4500</v>
      </c>
      <c r="C621" t="s">
        <v>61</v>
      </c>
      <c r="D621" t="s">
        <v>2451</v>
      </c>
      <c r="E621">
        <v>41</v>
      </c>
      <c r="F621" t="s">
        <v>558</v>
      </c>
      <c r="G621" t="s">
        <v>839</v>
      </c>
      <c r="H621" t="s">
        <v>1418</v>
      </c>
      <c r="I621" t="s">
        <v>61</v>
      </c>
      <c r="J621" t="s">
        <v>1712</v>
      </c>
      <c r="L621" t="b">
        <v>1</v>
      </c>
      <c r="M621" t="s">
        <v>39</v>
      </c>
      <c r="N621" t="s">
        <v>8245</v>
      </c>
      <c r="O621" s="1">
        <v>29861</v>
      </c>
      <c r="P621" t="s">
        <v>2452</v>
      </c>
      <c r="Q621" t="s">
        <v>169</v>
      </c>
      <c r="S621" s="1">
        <v>45020.209027777775</v>
      </c>
      <c r="V621">
        <v>1981</v>
      </c>
      <c r="W621">
        <v>167.4</v>
      </c>
      <c r="X621">
        <v>3.7</v>
      </c>
      <c r="Y621" s="2">
        <v>1839758040766</v>
      </c>
      <c r="Z621">
        <v>51.3</v>
      </c>
      <c r="AA621">
        <v>115.4</v>
      </c>
      <c r="AB621">
        <v>14.2</v>
      </c>
      <c r="AC621">
        <v>65.099999999999994</v>
      </c>
      <c r="AD621">
        <v>212559417</v>
      </c>
    </row>
    <row r="622" spans="1:30" hidden="1" x14ac:dyDescent="0.45">
      <c r="A622">
        <v>611</v>
      </c>
      <c r="B622">
        <v>4500</v>
      </c>
      <c r="C622" t="s">
        <v>296</v>
      </c>
      <c r="D622" t="s">
        <v>2453</v>
      </c>
      <c r="E622">
        <v>59</v>
      </c>
      <c r="F622" t="s">
        <v>128</v>
      </c>
      <c r="G622" t="s">
        <v>719</v>
      </c>
      <c r="H622" t="s">
        <v>399</v>
      </c>
      <c r="I622" t="s">
        <v>296</v>
      </c>
      <c r="J622" t="s">
        <v>128</v>
      </c>
      <c r="L622" t="b">
        <v>1</v>
      </c>
      <c r="M622" t="s">
        <v>39</v>
      </c>
      <c r="N622" t="s">
        <v>8245</v>
      </c>
      <c r="O622" s="1">
        <v>23377</v>
      </c>
      <c r="P622" t="s">
        <v>646</v>
      </c>
      <c r="Q622" t="s">
        <v>2454</v>
      </c>
      <c r="S622" s="1">
        <v>45020.209027777775</v>
      </c>
      <c r="V622">
        <v>1964</v>
      </c>
      <c r="W622">
        <v>125.08</v>
      </c>
      <c r="X622">
        <v>2.9</v>
      </c>
      <c r="Y622" s="2">
        <v>19910000000000</v>
      </c>
      <c r="Z622">
        <v>50.6</v>
      </c>
      <c r="AA622">
        <v>100.2</v>
      </c>
      <c r="AB622">
        <v>9.4</v>
      </c>
      <c r="AC622">
        <v>59.2</v>
      </c>
      <c r="AD622">
        <v>1397715000</v>
      </c>
    </row>
    <row r="623" spans="1:30" hidden="1" x14ac:dyDescent="0.45">
      <c r="A623">
        <v>611</v>
      </c>
      <c r="B623">
        <v>4500</v>
      </c>
      <c r="C623" t="s">
        <v>91</v>
      </c>
      <c r="D623" t="s">
        <v>2455</v>
      </c>
      <c r="E623">
        <v>72</v>
      </c>
      <c r="F623" t="s">
        <v>1259</v>
      </c>
      <c r="G623" t="s">
        <v>1260</v>
      </c>
      <c r="H623" t="s">
        <v>196</v>
      </c>
      <c r="I623" t="s">
        <v>91</v>
      </c>
      <c r="J623" t="s">
        <v>1259</v>
      </c>
      <c r="L623" t="b">
        <v>0</v>
      </c>
      <c r="M623" t="s">
        <v>39</v>
      </c>
      <c r="N623" t="s">
        <v>8245</v>
      </c>
      <c r="O623" s="1">
        <v>18491</v>
      </c>
      <c r="P623" t="s">
        <v>2456</v>
      </c>
      <c r="Q623" t="s">
        <v>2457</v>
      </c>
      <c r="S623" s="1">
        <v>45020.209027777775</v>
      </c>
      <c r="V623">
        <v>1950</v>
      </c>
      <c r="W623"/>
      <c r="Y623"/>
    </row>
    <row r="624" spans="1:30" hidden="1" x14ac:dyDescent="0.45">
      <c r="A624">
        <v>611</v>
      </c>
      <c r="B624">
        <v>4500</v>
      </c>
      <c r="C624" t="s">
        <v>296</v>
      </c>
      <c r="D624" t="s">
        <v>2458</v>
      </c>
      <c r="E624">
        <v>65</v>
      </c>
      <c r="F624" t="s">
        <v>128</v>
      </c>
      <c r="G624" t="s">
        <v>2459</v>
      </c>
      <c r="H624" t="s">
        <v>2460</v>
      </c>
      <c r="I624" t="s">
        <v>296</v>
      </c>
      <c r="J624" t="s">
        <v>128</v>
      </c>
      <c r="L624" t="b">
        <v>1</v>
      </c>
      <c r="M624" t="s">
        <v>39</v>
      </c>
      <c r="N624" t="s">
        <v>8245</v>
      </c>
      <c r="O624" s="1">
        <v>21206</v>
      </c>
      <c r="P624" t="s">
        <v>2461</v>
      </c>
      <c r="Q624" t="s">
        <v>2462</v>
      </c>
      <c r="S624" s="1">
        <v>45020.209027777775</v>
      </c>
      <c r="V624">
        <v>1958</v>
      </c>
      <c r="W624">
        <v>125.08</v>
      </c>
      <c r="X624">
        <v>2.9</v>
      </c>
      <c r="Y624" s="2">
        <v>19910000000000</v>
      </c>
      <c r="Z624">
        <v>50.6</v>
      </c>
      <c r="AA624">
        <v>100.2</v>
      </c>
      <c r="AB624">
        <v>9.4</v>
      </c>
      <c r="AC624">
        <v>59.2</v>
      </c>
      <c r="AD624">
        <v>1397715000</v>
      </c>
    </row>
    <row r="625" spans="1:30" hidden="1" x14ac:dyDescent="0.45">
      <c r="A625">
        <v>624</v>
      </c>
      <c r="B625">
        <v>4400</v>
      </c>
      <c r="C625" t="s">
        <v>402</v>
      </c>
      <c r="D625" t="s">
        <v>2463</v>
      </c>
      <c r="E625">
        <v>50</v>
      </c>
      <c r="F625" t="s">
        <v>35</v>
      </c>
      <c r="G625" t="s">
        <v>1549</v>
      </c>
      <c r="H625" t="s">
        <v>2464</v>
      </c>
      <c r="I625" t="s">
        <v>402</v>
      </c>
      <c r="J625" t="s">
        <v>25</v>
      </c>
      <c r="L625" t="b">
        <v>1</v>
      </c>
      <c r="M625" t="s">
        <v>39</v>
      </c>
      <c r="N625" t="s">
        <v>8245</v>
      </c>
      <c r="O625" s="1">
        <v>26500</v>
      </c>
      <c r="P625" t="s">
        <v>2465</v>
      </c>
      <c r="Q625" t="s">
        <v>2466</v>
      </c>
      <c r="S625" s="1">
        <v>45020.209027777775</v>
      </c>
      <c r="T625" t="s">
        <v>427</v>
      </c>
      <c r="U625" t="s">
        <v>82</v>
      </c>
      <c r="V625">
        <v>1972</v>
      </c>
      <c r="W625">
        <v>117.24</v>
      </c>
      <c r="X625">
        <v>7.5</v>
      </c>
      <c r="Y625" s="2">
        <v>21427700000000</v>
      </c>
      <c r="Z625">
        <v>88.2</v>
      </c>
      <c r="AA625">
        <v>101.8</v>
      </c>
      <c r="AB625">
        <v>9.6</v>
      </c>
      <c r="AC625">
        <v>36.6</v>
      </c>
      <c r="AD625">
        <v>328239523</v>
      </c>
    </row>
    <row r="626" spans="1:30" hidden="1" x14ac:dyDescent="0.45">
      <c r="A626">
        <v>624</v>
      </c>
      <c r="B626">
        <v>4400</v>
      </c>
      <c r="C626" t="s">
        <v>45</v>
      </c>
      <c r="D626" t="s">
        <v>2467</v>
      </c>
      <c r="E626">
        <v>89</v>
      </c>
      <c r="F626" t="s">
        <v>35</v>
      </c>
      <c r="G626" t="s">
        <v>704</v>
      </c>
      <c r="H626" t="s">
        <v>2468</v>
      </c>
      <c r="I626" t="s">
        <v>45</v>
      </c>
      <c r="J626" t="s">
        <v>35</v>
      </c>
      <c r="L626" t="b">
        <v>0</v>
      </c>
      <c r="M626" t="s">
        <v>29</v>
      </c>
      <c r="N626" t="s">
        <v>8246</v>
      </c>
      <c r="O626" s="1">
        <v>12373</v>
      </c>
      <c r="P626" t="s">
        <v>2469</v>
      </c>
      <c r="Q626" t="s">
        <v>2470</v>
      </c>
      <c r="S626" s="1">
        <v>45020.209027777775</v>
      </c>
      <c r="T626" t="s">
        <v>43</v>
      </c>
      <c r="U626" t="s">
        <v>44</v>
      </c>
      <c r="V626">
        <v>1933</v>
      </c>
      <c r="W626">
        <v>117.24</v>
      </c>
      <c r="X626">
        <v>7.5</v>
      </c>
      <c r="Y626" s="2">
        <v>21427700000000</v>
      </c>
      <c r="Z626">
        <v>88.2</v>
      </c>
      <c r="AA626">
        <v>101.8</v>
      </c>
      <c r="AB626">
        <v>9.6</v>
      </c>
      <c r="AC626">
        <v>36.6</v>
      </c>
      <c r="AD626">
        <v>328239523</v>
      </c>
    </row>
    <row r="627" spans="1:30" hidden="1" x14ac:dyDescent="0.45">
      <c r="A627">
        <v>624</v>
      </c>
      <c r="B627">
        <v>4400</v>
      </c>
      <c r="C627" t="s">
        <v>296</v>
      </c>
      <c r="D627" t="s">
        <v>2471</v>
      </c>
      <c r="E627">
        <v>88</v>
      </c>
      <c r="F627" t="s">
        <v>35</v>
      </c>
      <c r="G627" t="s">
        <v>2472</v>
      </c>
      <c r="H627" t="s">
        <v>2473</v>
      </c>
      <c r="I627" t="s">
        <v>296</v>
      </c>
      <c r="J627" t="s">
        <v>35</v>
      </c>
      <c r="L627" t="b">
        <v>1</v>
      </c>
      <c r="M627" t="s">
        <v>29</v>
      </c>
      <c r="N627" t="s">
        <v>8245</v>
      </c>
      <c r="O627" s="1">
        <v>12878</v>
      </c>
      <c r="P627" t="s">
        <v>2474</v>
      </c>
      <c r="Q627" t="s">
        <v>2475</v>
      </c>
      <c r="S627" s="1">
        <v>45020.209027777775</v>
      </c>
      <c r="T627" t="s">
        <v>115</v>
      </c>
      <c r="U627" t="s">
        <v>53</v>
      </c>
      <c r="V627">
        <v>1935</v>
      </c>
      <c r="W627">
        <v>117.24</v>
      </c>
      <c r="X627">
        <v>7.5</v>
      </c>
      <c r="Y627" s="2">
        <v>21427700000000</v>
      </c>
      <c r="Z627">
        <v>88.2</v>
      </c>
      <c r="AA627">
        <v>101.8</v>
      </c>
      <c r="AB627">
        <v>9.6</v>
      </c>
      <c r="AC627">
        <v>36.6</v>
      </c>
      <c r="AD627">
        <v>328239523</v>
      </c>
    </row>
    <row r="628" spans="1:30" hidden="1" x14ac:dyDescent="0.45">
      <c r="A628">
        <v>624</v>
      </c>
      <c r="B628">
        <v>4400</v>
      </c>
      <c r="C628" t="s">
        <v>436</v>
      </c>
      <c r="D628" t="s">
        <v>2476</v>
      </c>
      <c r="E628">
        <v>63</v>
      </c>
      <c r="F628" t="s">
        <v>35</v>
      </c>
      <c r="G628" t="s">
        <v>2477</v>
      </c>
      <c r="H628" t="s">
        <v>2478</v>
      </c>
      <c r="I628" t="s">
        <v>436</v>
      </c>
      <c r="J628" t="s">
        <v>35</v>
      </c>
      <c r="L628" t="b">
        <v>1</v>
      </c>
      <c r="M628" t="s">
        <v>29</v>
      </c>
      <c r="N628" t="s">
        <v>8245</v>
      </c>
      <c r="O628" s="1">
        <v>21988</v>
      </c>
      <c r="P628" t="s">
        <v>2221</v>
      </c>
      <c r="Q628" t="s">
        <v>153</v>
      </c>
      <c r="S628" s="1">
        <v>45020.209027777775</v>
      </c>
      <c r="T628" t="s">
        <v>1681</v>
      </c>
      <c r="U628" t="s">
        <v>44</v>
      </c>
      <c r="V628">
        <v>1960</v>
      </c>
      <c r="W628">
        <v>117.24</v>
      </c>
      <c r="X628">
        <v>7.5</v>
      </c>
      <c r="Y628" s="2">
        <v>21427700000000</v>
      </c>
      <c r="Z628">
        <v>88.2</v>
      </c>
      <c r="AA628">
        <v>101.8</v>
      </c>
      <c r="AB628">
        <v>9.6</v>
      </c>
      <c r="AC628">
        <v>36.6</v>
      </c>
      <c r="AD628">
        <v>328239523</v>
      </c>
    </row>
    <row r="629" spans="1:30" hidden="1" x14ac:dyDescent="0.45">
      <c r="A629">
        <v>624</v>
      </c>
      <c r="B629">
        <v>4400</v>
      </c>
      <c r="C629" t="s">
        <v>689</v>
      </c>
      <c r="D629" t="s">
        <v>2479</v>
      </c>
      <c r="E629">
        <v>64</v>
      </c>
      <c r="F629" t="s">
        <v>117</v>
      </c>
      <c r="G629" t="s">
        <v>2480</v>
      </c>
      <c r="H629" t="s">
        <v>2481</v>
      </c>
      <c r="I629" t="s">
        <v>689</v>
      </c>
      <c r="J629" t="s">
        <v>117</v>
      </c>
      <c r="L629" t="b">
        <v>0</v>
      </c>
      <c r="M629" t="s">
        <v>29</v>
      </c>
      <c r="N629" t="s">
        <v>8245</v>
      </c>
      <c r="O629" s="1">
        <v>21384</v>
      </c>
      <c r="P629" t="s">
        <v>2482</v>
      </c>
      <c r="Q629" t="s">
        <v>2483</v>
      </c>
      <c r="S629" s="1">
        <v>45020.209027777775</v>
      </c>
      <c r="V629">
        <v>1958</v>
      </c>
      <c r="W629">
        <v>110.96</v>
      </c>
      <c r="X629">
        <v>0.7</v>
      </c>
      <c r="Y629" s="2">
        <v>1394116310769</v>
      </c>
      <c r="Z629">
        <v>88.9</v>
      </c>
      <c r="AA629">
        <v>102.7</v>
      </c>
      <c r="AB629">
        <v>14.2</v>
      </c>
      <c r="AC629">
        <v>47</v>
      </c>
      <c r="AD629">
        <v>47076781</v>
      </c>
    </row>
    <row r="630" spans="1:30" hidden="1" x14ac:dyDescent="0.45">
      <c r="A630">
        <v>624</v>
      </c>
      <c r="B630">
        <v>4400</v>
      </c>
      <c r="C630" t="s">
        <v>402</v>
      </c>
      <c r="D630" t="s">
        <v>2484</v>
      </c>
      <c r="E630">
        <v>81</v>
      </c>
      <c r="F630" t="s">
        <v>205</v>
      </c>
      <c r="G630" t="s">
        <v>2485</v>
      </c>
      <c r="H630" t="s">
        <v>2486</v>
      </c>
      <c r="I630" t="s">
        <v>402</v>
      </c>
      <c r="J630" t="s">
        <v>205</v>
      </c>
      <c r="L630" t="b">
        <v>1</v>
      </c>
      <c r="M630" t="s">
        <v>39</v>
      </c>
      <c r="N630" t="s">
        <v>8245</v>
      </c>
      <c r="O630" s="1">
        <v>15351</v>
      </c>
      <c r="P630" t="s">
        <v>2487</v>
      </c>
      <c r="Q630" t="s">
        <v>608</v>
      </c>
      <c r="S630" s="1">
        <v>45020.209027777775</v>
      </c>
      <c r="V630">
        <v>1942</v>
      </c>
      <c r="W630">
        <v>99.55</v>
      </c>
      <c r="X630">
        <v>0.4</v>
      </c>
      <c r="Y630" s="2">
        <v>703082435360</v>
      </c>
      <c r="Z630">
        <v>59.6</v>
      </c>
      <c r="AA630">
        <v>105.2</v>
      </c>
      <c r="AB630">
        <v>10.1</v>
      </c>
      <c r="AC630">
        <v>28.8</v>
      </c>
      <c r="AD630">
        <v>8574832</v>
      </c>
    </row>
    <row r="631" spans="1:30" hidden="1" x14ac:dyDescent="0.45">
      <c r="A631">
        <v>624</v>
      </c>
      <c r="B631">
        <v>4400</v>
      </c>
      <c r="C631" t="s">
        <v>23</v>
      </c>
      <c r="D631" t="s">
        <v>2488</v>
      </c>
      <c r="E631">
        <v>58</v>
      </c>
      <c r="F631" t="s">
        <v>194</v>
      </c>
      <c r="G631" t="s">
        <v>1665</v>
      </c>
      <c r="H631" t="s">
        <v>196</v>
      </c>
      <c r="I631" t="s">
        <v>23</v>
      </c>
      <c r="J631" t="s">
        <v>194</v>
      </c>
      <c r="L631" t="b">
        <v>0</v>
      </c>
      <c r="M631" t="s">
        <v>611</v>
      </c>
      <c r="N631" t="s">
        <v>8245</v>
      </c>
      <c r="O631" s="1">
        <v>23580</v>
      </c>
      <c r="P631" t="s">
        <v>2489</v>
      </c>
      <c r="Q631" t="s">
        <v>2490</v>
      </c>
      <c r="S631" s="1">
        <v>45020.209027777775</v>
      </c>
      <c r="V631">
        <v>1964</v>
      </c>
      <c r="W631">
        <v>112.85</v>
      </c>
      <c r="X631">
        <v>1.4</v>
      </c>
      <c r="Y631" s="2">
        <v>3845630030824</v>
      </c>
      <c r="Z631">
        <v>70.2</v>
      </c>
      <c r="AA631">
        <v>104</v>
      </c>
      <c r="AB631">
        <v>11.5</v>
      </c>
      <c r="AC631">
        <v>48.8</v>
      </c>
      <c r="AD631">
        <v>83132799</v>
      </c>
    </row>
    <row r="632" spans="1:30" hidden="1" x14ac:dyDescent="0.45">
      <c r="A632">
        <v>624</v>
      </c>
      <c r="B632">
        <v>4400</v>
      </c>
      <c r="C632" t="s">
        <v>302</v>
      </c>
      <c r="D632" t="s">
        <v>2491</v>
      </c>
      <c r="E632">
        <v>67</v>
      </c>
      <c r="F632" t="s">
        <v>93</v>
      </c>
      <c r="G632" t="s">
        <v>94</v>
      </c>
      <c r="H632" t="s">
        <v>304</v>
      </c>
      <c r="I632" t="s">
        <v>302</v>
      </c>
      <c r="J632" t="s">
        <v>93</v>
      </c>
      <c r="L632" t="b">
        <v>1</v>
      </c>
      <c r="M632" t="s">
        <v>39</v>
      </c>
      <c r="N632" t="s">
        <v>8245</v>
      </c>
      <c r="O632" s="1">
        <v>20424</v>
      </c>
      <c r="P632" t="s">
        <v>2492</v>
      </c>
      <c r="Q632" t="s">
        <v>2493</v>
      </c>
      <c r="S632" s="1">
        <v>45020.209027777775</v>
      </c>
      <c r="V632">
        <v>1955</v>
      </c>
      <c r="W632">
        <v>180.44</v>
      </c>
      <c r="X632">
        <v>7.7</v>
      </c>
      <c r="Y632" s="2">
        <v>2611000000000</v>
      </c>
      <c r="Z632">
        <v>28.1</v>
      </c>
      <c r="AA632">
        <v>113</v>
      </c>
      <c r="AB632">
        <v>11.2</v>
      </c>
      <c r="AC632">
        <v>49.7</v>
      </c>
      <c r="AD632">
        <v>1366417754</v>
      </c>
    </row>
    <row r="633" spans="1:30" hidden="1" x14ac:dyDescent="0.45">
      <c r="A633">
        <v>624</v>
      </c>
      <c r="B633">
        <v>4400</v>
      </c>
      <c r="C633" t="s">
        <v>702</v>
      </c>
      <c r="D633" t="s">
        <v>2494</v>
      </c>
      <c r="E633">
        <v>71</v>
      </c>
      <c r="F633" t="s">
        <v>35</v>
      </c>
      <c r="G633" t="s">
        <v>2495</v>
      </c>
      <c r="H633" t="s">
        <v>2496</v>
      </c>
      <c r="I633" t="s">
        <v>702</v>
      </c>
      <c r="J633" t="s">
        <v>35</v>
      </c>
      <c r="L633" t="b">
        <v>0</v>
      </c>
      <c r="M633" t="s">
        <v>29</v>
      </c>
      <c r="N633" t="s">
        <v>8245</v>
      </c>
      <c r="O633" s="1">
        <v>18879</v>
      </c>
      <c r="P633" t="s">
        <v>2497</v>
      </c>
      <c r="Q633" t="s">
        <v>2498</v>
      </c>
      <c r="S633" s="1">
        <v>45020.209027777775</v>
      </c>
      <c r="T633" t="s">
        <v>311</v>
      </c>
      <c r="U633" t="s">
        <v>82</v>
      </c>
      <c r="V633">
        <v>1951</v>
      </c>
      <c r="W633">
        <v>117.24</v>
      </c>
      <c r="X633">
        <v>7.5</v>
      </c>
      <c r="Y633" s="2">
        <v>21427700000000</v>
      </c>
      <c r="Z633">
        <v>88.2</v>
      </c>
      <c r="AA633">
        <v>101.8</v>
      </c>
      <c r="AB633">
        <v>9.6</v>
      </c>
      <c r="AC633">
        <v>36.6</v>
      </c>
      <c r="AD633">
        <v>328239523</v>
      </c>
    </row>
    <row r="634" spans="1:30" x14ac:dyDescent="0.45">
      <c r="A634">
        <v>624</v>
      </c>
      <c r="B634" s="6">
        <v>4400</v>
      </c>
      <c r="C634" t="s">
        <v>61</v>
      </c>
      <c r="D634" t="s">
        <v>2499</v>
      </c>
      <c r="E634">
        <v>66</v>
      </c>
      <c r="F634" t="s">
        <v>35</v>
      </c>
      <c r="G634" t="s">
        <v>433</v>
      </c>
      <c r="H634" t="s">
        <v>2500</v>
      </c>
      <c r="I634" t="s">
        <v>61</v>
      </c>
      <c r="J634" t="s">
        <v>35</v>
      </c>
      <c r="K634" t="s">
        <v>2501</v>
      </c>
      <c r="L634" t="b">
        <v>1</v>
      </c>
      <c r="M634" t="s">
        <v>39</v>
      </c>
      <c r="N634" t="s">
        <v>8245</v>
      </c>
      <c r="O634" s="10">
        <v>20701</v>
      </c>
      <c r="P634" t="s">
        <v>2502</v>
      </c>
      <c r="Q634" t="s">
        <v>1313</v>
      </c>
      <c r="R634" t="s">
        <v>2503</v>
      </c>
      <c r="S634" s="8">
        <v>45020.209027777775</v>
      </c>
      <c r="T634" t="s">
        <v>435</v>
      </c>
      <c r="U634" t="s">
        <v>69</v>
      </c>
      <c r="V634">
        <v>1956</v>
      </c>
      <c r="W634" s="12">
        <v>117.24</v>
      </c>
      <c r="X634">
        <v>7.5</v>
      </c>
      <c r="Y634" s="14">
        <v>21427700000000</v>
      </c>
      <c r="Z634">
        <v>88.2</v>
      </c>
      <c r="AA634">
        <v>101.8</v>
      </c>
      <c r="AB634">
        <v>9.6</v>
      </c>
      <c r="AC634">
        <v>36.6</v>
      </c>
      <c r="AD634">
        <v>328239523</v>
      </c>
    </row>
    <row r="635" spans="1:30" hidden="1" x14ac:dyDescent="0.45">
      <c r="A635">
        <v>624</v>
      </c>
      <c r="B635">
        <v>4400</v>
      </c>
      <c r="C635" t="s">
        <v>296</v>
      </c>
      <c r="D635" t="s">
        <v>2504</v>
      </c>
      <c r="E635">
        <v>65</v>
      </c>
      <c r="F635" t="s">
        <v>128</v>
      </c>
      <c r="G635" t="s">
        <v>2006</v>
      </c>
      <c r="H635" t="s">
        <v>2505</v>
      </c>
      <c r="I635" t="s">
        <v>296</v>
      </c>
      <c r="J635" t="s">
        <v>128</v>
      </c>
      <c r="L635" t="b">
        <v>1</v>
      </c>
      <c r="M635" t="s">
        <v>39</v>
      </c>
      <c r="N635" t="s">
        <v>8245</v>
      </c>
      <c r="O635" s="1">
        <v>21186</v>
      </c>
      <c r="P635" t="s">
        <v>2506</v>
      </c>
      <c r="Q635" t="s">
        <v>2507</v>
      </c>
      <c r="S635" s="1">
        <v>45020.209027777775</v>
      </c>
      <c r="V635">
        <v>1958</v>
      </c>
      <c r="W635">
        <v>125.08</v>
      </c>
      <c r="X635">
        <v>2.9</v>
      </c>
      <c r="Y635" s="2">
        <v>19910000000000</v>
      </c>
      <c r="Z635">
        <v>50.6</v>
      </c>
      <c r="AA635">
        <v>100.2</v>
      </c>
      <c r="AB635">
        <v>9.4</v>
      </c>
      <c r="AC635">
        <v>59.2</v>
      </c>
      <c r="AD635">
        <v>1397715000</v>
      </c>
    </row>
    <row r="636" spans="1:30" hidden="1" x14ac:dyDescent="0.45">
      <c r="A636">
        <v>624</v>
      </c>
      <c r="B636">
        <v>4400</v>
      </c>
      <c r="C636" t="s">
        <v>326</v>
      </c>
      <c r="D636" t="s">
        <v>2508</v>
      </c>
      <c r="E636">
        <v>54</v>
      </c>
      <c r="F636" t="s">
        <v>363</v>
      </c>
      <c r="G636" t="s">
        <v>381</v>
      </c>
      <c r="H636" t="s">
        <v>2509</v>
      </c>
      <c r="I636" t="s">
        <v>326</v>
      </c>
      <c r="J636" t="s">
        <v>363</v>
      </c>
      <c r="L636" t="b">
        <v>1</v>
      </c>
      <c r="M636" t="s">
        <v>29</v>
      </c>
      <c r="N636" t="s">
        <v>8245</v>
      </c>
      <c r="O636" s="1">
        <v>24988</v>
      </c>
      <c r="P636" t="s">
        <v>2510</v>
      </c>
      <c r="Q636" t="s">
        <v>738</v>
      </c>
      <c r="S636" s="1">
        <v>45020.209027777775</v>
      </c>
      <c r="V636">
        <v>1968</v>
      </c>
      <c r="W636">
        <v>180.75</v>
      </c>
      <c r="X636">
        <v>4.5</v>
      </c>
      <c r="Y636" s="2">
        <v>1699876578871</v>
      </c>
      <c r="Z636">
        <v>81.900000000000006</v>
      </c>
      <c r="AA636">
        <v>102.6</v>
      </c>
      <c r="AB636">
        <v>11.4</v>
      </c>
      <c r="AC636">
        <v>46.2</v>
      </c>
      <c r="AD636">
        <v>144373535</v>
      </c>
    </row>
    <row r="637" spans="1:30" hidden="1" x14ac:dyDescent="0.45">
      <c r="A637">
        <v>636</v>
      </c>
      <c r="B637">
        <v>4300</v>
      </c>
      <c r="C637" t="s">
        <v>83</v>
      </c>
      <c r="D637" t="s">
        <v>2511</v>
      </c>
      <c r="E637">
        <v>59</v>
      </c>
      <c r="F637" t="s">
        <v>205</v>
      </c>
      <c r="G637" t="s">
        <v>2512</v>
      </c>
      <c r="H637" t="s">
        <v>83</v>
      </c>
      <c r="I637" t="s">
        <v>83</v>
      </c>
      <c r="J637" t="s">
        <v>25</v>
      </c>
      <c r="L637" t="b">
        <v>1</v>
      </c>
      <c r="M637" t="s">
        <v>39</v>
      </c>
      <c r="N637" t="s">
        <v>8245</v>
      </c>
      <c r="O637" s="1">
        <v>23243</v>
      </c>
      <c r="P637" t="s">
        <v>2513</v>
      </c>
      <c r="Q637" t="s">
        <v>1213</v>
      </c>
      <c r="S637" s="1">
        <v>45020.209027777775</v>
      </c>
      <c r="V637">
        <v>1963</v>
      </c>
      <c r="W637">
        <v>99.55</v>
      </c>
      <c r="X637">
        <v>0.4</v>
      </c>
      <c r="Y637" s="2">
        <v>703082435360</v>
      </c>
      <c r="Z637">
        <v>59.6</v>
      </c>
      <c r="AA637">
        <v>105.2</v>
      </c>
      <c r="AB637">
        <v>10.1</v>
      </c>
      <c r="AC637">
        <v>28.8</v>
      </c>
      <c r="AD637">
        <v>8574832</v>
      </c>
    </row>
    <row r="638" spans="1:30" hidden="1" x14ac:dyDescent="0.45">
      <c r="A638">
        <v>636</v>
      </c>
      <c r="B638">
        <v>4300</v>
      </c>
      <c r="C638" t="s">
        <v>61</v>
      </c>
      <c r="D638" t="s">
        <v>2514</v>
      </c>
      <c r="E638">
        <v>46</v>
      </c>
      <c r="F638" t="s">
        <v>35</v>
      </c>
      <c r="G638" t="s">
        <v>964</v>
      </c>
      <c r="H638" t="s">
        <v>930</v>
      </c>
      <c r="I638" t="s">
        <v>61</v>
      </c>
      <c r="J638" t="s">
        <v>35</v>
      </c>
      <c r="L638" t="b">
        <v>1</v>
      </c>
      <c r="M638" t="s">
        <v>29</v>
      </c>
      <c r="N638" t="s">
        <v>8245</v>
      </c>
      <c r="O638" s="1">
        <v>27886</v>
      </c>
      <c r="P638" t="s">
        <v>2515</v>
      </c>
      <c r="Q638" t="s">
        <v>2516</v>
      </c>
      <c r="S638" s="1">
        <v>45020.209027777775</v>
      </c>
      <c r="T638" t="s">
        <v>115</v>
      </c>
      <c r="U638" t="s">
        <v>53</v>
      </c>
      <c r="V638">
        <v>1976</v>
      </c>
      <c r="W638">
        <v>117.24</v>
      </c>
      <c r="X638">
        <v>7.5</v>
      </c>
      <c r="Y638" s="2">
        <v>21427700000000</v>
      </c>
      <c r="Z638">
        <v>88.2</v>
      </c>
      <c r="AA638">
        <v>101.8</v>
      </c>
      <c r="AB638">
        <v>9.6</v>
      </c>
      <c r="AC638">
        <v>36.6</v>
      </c>
      <c r="AD638">
        <v>328239523</v>
      </c>
    </row>
    <row r="639" spans="1:30" hidden="1" x14ac:dyDescent="0.45">
      <c r="A639">
        <v>636</v>
      </c>
      <c r="B639">
        <v>4300</v>
      </c>
      <c r="C639" t="s">
        <v>61</v>
      </c>
      <c r="D639" t="s">
        <v>2517</v>
      </c>
      <c r="E639">
        <v>63</v>
      </c>
      <c r="F639" t="s">
        <v>117</v>
      </c>
      <c r="G639" t="s">
        <v>2518</v>
      </c>
      <c r="H639" t="s">
        <v>557</v>
      </c>
      <c r="I639" t="s">
        <v>61</v>
      </c>
      <c r="J639" t="s">
        <v>2519</v>
      </c>
      <c r="L639" t="b">
        <v>1</v>
      </c>
      <c r="M639" t="s">
        <v>29</v>
      </c>
      <c r="N639" t="s">
        <v>8245</v>
      </c>
      <c r="O639" s="1">
        <v>21754</v>
      </c>
      <c r="P639" t="s">
        <v>2520</v>
      </c>
      <c r="Q639" t="s">
        <v>2521</v>
      </c>
      <c r="S639" s="1">
        <v>45020.209027777775</v>
      </c>
      <c r="V639">
        <v>1959</v>
      </c>
      <c r="W639">
        <v>110.96</v>
      </c>
      <c r="X639">
        <v>0.7</v>
      </c>
      <c r="Y639" s="2">
        <v>1394116310769</v>
      </c>
      <c r="Z639">
        <v>88.9</v>
      </c>
      <c r="AA639">
        <v>102.7</v>
      </c>
      <c r="AB639">
        <v>14.2</v>
      </c>
      <c r="AC639">
        <v>47</v>
      </c>
      <c r="AD639">
        <v>47076781</v>
      </c>
    </row>
    <row r="640" spans="1:30" hidden="1" x14ac:dyDescent="0.45">
      <c r="A640">
        <v>636</v>
      </c>
      <c r="B640">
        <v>4300</v>
      </c>
      <c r="C640" t="s">
        <v>61</v>
      </c>
      <c r="D640" t="s">
        <v>2522</v>
      </c>
      <c r="E640">
        <v>49</v>
      </c>
      <c r="F640" t="s">
        <v>35</v>
      </c>
      <c r="G640" t="s">
        <v>964</v>
      </c>
      <c r="H640" t="s">
        <v>930</v>
      </c>
      <c r="I640" t="s">
        <v>61</v>
      </c>
      <c r="J640" t="s">
        <v>35</v>
      </c>
      <c r="L640" t="b">
        <v>1</v>
      </c>
      <c r="M640" t="s">
        <v>29</v>
      </c>
      <c r="N640" t="s">
        <v>8245</v>
      </c>
      <c r="O640" s="1">
        <v>26813</v>
      </c>
      <c r="P640" t="s">
        <v>2523</v>
      </c>
      <c r="Q640" t="s">
        <v>2524</v>
      </c>
      <c r="S640" s="1">
        <v>45020.209027777775</v>
      </c>
      <c r="T640" t="s">
        <v>115</v>
      </c>
      <c r="U640" t="s">
        <v>53</v>
      </c>
      <c r="V640">
        <v>1973</v>
      </c>
      <c r="W640">
        <v>117.24</v>
      </c>
      <c r="X640">
        <v>7.5</v>
      </c>
      <c r="Y640" s="2">
        <v>21427700000000</v>
      </c>
      <c r="Z640">
        <v>88.2</v>
      </c>
      <c r="AA640">
        <v>101.8</v>
      </c>
      <c r="AB640">
        <v>9.6</v>
      </c>
      <c r="AC640">
        <v>36.6</v>
      </c>
      <c r="AD640">
        <v>328239523</v>
      </c>
    </row>
    <row r="641" spans="1:30" hidden="1" x14ac:dyDescent="0.45">
      <c r="A641">
        <v>636</v>
      </c>
      <c r="B641">
        <v>4300</v>
      </c>
      <c r="C641" t="s">
        <v>402</v>
      </c>
      <c r="D641" t="s">
        <v>2525</v>
      </c>
      <c r="E641">
        <v>61</v>
      </c>
      <c r="F641" t="s">
        <v>128</v>
      </c>
      <c r="G641" t="s">
        <v>187</v>
      </c>
      <c r="H641" t="s">
        <v>610</v>
      </c>
      <c r="I641" t="s">
        <v>402</v>
      </c>
      <c r="J641" t="s">
        <v>128</v>
      </c>
      <c r="L641" t="b">
        <v>1</v>
      </c>
      <c r="M641" t="s">
        <v>29</v>
      </c>
      <c r="N641" t="s">
        <v>8245</v>
      </c>
      <c r="O641" s="1">
        <v>22647</v>
      </c>
      <c r="P641" t="s">
        <v>2526</v>
      </c>
      <c r="Q641" t="s">
        <v>2527</v>
      </c>
      <c r="S641" s="1">
        <v>45020.209027777775</v>
      </c>
      <c r="V641">
        <v>1962</v>
      </c>
      <c r="W641">
        <v>125.08</v>
      </c>
      <c r="X641">
        <v>2.9</v>
      </c>
      <c r="Y641" s="2">
        <v>19910000000000</v>
      </c>
      <c r="Z641">
        <v>50.6</v>
      </c>
      <c r="AA641">
        <v>100.2</v>
      </c>
      <c r="AB641">
        <v>9.4</v>
      </c>
      <c r="AC641">
        <v>59.2</v>
      </c>
      <c r="AD641">
        <v>1397715000</v>
      </c>
    </row>
    <row r="642" spans="1:30" hidden="1" x14ac:dyDescent="0.45">
      <c r="A642">
        <v>636</v>
      </c>
      <c r="B642">
        <v>4300</v>
      </c>
      <c r="C642" t="s">
        <v>203</v>
      </c>
      <c r="D642" t="s">
        <v>2528</v>
      </c>
      <c r="E642">
        <v>91</v>
      </c>
      <c r="F642" t="s">
        <v>35</v>
      </c>
      <c r="G642" t="s">
        <v>2529</v>
      </c>
      <c r="H642" t="s">
        <v>2530</v>
      </c>
      <c r="I642" t="s">
        <v>203</v>
      </c>
      <c r="J642" t="s">
        <v>35</v>
      </c>
      <c r="L642" t="b">
        <v>1</v>
      </c>
      <c r="M642" t="s">
        <v>39</v>
      </c>
      <c r="N642" t="s">
        <v>8246</v>
      </c>
      <c r="O642" s="1">
        <v>11692</v>
      </c>
      <c r="P642" t="s">
        <v>1892</v>
      </c>
      <c r="Q642" t="s">
        <v>2531</v>
      </c>
      <c r="S642" s="1">
        <v>45020.209027777775</v>
      </c>
      <c r="T642" t="s">
        <v>154</v>
      </c>
      <c r="U642" t="s">
        <v>44</v>
      </c>
      <c r="V642">
        <v>1932</v>
      </c>
      <c r="W642">
        <v>117.24</v>
      </c>
      <c r="X642">
        <v>7.5</v>
      </c>
      <c r="Y642" s="2">
        <v>21427700000000</v>
      </c>
      <c r="Z642">
        <v>88.2</v>
      </c>
      <c r="AA642">
        <v>101.8</v>
      </c>
      <c r="AB642">
        <v>9.6</v>
      </c>
      <c r="AC642">
        <v>36.6</v>
      </c>
      <c r="AD642">
        <v>328239523</v>
      </c>
    </row>
    <row r="643" spans="1:30" hidden="1" x14ac:dyDescent="0.45">
      <c r="A643">
        <v>636</v>
      </c>
      <c r="B643">
        <v>4300</v>
      </c>
      <c r="C643" t="s">
        <v>126</v>
      </c>
      <c r="D643" t="s">
        <v>2532</v>
      </c>
      <c r="E643">
        <v>90</v>
      </c>
      <c r="F643" t="s">
        <v>35</v>
      </c>
      <c r="G643" t="s">
        <v>2533</v>
      </c>
      <c r="H643" t="s">
        <v>2534</v>
      </c>
      <c r="I643" t="s">
        <v>126</v>
      </c>
      <c r="J643" t="s">
        <v>35</v>
      </c>
      <c r="L643" t="b">
        <v>1</v>
      </c>
      <c r="M643" t="s">
        <v>39</v>
      </c>
      <c r="N643" t="s">
        <v>8246</v>
      </c>
      <c r="O643" s="1">
        <v>12061</v>
      </c>
      <c r="P643" t="s">
        <v>2535</v>
      </c>
      <c r="Q643" t="s">
        <v>2536</v>
      </c>
      <c r="S643" s="1">
        <v>45020.209027777775</v>
      </c>
      <c r="T643" t="s">
        <v>521</v>
      </c>
      <c r="U643" t="s">
        <v>69</v>
      </c>
      <c r="V643">
        <v>1933</v>
      </c>
      <c r="W643">
        <v>117.24</v>
      </c>
      <c r="X643">
        <v>7.5</v>
      </c>
      <c r="Y643" s="2">
        <v>21427700000000</v>
      </c>
      <c r="Z643">
        <v>88.2</v>
      </c>
      <c r="AA643">
        <v>101.8</v>
      </c>
      <c r="AB643">
        <v>9.6</v>
      </c>
      <c r="AC643">
        <v>36.6</v>
      </c>
      <c r="AD643">
        <v>328239523</v>
      </c>
    </row>
    <row r="644" spans="1:30" hidden="1" x14ac:dyDescent="0.45">
      <c r="A644">
        <v>636</v>
      </c>
      <c r="B644">
        <v>4300</v>
      </c>
      <c r="C644" t="s">
        <v>91</v>
      </c>
      <c r="D644" t="s">
        <v>2537</v>
      </c>
      <c r="E644">
        <v>61</v>
      </c>
      <c r="F644" t="s">
        <v>164</v>
      </c>
      <c r="G644" t="s">
        <v>2538</v>
      </c>
      <c r="H644" t="s">
        <v>2539</v>
      </c>
      <c r="I644" t="s">
        <v>91</v>
      </c>
      <c r="J644" t="s">
        <v>164</v>
      </c>
      <c r="K644" t="s">
        <v>2540</v>
      </c>
      <c r="L644" t="b">
        <v>1</v>
      </c>
      <c r="M644" t="s">
        <v>39</v>
      </c>
      <c r="N644" t="s">
        <v>8245</v>
      </c>
      <c r="O644" s="1">
        <v>22525</v>
      </c>
      <c r="P644" t="s">
        <v>2541</v>
      </c>
      <c r="Q644" t="s">
        <v>2542</v>
      </c>
      <c r="R644" t="s">
        <v>98</v>
      </c>
      <c r="S644" s="1">
        <v>45020.209027777775</v>
      </c>
      <c r="V644">
        <v>1961</v>
      </c>
      <c r="W644">
        <v>116.76</v>
      </c>
      <c r="X644">
        <v>1.9</v>
      </c>
      <c r="Y644" s="2">
        <v>1736425629520</v>
      </c>
      <c r="Z644">
        <v>68.900000000000006</v>
      </c>
      <c r="AA644">
        <v>100.9</v>
      </c>
      <c r="AB644">
        <v>12.8</v>
      </c>
      <c r="AC644">
        <v>24.5</v>
      </c>
      <c r="AD644">
        <v>36991981</v>
      </c>
    </row>
    <row r="645" spans="1:30" hidden="1" x14ac:dyDescent="0.45">
      <c r="A645">
        <v>636</v>
      </c>
      <c r="B645">
        <v>4300</v>
      </c>
      <c r="C645" t="s">
        <v>326</v>
      </c>
      <c r="D645" t="s">
        <v>2543</v>
      </c>
      <c r="E645">
        <v>62</v>
      </c>
      <c r="F645" t="s">
        <v>363</v>
      </c>
      <c r="G645" t="s">
        <v>2544</v>
      </c>
      <c r="H645" t="s">
        <v>382</v>
      </c>
      <c r="I645" t="s">
        <v>326</v>
      </c>
      <c r="J645" t="s">
        <v>363</v>
      </c>
      <c r="L645" t="b">
        <v>1</v>
      </c>
      <c r="M645" t="s">
        <v>29</v>
      </c>
      <c r="N645" t="s">
        <v>8245</v>
      </c>
      <c r="O645" s="1">
        <v>22076</v>
      </c>
      <c r="P645" t="s">
        <v>2545</v>
      </c>
      <c r="Q645" t="s">
        <v>926</v>
      </c>
      <c r="S645" s="1">
        <v>45020.209027777775</v>
      </c>
      <c r="V645">
        <v>1960</v>
      </c>
      <c r="W645">
        <v>180.75</v>
      </c>
      <c r="X645">
        <v>4.5</v>
      </c>
      <c r="Y645" s="2">
        <v>1699876578871</v>
      </c>
      <c r="Z645">
        <v>81.900000000000006</v>
      </c>
      <c r="AA645">
        <v>102.6</v>
      </c>
      <c r="AB645">
        <v>11.4</v>
      </c>
      <c r="AC645">
        <v>46.2</v>
      </c>
      <c r="AD645">
        <v>144373535</v>
      </c>
    </row>
    <row r="646" spans="1:30" hidden="1" x14ac:dyDescent="0.45">
      <c r="A646">
        <v>636</v>
      </c>
      <c r="B646">
        <v>4300</v>
      </c>
      <c r="C646" t="s">
        <v>61</v>
      </c>
      <c r="D646" t="s">
        <v>2546</v>
      </c>
      <c r="E646">
        <v>56</v>
      </c>
      <c r="F646" t="s">
        <v>2377</v>
      </c>
      <c r="G646" t="s">
        <v>2378</v>
      </c>
      <c r="H646" t="s">
        <v>557</v>
      </c>
      <c r="I646" t="s">
        <v>61</v>
      </c>
      <c r="J646" t="s">
        <v>2377</v>
      </c>
      <c r="L646" t="b">
        <v>1</v>
      </c>
      <c r="M646" t="s">
        <v>29</v>
      </c>
      <c r="N646" t="s">
        <v>8245</v>
      </c>
      <c r="O646" s="1">
        <v>24360</v>
      </c>
      <c r="P646" t="s">
        <v>2547</v>
      </c>
      <c r="Q646" t="s">
        <v>2548</v>
      </c>
      <c r="S646" s="1">
        <v>45020.209027777775</v>
      </c>
      <c r="V646">
        <v>1966</v>
      </c>
      <c r="W646">
        <v>182.75</v>
      </c>
      <c r="X646">
        <v>5.2</v>
      </c>
      <c r="Y646" s="2">
        <v>180161741180</v>
      </c>
      <c r="Z646">
        <v>61.7</v>
      </c>
      <c r="AA646">
        <v>104.4</v>
      </c>
      <c r="AB646">
        <v>11.7</v>
      </c>
      <c r="AC646">
        <v>28.4</v>
      </c>
      <c r="AD646">
        <v>18513930</v>
      </c>
    </row>
    <row r="647" spans="1:30" hidden="1" x14ac:dyDescent="0.45">
      <c r="A647">
        <v>636</v>
      </c>
      <c r="B647">
        <v>4300</v>
      </c>
      <c r="C647" t="s">
        <v>61</v>
      </c>
      <c r="D647" t="s">
        <v>2549</v>
      </c>
      <c r="E647">
        <v>55</v>
      </c>
      <c r="F647" t="s">
        <v>2377</v>
      </c>
      <c r="G647" t="s">
        <v>2378</v>
      </c>
      <c r="H647" t="s">
        <v>557</v>
      </c>
      <c r="I647" t="s">
        <v>61</v>
      </c>
      <c r="J647" t="s">
        <v>2377</v>
      </c>
      <c r="L647" t="b">
        <v>0</v>
      </c>
      <c r="M647" t="s">
        <v>29</v>
      </c>
      <c r="N647" t="s">
        <v>8246</v>
      </c>
      <c r="O647" s="1">
        <v>24703</v>
      </c>
      <c r="P647" t="s">
        <v>2550</v>
      </c>
      <c r="Q647" t="s">
        <v>2551</v>
      </c>
      <c r="S647" s="1">
        <v>45020.209027777775</v>
      </c>
      <c r="V647">
        <v>1967</v>
      </c>
      <c r="W647">
        <v>182.75</v>
      </c>
      <c r="X647">
        <v>5.2</v>
      </c>
      <c r="Y647" s="2">
        <v>180161741180</v>
      </c>
      <c r="Z647">
        <v>61.7</v>
      </c>
      <c r="AA647">
        <v>104.4</v>
      </c>
      <c r="AB647">
        <v>11.7</v>
      </c>
      <c r="AC647">
        <v>28.4</v>
      </c>
      <c r="AD647">
        <v>18513930</v>
      </c>
    </row>
    <row r="648" spans="1:30" hidden="1" x14ac:dyDescent="0.45">
      <c r="A648">
        <v>636</v>
      </c>
      <c r="B648">
        <v>4300</v>
      </c>
      <c r="C648" t="s">
        <v>302</v>
      </c>
      <c r="D648" t="s">
        <v>2552</v>
      </c>
      <c r="E648">
        <v>60</v>
      </c>
      <c r="H648" t="s">
        <v>304</v>
      </c>
      <c r="I648" t="s">
        <v>302</v>
      </c>
      <c r="J648" t="s">
        <v>272</v>
      </c>
      <c r="L648" t="b">
        <v>1</v>
      </c>
      <c r="M648" t="s">
        <v>285</v>
      </c>
      <c r="N648" t="s">
        <v>8245</v>
      </c>
      <c r="O648" s="1">
        <v>22788</v>
      </c>
      <c r="P648" t="s">
        <v>2553</v>
      </c>
      <c r="Q648" t="s">
        <v>2554</v>
      </c>
      <c r="S648" s="1">
        <v>45020.209027777775</v>
      </c>
      <c r="V648">
        <v>1962</v>
      </c>
      <c r="W648"/>
      <c r="Y648"/>
    </row>
    <row r="649" spans="1:30" hidden="1" x14ac:dyDescent="0.45">
      <c r="A649">
        <v>636</v>
      </c>
      <c r="B649">
        <v>4300</v>
      </c>
      <c r="C649" t="s">
        <v>302</v>
      </c>
      <c r="D649" t="s">
        <v>2555</v>
      </c>
      <c r="E649">
        <v>58</v>
      </c>
      <c r="H649" t="s">
        <v>304</v>
      </c>
      <c r="I649" t="s">
        <v>302</v>
      </c>
      <c r="J649" t="s">
        <v>272</v>
      </c>
      <c r="L649" t="b">
        <v>1</v>
      </c>
      <c r="M649" t="s">
        <v>285</v>
      </c>
      <c r="N649" t="s">
        <v>8245</v>
      </c>
      <c r="O649" s="1">
        <v>23710</v>
      </c>
      <c r="P649" t="s">
        <v>2553</v>
      </c>
      <c r="Q649" t="s">
        <v>1068</v>
      </c>
      <c r="S649" s="1">
        <v>45020.209027777775</v>
      </c>
      <c r="V649">
        <v>1964</v>
      </c>
      <c r="W649"/>
      <c r="Y649"/>
    </row>
    <row r="650" spans="1:30" hidden="1" x14ac:dyDescent="0.45">
      <c r="A650">
        <v>636</v>
      </c>
      <c r="B650">
        <v>4300</v>
      </c>
      <c r="C650" t="s">
        <v>126</v>
      </c>
      <c r="D650" t="s">
        <v>2556</v>
      </c>
      <c r="E650">
        <v>61</v>
      </c>
      <c r="F650" t="s">
        <v>35</v>
      </c>
      <c r="G650" t="s">
        <v>2557</v>
      </c>
      <c r="H650" t="s">
        <v>1509</v>
      </c>
      <c r="I650" t="s">
        <v>126</v>
      </c>
      <c r="J650" t="s">
        <v>35</v>
      </c>
      <c r="L650" t="b">
        <v>0</v>
      </c>
      <c r="M650" t="s">
        <v>39</v>
      </c>
      <c r="N650" t="s">
        <v>8246</v>
      </c>
      <c r="O650" s="1">
        <v>22581</v>
      </c>
      <c r="P650" t="s">
        <v>2558</v>
      </c>
      <c r="Q650" t="s">
        <v>2559</v>
      </c>
      <c r="S650" s="1">
        <v>45020.209027777775</v>
      </c>
      <c r="T650" t="s">
        <v>115</v>
      </c>
      <c r="U650" t="s">
        <v>53</v>
      </c>
      <c r="V650">
        <v>1961</v>
      </c>
      <c r="W650">
        <v>117.24</v>
      </c>
      <c r="X650">
        <v>7.5</v>
      </c>
      <c r="Y650" s="2">
        <v>21427700000000</v>
      </c>
      <c r="Z650">
        <v>88.2</v>
      </c>
      <c r="AA650">
        <v>101.8</v>
      </c>
      <c r="AB650">
        <v>9.6</v>
      </c>
      <c r="AC650">
        <v>36.6</v>
      </c>
      <c r="AD650">
        <v>328239523</v>
      </c>
    </row>
    <row r="651" spans="1:30" hidden="1" x14ac:dyDescent="0.45">
      <c r="A651">
        <v>636</v>
      </c>
      <c r="B651">
        <v>4300</v>
      </c>
      <c r="C651" t="s">
        <v>302</v>
      </c>
      <c r="D651" t="s">
        <v>2560</v>
      </c>
      <c r="E651">
        <v>75</v>
      </c>
      <c r="F651" t="s">
        <v>35</v>
      </c>
      <c r="G651" t="s">
        <v>991</v>
      </c>
      <c r="H651" t="s">
        <v>304</v>
      </c>
      <c r="I651" t="s">
        <v>302</v>
      </c>
      <c r="J651" t="s">
        <v>35</v>
      </c>
      <c r="L651" t="b">
        <v>1</v>
      </c>
      <c r="M651" t="s">
        <v>29</v>
      </c>
      <c r="N651" t="s">
        <v>8245</v>
      </c>
      <c r="O651" s="1">
        <v>17356</v>
      </c>
      <c r="P651" t="s">
        <v>1977</v>
      </c>
      <c r="Q651" t="s">
        <v>1805</v>
      </c>
      <c r="S651" s="1">
        <v>45020.209027777775</v>
      </c>
      <c r="T651" t="s">
        <v>115</v>
      </c>
      <c r="U651" t="s">
        <v>53</v>
      </c>
      <c r="V651">
        <v>1947</v>
      </c>
      <c r="W651">
        <v>117.24</v>
      </c>
      <c r="X651">
        <v>7.5</v>
      </c>
      <c r="Y651" s="2">
        <v>21427700000000</v>
      </c>
      <c r="Z651">
        <v>88.2</v>
      </c>
      <c r="AA651">
        <v>101.8</v>
      </c>
      <c r="AB651">
        <v>9.6</v>
      </c>
      <c r="AC651">
        <v>36.6</v>
      </c>
      <c r="AD651">
        <v>328239523</v>
      </c>
    </row>
    <row r="652" spans="1:30" hidden="1" x14ac:dyDescent="0.45">
      <c r="A652">
        <v>636</v>
      </c>
      <c r="B652">
        <v>4300</v>
      </c>
      <c r="C652" t="s">
        <v>91</v>
      </c>
      <c r="D652" t="s">
        <v>2561</v>
      </c>
      <c r="E652">
        <v>54</v>
      </c>
      <c r="F652" t="s">
        <v>2562</v>
      </c>
      <c r="G652" t="s">
        <v>2563</v>
      </c>
      <c r="H652" t="s">
        <v>91</v>
      </c>
      <c r="I652" t="s">
        <v>91</v>
      </c>
      <c r="J652" t="s">
        <v>2562</v>
      </c>
      <c r="L652" t="b">
        <v>1</v>
      </c>
      <c r="M652" t="s">
        <v>39</v>
      </c>
      <c r="N652" t="s">
        <v>8245</v>
      </c>
      <c r="O652" s="1">
        <v>25055</v>
      </c>
      <c r="P652" t="s">
        <v>2564</v>
      </c>
      <c r="Q652" t="s">
        <v>2565</v>
      </c>
      <c r="S652" s="1">
        <v>45020.209027777775</v>
      </c>
      <c r="V652">
        <v>1968</v>
      </c>
      <c r="W652">
        <v>163.52000000000001</v>
      </c>
      <c r="X652">
        <v>2.8</v>
      </c>
      <c r="Y652" s="2">
        <v>261921244843</v>
      </c>
      <c r="Z652">
        <v>28.5</v>
      </c>
      <c r="AA652">
        <v>110.6</v>
      </c>
      <c r="AB652">
        <v>19.100000000000001</v>
      </c>
      <c r="AC652">
        <v>37.6</v>
      </c>
      <c r="AD652">
        <v>96462106</v>
      </c>
    </row>
    <row r="653" spans="1:30" hidden="1" x14ac:dyDescent="0.45">
      <c r="A653">
        <v>636</v>
      </c>
      <c r="B653">
        <v>4300</v>
      </c>
      <c r="C653" t="s">
        <v>402</v>
      </c>
      <c r="D653" t="s">
        <v>2566</v>
      </c>
      <c r="E653">
        <v>64</v>
      </c>
      <c r="F653" t="s">
        <v>35</v>
      </c>
      <c r="G653" t="s">
        <v>78</v>
      </c>
      <c r="H653" t="s">
        <v>1529</v>
      </c>
      <c r="I653" t="s">
        <v>402</v>
      </c>
      <c r="J653" t="s">
        <v>35</v>
      </c>
      <c r="L653" t="b">
        <v>0</v>
      </c>
      <c r="M653" t="s">
        <v>29</v>
      </c>
      <c r="N653" t="s">
        <v>8245</v>
      </c>
      <c r="O653" s="1">
        <v>21308</v>
      </c>
      <c r="P653" t="s">
        <v>1530</v>
      </c>
      <c r="Q653" t="s">
        <v>2567</v>
      </c>
      <c r="S653" s="1">
        <v>45020.209027777775</v>
      </c>
      <c r="T653" t="s">
        <v>78</v>
      </c>
      <c r="U653" t="s">
        <v>82</v>
      </c>
      <c r="V653">
        <v>1958</v>
      </c>
      <c r="W653">
        <v>117.24</v>
      </c>
      <c r="X653">
        <v>7.5</v>
      </c>
      <c r="Y653" s="2">
        <v>21427700000000</v>
      </c>
      <c r="Z653">
        <v>88.2</v>
      </c>
      <c r="AA653">
        <v>101.8</v>
      </c>
      <c r="AB653">
        <v>9.6</v>
      </c>
      <c r="AC653">
        <v>36.6</v>
      </c>
      <c r="AD653">
        <v>328239523</v>
      </c>
    </row>
    <row r="654" spans="1:30" hidden="1" x14ac:dyDescent="0.45">
      <c r="A654">
        <v>636</v>
      </c>
      <c r="B654">
        <v>4300</v>
      </c>
      <c r="C654" t="s">
        <v>61</v>
      </c>
      <c r="D654" t="s">
        <v>2568</v>
      </c>
      <c r="E654">
        <v>66</v>
      </c>
      <c r="F654" t="s">
        <v>1259</v>
      </c>
      <c r="G654" t="s">
        <v>1260</v>
      </c>
      <c r="H654" t="s">
        <v>1839</v>
      </c>
      <c r="I654" t="s">
        <v>61</v>
      </c>
      <c r="J654" t="s">
        <v>1259</v>
      </c>
      <c r="L654" t="b">
        <v>0</v>
      </c>
      <c r="M654" t="s">
        <v>39</v>
      </c>
      <c r="N654" t="s">
        <v>8245</v>
      </c>
      <c r="O654" s="1">
        <v>20570</v>
      </c>
      <c r="P654" t="s">
        <v>1323</v>
      </c>
      <c r="Q654" t="s">
        <v>520</v>
      </c>
      <c r="S654" s="1">
        <v>45020.209027777775</v>
      </c>
      <c r="V654">
        <v>1956</v>
      </c>
      <c r="W654"/>
      <c r="Y654"/>
    </row>
    <row r="655" spans="1:30" hidden="1" x14ac:dyDescent="0.45">
      <c r="A655">
        <v>636</v>
      </c>
      <c r="B655">
        <v>4300</v>
      </c>
      <c r="C655" t="s">
        <v>61</v>
      </c>
      <c r="D655" t="s">
        <v>2569</v>
      </c>
      <c r="E655">
        <v>65</v>
      </c>
      <c r="F655" t="s">
        <v>1259</v>
      </c>
      <c r="G655" t="s">
        <v>1260</v>
      </c>
      <c r="H655" t="s">
        <v>1839</v>
      </c>
      <c r="I655" t="s">
        <v>61</v>
      </c>
      <c r="J655" t="s">
        <v>1259</v>
      </c>
      <c r="L655" t="b">
        <v>0</v>
      </c>
      <c r="M655" t="s">
        <v>39</v>
      </c>
      <c r="N655" t="s">
        <v>8245</v>
      </c>
      <c r="O655" s="1">
        <v>20973</v>
      </c>
      <c r="P655" t="s">
        <v>1323</v>
      </c>
      <c r="Q655" t="s">
        <v>1068</v>
      </c>
      <c r="S655" s="1">
        <v>45020.209027777775</v>
      </c>
      <c r="V655">
        <v>1957</v>
      </c>
      <c r="W655"/>
      <c r="Y655"/>
    </row>
    <row r="656" spans="1:30" hidden="1" x14ac:dyDescent="0.45">
      <c r="A656">
        <v>636</v>
      </c>
      <c r="B656">
        <v>4300</v>
      </c>
      <c r="C656" t="s">
        <v>45</v>
      </c>
      <c r="D656" t="s">
        <v>2570</v>
      </c>
      <c r="E656">
        <v>42</v>
      </c>
      <c r="F656" t="s">
        <v>128</v>
      </c>
      <c r="G656" t="s">
        <v>234</v>
      </c>
      <c r="H656" t="s">
        <v>2571</v>
      </c>
      <c r="I656" t="s">
        <v>45</v>
      </c>
      <c r="J656" t="s">
        <v>128</v>
      </c>
      <c r="K656" t="s">
        <v>2572</v>
      </c>
      <c r="L656" t="b">
        <v>1</v>
      </c>
      <c r="M656" t="s">
        <v>39</v>
      </c>
      <c r="N656" t="s">
        <v>8245</v>
      </c>
      <c r="O656" s="1">
        <v>29524</v>
      </c>
      <c r="P656" t="s">
        <v>439</v>
      </c>
      <c r="Q656" t="s">
        <v>1817</v>
      </c>
      <c r="R656" t="s">
        <v>938</v>
      </c>
      <c r="S656" s="1">
        <v>45020.209027777775</v>
      </c>
      <c r="V656">
        <v>1980</v>
      </c>
      <c r="W656">
        <v>125.08</v>
      </c>
      <c r="X656">
        <v>2.9</v>
      </c>
      <c r="Y656" s="2">
        <v>19910000000000</v>
      </c>
      <c r="Z656">
        <v>50.6</v>
      </c>
      <c r="AA656">
        <v>100.2</v>
      </c>
      <c r="AB656">
        <v>9.4</v>
      </c>
      <c r="AC656">
        <v>59.2</v>
      </c>
      <c r="AD656">
        <v>1397715000</v>
      </c>
    </row>
    <row r="657" spans="1:30" hidden="1" x14ac:dyDescent="0.45">
      <c r="A657">
        <v>636</v>
      </c>
      <c r="B657">
        <v>4300</v>
      </c>
      <c r="C657" t="s">
        <v>296</v>
      </c>
      <c r="D657" t="s">
        <v>2573</v>
      </c>
      <c r="E657">
        <v>74</v>
      </c>
      <c r="F657" t="s">
        <v>128</v>
      </c>
      <c r="G657" t="s">
        <v>960</v>
      </c>
      <c r="H657" t="s">
        <v>2574</v>
      </c>
      <c r="I657" t="s">
        <v>296</v>
      </c>
      <c r="J657" t="s">
        <v>128</v>
      </c>
      <c r="L657" t="b">
        <v>1</v>
      </c>
      <c r="M657" t="s">
        <v>39</v>
      </c>
      <c r="N657" t="s">
        <v>8245</v>
      </c>
      <c r="O657" s="1">
        <v>17899</v>
      </c>
      <c r="P657" t="s">
        <v>439</v>
      </c>
      <c r="Q657" t="s">
        <v>2575</v>
      </c>
      <c r="S657" s="1">
        <v>45020.209027777775</v>
      </c>
      <c r="V657">
        <v>1949</v>
      </c>
      <c r="W657">
        <v>125.08</v>
      </c>
      <c r="X657">
        <v>2.9</v>
      </c>
      <c r="Y657" s="2">
        <v>19910000000000</v>
      </c>
      <c r="Z657">
        <v>50.6</v>
      </c>
      <c r="AA657">
        <v>100.2</v>
      </c>
      <c r="AB657">
        <v>9.4</v>
      </c>
      <c r="AC657">
        <v>59.2</v>
      </c>
      <c r="AD657">
        <v>1397715000</v>
      </c>
    </row>
    <row r="658" spans="1:30" hidden="1" x14ac:dyDescent="0.45">
      <c r="A658">
        <v>636</v>
      </c>
      <c r="B658">
        <v>4300</v>
      </c>
      <c r="C658" t="s">
        <v>45</v>
      </c>
      <c r="D658" t="s">
        <v>2576</v>
      </c>
      <c r="E658">
        <v>58</v>
      </c>
      <c r="F658" t="s">
        <v>128</v>
      </c>
      <c r="G658" t="s">
        <v>187</v>
      </c>
      <c r="H658" t="s">
        <v>865</v>
      </c>
      <c r="I658" t="s">
        <v>45</v>
      </c>
      <c r="J658" t="s">
        <v>128</v>
      </c>
      <c r="L658" t="b">
        <v>1</v>
      </c>
      <c r="M658" t="s">
        <v>39</v>
      </c>
      <c r="N658" t="s">
        <v>8245</v>
      </c>
      <c r="O658" s="1">
        <v>23716</v>
      </c>
      <c r="P658" t="s">
        <v>439</v>
      </c>
      <c r="Q658" t="s">
        <v>2577</v>
      </c>
      <c r="S658" s="1">
        <v>45020.209027777775</v>
      </c>
      <c r="V658">
        <v>1964</v>
      </c>
      <c r="W658">
        <v>125.08</v>
      </c>
      <c r="X658">
        <v>2.9</v>
      </c>
      <c r="Y658" s="2">
        <v>19910000000000</v>
      </c>
      <c r="Z658">
        <v>50.6</v>
      </c>
      <c r="AA658">
        <v>100.2</v>
      </c>
      <c r="AB658">
        <v>9.4</v>
      </c>
      <c r="AC658">
        <v>59.2</v>
      </c>
      <c r="AD658">
        <v>1397715000</v>
      </c>
    </row>
    <row r="659" spans="1:30" hidden="1" x14ac:dyDescent="0.45">
      <c r="A659">
        <v>636</v>
      </c>
      <c r="B659">
        <v>4300</v>
      </c>
      <c r="C659" t="s">
        <v>61</v>
      </c>
      <c r="D659" t="s">
        <v>2578</v>
      </c>
      <c r="E659">
        <v>83</v>
      </c>
      <c r="F659" t="s">
        <v>35</v>
      </c>
      <c r="G659" t="s">
        <v>2579</v>
      </c>
      <c r="H659" t="s">
        <v>317</v>
      </c>
      <c r="I659" t="s">
        <v>61</v>
      </c>
      <c r="J659" t="s">
        <v>35</v>
      </c>
      <c r="L659" t="b">
        <v>1</v>
      </c>
      <c r="M659" t="s">
        <v>29</v>
      </c>
      <c r="N659" t="s">
        <v>8245</v>
      </c>
      <c r="O659" s="1">
        <v>14388</v>
      </c>
      <c r="P659" t="s">
        <v>2580</v>
      </c>
      <c r="Q659" t="s">
        <v>2581</v>
      </c>
      <c r="S659" s="1">
        <v>45020.209027777775</v>
      </c>
      <c r="T659" t="s">
        <v>253</v>
      </c>
      <c r="U659" t="s">
        <v>44</v>
      </c>
      <c r="V659">
        <v>1939</v>
      </c>
      <c r="W659">
        <v>117.24</v>
      </c>
      <c r="X659">
        <v>7.5</v>
      </c>
      <c r="Y659" s="2">
        <v>21427700000000</v>
      </c>
      <c r="Z659">
        <v>88.2</v>
      </c>
      <c r="AA659">
        <v>101.8</v>
      </c>
      <c r="AB659">
        <v>9.6</v>
      </c>
      <c r="AC659">
        <v>36.6</v>
      </c>
      <c r="AD659">
        <v>328239523</v>
      </c>
    </row>
    <row r="660" spans="1:30" hidden="1" x14ac:dyDescent="0.45">
      <c r="A660">
        <v>659</v>
      </c>
      <c r="B660">
        <v>4200</v>
      </c>
      <c r="C660" t="s">
        <v>436</v>
      </c>
      <c r="D660" t="s">
        <v>2582</v>
      </c>
      <c r="E660">
        <v>65</v>
      </c>
      <c r="F660" t="s">
        <v>490</v>
      </c>
      <c r="G660" t="s">
        <v>1737</v>
      </c>
      <c r="H660" t="s">
        <v>1927</v>
      </c>
      <c r="I660" t="s">
        <v>436</v>
      </c>
      <c r="J660" t="s">
        <v>490</v>
      </c>
      <c r="L660" t="b">
        <v>0</v>
      </c>
      <c r="M660" t="s">
        <v>39</v>
      </c>
      <c r="N660" t="s">
        <v>8246</v>
      </c>
      <c r="O660" s="1">
        <v>21072</v>
      </c>
      <c r="P660" t="s">
        <v>1929</v>
      </c>
      <c r="Q660" t="s">
        <v>2583</v>
      </c>
      <c r="R660" t="s">
        <v>605</v>
      </c>
      <c r="S660" s="1">
        <v>45020.209027777775</v>
      </c>
      <c r="V660">
        <v>1957</v>
      </c>
      <c r="W660">
        <v>108.15</v>
      </c>
      <c r="X660">
        <v>0.8</v>
      </c>
      <c r="Y660" s="2">
        <v>395098666122</v>
      </c>
      <c r="Z660">
        <v>63.4</v>
      </c>
      <c r="AA660">
        <v>104.9</v>
      </c>
      <c r="AB660">
        <v>23.1</v>
      </c>
      <c r="AC660">
        <v>25.3</v>
      </c>
      <c r="AD660">
        <v>9053300</v>
      </c>
    </row>
    <row r="661" spans="1:30" hidden="1" x14ac:dyDescent="0.45">
      <c r="A661">
        <v>659</v>
      </c>
      <c r="B661">
        <v>4200</v>
      </c>
      <c r="C661" t="s">
        <v>61</v>
      </c>
      <c r="D661" t="s">
        <v>2584</v>
      </c>
      <c r="E661">
        <v>68</v>
      </c>
      <c r="F661" t="s">
        <v>2585</v>
      </c>
      <c r="H661" t="s">
        <v>736</v>
      </c>
      <c r="I661" t="s">
        <v>61</v>
      </c>
      <c r="J661" t="s">
        <v>363</v>
      </c>
      <c r="L661" t="b">
        <v>1</v>
      </c>
      <c r="M661" t="s">
        <v>39</v>
      </c>
      <c r="N661" t="s">
        <v>8245</v>
      </c>
      <c r="O661" s="1">
        <v>20164</v>
      </c>
      <c r="P661" t="s">
        <v>2586</v>
      </c>
      <c r="Q661" t="s">
        <v>2587</v>
      </c>
      <c r="S661" s="1">
        <v>45020.209027777775</v>
      </c>
      <c r="V661">
        <v>1955</v>
      </c>
      <c r="W661">
        <v>116.86</v>
      </c>
      <c r="X661">
        <v>2.8</v>
      </c>
      <c r="Y661" s="2">
        <v>34117202555</v>
      </c>
      <c r="Z661">
        <v>88.1</v>
      </c>
      <c r="AA661">
        <v>99.4</v>
      </c>
      <c r="AB661">
        <v>22.9</v>
      </c>
      <c r="AC661">
        <v>38.1</v>
      </c>
      <c r="AD661">
        <v>1912789</v>
      </c>
    </row>
    <row r="662" spans="1:30" hidden="1" x14ac:dyDescent="0.45">
      <c r="A662">
        <v>659</v>
      </c>
      <c r="B662">
        <v>4200</v>
      </c>
      <c r="C662" t="s">
        <v>302</v>
      </c>
      <c r="D662" t="s">
        <v>2588</v>
      </c>
      <c r="E662">
        <v>82</v>
      </c>
      <c r="F662" t="s">
        <v>128</v>
      </c>
      <c r="G662" t="s">
        <v>187</v>
      </c>
      <c r="H662" t="s">
        <v>304</v>
      </c>
      <c r="I662" t="s">
        <v>302</v>
      </c>
      <c r="J662" t="s">
        <v>128</v>
      </c>
      <c r="L662" t="b">
        <v>1</v>
      </c>
      <c r="M662" t="s">
        <v>39</v>
      </c>
      <c r="N662" t="s">
        <v>8246</v>
      </c>
      <c r="O662" s="1">
        <v>14977</v>
      </c>
      <c r="P662" t="s">
        <v>2589</v>
      </c>
      <c r="Q662" t="s">
        <v>2590</v>
      </c>
      <c r="R662" t="s">
        <v>162</v>
      </c>
      <c r="S662" s="1">
        <v>45020.209027777775</v>
      </c>
      <c r="V662">
        <v>1941</v>
      </c>
      <c r="W662">
        <v>125.08</v>
      </c>
      <c r="X662">
        <v>2.9</v>
      </c>
      <c r="Y662" s="2">
        <v>19910000000000</v>
      </c>
      <c r="Z662">
        <v>50.6</v>
      </c>
      <c r="AA662">
        <v>100.2</v>
      </c>
      <c r="AB662">
        <v>9.4</v>
      </c>
      <c r="AC662">
        <v>59.2</v>
      </c>
      <c r="AD662">
        <v>1397715000</v>
      </c>
    </row>
    <row r="663" spans="1:30" hidden="1" x14ac:dyDescent="0.45">
      <c r="A663">
        <v>659</v>
      </c>
      <c r="B663">
        <v>4200</v>
      </c>
      <c r="C663" t="s">
        <v>302</v>
      </c>
      <c r="D663" t="s">
        <v>2591</v>
      </c>
      <c r="E663">
        <v>57</v>
      </c>
      <c r="F663" t="s">
        <v>128</v>
      </c>
      <c r="G663" t="s">
        <v>234</v>
      </c>
      <c r="H663" t="s">
        <v>304</v>
      </c>
      <c r="I663" t="s">
        <v>302</v>
      </c>
      <c r="J663" t="s">
        <v>128</v>
      </c>
      <c r="L663" t="b">
        <v>1</v>
      </c>
      <c r="M663" t="s">
        <v>29</v>
      </c>
      <c r="N663" t="s">
        <v>8245</v>
      </c>
      <c r="O663" s="1">
        <v>24108</v>
      </c>
      <c r="P663" t="s">
        <v>679</v>
      </c>
      <c r="Q663" t="s">
        <v>2592</v>
      </c>
      <c r="S663" s="1">
        <v>45020.209027777775</v>
      </c>
      <c r="V663">
        <v>1966</v>
      </c>
      <c r="W663">
        <v>125.08</v>
      </c>
      <c r="X663">
        <v>2.9</v>
      </c>
      <c r="Y663" s="2">
        <v>19910000000000</v>
      </c>
      <c r="Z663">
        <v>50.6</v>
      </c>
      <c r="AA663">
        <v>100.2</v>
      </c>
      <c r="AB663">
        <v>9.4</v>
      </c>
      <c r="AC663">
        <v>59.2</v>
      </c>
      <c r="AD663">
        <v>1397715000</v>
      </c>
    </row>
    <row r="664" spans="1:30" hidden="1" x14ac:dyDescent="0.45">
      <c r="A664">
        <v>659</v>
      </c>
      <c r="B664">
        <v>4200</v>
      </c>
      <c r="C664" t="s">
        <v>61</v>
      </c>
      <c r="D664" t="s">
        <v>2593</v>
      </c>
      <c r="E664">
        <v>87</v>
      </c>
      <c r="F664" t="s">
        <v>35</v>
      </c>
      <c r="G664" t="s">
        <v>2594</v>
      </c>
      <c r="H664" t="s">
        <v>1210</v>
      </c>
      <c r="I664" t="s">
        <v>61</v>
      </c>
      <c r="J664" t="s">
        <v>35</v>
      </c>
      <c r="L664" t="b">
        <v>0</v>
      </c>
      <c r="M664" t="s">
        <v>29</v>
      </c>
      <c r="N664" t="s">
        <v>8245</v>
      </c>
      <c r="O664" s="1">
        <v>13150</v>
      </c>
      <c r="P664" t="s">
        <v>2595</v>
      </c>
      <c r="Q664" t="s">
        <v>358</v>
      </c>
      <c r="S664" s="1">
        <v>45020.209027777775</v>
      </c>
      <c r="T664" t="s">
        <v>311</v>
      </c>
      <c r="U664" t="s">
        <v>82</v>
      </c>
      <c r="V664">
        <v>1936</v>
      </c>
      <c r="W664">
        <v>117.24</v>
      </c>
      <c r="X664">
        <v>7.5</v>
      </c>
      <c r="Y664" s="2">
        <v>21427700000000</v>
      </c>
      <c r="Z664">
        <v>88.2</v>
      </c>
      <c r="AA664">
        <v>101.8</v>
      </c>
      <c r="AB664">
        <v>9.6</v>
      </c>
      <c r="AC664">
        <v>36.6</v>
      </c>
      <c r="AD664">
        <v>328239523</v>
      </c>
    </row>
    <row r="665" spans="1:30" x14ac:dyDescent="0.45">
      <c r="A665">
        <v>659</v>
      </c>
      <c r="B665" s="6">
        <v>4200</v>
      </c>
      <c r="C665" t="s">
        <v>61</v>
      </c>
      <c r="D665" t="s">
        <v>2596</v>
      </c>
      <c r="E665">
        <v>82</v>
      </c>
      <c r="F665" t="s">
        <v>35</v>
      </c>
      <c r="G665" t="s">
        <v>2597</v>
      </c>
      <c r="H665" t="s">
        <v>2125</v>
      </c>
      <c r="I665" t="s">
        <v>61</v>
      </c>
      <c r="J665" t="s">
        <v>35</v>
      </c>
      <c r="K665" t="s">
        <v>2126</v>
      </c>
      <c r="L665" t="b">
        <v>0</v>
      </c>
      <c r="M665" t="s">
        <v>39</v>
      </c>
      <c r="N665" t="s">
        <v>8245</v>
      </c>
      <c r="O665" s="10">
        <v>14833</v>
      </c>
      <c r="P665" t="s">
        <v>425</v>
      </c>
      <c r="Q665" t="s">
        <v>554</v>
      </c>
      <c r="R665" t="s">
        <v>2598</v>
      </c>
      <c r="S665" s="8">
        <v>45020.209027777775</v>
      </c>
      <c r="T665" t="s">
        <v>115</v>
      </c>
      <c r="U665" t="s">
        <v>53</v>
      </c>
      <c r="V665">
        <v>1940</v>
      </c>
      <c r="W665" s="12">
        <v>117.24</v>
      </c>
      <c r="X665">
        <v>7.5</v>
      </c>
      <c r="Y665" s="14">
        <v>21427700000000</v>
      </c>
      <c r="Z665">
        <v>88.2</v>
      </c>
      <c r="AA665">
        <v>101.8</v>
      </c>
      <c r="AB665">
        <v>9.6</v>
      </c>
      <c r="AC665">
        <v>36.6</v>
      </c>
      <c r="AD665">
        <v>328239523</v>
      </c>
    </row>
    <row r="666" spans="1:30" hidden="1" x14ac:dyDescent="0.45">
      <c r="A666">
        <v>659</v>
      </c>
      <c r="B666">
        <v>4200</v>
      </c>
      <c r="C666" t="s">
        <v>347</v>
      </c>
      <c r="D666" t="s">
        <v>2599</v>
      </c>
      <c r="E666">
        <v>72</v>
      </c>
      <c r="F666" t="s">
        <v>349</v>
      </c>
      <c r="G666" t="s">
        <v>350</v>
      </c>
      <c r="H666" t="s">
        <v>351</v>
      </c>
      <c r="I666" t="s">
        <v>347</v>
      </c>
      <c r="J666" t="s">
        <v>349</v>
      </c>
      <c r="L666" t="b">
        <v>1</v>
      </c>
      <c r="M666" t="s">
        <v>258</v>
      </c>
      <c r="N666" t="s">
        <v>8246</v>
      </c>
      <c r="O666" s="1">
        <v>18467</v>
      </c>
      <c r="P666" t="s">
        <v>2600</v>
      </c>
      <c r="Q666" t="s">
        <v>2601</v>
      </c>
      <c r="S666" s="1">
        <v>45020.209027777775</v>
      </c>
      <c r="V666">
        <v>1950</v>
      </c>
      <c r="W666">
        <v>151.18</v>
      </c>
      <c r="X666">
        <v>3</v>
      </c>
      <c r="Y666" s="2">
        <v>1119190780753</v>
      </c>
      <c r="Z666">
        <v>36.299999999999997</v>
      </c>
      <c r="AA666">
        <v>106.4</v>
      </c>
      <c r="AB666">
        <v>10.199999999999999</v>
      </c>
      <c r="AC666">
        <v>30.1</v>
      </c>
      <c r="AD666">
        <v>270203917</v>
      </c>
    </row>
    <row r="667" spans="1:30" hidden="1" x14ac:dyDescent="0.45">
      <c r="A667">
        <v>659</v>
      </c>
      <c r="B667">
        <v>4200</v>
      </c>
      <c r="C667" t="s">
        <v>45</v>
      </c>
      <c r="D667" t="s">
        <v>2602</v>
      </c>
      <c r="E667">
        <v>74</v>
      </c>
      <c r="F667" t="s">
        <v>35</v>
      </c>
      <c r="G667" t="s">
        <v>2603</v>
      </c>
      <c r="H667" t="s">
        <v>2604</v>
      </c>
      <c r="I667" t="s">
        <v>45</v>
      </c>
      <c r="J667" t="s">
        <v>35</v>
      </c>
      <c r="L667" t="b">
        <v>1</v>
      </c>
      <c r="M667" t="s">
        <v>39</v>
      </c>
      <c r="N667" t="s">
        <v>8245</v>
      </c>
      <c r="O667" s="1">
        <v>17908</v>
      </c>
      <c r="P667" t="s">
        <v>2605</v>
      </c>
      <c r="Q667" t="s">
        <v>2421</v>
      </c>
      <c r="S667" s="1">
        <v>45020.209027777775</v>
      </c>
      <c r="T667" t="s">
        <v>145</v>
      </c>
      <c r="U667" t="s">
        <v>69</v>
      </c>
      <c r="V667">
        <v>1949</v>
      </c>
      <c r="W667">
        <v>117.24</v>
      </c>
      <c r="X667">
        <v>7.5</v>
      </c>
      <c r="Y667" s="2">
        <v>21427700000000</v>
      </c>
      <c r="Z667">
        <v>88.2</v>
      </c>
      <c r="AA667">
        <v>101.8</v>
      </c>
      <c r="AB667">
        <v>9.6</v>
      </c>
      <c r="AC667">
        <v>36.6</v>
      </c>
      <c r="AD667">
        <v>328239523</v>
      </c>
    </row>
    <row r="668" spans="1:30" hidden="1" x14ac:dyDescent="0.45">
      <c r="A668">
        <v>659</v>
      </c>
      <c r="B668">
        <v>4200</v>
      </c>
      <c r="C668" t="s">
        <v>61</v>
      </c>
      <c r="D668" t="s">
        <v>2606</v>
      </c>
      <c r="E668">
        <v>82</v>
      </c>
      <c r="F668" t="s">
        <v>25</v>
      </c>
      <c r="G668" t="s">
        <v>26</v>
      </c>
      <c r="H668" t="s">
        <v>1839</v>
      </c>
      <c r="I668" t="s">
        <v>61</v>
      </c>
      <c r="J668" t="s">
        <v>25</v>
      </c>
      <c r="L668" t="b">
        <v>1</v>
      </c>
      <c r="M668" t="s">
        <v>29</v>
      </c>
      <c r="N668" t="s">
        <v>8245</v>
      </c>
      <c r="O668" s="1">
        <v>14921</v>
      </c>
      <c r="P668" t="s">
        <v>2607</v>
      </c>
      <c r="Q668" t="s">
        <v>1461</v>
      </c>
      <c r="S668" s="1">
        <v>45020.209027777775</v>
      </c>
      <c r="V668">
        <v>1940</v>
      </c>
      <c r="W668">
        <v>110.05</v>
      </c>
      <c r="X668">
        <v>1.1000000000000001</v>
      </c>
      <c r="Y668" s="2">
        <v>2715518274227</v>
      </c>
      <c r="Z668">
        <v>65.599999999999994</v>
      </c>
      <c r="AA668">
        <v>102.5</v>
      </c>
      <c r="AB668">
        <v>24.2</v>
      </c>
      <c r="AC668">
        <v>60.7</v>
      </c>
      <c r="AD668">
        <v>67059887</v>
      </c>
    </row>
    <row r="669" spans="1:30" x14ac:dyDescent="0.45">
      <c r="A669">
        <v>659</v>
      </c>
      <c r="B669" s="6">
        <v>4200</v>
      </c>
      <c r="C669" t="s">
        <v>45</v>
      </c>
      <c r="D669" t="s">
        <v>2608</v>
      </c>
      <c r="E669">
        <v>53</v>
      </c>
      <c r="F669" t="s">
        <v>35</v>
      </c>
      <c r="G669" t="s">
        <v>2609</v>
      </c>
      <c r="H669" t="s">
        <v>2610</v>
      </c>
      <c r="I669" t="s">
        <v>45</v>
      </c>
      <c r="J669" t="s">
        <v>35</v>
      </c>
      <c r="K669" t="s">
        <v>2611</v>
      </c>
      <c r="L669" t="b">
        <v>1</v>
      </c>
      <c r="M669" t="s">
        <v>29</v>
      </c>
      <c r="N669" t="s">
        <v>8245</v>
      </c>
      <c r="O669" s="10">
        <v>25448</v>
      </c>
      <c r="P669" t="s">
        <v>2612</v>
      </c>
      <c r="Q669" t="s">
        <v>482</v>
      </c>
      <c r="R669" t="s">
        <v>170</v>
      </c>
      <c r="S669" s="8">
        <v>45020.209027777775</v>
      </c>
      <c r="T669" t="s">
        <v>435</v>
      </c>
      <c r="U669" t="s">
        <v>69</v>
      </c>
      <c r="V669">
        <v>1969</v>
      </c>
      <c r="W669" s="12">
        <v>117.24</v>
      </c>
      <c r="X669">
        <v>7.5</v>
      </c>
      <c r="Y669" s="14">
        <v>21427700000000</v>
      </c>
      <c r="Z669">
        <v>88.2</v>
      </c>
      <c r="AA669">
        <v>101.8</v>
      </c>
      <c r="AB669">
        <v>9.6</v>
      </c>
      <c r="AC669">
        <v>36.6</v>
      </c>
      <c r="AD669">
        <v>328239523</v>
      </c>
    </row>
    <row r="670" spans="1:30" hidden="1" x14ac:dyDescent="0.45">
      <c r="A670">
        <v>659</v>
      </c>
      <c r="B670">
        <v>4200</v>
      </c>
      <c r="C670" t="s">
        <v>45</v>
      </c>
      <c r="D670" t="s">
        <v>2613</v>
      </c>
      <c r="E670">
        <v>55</v>
      </c>
      <c r="F670" t="s">
        <v>128</v>
      </c>
      <c r="G670" t="s">
        <v>234</v>
      </c>
      <c r="H670" t="s">
        <v>934</v>
      </c>
      <c r="I670" t="s">
        <v>45</v>
      </c>
      <c r="J670" t="s">
        <v>35</v>
      </c>
      <c r="L670" t="b">
        <v>1</v>
      </c>
      <c r="M670" t="s">
        <v>39</v>
      </c>
      <c r="N670" t="s">
        <v>8245</v>
      </c>
      <c r="O670" s="1">
        <v>24869</v>
      </c>
      <c r="P670" t="s">
        <v>1261</v>
      </c>
      <c r="Q670" t="s">
        <v>2433</v>
      </c>
      <c r="S670" s="1">
        <v>45020.209027777775</v>
      </c>
      <c r="V670">
        <v>1968</v>
      </c>
      <c r="W670">
        <v>125.08</v>
      </c>
      <c r="X670">
        <v>2.9</v>
      </c>
      <c r="Y670" s="2">
        <v>19910000000000</v>
      </c>
      <c r="Z670">
        <v>50.6</v>
      </c>
      <c r="AA670">
        <v>100.2</v>
      </c>
      <c r="AB670">
        <v>9.4</v>
      </c>
      <c r="AC670">
        <v>59.2</v>
      </c>
      <c r="AD670">
        <v>1397715000</v>
      </c>
    </row>
    <row r="671" spans="1:30" hidden="1" x14ac:dyDescent="0.45">
      <c r="A671">
        <v>659</v>
      </c>
      <c r="B671">
        <v>4200</v>
      </c>
      <c r="C671" t="s">
        <v>61</v>
      </c>
      <c r="D671" t="s">
        <v>2614</v>
      </c>
      <c r="E671">
        <v>59</v>
      </c>
      <c r="F671" t="s">
        <v>128</v>
      </c>
      <c r="G671" t="s">
        <v>234</v>
      </c>
      <c r="H671" t="s">
        <v>317</v>
      </c>
      <c r="I671" t="s">
        <v>61</v>
      </c>
      <c r="J671" t="s">
        <v>128</v>
      </c>
      <c r="L671" t="b">
        <v>1</v>
      </c>
      <c r="M671" t="s">
        <v>39</v>
      </c>
      <c r="N671" t="s">
        <v>8245</v>
      </c>
      <c r="O671" s="1">
        <v>23132</v>
      </c>
      <c r="P671" t="s">
        <v>1261</v>
      </c>
      <c r="Q671" t="s">
        <v>230</v>
      </c>
      <c r="S671" s="1">
        <v>45020.209027777775</v>
      </c>
      <c r="V671">
        <v>1963</v>
      </c>
      <c r="W671">
        <v>125.08</v>
      </c>
      <c r="X671">
        <v>2.9</v>
      </c>
      <c r="Y671" s="2">
        <v>19910000000000</v>
      </c>
      <c r="Z671">
        <v>50.6</v>
      </c>
      <c r="AA671">
        <v>100.2</v>
      </c>
      <c r="AB671">
        <v>9.4</v>
      </c>
      <c r="AC671">
        <v>59.2</v>
      </c>
      <c r="AD671">
        <v>1397715000</v>
      </c>
    </row>
    <row r="672" spans="1:30" x14ac:dyDescent="0.45">
      <c r="A672">
        <v>659</v>
      </c>
      <c r="B672" s="6">
        <v>4200</v>
      </c>
      <c r="C672" t="s">
        <v>45</v>
      </c>
      <c r="D672" t="s">
        <v>2615</v>
      </c>
      <c r="E672">
        <v>68</v>
      </c>
      <c r="F672" t="s">
        <v>35</v>
      </c>
      <c r="G672" t="s">
        <v>991</v>
      </c>
      <c r="H672" t="s">
        <v>1064</v>
      </c>
      <c r="I672" t="s">
        <v>45</v>
      </c>
      <c r="J672" t="s">
        <v>35</v>
      </c>
      <c r="K672" t="s">
        <v>2044</v>
      </c>
      <c r="L672" t="b">
        <v>1</v>
      </c>
      <c r="M672" t="s">
        <v>39</v>
      </c>
      <c r="N672" t="s">
        <v>8245</v>
      </c>
      <c r="O672" s="10">
        <v>19979</v>
      </c>
      <c r="P672" t="s">
        <v>2616</v>
      </c>
      <c r="Q672" t="s">
        <v>81</v>
      </c>
      <c r="R672" t="s">
        <v>688</v>
      </c>
      <c r="S672" s="8">
        <v>45020.209027777775</v>
      </c>
      <c r="T672" t="s">
        <v>115</v>
      </c>
      <c r="U672" t="s">
        <v>53</v>
      </c>
      <c r="V672">
        <v>1954</v>
      </c>
      <c r="W672" s="12">
        <v>117.24</v>
      </c>
      <c r="X672">
        <v>7.5</v>
      </c>
      <c r="Y672" s="14">
        <v>21427700000000</v>
      </c>
      <c r="Z672">
        <v>88.2</v>
      </c>
      <c r="AA672">
        <v>101.8</v>
      </c>
      <c r="AB672">
        <v>9.6</v>
      </c>
      <c r="AC672">
        <v>36.6</v>
      </c>
      <c r="AD672">
        <v>328239523</v>
      </c>
    </row>
    <row r="673" spans="1:30" hidden="1" x14ac:dyDescent="0.45">
      <c r="A673">
        <v>659</v>
      </c>
      <c r="B673">
        <v>4200</v>
      </c>
      <c r="C673" t="s">
        <v>436</v>
      </c>
      <c r="D673" t="s">
        <v>2617</v>
      </c>
      <c r="E673">
        <v>60</v>
      </c>
      <c r="F673" t="s">
        <v>35</v>
      </c>
      <c r="G673" t="s">
        <v>964</v>
      </c>
      <c r="H673" t="s">
        <v>1909</v>
      </c>
      <c r="I673" t="s">
        <v>436</v>
      </c>
      <c r="J673" t="s">
        <v>35</v>
      </c>
      <c r="L673" t="b">
        <v>0</v>
      </c>
      <c r="M673" t="s">
        <v>29</v>
      </c>
      <c r="N673" t="s">
        <v>8246</v>
      </c>
      <c r="O673" s="1">
        <v>22828</v>
      </c>
      <c r="P673" t="s">
        <v>1910</v>
      </c>
      <c r="Q673" t="s">
        <v>2618</v>
      </c>
      <c r="S673" s="1">
        <v>45020.209027777775</v>
      </c>
      <c r="T673" t="s">
        <v>115</v>
      </c>
      <c r="U673" t="s">
        <v>53</v>
      </c>
      <c r="V673">
        <v>1962</v>
      </c>
      <c r="W673">
        <v>117.24</v>
      </c>
      <c r="X673">
        <v>7.5</v>
      </c>
      <c r="Y673" s="2">
        <v>21427700000000</v>
      </c>
      <c r="Z673">
        <v>88.2</v>
      </c>
      <c r="AA673">
        <v>101.8</v>
      </c>
      <c r="AB673">
        <v>9.6</v>
      </c>
      <c r="AC673">
        <v>36.6</v>
      </c>
      <c r="AD673">
        <v>328239523</v>
      </c>
    </row>
    <row r="674" spans="1:30" hidden="1" x14ac:dyDescent="0.45">
      <c r="A674">
        <v>659</v>
      </c>
      <c r="B674">
        <v>4200</v>
      </c>
      <c r="C674" t="s">
        <v>33</v>
      </c>
      <c r="D674" t="s">
        <v>2619</v>
      </c>
      <c r="E674">
        <v>73</v>
      </c>
      <c r="F674" t="s">
        <v>35</v>
      </c>
      <c r="G674" t="s">
        <v>2257</v>
      </c>
      <c r="H674" t="s">
        <v>2258</v>
      </c>
      <c r="I674" t="s">
        <v>33</v>
      </c>
      <c r="J674" t="s">
        <v>35</v>
      </c>
      <c r="L674" t="b">
        <v>0</v>
      </c>
      <c r="M674" t="s">
        <v>29</v>
      </c>
      <c r="N674" t="s">
        <v>8245</v>
      </c>
      <c r="O674" s="1">
        <v>18199</v>
      </c>
      <c r="P674" t="s">
        <v>2259</v>
      </c>
      <c r="Q674" t="s">
        <v>2620</v>
      </c>
      <c r="S674" s="1">
        <v>45020.209027777775</v>
      </c>
      <c r="T674" t="s">
        <v>2260</v>
      </c>
      <c r="U674" t="s">
        <v>53</v>
      </c>
      <c r="V674">
        <v>1949</v>
      </c>
      <c r="W674">
        <v>117.24</v>
      </c>
      <c r="X674">
        <v>7.5</v>
      </c>
      <c r="Y674" s="2">
        <v>21427700000000</v>
      </c>
      <c r="Z674">
        <v>88.2</v>
      </c>
      <c r="AA674">
        <v>101.8</v>
      </c>
      <c r="AB674">
        <v>9.6</v>
      </c>
      <c r="AC674">
        <v>36.6</v>
      </c>
      <c r="AD674">
        <v>328239523</v>
      </c>
    </row>
    <row r="675" spans="1:30" hidden="1" x14ac:dyDescent="0.45">
      <c r="A675">
        <v>659</v>
      </c>
      <c r="B675">
        <v>4200</v>
      </c>
      <c r="C675" t="s">
        <v>45</v>
      </c>
      <c r="D675" t="s">
        <v>2621</v>
      </c>
      <c r="E675">
        <v>58</v>
      </c>
      <c r="F675" t="s">
        <v>35</v>
      </c>
      <c r="G675" t="s">
        <v>964</v>
      </c>
      <c r="H675" t="s">
        <v>2622</v>
      </c>
      <c r="I675" t="s">
        <v>45</v>
      </c>
      <c r="J675" t="s">
        <v>35</v>
      </c>
      <c r="L675" t="b">
        <v>1</v>
      </c>
      <c r="M675" t="s">
        <v>39</v>
      </c>
      <c r="N675" t="s">
        <v>8245</v>
      </c>
      <c r="O675" s="1">
        <v>23758</v>
      </c>
      <c r="P675" t="s">
        <v>2623</v>
      </c>
      <c r="Q675" t="s">
        <v>50</v>
      </c>
      <c r="S675" s="1">
        <v>45020.209027777775</v>
      </c>
      <c r="T675" t="s">
        <v>115</v>
      </c>
      <c r="U675" t="s">
        <v>53</v>
      </c>
      <c r="V675">
        <v>1965</v>
      </c>
      <c r="W675">
        <v>117.24</v>
      </c>
      <c r="X675">
        <v>7.5</v>
      </c>
      <c r="Y675" s="2">
        <v>21427700000000</v>
      </c>
      <c r="Z675">
        <v>88.2</v>
      </c>
      <c r="AA675">
        <v>101.8</v>
      </c>
      <c r="AB675">
        <v>9.6</v>
      </c>
      <c r="AC675">
        <v>36.6</v>
      </c>
      <c r="AD675">
        <v>328239523</v>
      </c>
    </row>
    <row r="676" spans="1:30" hidden="1" x14ac:dyDescent="0.45">
      <c r="A676">
        <v>659</v>
      </c>
      <c r="B676">
        <v>4200</v>
      </c>
      <c r="C676" t="s">
        <v>126</v>
      </c>
      <c r="D676" t="s">
        <v>2624</v>
      </c>
      <c r="E676">
        <v>40</v>
      </c>
      <c r="F676" t="s">
        <v>35</v>
      </c>
      <c r="G676" t="s">
        <v>2625</v>
      </c>
      <c r="H676" t="s">
        <v>2626</v>
      </c>
      <c r="I676" t="s">
        <v>126</v>
      </c>
      <c r="J676" t="s">
        <v>35</v>
      </c>
      <c r="L676" t="b">
        <v>0</v>
      </c>
      <c r="M676" t="s">
        <v>611</v>
      </c>
      <c r="N676" t="s">
        <v>8246</v>
      </c>
      <c r="O676" s="1">
        <v>30076</v>
      </c>
      <c r="P676" t="s">
        <v>2263</v>
      </c>
      <c r="Q676" t="s">
        <v>2627</v>
      </c>
      <c r="S676" s="1">
        <v>45020.209027777775</v>
      </c>
      <c r="T676" t="s">
        <v>115</v>
      </c>
      <c r="U676" t="s">
        <v>53</v>
      </c>
      <c r="V676">
        <v>1982</v>
      </c>
      <c r="W676">
        <v>117.24</v>
      </c>
      <c r="X676">
        <v>7.5</v>
      </c>
      <c r="Y676" s="2">
        <v>21427700000000</v>
      </c>
      <c r="Z676">
        <v>88.2</v>
      </c>
      <c r="AA676">
        <v>101.8</v>
      </c>
      <c r="AB676">
        <v>9.6</v>
      </c>
      <c r="AC676">
        <v>36.6</v>
      </c>
      <c r="AD676">
        <v>328239523</v>
      </c>
    </row>
    <row r="677" spans="1:30" hidden="1" x14ac:dyDescent="0.45">
      <c r="A677">
        <v>659</v>
      </c>
      <c r="B677">
        <v>4200</v>
      </c>
      <c r="C677" t="s">
        <v>23</v>
      </c>
      <c r="D677" t="s">
        <v>2628</v>
      </c>
      <c r="E677">
        <v>73</v>
      </c>
      <c r="F677" t="s">
        <v>349</v>
      </c>
      <c r="G677" t="s">
        <v>350</v>
      </c>
      <c r="H677" t="s">
        <v>594</v>
      </c>
      <c r="I677" t="s">
        <v>23</v>
      </c>
      <c r="J677" t="s">
        <v>349</v>
      </c>
      <c r="L677" t="b">
        <v>1</v>
      </c>
      <c r="M677" t="s">
        <v>29</v>
      </c>
      <c r="N677" t="s">
        <v>8245</v>
      </c>
      <c r="O677" s="1">
        <v>18303</v>
      </c>
      <c r="P677" t="s">
        <v>2629</v>
      </c>
      <c r="Q677" t="s">
        <v>2630</v>
      </c>
      <c r="S677" s="1">
        <v>45020.209027777775</v>
      </c>
      <c r="V677">
        <v>1950</v>
      </c>
      <c r="W677">
        <v>151.18</v>
      </c>
      <c r="X677">
        <v>3</v>
      </c>
      <c r="Y677" s="2">
        <v>1119190780753</v>
      </c>
      <c r="Z677">
        <v>36.299999999999997</v>
      </c>
      <c r="AA677">
        <v>106.4</v>
      </c>
      <c r="AB677">
        <v>10.199999999999999</v>
      </c>
      <c r="AC677">
        <v>30.1</v>
      </c>
      <c r="AD677">
        <v>270203917</v>
      </c>
    </row>
    <row r="678" spans="1:30" hidden="1" x14ac:dyDescent="0.45">
      <c r="A678">
        <v>659</v>
      </c>
      <c r="B678">
        <v>4200</v>
      </c>
      <c r="C678" t="s">
        <v>91</v>
      </c>
      <c r="D678" t="s">
        <v>2631</v>
      </c>
      <c r="E678">
        <v>71</v>
      </c>
      <c r="F678" t="s">
        <v>349</v>
      </c>
      <c r="G678" t="s">
        <v>350</v>
      </c>
      <c r="H678" t="s">
        <v>91</v>
      </c>
      <c r="I678" t="s">
        <v>91</v>
      </c>
      <c r="J678" t="s">
        <v>349</v>
      </c>
      <c r="L678" t="b">
        <v>1</v>
      </c>
      <c r="M678" t="s">
        <v>29</v>
      </c>
      <c r="N678" t="s">
        <v>8245</v>
      </c>
      <c r="O678" s="1">
        <v>19079</v>
      </c>
      <c r="P678" t="s">
        <v>2632</v>
      </c>
      <c r="S678" s="1">
        <v>45020.209027777775</v>
      </c>
      <c r="V678">
        <v>1952</v>
      </c>
      <c r="W678">
        <v>151.18</v>
      </c>
      <c r="X678">
        <v>3</v>
      </c>
      <c r="Y678" s="2">
        <v>1119190780753</v>
      </c>
      <c r="Z678">
        <v>36.299999999999997</v>
      </c>
      <c r="AA678">
        <v>106.4</v>
      </c>
      <c r="AB678">
        <v>10.199999999999999</v>
      </c>
      <c r="AC678">
        <v>30.1</v>
      </c>
      <c r="AD678">
        <v>270203917</v>
      </c>
    </row>
    <row r="679" spans="1:30" x14ac:dyDescent="0.45">
      <c r="A679">
        <v>659</v>
      </c>
      <c r="B679" s="6">
        <v>4200</v>
      </c>
      <c r="C679" t="s">
        <v>61</v>
      </c>
      <c r="D679" t="s">
        <v>2633</v>
      </c>
      <c r="E679">
        <v>55</v>
      </c>
      <c r="F679" t="s">
        <v>35</v>
      </c>
      <c r="G679" t="s">
        <v>964</v>
      </c>
      <c r="H679" t="s">
        <v>2634</v>
      </c>
      <c r="I679" t="s">
        <v>61</v>
      </c>
      <c r="J679" t="s">
        <v>35</v>
      </c>
      <c r="K679" t="s">
        <v>2635</v>
      </c>
      <c r="L679" t="b">
        <v>1</v>
      </c>
      <c r="M679" t="s">
        <v>39</v>
      </c>
      <c r="N679" t="s">
        <v>8245</v>
      </c>
      <c r="O679" s="10">
        <v>24756</v>
      </c>
      <c r="P679" t="s">
        <v>2636</v>
      </c>
      <c r="Q679" t="s">
        <v>608</v>
      </c>
      <c r="R679" t="s">
        <v>688</v>
      </c>
      <c r="S679" s="8">
        <v>45020.209027777775</v>
      </c>
      <c r="T679" t="s">
        <v>115</v>
      </c>
      <c r="U679" t="s">
        <v>53</v>
      </c>
      <c r="V679">
        <v>1967</v>
      </c>
      <c r="W679" s="12">
        <v>117.24</v>
      </c>
      <c r="X679">
        <v>7.5</v>
      </c>
      <c r="Y679" s="14">
        <v>21427700000000</v>
      </c>
      <c r="Z679">
        <v>88.2</v>
      </c>
      <c r="AA679">
        <v>101.8</v>
      </c>
      <c r="AB679">
        <v>9.6</v>
      </c>
      <c r="AC679">
        <v>36.6</v>
      </c>
      <c r="AD679">
        <v>328239523</v>
      </c>
    </row>
    <row r="680" spans="1:30" hidden="1" x14ac:dyDescent="0.45">
      <c r="A680">
        <v>679</v>
      </c>
      <c r="B680">
        <v>4100</v>
      </c>
      <c r="C680" t="s">
        <v>126</v>
      </c>
      <c r="D680" t="s">
        <v>2637</v>
      </c>
      <c r="E680">
        <v>68</v>
      </c>
      <c r="F680" t="s">
        <v>567</v>
      </c>
      <c r="G680" t="s">
        <v>568</v>
      </c>
      <c r="H680" t="s">
        <v>1372</v>
      </c>
      <c r="I680" t="s">
        <v>126</v>
      </c>
      <c r="J680" t="s">
        <v>567</v>
      </c>
      <c r="L680" t="b">
        <v>1</v>
      </c>
      <c r="M680" t="s">
        <v>39</v>
      </c>
      <c r="N680" t="s">
        <v>8245</v>
      </c>
      <c r="O680" s="1">
        <v>19969</v>
      </c>
      <c r="P680" t="s">
        <v>2638</v>
      </c>
      <c r="Q680" t="s">
        <v>2639</v>
      </c>
      <c r="S680" s="1">
        <v>45020.209027777775</v>
      </c>
      <c r="V680">
        <v>1954</v>
      </c>
      <c r="W680">
        <v>116.48</v>
      </c>
      <c r="X680">
        <v>2.8</v>
      </c>
      <c r="Y680" s="2">
        <v>246489245495</v>
      </c>
      <c r="Z680">
        <v>64.099999999999994</v>
      </c>
      <c r="AA680">
        <v>100.7</v>
      </c>
      <c r="AB680">
        <v>14.9</v>
      </c>
      <c r="AC680">
        <v>46.1</v>
      </c>
      <c r="AD680">
        <v>10669709</v>
      </c>
    </row>
    <row r="681" spans="1:30" hidden="1" x14ac:dyDescent="0.45">
      <c r="A681">
        <v>679</v>
      </c>
      <c r="B681">
        <v>4100</v>
      </c>
      <c r="C681" t="s">
        <v>436</v>
      </c>
      <c r="D681" t="s">
        <v>2640</v>
      </c>
      <c r="E681">
        <v>83</v>
      </c>
      <c r="F681" t="s">
        <v>25</v>
      </c>
      <c r="G681" t="s">
        <v>26</v>
      </c>
      <c r="H681" t="s">
        <v>2641</v>
      </c>
      <c r="I681" t="s">
        <v>436</v>
      </c>
      <c r="J681" t="s">
        <v>25</v>
      </c>
      <c r="L681" t="b">
        <v>0</v>
      </c>
      <c r="M681" t="s">
        <v>29</v>
      </c>
      <c r="N681" t="s">
        <v>8246</v>
      </c>
      <c r="O681" s="1">
        <v>14649</v>
      </c>
      <c r="P681" t="s">
        <v>2642</v>
      </c>
      <c r="Q681" t="s">
        <v>2643</v>
      </c>
      <c r="S681" s="1">
        <v>45020.209027777775</v>
      </c>
      <c r="V681">
        <v>1940</v>
      </c>
      <c r="W681">
        <v>110.05</v>
      </c>
      <c r="X681">
        <v>1.1000000000000001</v>
      </c>
      <c r="Y681" s="2">
        <v>2715518274227</v>
      </c>
      <c r="Z681">
        <v>65.599999999999994</v>
      </c>
      <c r="AA681">
        <v>102.5</v>
      </c>
      <c r="AB681">
        <v>24.2</v>
      </c>
      <c r="AC681">
        <v>60.7</v>
      </c>
      <c r="AD681">
        <v>67059887</v>
      </c>
    </row>
    <row r="682" spans="1:30" hidden="1" x14ac:dyDescent="0.45">
      <c r="A682">
        <v>679</v>
      </c>
      <c r="B682">
        <v>4100</v>
      </c>
      <c r="C682" t="s">
        <v>76</v>
      </c>
      <c r="D682" t="s">
        <v>2644</v>
      </c>
      <c r="E682">
        <v>83</v>
      </c>
      <c r="F682" t="s">
        <v>194</v>
      </c>
      <c r="G682" t="s">
        <v>1665</v>
      </c>
      <c r="H682" t="s">
        <v>2645</v>
      </c>
      <c r="I682" t="s">
        <v>76</v>
      </c>
      <c r="J682" t="s">
        <v>194</v>
      </c>
      <c r="L682" t="b">
        <v>0</v>
      </c>
      <c r="M682" t="s">
        <v>29</v>
      </c>
      <c r="N682" t="s">
        <v>8245</v>
      </c>
      <c r="O682" s="1">
        <v>14650</v>
      </c>
      <c r="P682" t="s">
        <v>2646</v>
      </c>
      <c r="Q682" t="s">
        <v>2647</v>
      </c>
      <c r="S682" s="1">
        <v>45020.209027777775</v>
      </c>
      <c r="V682">
        <v>1940</v>
      </c>
      <c r="W682">
        <v>112.85</v>
      </c>
      <c r="X682">
        <v>1.4</v>
      </c>
      <c r="Y682" s="2">
        <v>3845630030824</v>
      </c>
      <c r="Z682">
        <v>70.2</v>
      </c>
      <c r="AA682">
        <v>104</v>
      </c>
      <c r="AB682">
        <v>11.5</v>
      </c>
      <c r="AC682">
        <v>48.8</v>
      </c>
      <c r="AD682">
        <v>83132799</v>
      </c>
    </row>
    <row r="683" spans="1:30" hidden="1" x14ac:dyDescent="0.45">
      <c r="A683">
        <v>679</v>
      </c>
      <c r="B683">
        <v>4100</v>
      </c>
      <c r="C683" t="s">
        <v>126</v>
      </c>
      <c r="D683" t="s">
        <v>2648</v>
      </c>
      <c r="E683">
        <v>87</v>
      </c>
      <c r="F683" t="s">
        <v>35</v>
      </c>
      <c r="G683" t="s">
        <v>2649</v>
      </c>
      <c r="H683" t="s">
        <v>1426</v>
      </c>
      <c r="I683" t="s">
        <v>126</v>
      </c>
      <c r="J683" t="s">
        <v>35</v>
      </c>
      <c r="L683" t="b">
        <v>1</v>
      </c>
      <c r="M683" t="s">
        <v>29</v>
      </c>
      <c r="N683" t="s">
        <v>8245</v>
      </c>
      <c r="O683" s="1">
        <v>13164</v>
      </c>
      <c r="P683" t="s">
        <v>2650</v>
      </c>
      <c r="Q683" t="s">
        <v>2651</v>
      </c>
      <c r="S683" s="1">
        <v>45020.209027777775</v>
      </c>
      <c r="T683" t="s">
        <v>253</v>
      </c>
      <c r="U683" t="s">
        <v>44</v>
      </c>
      <c r="V683">
        <v>1936</v>
      </c>
      <c r="W683">
        <v>117.24</v>
      </c>
      <c r="X683">
        <v>7.5</v>
      </c>
      <c r="Y683" s="2">
        <v>21427700000000</v>
      </c>
      <c r="Z683">
        <v>88.2</v>
      </c>
      <c r="AA683">
        <v>101.8</v>
      </c>
      <c r="AB683">
        <v>9.6</v>
      </c>
      <c r="AC683">
        <v>36.6</v>
      </c>
      <c r="AD683">
        <v>328239523</v>
      </c>
    </row>
    <row r="684" spans="1:30" hidden="1" x14ac:dyDescent="0.45">
      <c r="A684">
        <v>679</v>
      </c>
      <c r="B684">
        <v>4100</v>
      </c>
      <c r="C684" t="s">
        <v>347</v>
      </c>
      <c r="D684" t="s">
        <v>2652</v>
      </c>
      <c r="E684">
        <v>74</v>
      </c>
      <c r="F684" t="s">
        <v>35</v>
      </c>
      <c r="G684" t="s">
        <v>78</v>
      </c>
      <c r="H684" t="s">
        <v>1891</v>
      </c>
      <c r="I684" t="s">
        <v>347</v>
      </c>
      <c r="J684" t="s">
        <v>35</v>
      </c>
      <c r="L684" t="b">
        <v>1</v>
      </c>
      <c r="M684" t="s">
        <v>29</v>
      </c>
      <c r="N684" t="s">
        <v>8245</v>
      </c>
      <c r="O684" s="1">
        <v>17783</v>
      </c>
      <c r="P684" t="s">
        <v>2653</v>
      </c>
      <c r="Q684" t="s">
        <v>225</v>
      </c>
      <c r="S684" s="1">
        <v>45020.209027777775</v>
      </c>
      <c r="T684" t="s">
        <v>78</v>
      </c>
      <c r="U684" t="s">
        <v>82</v>
      </c>
      <c r="V684">
        <v>1948</v>
      </c>
      <c r="W684">
        <v>117.24</v>
      </c>
      <c r="X684">
        <v>7.5</v>
      </c>
      <c r="Y684" s="2">
        <v>21427700000000</v>
      </c>
      <c r="Z684">
        <v>88.2</v>
      </c>
      <c r="AA684">
        <v>101.8</v>
      </c>
      <c r="AB684">
        <v>9.6</v>
      </c>
      <c r="AC684">
        <v>36.6</v>
      </c>
      <c r="AD684">
        <v>328239523</v>
      </c>
    </row>
    <row r="685" spans="1:30" hidden="1" x14ac:dyDescent="0.45">
      <c r="A685">
        <v>679</v>
      </c>
      <c r="B685">
        <v>4100</v>
      </c>
      <c r="C685" t="s">
        <v>45</v>
      </c>
      <c r="D685" t="s">
        <v>2654</v>
      </c>
      <c r="E685">
        <v>70</v>
      </c>
      <c r="F685" t="s">
        <v>35</v>
      </c>
      <c r="G685" t="s">
        <v>1022</v>
      </c>
      <c r="H685" t="s">
        <v>856</v>
      </c>
      <c r="I685" t="s">
        <v>45</v>
      </c>
      <c r="J685" t="s">
        <v>35</v>
      </c>
      <c r="L685" t="b">
        <v>1</v>
      </c>
      <c r="M685" t="s">
        <v>39</v>
      </c>
      <c r="N685" t="s">
        <v>8245</v>
      </c>
      <c r="O685" s="1">
        <v>19201</v>
      </c>
      <c r="P685" t="s">
        <v>861</v>
      </c>
      <c r="Q685" t="s">
        <v>373</v>
      </c>
      <c r="S685" s="1">
        <v>45020.209027777775</v>
      </c>
      <c r="T685" t="s">
        <v>115</v>
      </c>
      <c r="U685" t="s">
        <v>53</v>
      </c>
      <c r="V685">
        <v>1952</v>
      </c>
      <c r="W685">
        <v>117.24</v>
      </c>
      <c r="X685">
        <v>7.5</v>
      </c>
      <c r="Y685" s="2">
        <v>21427700000000</v>
      </c>
      <c r="Z685">
        <v>88.2</v>
      </c>
      <c r="AA685">
        <v>101.8</v>
      </c>
      <c r="AB685">
        <v>9.6</v>
      </c>
      <c r="AC685">
        <v>36.6</v>
      </c>
      <c r="AD685">
        <v>328239523</v>
      </c>
    </row>
    <row r="686" spans="1:30" hidden="1" x14ac:dyDescent="0.45">
      <c r="A686">
        <v>679</v>
      </c>
      <c r="B686">
        <v>4100</v>
      </c>
      <c r="C686" t="s">
        <v>126</v>
      </c>
      <c r="D686" t="s">
        <v>2655</v>
      </c>
      <c r="E686">
        <v>54</v>
      </c>
      <c r="F686" t="s">
        <v>214</v>
      </c>
      <c r="G686" t="s">
        <v>802</v>
      </c>
      <c r="H686" t="s">
        <v>2656</v>
      </c>
      <c r="I686" t="s">
        <v>126</v>
      </c>
      <c r="J686" t="s">
        <v>214</v>
      </c>
      <c r="L686" t="b">
        <v>0</v>
      </c>
      <c r="M686" t="s">
        <v>29</v>
      </c>
      <c r="N686" t="s">
        <v>8245</v>
      </c>
      <c r="O686" s="1">
        <v>25261</v>
      </c>
      <c r="P686" t="s">
        <v>2657</v>
      </c>
      <c r="Q686" t="s">
        <v>2658</v>
      </c>
      <c r="S686" s="1">
        <v>45020.209027777775</v>
      </c>
      <c r="V686">
        <v>1969</v>
      </c>
      <c r="W686">
        <v>110.62</v>
      </c>
      <c r="X686">
        <v>0.6</v>
      </c>
      <c r="Y686" s="2">
        <v>2001244392042</v>
      </c>
      <c r="Z686">
        <v>61.9</v>
      </c>
      <c r="AA686">
        <v>101.9</v>
      </c>
      <c r="AB686">
        <v>24.3</v>
      </c>
      <c r="AC686">
        <v>59.1</v>
      </c>
      <c r="AD686">
        <v>60297396</v>
      </c>
    </row>
    <row r="687" spans="1:30" hidden="1" x14ac:dyDescent="0.45">
      <c r="A687">
        <v>679</v>
      </c>
      <c r="B687">
        <v>4100</v>
      </c>
      <c r="C687" t="s">
        <v>296</v>
      </c>
      <c r="D687" t="s">
        <v>2659</v>
      </c>
      <c r="E687">
        <v>66</v>
      </c>
      <c r="F687" t="s">
        <v>2660</v>
      </c>
      <c r="G687" t="s">
        <v>2661</v>
      </c>
      <c r="H687" t="s">
        <v>2662</v>
      </c>
      <c r="I687" t="s">
        <v>296</v>
      </c>
      <c r="J687" t="s">
        <v>2660</v>
      </c>
      <c r="L687" t="b">
        <v>0</v>
      </c>
      <c r="M687" t="s">
        <v>39</v>
      </c>
      <c r="N687" t="s">
        <v>8245</v>
      </c>
      <c r="O687" s="1">
        <v>20773</v>
      </c>
      <c r="P687" t="s">
        <v>2663</v>
      </c>
      <c r="Q687" t="s">
        <v>2664</v>
      </c>
      <c r="S687" s="1">
        <v>45020.209027777775</v>
      </c>
      <c r="V687">
        <v>1956</v>
      </c>
      <c r="W687">
        <v>112.33</v>
      </c>
      <c r="X687">
        <v>1</v>
      </c>
      <c r="Y687" s="2">
        <v>268761201365</v>
      </c>
      <c r="Z687">
        <v>88.2</v>
      </c>
      <c r="AA687">
        <v>100.2</v>
      </c>
      <c r="AB687">
        <v>20.8</v>
      </c>
      <c r="AC687">
        <v>36.6</v>
      </c>
      <c r="AD687">
        <v>5520314</v>
      </c>
    </row>
    <row r="688" spans="1:30" hidden="1" x14ac:dyDescent="0.45">
      <c r="A688">
        <v>679</v>
      </c>
      <c r="B688">
        <v>4100</v>
      </c>
      <c r="C688" t="s">
        <v>296</v>
      </c>
      <c r="D688" t="s">
        <v>2665</v>
      </c>
      <c r="E688">
        <v>55</v>
      </c>
      <c r="F688" t="s">
        <v>128</v>
      </c>
      <c r="G688" t="s">
        <v>2666</v>
      </c>
      <c r="H688" t="s">
        <v>2667</v>
      </c>
      <c r="I688" t="s">
        <v>296</v>
      </c>
      <c r="J688" t="s">
        <v>128</v>
      </c>
      <c r="L688" t="b">
        <v>1</v>
      </c>
      <c r="M688" t="s">
        <v>29</v>
      </c>
      <c r="N688" t="s">
        <v>8245</v>
      </c>
      <c r="O688" s="1">
        <v>24746</v>
      </c>
      <c r="P688" t="s">
        <v>2340</v>
      </c>
      <c r="Q688" t="s">
        <v>2668</v>
      </c>
      <c r="S688" s="1">
        <v>45020.209027777775</v>
      </c>
      <c r="V688">
        <v>1967</v>
      </c>
      <c r="W688">
        <v>125.08</v>
      </c>
      <c r="X688">
        <v>2.9</v>
      </c>
      <c r="Y688" s="2">
        <v>19910000000000</v>
      </c>
      <c r="Z688">
        <v>50.6</v>
      </c>
      <c r="AA688">
        <v>100.2</v>
      </c>
      <c r="AB688">
        <v>9.4</v>
      </c>
      <c r="AC688">
        <v>59.2</v>
      </c>
      <c r="AD688">
        <v>1397715000</v>
      </c>
    </row>
    <row r="689" spans="1:30" hidden="1" x14ac:dyDescent="0.45">
      <c r="A689">
        <v>679</v>
      </c>
      <c r="B689">
        <v>4100</v>
      </c>
      <c r="C689" t="s">
        <v>436</v>
      </c>
      <c r="D689" t="s">
        <v>2669</v>
      </c>
      <c r="E689">
        <v>83</v>
      </c>
      <c r="F689" t="s">
        <v>35</v>
      </c>
      <c r="G689" t="s">
        <v>2670</v>
      </c>
      <c r="H689" t="s">
        <v>2671</v>
      </c>
      <c r="I689" t="s">
        <v>436</v>
      </c>
      <c r="J689" t="s">
        <v>35</v>
      </c>
      <c r="L689" t="b">
        <v>0</v>
      </c>
      <c r="M689" t="s">
        <v>29</v>
      </c>
      <c r="N689" t="s">
        <v>8245</v>
      </c>
      <c r="O689" s="1">
        <v>14631</v>
      </c>
      <c r="P689" t="s">
        <v>2672</v>
      </c>
      <c r="Q689" t="s">
        <v>2673</v>
      </c>
      <c r="S689" s="1">
        <v>45020.209027777775</v>
      </c>
      <c r="T689" t="s">
        <v>78</v>
      </c>
      <c r="U689" t="s">
        <v>82</v>
      </c>
      <c r="V689">
        <v>1940</v>
      </c>
      <c r="W689">
        <v>117.24</v>
      </c>
      <c r="X689">
        <v>7.5</v>
      </c>
      <c r="Y689" s="2">
        <v>21427700000000</v>
      </c>
      <c r="Z689">
        <v>88.2</v>
      </c>
      <c r="AA689">
        <v>101.8</v>
      </c>
      <c r="AB689">
        <v>9.6</v>
      </c>
      <c r="AC689">
        <v>36.6</v>
      </c>
      <c r="AD689">
        <v>328239523</v>
      </c>
    </row>
    <row r="690" spans="1:30" hidden="1" x14ac:dyDescent="0.45">
      <c r="A690">
        <v>679</v>
      </c>
      <c r="B690">
        <v>4100</v>
      </c>
      <c r="C690" t="s">
        <v>23</v>
      </c>
      <c r="D690" t="s">
        <v>2674</v>
      </c>
      <c r="E690">
        <v>56</v>
      </c>
      <c r="F690" t="s">
        <v>363</v>
      </c>
      <c r="G690" t="s">
        <v>381</v>
      </c>
      <c r="H690" t="s">
        <v>2675</v>
      </c>
      <c r="I690" t="s">
        <v>23</v>
      </c>
      <c r="J690" t="s">
        <v>363</v>
      </c>
      <c r="L690" t="b">
        <v>1</v>
      </c>
      <c r="M690" t="s">
        <v>29</v>
      </c>
      <c r="N690" t="s">
        <v>8245</v>
      </c>
      <c r="O690" s="1">
        <v>24410</v>
      </c>
      <c r="P690" t="s">
        <v>2676</v>
      </c>
      <c r="Q690" t="s">
        <v>1466</v>
      </c>
      <c r="S690" s="1">
        <v>45020.209027777775</v>
      </c>
      <c r="V690">
        <v>1966</v>
      </c>
      <c r="W690">
        <v>180.75</v>
      </c>
      <c r="X690">
        <v>4.5</v>
      </c>
      <c r="Y690" s="2">
        <v>1699876578871</v>
      </c>
      <c r="Z690">
        <v>81.900000000000006</v>
      </c>
      <c r="AA690">
        <v>102.6</v>
      </c>
      <c r="AB690">
        <v>11.4</v>
      </c>
      <c r="AC690">
        <v>46.2</v>
      </c>
      <c r="AD690">
        <v>144373535</v>
      </c>
    </row>
    <row r="691" spans="1:30" hidden="1" x14ac:dyDescent="0.45">
      <c r="A691">
        <v>679</v>
      </c>
      <c r="B691">
        <v>4100</v>
      </c>
      <c r="C691" t="s">
        <v>126</v>
      </c>
      <c r="D691" t="s">
        <v>2677</v>
      </c>
      <c r="E691">
        <v>73</v>
      </c>
      <c r="F691" t="s">
        <v>35</v>
      </c>
      <c r="G691" t="s">
        <v>2678</v>
      </c>
      <c r="H691" t="s">
        <v>2679</v>
      </c>
      <c r="I691" t="s">
        <v>126</v>
      </c>
      <c r="J691" t="s">
        <v>35</v>
      </c>
      <c r="L691" t="b">
        <v>0</v>
      </c>
      <c r="M691" t="s">
        <v>29</v>
      </c>
      <c r="N691" t="s">
        <v>8246</v>
      </c>
      <c r="O691" s="1">
        <v>18297</v>
      </c>
      <c r="P691" t="s">
        <v>1013</v>
      </c>
      <c r="Q691" t="s">
        <v>2680</v>
      </c>
      <c r="S691" s="1">
        <v>45020.209027777775</v>
      </c>
      <c r="T691" t="s">
        <v>311</v>
      </c>
      <c r="U691" t="s">
        <v>82</v>
      </c>
      <c r="V691">
        <v>1950</v>
      </c>
      <c r="W691">
        <v>117.24</v>
      </c>
      <c r="X691">
        <v>7.5</v>
      </c>
      <c r="Y691" s="2">
        <v>21427700000000</v>
      </c>
      <c r="Z691">
        <v>88.2</v>
      </c>
      <c r="AA691">
        <v>101.8</v>
      </c>
      <c r="AB691">
        <v>9.6</v>
      </c>
      <c r="AC691">
        <v>36.6</v>
      </c>
      <c r="AD691">
        <v>328239523</v>
      </c>
    </row>
    <row r="692" spans="1:30" hidden="1" x14ac:dyDescent="0.45">
      <c r="A692">
        <v>679</v>
      </c>
      <c r="B692">
        <v>4100</v>
      </c>
      <c r="C692" t="s">
        <v>91</v>
      </c>
      <c r="D692" t="s">
        <v>2681</v>
      </c>
      <c r="E692">
        <v>61</v>
      </c>
      <c r="F692" t="s">
        <v>558</v>
      </c>
      <c r="G692" t="s">
        <v>2682</v>
      </c>
      <c r="H692" t="s">
        <v>2683</v>
      </c>
      <c r="I692" t="s">
        <v>91</v>
      </c>
      <c r="J692" t="s">
        <v>558</v>
      </c>
      <c r="L692" t="b">
        <v>0</v>
      </c>
      <c r="M692" t="s">
        <v>29</v>
      </c>
      <c r="N692" t="s">
        <v>8245</v>
      </c>
      <c r="O692" s="1">
        <v>22647</v>
      </c>
      <c r="P692" t="s">
        <v>2684</v>
      </c>
      <c r="Q692" t="s">
        <v>2685</v>
      </c>
      <c r="S692" s="1">
        <v>45020.209027777775</v>
      </c>
      <c r="V692">
        <v>1962</v>
      </c>
      <c r="W692">
        <v>167.4</v>
      </c>
      <c r="X692">
        <v>3.7</v>
      </c>
      <c r="Y692" s="2">
        <v>1839758040766</v>
      </c>
      <c r="Z692">
        <v>51.3</v>
      </c>
      <c r="AA692">
        <v>115.4</v>
      </c>
      <c r="AB692">
        <v>14.2</v>
      </c>
      <c r="AC692">
        <v>65.099999999999994</v>
      </c>
      <c r="AD692">
        <v>212559417</v>
      </c>
    </row>
    <row r="693" spans="1:30" hidden="1" x14ac:dyDescent="0.45">
      <c r="A693">
        <v>679</v>
      </c>
      <c r="B693">
        <v>4100</v>
      </c>
      <c r="C693" t="s">
        <v>61</v>
      </c>
      <c r="D693" t="s">
        <v>2686</v>
      </c>
      <c r="E693">
        <v>66</v>
      </c>
      <c r="F693" t="s">
        <v>558</v>
      </c>
      <c r="G693" t="s">
        <v>2682</v>
      </c>
      <c r="H693" t="s">
        <v>2683</v>
      </c>
      <c r="I693" t="s">
        <v>61</v>
      </c>
      <c r="J693" t="s">
        <v>558</v>
      </c>
      <c r="L693" t="b">
        <v>0</v>
      </c>
      <c r="M693" t="s">
        <v>29</v>
      </c>
      <c r="N693" t="s">
        <v>8245</v>
      </c>
      <c r="O693" s="1">
        <v>20557</v>
      </c>
      <c r="P693" t="s">
        <v>2687</v>
      </c>
      <c r="Q693" t="s">
        <v>2688</v>
      </c>
      <c r="S693" s="1">
        <v>45020.209027777775</v>
      </c>
      <c r="V693">
        <v>1956</v>
      </c>
      <c r="W693">
        <v>167.4</v>
      </c>
      <c r="X693">
        <v>3.7</v>
      </c>
      <c r="Y693" s="2">
        <v>1839758040766</v>
      </c>
      <c r="Z693">
        <v>51.3</v>
      </c>
      <c r="AA693">
        <v>115.4</v>
      </c>
      <c r="AB693">
        <v>14.2</v>
      </c>
      <c r="AC693">
        <v>65.099999999999994</v>
      </c>
      <c r="AD693">
        <v>212559417</v>
      </c>
    </row>
    <row r="694" spans="1:30" hidden="1" x14ac:dyDescent="0.45">
      <c r="A694">
        <v>679</v>
      </c>
      <c r="B694">
        <v>4100</v>
      </c>
      <c r="C694" t="s">
        <v>702</v>
      </c>
      <c r="D694" t="s">
        <v>2689</v>
      </c>
      <c r="E694">
        <v>76</v>
      </c>
      <c r="F694" t="s">
        <v>35</v>
      </c>
      <c r="G694" t="s">
        <v>2257</v>
      </c>
      <c r="H694" t="s">
        <v>2690</v>
      </c>
      <c r="I694" t="s">
        <v>702</v>
      </c>
      <c r="J694" t="s">
        <v>35</v>
      </c>
      <c r="L694" t="b">
        <v>1</v>
      </c>
      <c r="M694" t="s">
        <v>29</v>
      </c>
      <c r="N694" t="s">
        <v>8245</v>
      </c>
      <c r="O694" s="1">
        <v>17028</v>
      </c>
      <c r="P694" t="s">
        <v>2691</v>
      </c>
      <c r="Q694" t="s">
        <v>2692</v>
      </c>
      <c r="S694" s="1">
        <v>45020.209027777775</v>
      </c>
      <c r="T694" t="s">
        <v>2260</v>
      </c>
      <c r="U694" t="s">
        <v>53</v>
      </c>
      <c r="V694">
        <v>1946</v>
      </c>
      <c r="W694">
        <v>117.24</v>
      </c>
      <c r="X694">
        <v>7.5</v>
      </c>
      <c r="Y694" s="2">
        <v>21427700000000</v>
      </c>
      <c r="Z694">
        <v>88.2</v>
      </c>
      <c r="AA694">
        <v>101.8</v>
      </c>
      <c r="AB694">
        <v>9.6</v>
      </c>
      <c r="AC694">
        <v>36.6</v>
      </c>
      <c r="AD694">
        <v>328239523</v>
      </c>
    </row>
    <row r="695" spans="1:30" hidden="1" x14ac:dyDescent="0.45">
      <c r="A695">
        <v>679</v>
      </c>
      <c r="B695">
        <v>4100</v>
      </c>
      <c r="C695" t="s">
        <v>296</v>
      </c>
      <c r="D695" t="s">
        <v>2693</v>
      </c>
      <c r="E695">
        <v>63</v>
      </c>
      <c r="F695" t="s">
        <v>205</v>
      </c>
      <c r="G695" t="s">
        <v>2694</v>
      </c>
      <c r="H695" t="s">
        <v>2695</v>
      </c>
      <c r="I695" t="s">
        <v>296</v>
      </c>
      <c r="J695" t="s">
        <v>205</v>
      </c>
      <c r="L695" t="b">
        <v>1</v>
      </c>
      <c r="M695" t="s">
        <v>39</v>
      </c>
      <c r="N695" t="s">
        <v>8245</v>
      </c>
      <c r="O695" s="1">
        <v>21794</v>
      </c>
      <c r="P695" t="s">
        <v>2696</v>
      </c>
      <c r="Q695" t="s">
        <v>608</v>
      </c>
      <c r="S695" s="1">
        <v>45020.209027777775</v>
      </c>
      <c r="V695">
        <v>1959</v>
      </c>
      <c r="W695">
        <v>99.55</v>
      </c>
      <c r="X695">
        <v>0.4</v>
      </c>
      <c r="Y695" s="2">
        <v>703082435360</v>
      </c>
      <c r="Z695">
        <v>59.6</v>
      </c>
      <c r="AA695">
        <v>105.2</v>
      </c>
      <c r="AB695">
        <v>10.1</v>
      </c>
      <c r="AC695">
        <v>28.8</v>
      </c>
      <c r="AD695">
        <v>8574832</v>
      </c>
    </row>
    <row r="696" spans="1:30" hidden="1" x14ac:dyDescent="0.45">
      <c r="A696">
        <v>679</v>
      </c>
      <c r="B696">
        <v>4100</v>
      </c>
      <c r="C696" t="s">
        <v>302</v>
      </c>
      <c r="D696" t="s">
        <v>2697</v>
      </c>
      <c r="E696">
        <v>88</v>
      </c>
      <c r="F696" t="s">
        <v>35</v>
      </c>
      <c r="G696" t="s">
        <v>1026</v>
      </c>
      <c r="H696" t="s">
        <v>304</v>
      </c>
      <c r="I696" t="s">
        <v>302</v>
      </c>
      <c r="J696" t="s">
        <v>35</v>
      </c>
      <c r="L696" t="b">
        <v>1</v>
      </c>
      <c r="M696" t="s">
        <v>29</v>
      </c>
      <c r="N696" t="s">
        <v>8245</v>
      </c>
      <c r="O696" s="1">
        <v>12535</v>
      </c>
      <c r="P696" t="s">
        <v>2698</v>
      </c>
      <c r="Q696" t="s">
        <v>543</v>
      </c>
      <c r="S696" s="1">
        <v>45020.209027777775</v>
      </c>
      <c r="T696" t="s">
        <v>115</v>
      </c>
      <c r="U696" t="s">
        <v>53</v>
      </c>
      <c r="V696">
        <v>1934</v>
      </c>
      <c r="W696">
        <v>117.24</v>
      </c>
      <c r="X696">
        <v>7.5</v>
      </c>
      <c r="Y696" s="2">
        <v>21427700000000</v>
      </c>
      <c r="Z696">
        <v>88.2</v>
      </c>
      <c r="AA696">
        <v>101.8</v>
      </c>
      <c r="AB696">
        <v>9.6</v>
      </c>
      <c r="AC696">
        <v>36.6</v>
      </c>
      <c r="AD696">
        <v>328239523</v>
      </c>
    </row>
    <row r="697" spans="1:30" hidden="1" x14ac:dyDescent="0.45">
      <c r="A697">
        <v>679</v>
      </c>
      <c r="B697">
        <v>4100</v>
      </c>
      <c r="C697" t="s">
        <v>91</v>
      </c>
      <c r="D697" t="s">
        <v>2699</v>
      </c>
      <c r="E697">
        <v>82</v>
      </c>
      <c r="F697" t="s">
        <v>328</v>
      </c>
      <c r="G697" t="s">
        <v>329</v>
      </c>
      <c r="H697" t="s">
        <v>2700</v>
      </c>
      <c r="I697" t="s">
        <v>91</v>
      </c>
      <c r="J697" t="s">
        <v>328</v>
      </c>
      <c r="L697" t="b">
        <v>1</v>
      </c>
      <c r="M697" t="s">
        <v>39</v>
      </c>
      <c r="N697" t="s">
        <v>8245</v>
      </c>
      <c r="O697" s="1">
        <v>14867</v>
      </c>
      <c r="P697" t="s">
        <v>2701</v>
      </c>
      <c r="Q697" t="s">
        <v>2702</v>
      </c>
      <c r="S697" s="1">
        <v>45020.209027777775</v>
      </c>
      <c r="V697">
        <v>1940</v>
      </c>
      <c r="W697">
        <v>119.8</v>
      </c>
      <c r="X697">
        <v>1.6</v>
      </c>
      <c r="Y697" s="2">
        <v>1392680589329</v>
      </c>
      <c r="Z697">
        <v>113.1</v>
      </c>
      <c r="AA697">
        <v>100.3</v>
      </c>
      <c r="AB697">
        <v>23</v>
      </c>
      <c r="AC697">
        <v>47.4</v>
      </c>
      <c r="AD697">
        <v>25766605</v>
      </c>
    </row>
    <row r="698" spans="1:30" hidden="1" x14ac:dyDescent="0.45">
      <c r="A698">
        <v>679</v>
      </c>
      <c r="B698">
        <v>4100</v>
      </c>
      <c r="C698" t="s">
        <v>45</v>
      </c>
      <c r="D698" t="s">
        <v>2703</v>
      </c>
      <c r="E698">
        <v>60</v>
      </c>
      <c r="F698" t="s">
        <v>35</v>
      </c>
      <c r="G698" t="s">
        <v>2704</v>
      </c>
      <c r="H698" t="s">
        <v>2705</v>
      </c>
      <c r="I698" t="s">
        <v>45</v>
      </c>
      <c r="J698" t="s">
        <v>35</v>
      </c>
      <c r="L698" t="b">
        <v>1</v>
      </c>
      <c r="M698" t="s">
        <v>39</v>
      </c>
      <c r="N698" t="s">
        <v>8245</v>
      </c>
      <c r="O698" s="1">
        <v>23037</v>
      </c>
      <c r="P698" t="s">
        <v>2706</v>
      </c>
      <c r="Q698" t="s">
        <v>251</v>
      </c>
      <c r="S698" s="1">
        <v>45020.209027777775</v>
      </c>
      <c r="T698" t="s">
        <v>115</v>
      </c>
      <c r="U698" t="s">
        <v>53</v>
      </c>
      <c r="V698">
        <v>1963</v>
      </c>
      <c r="W698">
        <v>117.24</v>
      </c>
      <c r="X698">
        <v>7.5</v>
      </c>
      <c r="Y698" s="2">
        <v>21427700000000</v>
      </c>
      <c r="Z698">
        <v>88.2</v>
      </c>
      <c r="AA698">
        <v>101.8</v>
      </c>
      <c r="AB698">
        <v>9.6</v>
      </c>
      <c r="AC698">
        <v>36.6</v>
      </c>
      <c r="AD698">
        <v>328239523</v>
      </c>
    </row>
    <row r="699" spans="1:30" hidden="1" x14ac:dyDescent="0.45">
      <c r="A699">
        <v>679</v>
      </c>
      <c r="B699">
        <v>4100</v>
      </c>
      <c r="C699" t="s">
        <v>402</v>
      </c>
      <c r="D699" t="s">
        <v>2707</v>
      </c>
      <c r="E699">
        <v>57</v>
      </c>
      <c r="F699" t="s">
        <v>128</v>
      </c>
      <c r="G699" t="s">
        <v>187</v>
      </c>
      <c r="H699" t="s">
        <v>1919</v>
      </c>
      <c r="I699" t="s">
        <v>402</v>
      </c>
      <c r="J699" t="s">
        <v>128</v>
      </c>
      <c r="L699" t="b">
        <v>1</v>
      </c>
      <c r="M699" t="s">
        <v>39</v>
      </c>
      <c r="N699" t="s">
        <v>8245</v>
      </c>
      <c r="O699" s="1">
        <v>24108</v>
      </c>
      <c r="P699" t="s">
        <v>2706</v>
      </c>
      <c r="Q699" t="s">
        <v>2708</v>
      </c>
      <c r="S699" s="1">
        <v>45020.209027777775</v>
      </c>
      <c r="V699">
        <v>1966</v>
      </c>
      <c r="W699">
        <v>125.08</v>
      </c>
      <c r="X699">
        <v>2.9</v>
      </c>
      <c r="Y699" s="2">
        <v>19910000000000</v>
      </c>
      <c r="Z699">
        <v>50.6</v>
      </c>
      <c r="AA699">
        <v>100.2</v>
      </c>
      <c r="AB699">
        <v>9.4</v>
      </c>
      <c r="AC699">
        <v>59.2</v>
      </c>
      <c r="AD699">
        <v>1397715000</v>
      </c>
    </row>
    <row r="700" spans="1:30" hidden="1" x14ac:dyDescent="0.45">
      <c r="A700">
        <v>699</v>
      </c>
      <c r="B700">
        <v>4000</v>
      </c>
      <c r="C700" t="s">
        <v>347</v>
      </c>
      <c r="D700" t="s">
        <v>2709</v>
      </c>
      <c r="E700">
        <v>80</v>
      </c>
      <c r="F700" t="s">
        <v>35</v>
      </c>
      <c r="G700" t="s">
        <v>159</v>
      </c>
      <c r="H700" t="s">
        <v>2162</v>
      </c>
      <c r="I700" t="s">
        <v>347</v>
      </c>
      <c r="J700" t="s">
        <v>35</v>
      </c>
      <c r="L700" t="b">
        <v>0</v>
      </c>
      <c r="M700" t="s">
        <v>29</v>
      </c>
      <c r="N700" t="s">
        <v>8245</v>
      </c>
      <c r="O700" s="1">
        <v>15440</v>
      </c>
      <c r="P700" t="s">
        <v>2163</v>
      </c>
      <c r="Q700" t="s">
        <v>2710</v>
      </c>
      <c r="S700" s="1">
        <v>45020.209027777775</v>
      </c>
      <c r="T700" t="s">
        <v>43</v>
      </c>
      <c r="U700" t="s">
        <v>44</v>
      </c>
      <c r="V700">
        <v>1942</v>
      </c>
      <c r="W700">
        <v>117.24</v>
      </c>
      <c r="X700">
        <v>7.5</v>
      </c>
      <c r="Y700" s="2">
        <v>21427700000000</v>
      </c>
      <c r="Z700">
        <v>88.2</v>
      </c>
      <c r="AA700">
        <v>101.8</v>
      </c>
      <c r="AB700">
        <v>9.6</v>
      </c>
      <c r="AC700">
        <v>36.6</v>
      </c>
      <c r="AD700">
        <v>328239523</v>
      </c>
    </row>
    <row r="701" spans="1:30" hidden="1" x14ac:dyDescent="0.45">
      <c r="A701">
        <v>699</v>
      </c>
      <c r="B701">
        <v>4000</v>
      </c>
      <c r="C701" t="s">
        <v>45</v>
      </c>
      <c r="D701" t="s">
        <v>2711</v>
      </c>
      <c r="E701">
        <v>48</v>
      </c>
      <c r="F701" t="s">
        <v>35</v>
      </c>
      <c r="G701" t="s">
        <v>1130</v>
      </c>
      <c r="H701" t="s">
        <v>2712</v>
      </c>
      <c r="I701" t="s">
        <v>45</v>
      </c>
      <c r="J701" t="s">
        <v>35</v>
      </c>
      <c r="L701" t="b">
        <v>1</v>
      </c>
      <c r="M701" t="s">
        <v>39</v>
      </c>
      <c r="N701" t="s">
        <v>8245</v>
      </c>
      <c r="O701" s="1">
        <v>27195</v>
      </c>
      <c r="P701" t="s">
        <v>2713</v>
      </c>
      <c r="Q701" t="s">
        <v>2714</v>
      </c>
      <c r="S701" s="1">
        <v>45020.209027777775</v>
      </c>
      <c r="T701" t="s">
        <v>1134</v>
      </c>
      <c r="U701" t="s">
        <v>44</v>
      </c>
      <c r="V701">
        <v>1974</v>
      </c>
      <c r="W701">
        <v>117.24</v>
      </c>
      <c r="X701">
        <v>7.5</v>
      </c>
      <c r="Y701" s="2">
        <v>21427700000000</v>
      </c>
      <c r="Z701">
        <v>88.2</v>
      </c>
      <c r="AA701">
        <v>101.8</v>
      </c>
      <c r="AB701">
        <v>9.6</v>
      </c>
      <c r="AC701">
        <v>36.6</v>
      </c>
      <c r="AD701">
        <v>328239523</v>
      </c>
    </row>
    <row r="702" spans="1:30" hidden="1" x14ac:dyDescent="0.45">
      <c r="A702">
        <v>699</v>
      </c>
      <c r="B702">
        <v>4000</v>
      </c>
      <c r="C702" t="s">
        <v>126</v>
      </c>
      <c r="D702" t="s">
        <v>2715</v>
      </c>
      <c r="E702">
        <v>75</v>
      </c>
      <c r="F702" t="s">
        <v>35</v>
      </c>
      <c r="H702" t="s">
        <v>2716</v>
      </c>
      <c r="I702" t="s">
        <v>126</v>
      </c>
      <c r="J702" t="s">
        <v>35</v>
      </c>
      <c r="L702" t="b">
        <v>0</v>
      </c>
      <c r="M702" t="s">
        <v>258</v>
      </c>
      <c r="N702" t="s">
        <v>8246</v>
      </c>
      <c r="O702" s="1">
        <v>17373</v>
      </c>
      <c r="P702" t="s">
        <v>2717</v>
      </c>
      <c r="Q702" t="s">
        <v>2718</v>
      </c>
      <c r="S702" s="1">
        <v>45020.209027777775</v>
      </c>
      <c r="U702" t="s">
        <v>44</v>
      </c>
      <c r="V702">
        <v>1947</v>
      </c>
      <c r="W702">
        <v>117.24</v>
      </c>
      <c r="X702">
        <v>7.5</v>
      </c>
      <c r="Y702" s="2">
        <v>21427700000000</v>
      </c>
      <c r="Z702">
        <v>88.2</v>
      </c>
      <c r="AA702">
        <v>101.8</v>
      </c>
      <c r="AB702">
        <v>9.6</v>
      </c>
      <c r="AC702">
        <v>36.6</v>
      </c>
      <c r="AD702">
        <v>328239523</v>
      </c>
    </row>
    <row r="703" spans="1:30" hidden="1" x14ac:dyDescent="0.45">
      <c r="A703">
        <v>699</v>
      </c>
      <c r="B703">
        <v>4000</v>
      </c>
      <c r="C703" t="s">
        <v>91</v>
      </c>
      <c r="D703" t="s">
        <v>2719</v>
      </c>
      <c r="E703">
        <v>56</v>
      </c>
      <c r="F703" t="s">
        <v>128</v>
      </c>
      <c r="G703" t="s">
        <v>292</v>
      </c>
      <c r="H703" t="s">
        <v>2720</v>
      </c>
      <c r="I703" t="s">
        <v>91</v>
      </c>
      <c r="J703" t="s">
        <v>128</v>
      </c>
      <c r="L703" t="b">
        <v>1</v>
      </c>
      <c r="M703" t="s">
        <v>39</v>
      </c>
      <c r="N703" t="s">
        <v>8245</v>
      </c>
      <c r="O703" s="1">
        <v>24519</v>
      </c>
      <c r="P703" t="s">
        <v>2721</v>
      </c>
      <c r="Q703" t="s">
        <v>2722</v>
      </c>
      <c r="S703" s="1">
        <v>45020.209027777775</v>
      </c>
      <c r="V703">
        <v>1967</v>
      </c>
      <c r="W703">
        <v>125.08</v>
      </c>
      <c r="X703">
        <v>2.9</v>
      </c>
      <c r="Y703" s="2">
        <v>19910000000000</v>
      </c>
      <c r="Z703">
        <v>50.6</v>
      </c>
      <c r="AA703">
        <v>100.2</v>
      </c>
      <c r="AB703">
        <v>9.4</v>
      </c>
      <c r="AC703">
        <v>59.2</v>
      </c>
      <c r="AD703">
        <v>1397715000</v>
      </c>
    </row>
    <row r="704" spans="1:30" hidden="1" x14ac:dyDescent="0.45">
      <c r="A704">
        <v>699</v>
      </c>
      <c r="B704">
        <v>4000</v>
      </c>
      <c r="C704" t="s">
        <v>296</v>
      </c>
      <c r="D704" t="s">
        <v>2723</v>
      </c>
      <c r="E704">
        <v>77</v>
      </c>
      <c r="F704" t="s">
        <v>93</v>
      </c>
      <c r="G704" t="s">
        <v>343</v>
      </c>
      <c r="H704" t="s">
        <v>2724</v>
      </c>
      <c r="I704" t="s">
        <v>296</v>
      </c>
      <c r="J704" t="s">
        <v>93</v>
      </c>
      <c r="L704" t="b">
        <v>0</v>
      </c>
      <c r="M704" t="s">
        <v>29</v>
      </c>
      <c r="N704" t="s">
        <v>8246</v>
      </c>
      <c r="O704" s="1">
        <v>16695</v>
      </c>
      <c r="P704" t="s">
        <v>2725</v>
      </c>
      <c r="Q704" t="s">
        <v>2726</v>
      </c>
      <c r="S704" s="1">
        <v>45020.209027777775</v>
      </c>
      <c r="V704">
        <v>1945</v>
      </c>
      <c r="W704">
        <v>180.44</v>
      </c>
      <c r="X704">
        <v>7.7</v>
      </c>
      <c r="Y704" s="2">
        <v>2611000000000</v>
      </c>
      <c r="Z704">
        <v>28.1</v>
      </c>
      <c r="AA704">
        <v>113</v>
      </c>
      <c r="AB704">
        <v>11.2</v>
      </c>
      <c r="AC704">
        <v>49.7</v>
      </c>
      <c r="AD704">
        <v>1366417754</v>
      </c>
    </row>
    <row r="705" spans="1:30" hidden="1" x14ac:dyDescent="0.45">
      <c r="A705">
        <v>699</v>
      </c>
      <c r="B705">
        <v>4000</v>
      </c>
      <c r="C705" t="s">
        <v>702</v>
      </c>
      <c r="D705" t="s">
        <v>2727</v>
      </c>
      <c r="E705">
        <v>73</v>
      </c>
      <c r="F705" t="s">
        <v>35</v>
      </c>
      <c r="G705" t="s">
        <v>1611</v>
      </c>
      <c r="H705" t="s">
        <v>702</v>
      </c>
      <c r="I705" t="s">
        <v>702</v>
      </c>
      <c r="J705" t="s">
        <v>35</v>
      </c>
      <c r="L705" t="b">
        <v>1</v>
      </c>
      <c r="M705" t="s">
        <v>29</v>
      </c>
      <c r="N705" t="s">
        <v>8245</v>
      </c>
      <c r="O705" s="1">
        <v>18154</v>
      </c>
      <c r="P705" t="s">
        <v>1292</v>
      </c>
      <c r="Q705" t="s">
        <v>225</v>
      </c>
      <c r="S705" s="1">
        <v>45020.209027777775</v>
      </c>
      <c r="T705" t="s">
        <v>253</v>
      </c>
      <c r="U705" t="s">
        <v>44</v>
      </c>
      <c r="V705">
        <v>1949</v>
      </c>
      <c r="W705">
        <v>117.24</v>
      </c>
      <c r="X705">
        <v>7.5</v>
      </c>
      <c r="Y705" s="2">
        <v>21427700000000</v>
      </c>
      <c r="Z705">
        <v>88.2</v>
      </c>
      <c r="AA705">
        <v>101.8</v>
      </c>
      <c r="AB705">
        <v>9.6</v>
      </c>
      <c r="AC705">
        <v>36.6</v>
      </c>
      <c r="AD705">
        <v>328239523</v>
      </c>
    </row>
    <row r="706" spans="1:30" x14ac:dyDescent="0.45">
      <c r="A706">
        <v>699</v>
      </c>
      <c r="B706" s="6">
        <v>4000</v>
      </c>
      <c r="C706" t="s">
        <v>45</v>
      </c>
      <c r="D706" t="s">
        <v>2728</v>
      </c>
      <c r="E706">
        <v>46</v>
      </c>
      <c r="F706" t="s">
        <v>35</v>
      </c>
      <c r="G706" t="s">
        <v>964</v>
      </c>
      <c r="H706" t="s">
        <v>2729</v>
      </c>
      <c r="I706" t="s">
        <v>45</v>
      </c>
      <c r="J706" t="s">
        <v>35</v>
      </c>
      <c r="K706" t="s">
        <v>2730</v>
      </c>
      <c r="L706" t="b">
        <v>1</v>
      </c>
      <c r="M706" t="s">
        <v>29</v>
      </c>
      <c r="N706" t="s">
        <v>8245</v>
      </c>
      <c r="O706" s="10">
        <v>27978</v>
      </c>
      <c r="P706" t="s">
        <v>2731</v>
      </c>
      <c r="Q706" t="s">
        <v>2732</v>
      </c>
      <c r="R706" t="s">
        <v>138</v>
      </c>
      <c r="S706" s="8">
        <v>45020.209027777775</v>
      </c>
      <c r="T706" t="s">
        <v>115</v>
      </c>
      <c r="U706" t="s">
        <v>53</v>
      </c>
      <c r="V706">
        <v>1976</v>
      </c>
      <c r="W706" s="12">
        <v>117.24</v>
      </c>
      <c r="X706">
        <v>7.5</v>
      </c>
      <c r="Y706" s="14">
        <v>21427700000000</v>
      </c>
      <c r="Z706">
        <v>88.2</v>
      </c>
      <c r="AA706">
        <v>101.8</v>
      </c>
      <c r="AB706">
        <v>9.6</v>
      </c>
      <c r="AC706">
        <v>36.6</v>
      </c>
      <c r="AD706">
        <v>328239523</v>
      </c>
    </row>
    <row r="707" spans="1:30" hidden="1" x14ac:dyDescent="0.45">
      <c r="A707">
        <v>699</v>
      </c>
      <c r="B707">
        <v>4000</v>
      </c>
      <c r="C707" t="s">
        <v>296</v>
      </c>
      <c r="D707" t="s">
        <v>2733</v>
      </c>
      <c r="E707">
        <v>61</v>
      </c>
      <c r="F707" t="s">
        <v>762</v>
      </c>
      <c r="G707" t="s">
        <v>2734</v>
      </c>
      <c r="H707" t="s">
        <v>2735</v>
      </c>
      <c r="I707" t="s">
        <v>296</v>
      </c>
      <c r="J707" t="s">
        <v>762</v>
      </c>
      <c r="L707" t="b">
        <v>1</v>
      </c>
      <c r="M707" t="s">
        <v>39</v>
      </c>
      <c r="N707" t="s">
        <v>8245</v>
      </c>
      <c r="O707" s="1">
        <v>22396</v>
      </c>
      <c r="P707" t="s">
        <v>2736</v>
      </c>
      <c r="Q707" t="s">
        <v>2737</v>
      </c>
      <c r="S707" s="1">
        <v>45020.209027777775</v>
      </c>
      <c r="V707">
        <v>1961</v>
      </c>
      <c r="W707">
        <v>121.46</v>
      </c>
      <c r="X707">
        <v>0.7</v>
      </c>
      <c r="Y707" s="2">
        <v>364701517788</v>
      </c>
      <c r="Z707">
        <v>45.1</v>
      </c>
      <c r="AA707">
        <v>105.3</v>
      </c>
      <c r="AB707">
        <v>12</v>
      </c>
      <c r="AC707">
        <v>38.700000000000003</v>
      </c>
      <c r="AD707">
        <v>32447385</v>
      </c>
    </row>
    <row r="708" spans="1:30" hidden="1" x14ac:dyDescent="0.45">
      <c r="A708">
        <v>699</v>
      </c>
      <c r="B708">
        <v>4000</v>
      </c>
      <c r="C708" t="s">
        <v>45</v>
      </c>
      <c r="D708" t="s">
        <v>2738</v>
      </c>
      <c r="E708">
        <v>51</v>
      </c>
      <c r="F708" t="s">
        <v>35</v>
      </c>
      <c r="G708" t="s">
        <v>1130</v>
      </c>
      <c r="H708" t="s">
        <v>2712</v>
      </c>
      <c r="I708" t="s">
        <v>45</v>
      </c>
      <c r="J708" t="s">
        <v>35</v>
      </c>
      <c r="L708" t="b">
        <v>1</v>
      </c>
      <c r="M708" t="s">
        <v>39</v>
      </c>
      <c r="N708" t="s">
        <v>8245</v>
      </c>
      <c r="O708" s="1">
        <v>26268</v>
      </c>
      <c r="P708" t="s">
        <v>2739</v>
      </c>
      <c r="Q708" t="s">
        <v>1652</v>
      </c>
      <c r="S708" s="1">
        <v>45020.209027777775</v>
      </c>
      <c r="T708" t="s">
        <v>1134</v>
      </c>
      <c r="U708" t="s">
        <v>44</v>
      </c>
      <c r="V708">
        <v>1971</v>
      </c>
      <c r="W708">
        <v>117.24</v>
      </c>
      <c r="X708">
        <v>7.5</v>
      </c>
      <c r="Y708" s="2">
        <v>21427700000000</v>
      </c>
      <c r="Z708">
        <v>88.2</v>
      </c>
      <c r="AA708">
        <v>101.8</v>
      </c>
      <c r="AB708">
        <v>9.6</v>
      </c>
      <c r="AC708">
        <v>36.6</v>
      </c>
      <c r="AD708">
        <v>328239523</v>
      </c>
    </row>
    <row r="709" spans="1:30" hidden="1" x14ac:dyDescent="0.45">
      <c r="A709">
        <v>699</v>
      </c>
      <c r="B709">
        <v>4000</v>
      </c>
      <c r="C709" t="s">
        <v>296</v>
      </c>
      <c r="D709" t="s">
        <v>2740</v>
      </c>
      <c r="E709">
        <v>65</v>
      </c>
      <c r="F709" t="s">
        <v>128</v>
      </c>
      <c r="G709" t="s">
        <v>2741</v>
      </c>
      <c r="H709" t="s">
        <v>2742</v>
      </c>
      <c r="I709" t="s">
        <v>296</v>
      </c>
      <c r="J709" t="s">
        <v>35</v>
      </c>
      <c r="L709" t="b">
        <v>1</v>
      </c>
      <c r="M709" t="s">
        <v>39</v>
      </c>
      <c r="N709" t="s">
        <v>8245</v>
      </c>
      <c r="O709" s="1">
        <v>21186</v>
      </c>
      <c r="P709" t="s">
        <v>305</v>
      </c>
      <c r="Q709" t="s">
        <v>1977</v>
      </c>
      <c r="S709" s="1">
        <v>45020.209027777775</v>
      </c>
      <c r="V709">
        <v>1958</v>
      </c>
      <c r="W709">
        <v>125.08</v>
      </c>
      <c r="X709">
        <v>2.9</v>
      </c>
      <c r="Y709" s="2">
        <v>19910000000000</v>
      </c>
      <c r="Z709">
        <v>50.6</v>
      </c>
      <c r="AA709">
        <v>100.2</v>
      </c>
      <c r="AB709">
        <v>9.4</v>
      </c>
      <c r="AC709">
        <v>59.2</v>
      </c>
      <c r="AD709">
        <v>1397715000</v>
      </c>
    </row>
    <row r="710" spans="1:30" hidden="1" x14ac:dyDescent="0.45">
      <c r="A710">
        <v>699</v>
      </c>
      <c r="B710">
        <v>4000</v>
      </c>
      <c r="C710" t="s">
        <v>45</v>
      </c>
      <c r="D710" t="s">
        <v>2743</v>
      </c>
      <c r="E710">
        <v>42</v>
      </c>
      <c r="F710" t="s">
        <v>164</v>
      </c>
      <c r="G710" t="s">
        <v>2744</v>
      </c>
      <c r="H710" t="s">
        <v>293</v>
      </c>
      <c r="I710" t="s">
        <v>45</v>
      </c>
      <c r="J710" t="s">
        <v>164</v>
      </c>
      <c r="L710" t="b">
        <v>1</v>
      </c>
      <c r="M710" t="s">
        <v>39</v>
      </c>
      <c r="N710" t="s">
        <v>8245</v>
      </c>
      <c r="O710" s="1">
        <v>29418</v>
      </c>
      <c r="P710" t="s">
        <v>2745</v>
      </c>
      <c r="Q710" t="s">
        <v>2746</v>
      </c>
      <c r="S710" s="1">
        <v>45020.209027777775</v>
      </c>
      <c r="V710">
        <v>1980</v>
      </c>
      <c r="W710">
        <v>116.76</v>
      </c>
      <c r="X710">
        <v>1.9</v>
      </c>
      <c r="Y710" s="2">
        <v>1736425629520</v>
      </c>
      <c r="Z710">
        <v>68.900000000000006</v>
      </c>
      <c r="AA710">
        <v>100.9</v>
      </c>
      <c r="AB710">
        <v>12.8</v>
      </c>
      <c r="AC710">
        <v>24.5</v>
      </c>
      <c r="AD710">
        <v>36991981</v>
      </c>
    </row>
    <row r="711" spans="1:30" hidden="1" x14ac:dyDescent="0.45">
      <c r="A711">
        <v>699</v>
      </c>
      <c r="B711">
        <v>4000</v>
      </c>
      <c r="C711" t="s">
        <v>33</v>
      </c>
      <c r="D711" t="s">
        <v>2747</v>
      </c>
      <c r="E711">
        <v>79</v>
      </c>
      <c r="F711" t="s">
        <v>35</v>
      </c>
      <c r="G711" t="s">
        <v>2748</v>
      </c>
      <c r="H711" t="s">
        <v>2749</v>
      </c>
      <c r="I711" t="s">
        <v>33</v>
      </c>
      <c r="J711" t="s">
        <v>35</v>
      </c>
      <c r="L711" t="b">
        <v>1</v>
      </c>
      <c r="M711" t="s">
        <v>29</v>
      </c>
      <c r="N711" t="s">
        <v>8246</v>
      </c>
      <c r="O711" s="1">
        <v>15993</v>
      </c>
      <c r="P711" t="s">
        <v>2750</v>
      </c>
      <c r="Q711" t="s">
        <v>2751</v>
      </c>
      <c r="S711" s="1">
        <v>45020.209027777775</v>
      </c>
      <c r="T711" t="s">
        <v>2752</v>
      </c>
      <c r="U711" t="s">
        <v>53</v>
      </c>
      <c r="V711">
        <v>1943</v>
      </c>
      <c r="W711">
        <v>117.24</v>
      </c>
      <c r="X711">
        <v>7.5</v>
      </c>
      <c r="Y711" s="2">
        <v>21427700000000</v>
      </c>
      <c r="Z711">
        <v>88.2</v>
      </c>
      <c r="AA711">
        <v>101.8</v>
      </c>
      <c r="AB711">
        <v>9.6</v>
      </c>
      <c r="AC711">
        <v>36.6</v>
      </c>
      <c r="AD711">
        <v>328239523</v>
      </c>
    </row>
    <row r="712" spans="1:30" hidden="1" x14ac:dyDescent="0.45">
      <c r="A712">
        <v>699</v>
      </c>
      <c r="B712">
        <v>4000</v>
      </c>
      <c r="C712" t="s">
        <v>83</v>
      </c>
      <c r="D712" t="s">
        <v>2753</v>
      </c>
      <c r="E712">
        <v>63</v>
      </c>
      <c r="F712" t="s">
        <v>93</v>
      </c>
      <c r="G712" t="s">
        <v>343</v>
      </c>
      <c r="H712" t="s">
        <v>83</v>
      </c>
      <c r="I712" t="s">
        <v>83</v>
      </c>
      <c r="J712" t="s">
        <v>93</v>
      </c>
      <c r="L712" t="b">
        <v>0</v>
      </c>
      <c r="M712" t="s">
        <v>285</v>
      </c>
      <c r="N712" t="s">
        <v>8245</v>
      </c>
      <c r="O712" s="1">
        <v>21920</v>
      </c>
      <c r="P712" t="s">
        <v>525</v>
      </c>
      <c r="Q712" t="s">
        <v>2754</v>
      </c>
      <c r="S712" s="1">
        <v>45020.209027777775</v>
      </c>
      <c r="V712">
        <v>1960</v>
      </c>
      <c r="W712">
        <v>180.44</v>
      </c>
      <c r="X712">
        <v>7.7</v>
      </c>
      <c r="Y712" s="2">
        <v>2611000000000</v>
      </c>
      <c r="Z712">
        <v>28.1</v>
      </c>
      <c r="AA712">
        <v>113</v>
      </c>
      <c r="AB712">
        <v>11.2</v>
      </c>
      <c r="AC712">
        <v>49.7</v>
      </c>
      <c r="AD712">
        <v>1366417754</v>
      </c>
    </row>
    <row r="713" spans="1:30" hidden="1" x14ac:dyDescent="0.45">
      <c r="A713">
        <v>699</v>
      </c>
      <c r="B713">
        <v>4000</v>
      </c>
      <c r="C713" t="s">
        <v>83</v>
      </c>
      <c r="D713" t="s">
        <v>2755</v>
      </c>
      <c r="E713">
        <v>67</v>
      </c>
      <c r="F713" t="s">
        <v>93</v>
      </c>
      <c r="G713" t="s">
        <v>343</v>
      </c>
      <c r="H713" t="s">
        <v>83</v>
      </c>
      <c r="I713" t="s">
        <v>83</v>
      </c>
      <c r="J713" t="s">
        <v>93</v>
      </c>
      <c r="L713" t="b">
        <v>0</v>
      </c>
      <c r="M713" t="s">
        <v>285</v>
      </c>
      <c r="N713" t="s">
        <v>8245</v>
      </c>
      <c r="O713" s="1">
        <v>20350</v>
      </c>
      <c r="P713" t="s">
        <v>525</v>
      </c>
      <c r="Q713" t="s">
        <v>2756</v>
      </c>
      <c r="S713" s="1">
        <v>45020.209027777775</v>
      </c>
      <c r="V713">
        <v>1955</v>
      </c>
      <c r="W713">
        <v>180.44</v>
      </c>
      <c r="X713">
        <v>7.7</v>
      </c>
      <c r="Y713" s="2">
        <v>2611000000000</v>
      </c>
      <c r="Z713">
        <v>28.1</v>
      </c>
      <c r="AA713">
        <v>113</v>
      </c>
      <c r="AB713">
        <v>11.2</v>
      </c>
      <c r="AC713">
        <v>49.7</v>
      </c>
      <c r="AD713">
        <v>1366417754</v>
      </c>
    </row>
    <row r="714" spans="1:30" x14ac:dyDescent="0.45">
      <c r="A714">
        <v>699</v>
      </c>
      <c r="B714" s="6">
        <v>4000</v>
      </c>
      <c r="C714" t="s">
        <v>76</v>
      </c>
      <c r="D714" t="s">
        <v>2757</v>
      </c>
      <c r="E714">
        <v>80</v>
      </c>
      <c r="F714" t="s">
        <v>35</v>
      </c>
      <c r="G714" t="s">
        <v>355</v>
      </c>
      <c r="H714" t="s">
        <v>2758</v>
      </c>
      <c r="I714" t="s">
        <v>76</v>
      </c>
      <c r="J714" t="s">
        <v>35</v>
      </c>
      <c r="K714" t="s">
        <v>2759</v>
      </c>
      <c r="L714" t="b">
        <v>1</v>
      </c>
      <c r="M714" t="s">
        <v>39</v>
      </c>
      <c r="N714" t="s">
        <v>8245</v>
      </c>
      <c r="O714" s="10">
        <v>15676</v>
      </c>
      <c r="P714" t="s">
        <v>2760</v>
      </c>
      <c r="Q714" t="s">
        <v>2761</v>
      </c>
      <c r="R714" t="s">
        <v>170</v>
      </c>
      <c r="S714" s="8">
        <v>45020.209027777775</v>
      </c>
      <c r="T714" t="s">
        <v>253</v>
      </c>
      <c r="U714" t="s">
        <v>44</v>
      </c>
      <c r="V714">
        <v>1942</v>
      </c>
      <c r="W714" s="12">
        <v>117.24</v>
      </c>
      <c r="X714">
        <v>7.5</v>
      </c>
      <c r="Y714" s="14">
        <v>21427700000000</v>
      </c>
      <c r="Z714">
        <v>88.2</v>
      </c>
      <c r="AA714">
        <v>101.8</v>
      </c>
      <c r="AB714">
        <v>9.6</v>
      </c>
      <c r="AC714">
        <v>36.6</v>
      </c>
      <c r="AD714">
        <v>328239523</v>
      </c>
    </row>
    <row r="715" spans="1:30" x14ac:dyDescent="0.45">
      <c r="A715">
        <v>699</v>
      </c>
      <c r="B715" s="6">
        <v>4000</v>
      </c>
      <c r="C715" t="s">
        <v>61</v>
      </c>
      <c r="D715" t="s">
        <v>2762</v>
      </c>
      <c r="E715">
        <v>90</v>
      </c>
      <c r="F715" t="s">
        <v>35</v>
      </c>
      <c r="G715" t="s">
        <v>1678</v>
      </c>
      <c r="H715" t="s">
        <v>2763</v>
      </c>
      <c r="I715" t="s">
        <v>61</v>
      </c>
      <c r="J715" t="s">
        <v>35</v>
      </c>
      <c r="K715" t="s">
        <v>2764</v>
      </c>
      <c r="L715" t="b">
        <v>0</v>
      </c>
      <c r="M715" t="s">
        <v>29</v>
      </c>
      <c r="N715" t="s">
        <v>8245</v>
      </c>
      <c r="O715" s="10">
        <v>11794</v>
      </c>
      <c r="P715" t="s">
        <v>2765</v>
      </c>
      <c r="Q715" t="s">
        <v>31</v>
      </c>
      <c r="R715" t="s">
        <v>32</v>
      </c>
      <c r="S715" s="8">
        <v>45020.209027777775</v>
      </c>
      <c r="T715" t="s">
        <v>1681</v>
      </c>
      <c r="U715" t="s">
        <v>44</v>
      </c>
      <c r="V715">
        <v>1932</v>
      </c>
      <c r="W715" s="12">
        <v>117.24</v>
      </c>
      <c r="X715">
        <v>7.5</v>
      </c>
      <c r="Y715" s="14">
        <v>21427700000000</v>
      </c>
      <c r="Z715">
        <v>88.2</v>
      </c>
      <c r="AA715">
        <v>101.8</v>
      </c>
      <c r="AB715">
        <v>9.6</v>
      </c>
      <c r="AC715">
        <v>36.6</v>
      </c>
      <c r="AD715">
        <v>328239523</v>
      </c>
    </row>
    <row r="716" spans="1:30" hidden="1" x14ac:dyDescent="0.45">
      <c r="A716">
        <v>699</v>
      </c>
      <c r="B716">
        <v>4000</v>
      </c>
      <c r="C716" t="s">
        <v>83</v>
      </c>
      <c r="D716" t="s">
        <v>2766</v>
      </c>
      <c r="E716">
        <v>68</v>
      </c>
      <c r="F716" t="s">
        <v>214</v>
      </c>
      <c r="G716" t="s">
        <v>802</v>
      </c>
      <c r="H716" t="s">
        <v>83</v>
      </c>
      <c r="I716" t="s">
        <v>83</v>
      </c>
      <c r="J716" t="s">
        <v>490</v>
      </c>
      <c r="L716" t="b">
        <v>1</v>
      </c>
      <c r="M716" t="s">
        <v>39</v>
      </c>
      <c r="N716" t="s">
        <v>8245</v>
      </c>
      <c r="O716" s="1">
        <v>20090</v>
      </c>
      <c r="P716" t="s">
        <v>2767</v>
      </c>
      <c r="Q716" t="s">
        <v>2768</v>
      </c>
      <c r="S716" s="1">
        <v>45020.209027777775</v>
      </c>
      <c r="V716">
        <v>1955</v>
      </c>
      <c r="W716">
        <v>110.62</v>
      </c>
      <c r="X716">
        <v>0.6</v>
      </c>
      <c r="Y716" s="2">
        <v>2001244392042</v>
      </c>
      <c r="Z716">
        <v>61.9</v>
      </c>
      <c r="AA716">
        <v>101.9</v>
      </c>
      <c r="AB716">
        <v>24.3</v>
      </c>
      <c r="AC716">
        <v>59.1</v>
      </c>
      <c r="AD716">
        <v>60297396</v>
      </c>
    </row>
    <row r="717" spans="1:30" hidden="1" x14ac:dyDescent="0.45">
      <c r="A717">
        <v>699</v>
      </c>
      <c r="B717">
        <v>4000</v>
      </c>
      <c r="C717" t="s">
        <v>76</v>
      </c>
      <c r="D717" t="s">
        <v>2769</v>
      </c>
      <c r="E717">
        <v>76</v>
      </c>
      <c r="F717" t="s">
        <v>35</v>
      </c>
      <c r="G717" t="s">
        <v>2770</v>
      </c>
      <c r="H717" t="s">
        <v>2771</v>
      </c>
      <c r="I717" t="s">
        <v>76</v>
      </c>
      <c r="J717" t="s">
        <v>35</v>
      </c>
      <c r="L717" t="b">
        <v>1</v>
      </c>
      <c r="M717" t="s">
        <v>29</v>
      </c>
      <c r="N717" t="s">
        <v>8245</v>
      </c>
      <c r="O717" s="1">
        <v>17154</v>
      </c>
      <c r="P717" t="s">
        <v>2772</v>
      </c>
      <c r="Q717" t="s">
        <v>1363</v>
      </c>
      <c r="S717" s="1">
        <v>45020.209027777775</v>
      </c>
      <c r="T717" t="s">
        <v>115</v>
      </c>
      <c r="U717" t="s">
        <v>53</v>
      </c>
      <c r="V717">
        <v>1946</v>
      </c>
      <c r="W717">
        <v>117.24</v>
      </c>
      <c r="X717">
        <v>7.5</v>
      </c>
      <c r="Y717" s="2">
        <v>21427700000000</v>
      </c>
      <c r="Z717">
        <v>88.2</v>
      </c>
      <c r="AA717">
        <v>101.8</v>
      </c>
      <c r="AB717">
        <v>9.6</v>
      </c>
      <c r="AC717">
        <v>36.6</v>
      </c>
      <c r="AD717">
        <v>328239523</v>
      </c>
    </row>
    <row r="718" spans="1:30" hidden="1" x14ac:dyDescent="0.45">
      <c r="A718">
        <v>699</v>
      </c>
      <c r="B718">
        <v>4000</v>
      </c>
      <c r="C718" t="s">
        <v>402</v>
      </c>
      <c r="D718" t="s">
        <v>2773</v>
      </c>
      <c r="E718">
        <v>75</v>
      </c>
      <c r="F718" t="s">
        <v>1761</v>
      </c>
      <c r="G718" t="s">
        <v>2774</v>
      </c>
      <c r="H718" t="s">
        <v>610</v>
      </c>
      <c r="I718" t="s">
        <v>402</v>
      </c>
      <c r="J718" t="s">
        <v>1761</v>
      </c>
      <c r="L718" t="b">
        <v>1</v>
      </c>
      <c r="M718" t="s">
        <v>611</v>
      </c>
      <c r="N718" t="s">
        <v>8245</v>
      </c>
      <c r="O718" s="1">
        <v>17513</v>
      </c>
      <c r="P718" t="s">
        <v>2775</v>
      </c>
      <c r="Q718" t="s">
        <v>2776</v>
      </c>
      <c r="S718" s="1">
        <v>45020.209027777775</v>
      </c>
      <c r="V718">
        <v>1947</v>
      </c>
      <c r="W718">
        <v>114.11</v>
      </c>
      <c r="X718">
        <v>2.2000000000000002</v>
      </c>
      <c r="Y718" s="2">
        <v>592164400688</v>
      </c>
      <c r="Z718">
        <v>67.8</v>
      </c>
      <c r="AA718">
        <v>100</v>
      </c>
      <c r="AB718">
        <v>17.399999999999999</v>
      </c>
      <c r="AC718">
        <v>40.799999999999997</v>
      </c>
      <c r="AD718">
        <v>37970874</v>
      </c>
    </row>
    <row r="719" spans="1:30" hidden="1" x14ac:dyDescent="0.45">
      <c r="A719">
        <v>699</v>
      </c>
      <c r="B719">
        <v>4000</v>
      </c>
      <c r="C719" t="s">
        <v>347</v>
      </c>
      <c r="D719" t="s">
        <v>2777</v>
      </c>
      <c r="E719">
        <v>69</v>
      </c>
      <c r="F719" t="s">
        <v>205</v>
      </c>
      <c r="G719" t="s">
        <v>284</v>
      </c>
      <c r="H719" t="s">
        <v>2778</v>
      </c>
      <c r="I719" t="s">
        <v>347</v>
      </c>
      <c r="J719" t="s">
        <v>577</v>
      </c>
      <c r="L719" t="b">
        <v>1</v>
      </c>
      <c r="M719" t="s">
        <v>29</v>
      </c>
      <c r="N719" t="s">
        <v>8245</v>
      </c>
      <c r="O719" s="1">
        <v>19671</v>
      </c>
      <c r="P719" t="s">
        <v>2779</v>
      </c>
      <c r="Q719" t="s">
        <v>2780</v>
      </c>
      <c r="S719" s="1">
        <v>45020.209027777775</v>
      </c>
      <c r="V719">
        <v>1953</v>
      </c>
      <c r="W719">
        <v>99.55</v>
      </c>
      <c r="X719">
        <v>0.4</v>
      </c>
      <c r="Y719" s="2">
        <v>703082435360</v>
      </c>
      <c r="Z719">
        <v>59.6</v>
      </c>
      <c r="AA719">
        <v>105.2</v>
      </c>
      <c r="AB719">
        <v>10.1</v>
      </c>
      <c r="AC719">
        <v>28.8</v>
      </c>
      <c r="AD719">
        <v>8574832</v>
      </c>
    </row>
    <row r="720" spans="1:30" hidden="1" x14ac:dyDescent="0.45">
      <c r="A720">
        <v>699</v>
      </c>
      <c r="B720">
        <v>4000</v>
      </c>
      <c r="C720" t="s">
        <v>326</v>
      </c>
      <c r="D720" t="s">
        <v>2781</v>
      </c>
      <c r="E720">
        <v>74</v>
      </c>
      <c r="F720" t="s">
        <v>85</v>
      </c>
      <c r="G720" t="s">
        <v>86</v>
      </c>
      <c r="H720" t="s">
        <v>523</v>
      </c>
      <c r="I720" t="s">
        <v>326</v>
      </c>
      <c r="J720" t="s">
        <v>85</v>
      </c>
      <c r="L720" t="b">
        <v>1</v>
      </c>
      <c r="M720" t="s">
        <v>29</v>
      </c>
      <c r="N720" t="s">
        <v>8245</v>
      </c>
      <c r="O720" s="1">
        <v>17685</v>
      </c>
      <c r="P720" t="s">
        <v>2782</v>
      </c>
      <c r="Q720" t="s">
        <v>2783</v>
      </c>
      <c r="S720" s="1">
        <v>45020.209027777775</v>
      </c>
      <c r="V720">
        <v>1948</v>
      </c>
      <c r="W720">
        <v>141.54</v>
      </c>
      <c r="X720">
        <v>3.6</v>
      </c>
      <c r="Y720" s="2">
        <v>1258286717125</v>
      </c>
      <c r="Z720">
        <v>40.200000000000003</v>
      </c>
      <c r="AA720">
        <v>105.8</v>
      </c>
      <c r="AB720">
        <v>13.1</v>
      </c>
      <c r="AC720">
        <v>55.1</v>
      </c>
      <c r="AD720">
        <v>126014024</v>
      </c>
    </row>
    <row r="721" spans="1:30" hidden="1" x14ac:dyDescent="0.45">
      <c r="A721">
        <v>699</v>
      </c>
      <c r="B721">
        <v>4000</v>
      </c>
      <c r="C721" t="s">
        <v>91</v>
      </c>
      <c r="D721" t="s">
        <v>2784</v>
      </c>
      <c r="E721">
        <v>73</v>
      </c>
      <c r="F721" t="s">
        <v>128</v>
      </c>
      <c r="G721" t="s">
        <v>2785</v>
      </c>
      <c r="H721" t="s">
        <v>2786</v>
      </c>
      <c r="I721" t="s">
        <v>91</v>
      </c>
      <c r="J721" t="s">
        <v>128</v>
      </c>
      <c r="L721" t="b">
        <v>1</v>
      </c>
      <c r="M721" t="s">
        <v>29</v>
      </c>
      <c r="N721" t="s">
        <v>8245</v>
      </c>
      <c r="O721" s="1">
        <v>18264</v>
      </c>
      <c r="P721" t="s">
        <v>190</v>
      </c>
      <c r="Q721" t="s">
        <v>2787</v>
      </c>
      <c r="S721" s="1">
        <v>45020.209027777775</v>
      </c>
      <c r="V721">
        <v>1950</v>
      </c>
      <c r="W721">
        <v>125.08</v>
      </c>
      <c r="X721">
        <v>2.9</v>
      </c>
      <c r="Y721" s="2">
        <v>19910000000000</v>
      </c>
      <c r="Z721">
        <v>50.6</v>
      </c>
      <c r="AA721">
        <v>100.2</v>
      </c>
      <c r="AB721">
        <v>9.4</v>
      </c>
      <c r="AC721">
        <v>59.2</v>
      </c>
      <c r="AD721">
        <v>1397715000</v>
      </c>
    </row>
    <row r="722" spans="1:30" hidden="1" x14ac:dyDescent="0.45">
      <c r="A722">
        <v>721</v>
      </c>
      <c r="B722">
        <v>3900</v>
      </c>
      <c r="C722" t="s">
        <v>296</v>
      </c>
      <c r="D722" t="s">
        <v>2788</v>
      </c>
      <c r="E722">
        <v>76</v>
      </c>
      <c r="F722" t="s">
        <v>194</v>
      </c>
      <c r="G722" t="s">
        <v>2789</v>
      </c>
      <c r="H722" t="s">
        <v>752</v>
      </c>
      <c r="I722" t="s">
        <v>296</v>
      </c>
      <c r="J722" t="s">
        <v>194</v>
      </c>
      <c r="L722" t="b">
        <v>0</v>
      </c>
      <c r="M722" t="s">
        <v>39</v>
      </c>
      <c r="N722" t="s">
        <v>8245</v>
      </c>
      <c r="O722" s="1">
        <v>17168</v>
      </c>
      <c r="P722" t="s">
        <v>2790</v>
      </c>
      <c r="Q722" t="s">
        <v>2791</v>
      </c>
      <c r="S722" s="1">
        <v>45020.209027777775</v>
      </c>
      <c r="V722">
        <v>1947</v>
      </c>
      <c r="W722">
        <v>112.85</v>
      </c>
      <c r="X722">
        <v>1.4</v>
      </c>
      <c r="Y722" s="2">
        <v>3845630030824</v>
      </c>
      <c r="Z722">
        <v>70.2</v>
      </c>
      <c r="AA722">
        <v>104</v>
      </c>
      <c r="AB722">
        <v>11.5</v>
      </c>
      <c r="AC722">
        <v>48.8</v>
      </c>
      <c r="AD722">
        <v>83132799</v>
      </c>
    </row>
    <row r="723" spans="1:30" hidden="1" x14ac:dyDescent="0.45">
      <c r="A723">
        <v>721</v>
      </c>
      <c r="B723">
        <v>3900</v>
      </c>
      <c r="C723" t="s">
        <v>126</v>
      </c>
      <c r="D723" t="s">
        <v>2792</v>
      </c>
      <c r="E723">
        <v>72</v>
      </c>
      <c r="F723" t="s">
        <v>35</v>
      </c>
      <c r="G723" t="s">
        <v>2793</v>
      </c>
      <c r="H723" t="s">
        <v>1509</v>
      </c>
      <c r="I723" t="s">
        <v>126</v>
      </c>
      <c r="J723" t="s">
        <v>35</v>
      </c>
      <c r="L723" t="b">
        <v>0</v>
      </c>
      <c r="M723" t="s">
        <v>39</v>
      </c>
      <c r="N723" t="s">
        <v>8245</v>
      </c>
      <c r="O723" s="1">
        <v>18696</v>
      </c>
      <c r="P723" t="s">
        <v>1509</v>
      </c>
      <c r="Q723" t="s">
        <v>2794</v>
      </c>
      <c r="S723" s="1">
        <v>45020.209027777775</v>
      </c>
      <c r="T723" t="s">
        <v>1720</v>
      </c>
      <c r="U723" t="s">
        <v>53</v>
      </c>
      <c r="V723">
        <v>1951</v>
      </c>
      <c r="W723">
        <v>117.24</v>
      </c>
      <c r="X723">
        <v>7.5</v>
      </c>
      <c r="Y723" s="2">
        <v>21427700000000</v>
      </c>
      <c r="Z723">
        <v>88.2</v>
      </c>
      <c r="AA723">
        <v>101.8</v>
      </c>
      <c r="AB723">
        <v>9.6</v>
      </c>
      <c r="AC723">
        <v>36.6</v>
      </c>
      <c r="AD723">
        <v>328239523</v>
      </c>
    </row>
    <row r="724" spans="1:30" hidden="1" x14ac:dyDescent="0.45">
      <c r="A724">
        <v>721</v>
      </c>
      <c r="B724">
        <v>3900</v>
      </c>
      <c r="C724" t="s">
        <v>126</v>
      </c>
      <c r="D724" t="s">
        <v>2795</v>
      </c>
      <c r="E724">
        <v>73</v>
      </c>
      <c r="F724" t="s">
        <v>35</v>
      </c>
      <c r="G724" t="s">
        <v>2796</v>
      </c>
      <c r="H724" t="s">
        <v>1509</v>
      </c>
      <c r="I724" t="s">
        <v>126</v>
      </c>
      <c r="J724" t="s">
        <v>35</v>
      </c>
      <c r="L724" t="b">
        <v>0</v>
      </c>
      <c r="M724" t="s">
        <v>39</v>
      </c>
      <c r="N724" t="s">
        <v>8245</v>
      </c>
      <c r="O724" s="1">
        <v>17995</v>
      </c>
      <c r="P724" t="s">
        <v>1509</v>
      </c>
      <c r="Q724" t="s">
        <v>401</v>
      </c>
      <c r="S724" s="1">
        <v>45020.209027777775</v>
      </c>
      <c r="T724" t="s">
        <v>549</v>
      </c>
      <c r="U724" t="s">
        <v>69</v>
      </c>
      <c r="V724">
        <v>1949</v>
      </c>
      <c r="W724">
        <v>117.24</v>
      </c>
      <c r="X724">
        <v>7.5</v>
      </c>
      <c r="Y724" s="2">
        <v>21427700000000</v>
      </c>
      <c r="Z724">
        <v>88.2</v>
      </c>
      <c r="AA724">
        <v>101.8</v>
      </c>
      <c r="AB724">
        <v>9.6</v>
      </c>
      <c r="AC724">
        <v>36.6</v>
      </c>
      <c r="AD724">
        <v>328239523</v>
      </c>
    </row>
    <row r="725" spans="1:30" hidden="1" x14ac:dyDescent="0.45">
      <c r="A725">
        <v>721</v>
      </c>
      <c r="B725">
        <v>3900</v>
      </c>
      <c r="C725" t="s">
        <v>61</v>
      </c>
      <c r="D725" t="s">
        <v>2797</v>
      </c>
      <c r="E725">
        <v>91</v>
      </c>
      <c r="F725" t="s">
        <v>628</v>
      </c>
      <c r="G725" t="s">
        <v>629</v>
      </c>
      <c r="H725" t="s">
        <v>2798</v>
      </c>
      <c r="I725" t="s">
        <v>61</v>
      </c>
      <c r="J725" t="s">
        <v>628</v>
      </c>
      <c r="L725" t="b">
        <v>1</v>
      </c>
      <c r="M725" t="s">
        <v>29</v>
      </c>
      <c r="N725" t="s">
        <v>8245</v>
      </c>
      <c r="O725" s="1">
        <v>11689</v>
      </c>
      <c r="P725" t="s">
        <v>2799</v>
      </c>
      <c r="Q725" t="s">
        <v>2800</v>
      </c>
      <c r="S725" s="1">
        <v>45020.209027777775</v>
      </c>
      <c r="V725">
        <v>1932</v>
      </c>
      <c r="W725">
        <v>113.27</v>
      </c>
      <c r="X725">
        <v>0.7</v>
      </c>
      <c r="Y725" s="2">
        <v>543649976166</v>
      </c>
      <c r="Z725">
        <v>49.3</v>
      </c>
      <c r="AA725">
        <v>99.8</v>
      </c>
      <c r="AB725">
        <v>14.9</v>
      </c>
      <c r="AC725">
        <v>29.5</v>
      </c>
      <c r="AD725">
        <v>69625582</v>
      </c>
    </row>
    <row r="726" spans="1:30" hidden="1" x14ac:dyDescent="0.45">
      <c r="A726">
        <v>721</v>
      </c>
      <c r="B726">
        <v>3900</v>
      </c>
      <c r="C726" t="s">
        <v>61</v>
      </c>
      <c r="D726" t="s">
        <v>2801</v>
      </c>
      <c r="E726">
        <v>65</v>
      </c>
      <c r="F726" t="s">
        <v>128</v>
      </c>
      <c r="G726" t="s">
        <v>187</v>
      </c>
      <c r="H726" t="s">
        <v>1210</v>
      </c>
      <c r="I726" t="s">
        <v>61</v>
      </c>
      <c r="J726" t="s">
        <v>128</v>
      </c>
      <c r="L726" t="b">
        <v>1</v>
      </c>
      <c r="M726" t="s">
        <v>29</v>
      </c>
      <c r="N726" t="s">
        <v>8245</v>
      </c>
      <c r="O726" s="1">
        <v>21155</v>
      </c>
      <c r="P726" t="s">
        <v>679</v>
      </c>
      <c r="Q726" t="s">
        <v>2802</v>
      </c>
      <c r="S726" s="1">
        <v>45020.209027777775</v>
      </c>
      <c r="V726">
        <v>1957</v>
      </c>
      <c r="W726">
        <v>125.08</v>
      </c>
      <c r="X726">
        <v>2.9</v>
      </c>
      <c r="Y726" s="2">
        <v>19910000000000</v>
      </c>
      <c r="Z726">
        <v>50.6</v>
      </c>
      <c r="AA726">
        <v>100.2</v>
      </c>
      <c r="AB726">
        <v>9.4</v>
      </c>
      <c r="AC726">
        <v>59.2</v>
      </c>
      <c r="AD726">
        <v>1397715000</v>
      </c>
    </row>
    <row r="727" spans="1:30" hidden="1" x14ac:dyDescent="0.45">
      <c r="A727">
        <v>721</v>
      </c>
      <c r="B727">
        <v>3900</v>
      </c>
      <c r="C727" t="s">
        <v>33</v>
      </c>
      <c r="D727" t="s">
        <v>2803</v>
      </c>
      <c r="E727">
        <v>85</v>
      </c>
      <c r="F727" t="s">
        <v>928</v>
      </c>
      <c r="G727" t="s">
        <v>929</v>
      </c>
      <c r="H727" t="s">
        <v>2804</v>
      </c>
      <c r="I727" t="s">
        <v>33</v>
      </c>
      <c r="J727" t="s">
        <v>928</v>
      </c>
      <c r="L727" t="b">
        <v>0</v>
      </c>
      <c r="M727" t="s">
        <v>39</v>
      </c>
      <c r="N727" t="s">
        <v>8245</v>
      </c>
      <c r="O727" s="1">
        <v>13958</v>
      </c>
      <c r="P727" t="s">
        <v>2805</v>
      </c>
      <c r="Q727" t="s">
        <v>2806</v>
      </c>
      <c r="S727" s="1">
        <v>45020.209027777775</v>
      </c>
      <c r="V727">
        <v>1938</v>
      </c>
      <c r="W727">
        <v>115.16</v>
      </c>
      <c r="X727">
        <v>0.4</v>
      </c>
      <c r="Y727" s="2">
        <v>2029000000000</v>
      </c>
      <c r="Z727">
        <v>94.3</v>
      </c>
      <c r="AA727">
        <v>98.1</v>
      </c>
      <c r="AB727">
        <v>15.6</v>
      </c>
      <c r="AC727">
        <v>33.200000000000003</v>
      </c>
      <c r="AD727">
        <v>51709098</v>
      </c>
    </row>
    <row r="728" spans="1:30" hidden="1" x14ac:dyDescent="0.45">
      <c r="A728">
        <v>721</v>
      </c>
      <c r="B728">
        <v>3900</v>
      </c>
      <c r="C728" t="s">
        <v>61</v>
      </c>
      <c r="D728" t="s">
        <v>2807</v>
      </c>
      <c r="E728">
        <v>67</v>
      </c>
      <c r="F728" t="s">
        <v>1863</v>
      </c>
      <c r="G728" t="s">
        <v>2808</v>
      </c>
      <c r="H728" t="s">
        <v>317</v>
      </c>
      <c r="I728" t="s">
        <v>61</v>
      </c>
      <c r="J728" t="s">
        <v>2809</v>
      </c>
      <c r="L728" t="b">
        <v>0</v>
      </c>
      <c r="M728" t="s">
        <v>29</v>
      </c>
      <c r="N728" t="s">
        <v>8245</v>
      </c>
      <c r="O728" s="1">
        <v>20200</v>
      </c>
      <c r="P728" t="s">
        <v>2810</v>
      </c>
      <c r="Q728" t="s">
        <v>2811</v>
      </c>
      <c r="S728" s="1">
        <v>45020.209027777775</v>
      </c>
      <c r="V728">
        <v>1955</v>
      </c>
      <c r="W728"/>
      <c r="Y728"/>
    </row>
    <row r="729" spans="1:30" hidden="1" x14ac:dyDescent="0.45">
      <c r="A729">
        <v>721</v>
      </c>
      <c r="B729">
        <v>3900</v>
      </c>
      <c r="C729" t="s">
        <v>23</v>
      </c>
      <c r="D729" t="s">
        <v>2812</v>
      </c>
      <c r="E729">
        <v>83</v>
      </c>
      <c r="F729" t="s">
        <v>214</v>
      </c>
      <c r="G729" t="s">
        <v>2813</v>
      </c>
      <c r="H729" t="s">
        <v>2814</v>
      </c>
      <c r="I729" t="s">
        <v>23</v>
      </c>
      <c r="J729" t="s">
        <v>214</v>
      </c>
      <c r="L729" t="b">
        <v>0</v>
      </c>
      <c r="M729" t="s">
        <v>39</v>
      </c>
      <c r="N729" t="s">
        <v>8245</v>
      </c>
      <c r="O729" s="1">
        <v>14359</v>
      </c>
      <c r="P729" t="s">
        <v>2815</v>
      </c>
      <c r="Q729" t="s">
        <v>2816</v>
      </c>
      <c r="S729" s="1">
        <v>45020.209027777775</v>
      </c>
      <c r="V729">
        <v>1939</v>
      </c>
      <c r="W729">
        <v>110.62</v>
      </c>
      <c r="X729">
        <v>0.6</v>
      </c>
      <c r="Y729" s="2">
        <v>2001244392042</v>
      </c>
      <c r="Z729">
        <v>61.9</v>
      </c>
      <c r="AA729">
        <v>101.9</v>
      </c>
      <c r="AB729">
        <v>24.3</v>
      </c>
      <c r="AC729">
        <v>59.1</v>
      </c>
      <c r="AD729">
        <v>60297396</v>
      </c>
    </row>
    <row r="730" spans="1:30" hidden="1" x14ac:dyDescent="0.45">
      <c r="A730">
        <v>721</v>
      </c>
      <c r="B730">
        <v>3900</v>
      </c>
      <c r="C730" t="s">
        <v>402</v>
      </c>
      <c r="D730" t="s">
        <v>2817</v>
      </c>
      <c r="E730">
        <v>83</v>
      </c>
      <c r="F730" t="s">
        <v>194</v>
      </c>
      <c r="G730" t="s">
        <v>1038</v>
      </c>
      <c r="H730" t="s">
        <v>2818</v>
      </c>
      <c r="I730" t="s">
        <v>402</v>
      </c>
      <c r="J730" t="s">
        <v>194</v>
      </c>
      <c r="L730" t="b">
        <v>1</v>
      </c>
      <c r="M730" t="s">
        <v>39</v>
      </c>
      <c r="N730" t="s">
        <v>8245</v>
      </c>
      <c r="O730" s="1">
        <v>14505</v>
      </c>
      <c r="P730" t="s">
        <v>2819</v>
      </c>
      <c r="Q730" t="s">
        <v>2820</v>
      </c>
      <c r="S730" s="1">
        <v>45020.209027777775</v>
      </c>
      <c r="V730">
        <v>1939</v>
      </c>
      <c r="W730">
        <v>112.85</v>
      </c>
      <c r="X730">
        <v>1.4</v>
      </c>
      <c r="Y730" s="2">
        <v>3845630030824</v>
      </c>
      <c r="Z730">
        <v>70.2</v>
      </c>
      <c r="AA730">
        <v>104</v>
      </c>
      <c r="AB730">
        <v>11.5</v>
      </c>
      <c r="AC730">
        <v>48.8</v>
      </c>
      <c r="AD730">
        <v>83132799</v>
      </c>
    </row>
    <row r="731" spans="1:30" hidden="1" x14ac:dyDescent="0.45">
      <c r="A731">
        <v>721</v>
      </c>
      <c r="B731">
        <v>3900</v>
      </c>
      <c r="C731" t="s">
        <v>347</v>
      </c>
      <c r="D731" t="s">
        <v>2821</v>
      </c>
      <c r="E731">
        <v>94</v>
      </c>
      <c r="F731" t="s">
        <v>35</v>
      </c>
      <c r="G731" t="s">
        <v>704</v>
      </c>
      <c r="H731" t="s">
        <v>462</v>
      </c>
      <c r="I731" t="s">
        <v>347</v>
      </c>
      <c r="J731" t="s">
        <v>35</v>
      </c>
      <c r="L731" t="b">
        <v>0</v>
      </c>
      <c r="M731" t="s">
        <v>39</v>
      </c>
      <c r="N731" t="s">
        <v>8245</v>
      </c>
      <c r="O731" s="1">
        <v>10658</v>
      </c>
      <c r="P731" t="s">
        <v>1892</v>
      </c>
      <c r="Q731" t="s">
        <v>2822</v>
      </c>
      <c r="R731" t="s">
        <v>688</v>
      </c>
      <c r="S731" s="1">
        <v>45020.209027777775</v>
      </c>
      <c r="T731" t="s">
        <v>43</v>
      </c>
      <c r="U731" t="s">
        <v>44</v>
      </c>
      <c r="V731">
        <v>1929</v>
      </c>
      <c r="W731">
        <v>117.24</v>
      </c>
      <c r="X731">
        <v>7.5</v>
      </c>
      <c r="Y731" s="2">
        <v>21427700000000</v>
      </c>
      <c r="Z731">
        <v>88.2</v>
      </c>
      <c r="AA731">
        <v>101.8</v>
      </c>
      <c r="AB731">
        <v>9.6</v>
      </c>
      <c r="AC731">
        <v>36.6</v>
      </c>
      <c r="AD731">
        <v>328239523</v>
      </c>
    </row>
    <row r="732" spans="1:30" x14ac:dyDescent="0.45">
      <c r="A732">
        <v>721</v>
      </c>
      <c r="B732" s="6">
        <v>3900</v>
      </c>
      <c r="C732" t="s">
        <v>702</v>
      </c>
      <c r="D732" t="s">
        <v>2823</v>
      </c>
      <c r="E732">
        <v>63</v>
      </c>
      <c r="F732" t="s">
        <v>35</v>
      </c>
      <c r="G732" t="s">
        <v>2824</v>
      </c>
      <c r="H732" t="s">
        <v>2825</v>
      </c>
      <c r="I732" t="s">
        <v>702</v>
      </c>
      <c r="J732" t="s">
        <v>35</v>
      </c>
      <c r="K732" t="s">
        <v>2825</v>
      </c>
      <c r="L732" t="b">
        <v>0</v>
      </c>
      <c r="M732" t="s">
        <v>29</v>
      </c>
      <c r="N732" t="s">
        <v>8245</v>
      </c>
      <c r="O732" s="10">
        <v>21714</v>
      </c>
      <c r="P732" t="s">
        <v>2826</v>
      </c>
      <c r="Q732" t="s">
        <v>401</v>
      </c>
      <c r="R732" t="s">
        <v>42</v>
      </c>
      <c r="S732" s="8">
        <v>45020.209027777775</v>
      </c>
      <c r="T732" t="s">
        <v>862</v>
      </c>
      <c r="U732" t="s">
        <v>69</v>
      </c>
      <c r="V732">
        <v>1959</v>
      </c>
      <c r="W732" s="12">
        <v>117.24</v>
      </c>
      <c r="X732">
        <v>7.5</v>
      </c>
      <c r="Y732" s="14">
        <v>21427700000000</v>
      </c>
      <c r="Z732">
        <v>88.2</v>
      </c>
      <c r="AA732">
        <v>101.8</v>
      </c>
      <c r="AB732">
        <v>9.6</v>
      </c>
      <c r="AC732">
        <v>36.6</v>
      </c>
      <c r="AD732">
        <v>328239523</v>
      </c>
    </row>
    <row r="733" spans="1:30" hidden="1" x14ac:dyDescent="0.45">
      <c r="A733">
        <v>721</v>
      </c>
      <c r="B733">
        <v>3900</v>
      </c>
      <c r="C733" t="s">
        <v>91</v>
      </c>
      <c r="D733" t="s">
        <v>2827</v>
      </c>
      <c r="F733" t="s">
        <v>628</v>
      </c>
      <c r="G733" t="s">
        <v>629</v>
      </c>
      <c r="H733" t="s">
        <v>91</v>
      </c>
      <c r="I733" t="s">
        <v>91</v>
      </c>
      <c r="J733" t="s">
        <v>628</v>
      </c>
      <c r="L733" t="b">
        <v>0</v>
      </c>
      <c r="M733" t="s">
        <v>258</v>
      </c>
      <c r="N733" t="s">
        <v>8246</v>
      </c>
      <c r="O733"/>
      <c r="P733" t="s">
        <v>2828</v>
      </c>
      <c r="Q733" t="s">
        <v>2829</v>
      </c>
      <c r="S733" s="1">
        <v>45020.209027777775</v>
      </c>
      <c r="W733">
        <v>113.27</v>
      </c>
      <c r="X733">
        <v>0.7</v>
      </c>
      <c r="Y733" s="2">
        <v>543649976166</v>
      </c>
      <c r="Z733">
        <v>49.3</v>
      </c>
      <c r="AA733">
        <v>99.8</v>
      </c>
      <c r="AB733">
        <v>14.9</v>
      </c>
      <c r="AC733">
        <v>29.5</v>
      </c>
      <c r="AD733">
        <v>69625582</v>
      </c>
    </row>
    <row r="734" spans="1:30" hidden="1" x14ac:dyDescent="0.45">
      <c r="A734">
        <v>721</v>
      </c>
      <c r="B734">
        <v>3900</v>
      </c>
      <c r="C734" t="s">
        <v>126</v>
      </c>
      <c r="D734" t="s">
        <v>2830</v>
      </c>
      <c r="E734">
        <v>69</v>
      </c>
      <c r="F734" t="s">
        <v>35</v>
      </c>
      <c r="G734" t="s">
        <v>2831</v>
      </c>
      <c r="H734" t="s">
        <v>1509</v>
      </c>
      <c r="I734" t="s">
        <v>126</v>
      </c>
      <c r="J734" t="s">
        <v>35</v>
      </c>
      <c r="L734" t="b">
        <v>0</v>
      </c>
      <c r="M734" t="s">
        <v>39</v>
      </c>
      <c r="N734" t="s">
        <v>8246</v>
      </c>
      <c r="O734" s="1">
        <v>19551</v>
      </c>
      <c r="P734" t="s">
        <v>2832</v>
      </c>
      <c r="Q734" t="s">
        <v>2833</v>
      </c>
      <c r="S734" s="1">
        <v>45020.209027777775</v>
      </c>
      <c r="T734" t="s">
        <v>1720</v>
      </c>
      <c r="U734" t="s">
        <v>53</v>
      </c>
      <c r="V734">
        <v>1953</v>
      </c>
      <c r="W734">
        <v>117.24</v>
      </c>
      <c r="X734">
        <v>7.5</v>
      </c>
      <c r="Y734" s="2">
        <v>21427700000000</v>
      </c>
      <c r="Z734">
        <v>88.2</v>
      </c>
      <c r="AA734">
        <v>101.8</v>
      </c>
      <c r="AB734">
        <v>9.6</v>
      </c>
      <c r="AC734">
        <v>36.6</v>
      </c>
      <c r="AD734">
        <v>328239523</v>
      </c>
    </row>
    <row r="735" spans="1:30" hidden="1" x14ac:dyDescent="0.45">
      <c r="A735">
        <v>721</v>
      </c>
      <c r="B735">
        <v>3900</v>
      </c>
      <c r="C735" t="s">
        <v>402</v>
      </c>
      <c r="D735" t="s">
        <v>2834</v>
      </c>
      <c r="E735">
        <v>78</v>
      </c>
      <c r="F735" t="s">
        <v>558</v>
      </c>
      <c r="G735" t="s">
        <v>2682</v>
      </c>
      <c r="H735" t="s">
        <v>467</v>
      </c>
      <c r="I735" t="s">
        <v>402</v>
      </c>
      <c r="J735" t="s">
        <v>558</v>
      </c>
      <c r="L735" t="b">
        <v>1</v>
      </c>
      <c r="M735" t="s">
        <v>39</v>
      </c>
      <c r="N735" t="s">
        <v>8245</v>
      </c>
      <c r="O735" s="1">
        <v>16438</v>
      </c>
      <c r="P735" t="s">
        <v>2835</v>
      </c>
      <c r="Q735" t="s">
        <v>2836</v>
      </c>
      <c r="S735" s="1">
        <v>45020.209027777775</v>
      </c>
      <c r="V735">
        <v>1945</v>
      </c>
      <c r="W735">
        <v>167.4</v>
      </c>
      <c r="X735">
        <v>3.7</v>
      </c>
      <c r="Y735" s="2">
        <v>1839758040766</v>
      </c>
      <c r="Z735">
        <v>51.3</v>
      </c>
      <c r="AA735">
        <v>115.4</v>
      </c>
      <c r="AB735">
        <v>14.2</v>
      </c>
      <c r="AC735">
        <v>65.099999999999994</v>
      </c>
      <c r="AD735">
        <v>212559417</v>
      </c>
    </row>
    <row r="736" spans="1:30" hidden="1" x14ac:dyDescent="0.45">
      <c r="A736">
        <v>721</v>
      </c>
      <c r="B736">
        <v>3900</v>
      </c>
      <c r="C736" t="s">
        <v>91</v>
      </c>
      <c r="D736" t="s">
        <v>2837</v>
      </c>
      <c r="E736">
        <v>76</v>
      </c>
      <c r="F736" t="s">
        <v>558</v>
      </c>
      <c r="G736" t="s">
        <v>839</v>
      </c>
      <c r="H736" t="s">
        <v>2683</v>
      </c>
      <c r="I736" t="s">
        <v>91</v>
      </c>
      <c r="J736" t="s">
        <v>558</v>
      </c>
      <c r="L736" t="b">
        <v>0</v>
      </c>
      <c r="M736" t="s">
        <v>29</v>
      </c>
      <c r="N736" t="s">
        <v>8245</v>
      </c>
      <c r="O736" s="1">
        <v>16951</v>
      </c>
      <c r="P736" t="s">
        <v>2684</v>
      </c>
      <c r="Q736" t="s">
        <v>2838</v>
      </c>
      <c r="S736" s="1">
        <v>45020.209027777775</v>
      </c>
      <c r="V736">
        <v>1946</v>
      </c>
      <c r="W736">
        <v>167.4</v>
      </c>
      <c r="X736">
        <v>3.7</v>
      </c>
      <c r="Y736" s="2">
        <v>1839758040766</v>
      </c>
      <c r="Z736">
        <v>51.3</v>
      </c>
      <c r="AA736">
        <v>115.4</v>
      </c>
      <c r="AB736">
        <v>14.2</v>
      </c>
      <c r="AC736">
        <v>65.099999999999994</v>
      </c>
      <c r="AD736">
        <v>212559417</v>
      </c>
    </row>
    <row r="737" spans="1:30" hidden="1" x14ac:dyDescent="0.45">
      <c r="A737">
        <v>721</v>
      </c>
      <c r="B737">
        <v>3900</v>
      </c>
      <c r="C737" t="s">
        <v>91</v>
      </c>
      <c r="D737" t="s">
        <v>2839</v>
      </c>
      <c r="E737">
        <v>63</v>
      </c>
      <c r="F737" t="s">
        <v>558</v>
      </c>
      <c r="G737" t="s">
        <v>839</v>
      </c>
      <c r="H737" t="s">
        <v>2683</v>
      </c>
      <c r="I737" t="s">
        <v>91</v>
      </c>
      <c r="J737" t="s">
        <v>558</v>
      </c>
      <c r="L737" t="b">
        <v>0</v>
      </c>
      <c r="M737" t="s">
        <v>29</v>
      </c>
      <c r="N737" t="s">
        <v>8245</v>
      </c>
      <c r="O737" s="1">
        <v>21843</v>
      </c>
      <c r="P737" t="s">
        <v>2684</v>
      </c>
      <c r="Q737" t="s">
        <v>2840</v>
      </c>
      <c r="S737" s="1">
        <v>45020.209027777775</v>
      </c>
      <c r="V737">
        <v>1959</v>
      </c>
      <c r="W737">
        <v>167.4</v>
      </c>
      <c r="X737">
        <v>3.7</v>
      </c>
      <c r="Y737" s="2">
        <v>1839758040766</v>
      </c>
      <c r="Z737">
        <v>51.3</v>
      </c>
      <c r="AA737">
        <v>115.4</v>
      </c>
      <c r="AB737">
        <v>14.2</v>
      </c>
      <c r="AC737">
        <v>65.099999999999994</v>
      </c>
      <c r="AD737">
        <v>212559417</v>
      </c>
    </row>
    <row r="738" spans="1:30" x14ac:dyDescent="0.45">
      <c r="A738">
        <v>721</v>
      </c>
      <c r="B738" s="6">
        <v>3900</v>
      </c>
      <c r="C738" t="s">
        <v>239</v>
      </c>
      <c r="D738" t="s">
        <v>2841</v>
      </c>
      <c r="E738">
        <v>60</v>
      </c>
      <c r="F738" t="s">
        <v>35</v>
      </c>
      <c r="G738" t="s">
        <v>372</v>
      </c>
      <c r="H738" t="s">
        <v>2842</v>
      </c>
      <c r="I738" t="s">
        <v>239</v>
      </c>
      <c r="J738" t="s">
        <v>35</v>
      </c>
      <c r="K738" t="s">
        <v>2843</v>
      </c>
      <c r="L738" t="b">
        <v>1</v>
      </c>
      <c r="M738" t="s">
        <v>611</v>
      </c>
      <c r="N738" t="s">
        <v>8245</v>
      </c>
      <c r="O738" s="10">
        <v>22953</v>
      </c>
      <c r="P738" t="s">
        <v>2844</v>
      </c>
      <c r="Q738" t="s">
        <v>2845</v>
      </c>
      <c r="R738" t="s">
        <v>2846</v>
      </c>
      <c r="S738" s="8">
        <v>45020.209027777775</v>
      </c>
      <c r="T738" t="s">
        <v>52</v>
      </c>
      <c r="U738" t="s">
        <v>53</v>
      </c>
      <c r="V738">
        <v>1962</v>
      </c>
      <c r="W738" s="12">
        <v>117.24</v>
      </c>
      <c r="X738">
        <v>7.5</v>
      </c>
      <c r="Y738" s="14">
        <v>21427700000000</v>
      </c>
      <c r="Z738">
        <v>88.2</v>
      </c>
      <c r="AA738">
        <v>101.8</v>
      </c>
      <c r="AB738">
        <v>9.6</v>
      </c>
      <c r="AC738">
        <v>36.6</v>
      </c>
      <c r="AD738">
        <v>328239523</v>
      </c>
    </row>
    <row r="739" spans="1:30" hidden="1" x14ac:dyDescent="0.45">
      <c r="A739">
        <v>721</v>
      </c>
      <c r="B739">
        <v>3900</v>
      </c>
      <c r="C739" t="s">
        <v>23</v>
      </c>
      <c r="D739" t="s">
        <v>2847</v>
      </c>
      <c r="E739">
        <v>56</v>
      </c>
      <c r="F739" t="s">
        <v>194</v>
      </c>
      <c r="G739" t="s">
        <v>2848</v>
      </c>
      <c r="H739" t="s">
        <v>2022</v>
      </c>
      <c r="I739" t="s">
        <v>23</v>
      </c>
      <c r="J739" t="s">
        <v>194</v>
      </c>
      <c r="L739" t="b">
        <v>0</v>
      </c>
      <c r="M739" t="s">
        <v>29</v>
      </c>
      <c r="N739" t="s">
        <v>8245</v>
      </c>
      <c r="O739" s="1">
        <v>24473</v>
      </c>
      <c r="P739" t="s">
        <v>2849</v>
      </c>
      <c r="Q739" t="s">
        <v>2850</v>
      </c>
      <c r="S739" s="1">
        <v>45020.209027777775</v>
      </c>
      <c r="V739">
        <v>1967</v>
      </c>
      <c r="W739">
        <v>112.85</v>
      </c>
      <c r="X739">
        <v>1.4</v>
      </c>
      <c r="Y739" s="2">
        <v>3845630030824</v>
      </c>
      <c r="Z739">
        <v>70.2</v>
      </c>
      <c r="AA739">
        <v>104</v>
      </c>
      <c r="AB739">
        <v>11.5</v>
      </c>
      <c r="AC739">
        <v>48.8</v>
      </c>
      <c r="AD739">
        <v>83132799</v>
      </c>
    </row>
    <row r="740" spans="1:30" hidden="1" x14ac:dyDescent="0.45">
      <c r="A740">
        <v>721</v>
      </c>
      <c r="B740">
        <v>3900</v>
      </c>
      <c r="C740" t="s">
        <v>23</v>
      </c>
      <c r="D740" t="s">
        <v>2851</v>
      </c>
      <c r="E740">
        <v>50</v>
      </c>
      <c r="F740" t="s">
        <v>194</v>
      </c>
      <c r="G740" t="s">
        <v>2848</v>
      </c>
      <c r="H740" t="s">
        <v>2022</v>
      </c>
      <c r="I740" t="s">
        <v>23</v>
      </c>
      <c r="J740" t="s">
        <v>194</v>
      </c>
      <c r="L740" t="b">
        <v>0</v>
      </c>
      <c r="M740" t="s">
        <v>29</v>
      </c>
      <c r="N740" t="s">
        <v>8245</v>
      </c>
      <c r="O740" s="1">
        <v>26575</v>
      </c>
      <c r="P740" t="s">
        <v>2849</v>
      </c>
      <c r="Q740" t="s">
        <v>2852</v>
      </c>
      <c r="S740" s="1">
        <v>45020.209027777775</v>
      </c>
      <c r="V740">
        <v>1972</v>
      </c>
      <c r="W740">
        <v>112.85</v>
      </c>
      <c r="X740">
        <v>1.4</v>
      </c>
      <c r="Y740" s="2">
        <v>3845630030824</v>
      </c>
      <c r="Z740">
        <v>70.2</v>
      </c>
      <c r="AA740">
        <v>104</v>
      </c>
      <c r="AB740">
        <v>11.5</v>
      </c>
      <c r="AC740">
        <v>48.8</v>
      </c>
      <c r="AD740">
        <v>83132799</v>
      </c>
    </row>
    <row r="741" spans="1:30" hidden="1" x14ac:dyDescent="0.45">
      <c r="A741">
        <v>721</v>
      </c>
      <c r="B741">
        <v>3900</v>
      </c>
      <c r="C741" t="s">
        <v>23</v>
      </c>
      <c r="D741" t="s">
        <v>2853</v>
      </c>
      <c r="E741">
        <v>44</v>
      </c>
      <c r="F741" t="s">
        <v>194</v>
      </c>
      <c r="G741" t="s">
        <v>2848</v>
      </c>
      <c r="H741" t="s">
        <v>2022</v>
      </c>
      <c r="I741" t="s">
        <v>23</v>
      </c>
      <c r="J741" t="s">
        <v>194</v>
      </c>
      <c r="L741" t="b">
        <v>0</v>
      </c>
      <c r="M741" t="s">
        <v>29</v>
      </c>
      <c r="N741" t="s">
        <v>8246</v>
      </c>
      <c r="O741" s="1">
        <v>28881</v>
      </c>
      <c r="P741" t="s">
        <v>2849</v>
      </c>
      <c r="Q741" t="s">
        <v>147</v>
      </c>
      <c r="S741" s="1">
        <v>45020.209027777775</v>
      </c>
      <c r="V741">
        <v>1979</v>
      </c>
      <c r="W741">
        <v>112.85</v>
      </c>
      <c r="X741">
        <v>1.4</v>
      </c>
      <c r="Y741" s="2">
        <v>3845630030824</v>
      </c>
      <c r="Z741">
        <v>70.2</v>
      </c>
      <c r="AA741">
        <v>104</v>
      </c>
      <c r="AB741">
        <v>11.5</v>
      </c>
      <c r="AC741">
        <v>48.8</v>
      </c>
      <c r="AD741">
        <v>83132799</v>
      </c>
    </row>
    <row r="742" spans="1:30" hidden="1" x14ac:dyDescent="0.45">
      <c r="A742">
        <v>721</v>
      </c>
      <c r="B742">
        <v>3900</v>
      </c>
      <c r="C742" t="s">
        <v>296</v>
      </c>
      <c r="D742" t="s">
        <v>2854</v>
      </c>
      <c r="E742">
        <v>62</v>
      </c>
      <c r="F742" t="s">
        <v>128</v>
      </c>
      <c r="G742" t="s">
        <v>2855</v>
      </c>
      <c r="H742" t="s">
        <v>2856</v>
      </c>
      <c r="I742" t="s">
        <v>296</v>
      </c>
      <c r="J742" t="s">
        <v>128</v>
      </c>
      <c r="L742" t="b">
        <v>1</v>
      </c>
      <c r="M742" t="s">
        <v>39</v>
      </c>
      <c r="N742" t="s">
        <v>8245</v>
      </c>
      <c r="O742" s="1">
        <v>22282</v>
      </c>
      <c r="P742" t="s">
        <v>1756</v>
      </c>
      <c r="Q742" t="s">
        <v>2857</v>
      </c>
      <c r="S742" s="1">
        <v>45020.209027777775</v>
      </c>
      <c r="V742">
        <v>1961</v>
      </c>
      <c r="W742">
        <v>125.08</v>
      </c>
      <c r="X742">
        <v>2.9</v>
      </c>
      <c r="Y742" s="2">
        <v>19910000000000</v>
      </c>
      <c r="Z742">
        <v>50.6</v>
      </c>
      <c r="AA742">
        <v>100.2</v>
      </c>
      <c r="AB742">
        <v>9.4</v>
      </c>
      <c r="AC742">
        <v>59.2</v>
      </c>
      <c r="AD742">
        <v>1397715000</v>
      </c>
    </row>
    <row r="743" spans="1:30" hidden="1" x14ac:dyDescent="0.45">
      <c r="A743">
        <v>721</v>
      </c>
      <c r="B743">
        <v>3900</v>
      </c>
      <c r="C743" t="s">
        <v>61</v>
      </c>
      <c r="D743" t="s">
        <v>2858</v>
      </c>
      <c r="E743">
        <v>63</v>
      </c>
      <c r="F743" t="s">
        <v>35</v>
      </c>
      <c r="G743" t="s">
        <v>2859</v>
      </c>
      <c r="H743" t="s">
        <v>1064</v>
      </c>
      <c r="I743" t="s">
        <v>61</v>
      </c>
      <c r="J743" t="s">
        <v>35</v>
      </c>
      <c r="L743" t="b">
        <v>1</v>
      </c>
      <c r="M743" t="s">
        <v>39</v>
      </c>
      <c r="N743" t="s">
        <v>8245</v>
      </c>
      <c r="O743" s="1">
        <v>21963</v>
      </c>
      <c r="P743" t="s">
        <v>2860</v>
      </c>
      <c r="Q743" t="s">
        <v>137</v>
      </c>
      <c r="S743" s="1">
        <v>45020.209027777775</v>
      </c>
      <c r="T743" t="s">
        <v>820</v>
      </c>
      <c r="U743" t="s">
        <v>53</v>
      </c>
      <c r="V743">
        <v>1960</v>
      </c>
      <c r="W743">
        <v>117.24</v>
      </c>
      <c r="X743">
        <v>7.5</v>
      </c>
      <c r="Y743" s="2">
        <v>21427700000000</v>
      </c>
      <c r="Z743">
        <v>88.2</v>
      </c>
      <c r="AA743">
        <v>101.8</v>
      </c>
      <c r="AB743">
        <v>9.6</v>
      </c>
      <c r="AC743">
        <v>36.6</v>
      </c>
      <c r="AD743">
        <v>328239523</v>
      </c>
    </row>
    <row r="744" spans="1:30" hidden="1" x14ac:dyDescent="0.45">
      <c r="A744">
        <v>721</v>
      </c>
      <c r="B744">
        <v>3900</v>
      </c>
      <c r="C744" t="s">
        <v>61</v>
      </c>
      <c r="D744" t="s">
        <v>2861</v>
      </c>
      <c r="E744">
        <v>70</v>
      </c>
      <c r="F744" t="s">
        <v>1259</v>
      </c>
      <c r="G744" t="s">
        <v>1260</v>
      </c>
      <c r="H744" t="s">
        <v>1839</v>
      </c>
      <c r="I744" t="s">
        <v>61</v>
      </c>
      <c r="J744" t="s">
        <v>1259</v>
      </c>
      <c r="L744" t="b">
        <v>0</v>
      </c>
      <c r="M744" t="s">
        <v>39</v>
      </c>
      <c r="N744" t="s">
        <v>8245</v>
      </c>
      <c r="O744" s="1">
        <v>19207</v>
      </c>
      <c r="P744" t="s">
        <v>1323</v>
      </c>
      <c r="Q744" t="s">
        <v>2862</v>
      </c>
      <c r="S744" s="1">
        <v>45020.209027777775</v>
      </c>
      <c r="V744">
        <v>1952</v>
      </c>
      <c r="W744"/>
      <c r="Y744"/>
    </row>
    <row r="745" spans="1:30" hidden="1" x14ac:dyDescent="0.45">
      <c r="A745">
        <v>721</v>
      </c>
      <c r="B745">
        <v>3900</v>
      </c>
      <c r="C745" t="s">
        <v>126</v>
      </c>
      <c r="D745" t="s">
        <v>2863</v>
      </c>
      <c r="E745">
        <v>79</v>
      </c>
      <c r="F745" t="s">
        <v>93</v>
      </c>
      <c r="G745" t="s">
        <v>94</v>
      </c>
      <c r="H745" t="s">
        <v>2022</v>
      </c>
      <c r="I745" t="s">
        <v>126</v>
      </c>
      <c r="J745" t="s">
        <v>93</v>
      </c>
      <c r="L745" t="b">
        <v>0</v>
      </c>
      <c r="M745" t="s">
        <v>29</v>
      </c>
      <c r="N745" t="s">
        <v>8245</v>
      </c>
      <c r="O745" s="1">
        <v>16117</v>
      </c>
      <c r="P745" t="s">
        <v>2864</v>
      </c>
      <c r="Q745" t="s">
        <v>2865</v>
      </c>
      <c r="S745" s="1">
        <v>45020.209027777775</v>
      </c>
      <c r="V745">
        <v>1944</v>
      </c>
      <c r="W745">
        <v>180.44</v>
      </c>
      <c r="X745">
        <v>7.7</v>
      </c>
      <c r="Y745" s="2">
        <v>2611000000000</v>
      </c>
      <c r="Z745">
        <v>28.1</v>
      </c>
      <c r="AA745">
        <v>113</v>
      </c>
      <c r="AB745">
        <v>11.2</v>
      </c>
      <c r="AC745">
        <v>49.7</v>
      </c>
      <c r="AD745">
        <v>1366417754</v>
      </c>
    </row>
    <row r="746" spans="1:30" hidden="1" x14ac:dyDescent="0.45">
      <c r="A746">
        <v>721</v>
      </c>
      <c r="B746">
        <v>3900</v>
      </c>
      <c r="C746" t="s">
        <v>402</v>
      </c>
      <c r="D746" t="s">
        <v>2866</v>
      </c>
      <c r="E746">
        <v>73</v>
      </c>
      <c r="F746" t="s">
        <v>128</v>
      </c>
      <c r="G746" t="s">
        <v>2867</v>
      </c>
      <c r="H746" t="s">
        <v>610</v>
      </c>
      <c r="I746" t="s">
        <v>402</v>
      </c>
      <c r="J746" t="s">
        <v>128</v>
      </c>
      <c r="L746" t="b">
        <v>1</v>
      </c>
      <c r="M746" t="s">
        <v>611</v>
      </c>
      <c r="N746" t="s">
        <v>8245</v>
      </c>
      <c r="O746" s="1">
        <v>18195</v>
      </c>
      <c r="P746" t="s">
        <v>894</v>
      </c>
      <c r="Q746" t="s">
        <v>2868</v>
      </c>
      <c r="S746" s="1">
        <v>45020.209027777775</v>
      </c>
      <c r="V746">
        <v>1949</v>
      </c>
      <c r="W746">
        <v>125.08</v>
      </c>
      <c r="X746">
        <v>2.9</v>
      </c>
      <c r="Y746" s="2">
        <v>19910000000000</v>
      </c>
      <c r="Z746">
        <v>50.6</v>
      </c>
      <c r="AA746">
        <v>100.2</v>
      </c>
      <c r="AB746">
        <v>9.4</v>
      </c>
      <c r="AC746">
        <v>59.2</v>
      </c>
      <c r="AD746">
        <v>1397715000</v>
      </c>
    </row>
    <row r="747" spans="1:30" hidden="1" x14ac:dyDescent="0.45">
      <c r="A747">
        <v>721</v>
      </c>
      <c r="B747">
        <v>3900</v>
      </c>
      <c r="C747" t="s">
        <v>296</v>
      </c>
      <c r="D747" t="s">
        <v>2869</v>
      </c>
      <c r="E747">
        <v>57</v>
      </c>
      <c r="F747" t="s">
        <v>128</v>
      </c>
      <c r="G747" t="s">
        <v>960</v>
      </c>
      <c r="H747" t="s">
        <v>442</v>
      </c>
      <c r="I747" t="s">
        <v>296</v>
      </c>
      <c r="J747" t="s">
        <v>128</v>
      </c>
      <c r="L747" t="b">
        <v>1</v>
      </c>
      <c r="M747" t="s">
        <v>39</v>
      </c>
      <c r="N747" t="s">
        <v>8245</v>
      </c>
      <c r="O747" s="1">
        <v>24198</v>
      </c>
      <c r="P747" t="s">
        <v>2314</v>
      </c>
      <c r="Q747" t="s">
        <v>2870</v>
      </c>
      <c r="S747" s="1">
        <v>45020.209027777775</v>
      </c>
      <c r="V747">
        <v>1966</v>
      </c>
      <c r="W747">
        <v>125.08</v>
      </c>
      <c r="X747">
        <v>2.9</v>
      </c>
      <c r="Y747" s="2">
        <v>19910000000000</v>
      </c>
      <c r="Z747">
        <v>50.6</v>
      </c>
      <c r="AA747">
        <v>100.2</v>
      </c>
      <c r="AB747">
        <v>9.4</v>
      </c>
      <c r="AC747">
        <v>59.2</v>
      </c>
      <c r="AD747">
        <v>1397715000</v>
      </c>
    </row>
    <row r="748" spans="1:30" hidden="1" x14ac:dyDescent="0.45">
      <c r="A748">
        <v>721</v>
      </c>
      <c r="B748">
        <v>3900</v>
      </c>
      <c r="C748" t="s">
        <v>402</v>
      </c>
      <c r="D748" t="s">
        <v>2871</v>
      </c>
      <c r="E748">
        <v>60</v>
      </c>
      <c r="F748" t="s">
        <v>128</v>
      </c>
      <c r="G748" t="s">
        <v>234</v>
      </c>
      <c r="H748" t="s">
        <v>610</v>
      </c>
      <c r="I748" t="s">
        <v>402</v>
      </c>
      <c r="J748" t="s">
        <v>128</v>
      </c>
      <c r="L748" t="b">
        <v>1</v>
      </c>
      <c r="M748" t="s">
        <v>39</v>
      </c>
      <c r="N748" t="s">
        <v>8245</v>
      </c>
      <c r="O748" s="1">
        <v>22761</v>
      </c>
      <c r="P748" t="s">
        <v>2217</v>
      </c>
      <c r="Q748" t="s">
        <v>2872</v>
      </c>
      <c r="S748" s="1">
        <v>45020.209027777775</v>
      </c>
      <c r="V748">
        <v>1962</v>
      </c>
      <c r="W748">
        <v>125.08</v>
      </c>
      <c r="X748">
        <v>2.9</v>
      </c>
      <c r="Y748" s="2">
        <v>19910000000000</v>
      </c>
      <c r="Z748">
        <v>50.6</v>
      </c>
      <c r="AA748">
        <v>100.2</v>
      </c>
      <c r="AB748">
        <v>9.4</v>
      </c>
      <c r="AC748">
        <v>59.2</v>
      </c>
      <c r="AD748">
        <v>1397715000</v>
      </c>
    </row>
    <row r="749" spans="1:30" hidden="1" x14ac:dyDescent="0.45">
      <c r="A749">
        <v>748</v>
      </c>
      <c r="B749">
        <v>3800</v>
      </c>
      <c r="C749" t="s">
        <v>436</v>
      </c>
      <c r="D749" t="s">
        <v>2873</v>
      </c>
      <c r="E749">
        <v>63</v>
      </c>
      <c r="F749" t="s">
        <v>93</v>
      </c>
      <c r="G749" t="s">
        <v>343</v>
      </c>
      <c r="H749" t="s">
        <v>2874</v>
      </c>
      <c r="I749" t="s">
        <v>436</v>
      </c>
      <c r="J749" t="s">
        <v>93</v>
      </c>
      <c r="L749" t="b">
        <v>0</v>
      </c>
      <c r="M749" t="s">
        <v>285</v>
      </c>
      <c r="N749" t="s">
        <v>8245</v>
      </c>
      <c r="O749" s="1">
        <v>21711</v>
      </c>
      <c r="P749" t="s">
        <v>2875</v>
      </c>
      <c r="Q749" t="s">
        <v>2876</v>
      </c>
      <c r="S749" s="1">
        <v>45020.209027777775</v>
      </c>
      <c r="V749">
        <v>1959</v>
      </c>
      <c r="W749">
        <v>180.44</v>
      </c>
      <c r="X749">
        <v>7.7</v>
      </c>
      <c r="Y749" s="2">
        <v>2611000000000</v>
      </c>
      <c r="Z749">
        <v>28.1</v>
      </c>
      <c r="AA749">
        <v>113</v>
      </c>
      <c r="AB749">
        <v>11.2</v>
      </c>
      <c r="AC749">
        <v>49.7</v>
      </c>
      <c r="AD749">
        <v>1366417754</v>
      </c>
    </row>
    <row r="750" spans="1:30" hidden="1" x14ac:dyDescent="0.45">
      <c r="A750">
        <v>748</v>
      </c>
      <c r="B750">
        <v>3800</v>
      </c>
      <c r="C750" t="s">
        <v>689</v>
      </c>
      <c r="D750" t="s">
        <v>2877</v>
      </c>
      <c r="E750">
        <v>80</v>
      </c>
      <c r="F750" t="s">
        <v>214</v>
      </c>
      <c r="G750" t="s">
        <v>2878</v>
      </c>
      <c r="H750" t="s">
        <v>2879</v>
      </c>
      <c r="I750" t="s">
        <v>689</v>
      </c>
      <c r="J750" t="s">
        <v>214</v>
      </c>
      <c r="L750" t="b">
        <v>1</v>
      </c>
      <c r="M750" t="s">
        <v>39</v>
      </c>
      <c r="N750" t="s">
        <v>8245</v>
      </c>
      <c r="O750" s="1">
        <v>15786</v>
      </c>
      <c r="P750" t="s">
        <v>2880</v>
      </c>
      <c r="Q750" t="s">
        <v>2881</v>
      </c>
      <c r="S750" s="1">
        <v>45020.209027777775</v>
      </c>
      <c r="V750">
        <v>1943</v>
      </c>
      <c r="W750">
        <v>110.62</v>
      </c>
      <c r="X750">
        <v>0.6</v>
      </c>
      <c r="Y750" s="2">
        <v>2001244392042</v>
      </c>
      <c r="Z750">
        <v>61.9</v>
      </c>
      <c r="AA750">
        <v>101.9</v>
      </c>
      <c r="AB750">
        <v>24.3</v>
      </c>
      <c r="AC750">
        <v>59.1</v>
      </c>
      <c r="AD750">
        <v>60297396</v>
      </c>
    </row>
    <row r="751" spans="1:30" hidden="1" x14ac:dyDescent="0.45">
      <c r="A751">
        <v>748</v>
      </c>
      <c r="B751">
        <v>3800</v>
      </c>
      <c r="C751" t="s">
        <v>76</v>
      </c>
      <c r="D751" t="s">
        <v>2882</v>
      </c>
      <c r="E751">
        <v>81</v>
      </c>
      <c r="F751" t="s">
        <v>35</v>
      </c>
      <c r="G751" t="s">
        <v>78</v>
      </c>
      <c r="H751" t="s">
        <v>2883</v>
      </c>
      <c r="I751" t="s">
        <v>76</v>
      </c>
      <c r="J751" t="s">
        <v>35</v>
      </c>
      <c r="L751" t="b">
        <v>1</v>
      </c>
      <c r="M751" t="s">
        <v>39</v>
      </c>
      <c r="N751" t="s">
        <v>8245</v>
      </c>
      <c r="O751" s="1">
        <v>15374</v>
      </c>
      <c r="P751" t="s">
        <v>2884</v>
      </c>
      <c r="Q751" t="s">
        <v>2100</v>
      </c>
      <c r="S751" s="1">
        <v>45020.209027777775</v>
      </c>
      <c r="T751" t="s">
        <v>78</v>
      </c>
      <c r="U751" t="s">
        <v>82</v>
      </c>
      <c r="V751">
        <v>1942</v>
      </c>
      <c r="W751">
        <v>117.24</v>
      </c>
      <c r="X751">
        <v>7.5</v>
      </c>
      <c r="Y751" s="2">
        <v>21427700000000</v>
      </c>
      <c r="Z751">
        <v>88.2</v>
      </c>
      <c r="AA751">
        <v>101.8</v>
      </c>
      <c r="AB751">
        <v>9.6</v>
      </c>
      <c r="AC751">
        <v>36.6</v>
      </c>
      <c r="AD751">
        <v>328239523</v>
      </c>
    </row>
    <row r="752" spans="1:30" hidden="1" x14ac:dyDescent="0.45">
      <c r="A752">
        <v>748</v>
      </c>
      <c r="B752">
        <v>3800</v>
      </c>
      <c r="C752" t="s">
        <v>61</v>
      </c>
      <c r="D752" t="s">
        <v>2885</v>
      </c>
      <c r="E752">
        <v>61</v>
      </c>
      <c r="F752" t="s">
        <v>35</v>
      </c>
      <c r="G752" t="s">
        <v>78</v>
      </c>
      <c r="H752" t="s">
        <v>317</v>
      </c>
      <c r="I752" t="s">
        <v>61</v>
      </c>
      <c r="J752" t="s">
        <v>35</v>
      </c>
      <c r="L752" t="b">
        <v>1</v>
      </c>
      <c r="M752" t="s">
        <v>29</v>
      </c>
      <c r="N752" t="s">
        <v>8245</v>
      </c>
      <c r="O752" s="1">
        <v>22585</v>
      </c>
      <c r="P752" t="s">
        <v>2886</v>
      </c>
      <c r="Q752" t="s">
        <v>2887</v>
      </c>
      <c r="S752" s="1">
        <v>45020.209027777775</v>
      </c>
      <c r="T752" t="s">
        <v>78</v>
      </c>
      <c r="U752" t="s">
        <v>82</v>
      </c>
      <c r="V752">
        <v>1961</v>
      </c>
      <c r="W752">
        <v>117.24</v>
      </c>
      <c r="X752">
        <v>7.5</v>
      </c>
      <c r="Y752" s="2">
        <v>21427700000000</v>
      </c>
      <c r="Z752">
        <v>88.2</v>
      </c>
      <c r="AA752">
        <v>101.8</v>
      </c>
      <c r="AB752">
        <v>9.6</v>
      </c>
      <c r="AC752">
        <v>36.6</v>
      </c>
      <c r="AD752">
        <v>328239523</v>
      </c>
    </row>
    <row r="753" spans="1:30" x14ac:dyDescent="0.45">
      <c r="A753">
        <v>748</v>
      </c>
      <c r="B753" s="6">
        <v>3800</v>
      </c>
      <c r="C753" t="s">
        <v>61</v>
      </c>
      <c r="D753" t="s">
        <v>2888</v>
      </c>
      <c r="E753">
        <v>63</v>
      </c>
      <c r="F753" t="s">
        <v>35</v>
      </c>
      <c r="G753" t="s">
        <v>78</v>
      </c>
      <c r="H753" t="s">
        <v>930</v>
      </c>
      <c r="I753" t="s">
        <v>61</v>
      </c>
      <c r="J753" t="s">
        <v>35</v>
      </c>
      <c r="K753" t="s">
        <v>2889</v>
      </c>
      <c r="L753" t="b">
        <v>1</v>
      </c>
      <c r="M753" t="s">
        <v>29</v>
      </c>
      <c r="N753" t="s">
        <v>8245</v>
      </c>
      <c r="O753" s="10">
        <v>22004</v>
      </c>
      <c r="P753" t="s">
        <v>2890</v>
      </c>
      <c r="Q753" t="s">
        <v>320</v>
      </c>
      <c r="R753" t="s">
        <v>2891</v>
      </c>
      <c r="S753" s="8">
        <v>45020.209027777775</v>
      </c>
      <c r="T753" t="s">
        <v>78</v>
      </c>
      <c r="U753" t="s">
        <v>82</v>
      </c>
      <c r="V753">
        <v>1960</v>
      </c>
      <c r="W753" s="12">
        <v>117.24</v>
      </c>
      <c r="X753">
        <v>7.5</v>
      </c>
      <c r="Y753" s="14">
        <v>21427700000000</v>
      </c>
      <c r="Z753">
        <v>88.2</v>
      </c>
      <c r="AA753">
        <v>101.8</v>
      </c>
      <c r="AB753">
        <v>9.6</v>
      </c>
      <c r="AC753">
        <v>36.6</v>
      </c>
      <c r="AD753">
        <v>328239523</v>
      </c>
    </row>
    <row r="754" spans="1:30" hidden="1" x14ac:dyDescent="0.45">
      <c r="A754">
        <v>748</v>
      </c>
      <c r="B754">
        <v>3800</v>
      </c>
      <c r="C754" t="s">
        <v>436</v>
      </c>
      <c r="D754" t="s">
        <v>2892</v>
      </c>
      <c r="E754">
        <v>69</v>
      </c>
      <c r="F754" t="s">
        <v>35</v>
      </c>
      <c r="G754" t="s">
        <v>247</v>
      </c>
      <c r="H754" t="s">
        <v>2893</v>
      </c>
      <c r="I754" t="s">
        <v>436</v>
      </c>
      <c r="J754" t="s">
        <v>35</v>
      </c>
      <c r="L754" t="b">
        <v>1</v>
      </c>
      <c r="M754" t="s">
        <v>39</v>
      </c>
      <c r="N754" t="s">
        <v>8245</v>
      </c>
      <c r="O754" s="1">
        <v>19565</v>
      </c>
      <c r="P754" t="s">
        <v>2894</v>
      </c>
      <c r="Q754" t="s">
        <v>2756</v>
      </c>
      <c r="S754" s="1">
        <v>45020.209027777775</v>
      </c>
      <c r="T754" t="s">
        <v>253</v>
      </c>
      <c r="U754" t="s">
        <v>44</v>
      </c>
      <c r="V754">
        <v>1953</v>
      </c>
      <c r="W754">
        <v>117.24</v>
      </c>
      <c r="X754">
        <v>7.5</v>
      </c>
      <c r="Y754" s="2">
        <v>21427700000000</v>
      </c>
      <c r="Z754">
        <v>88.2</v>
      </c>
      <c r="AA754">
        <v>101.8</v>
      </c>
      <c r="AB754">
        <v>9.6</v>
      </c>
      <c r="AC754">
        <v>36.6</v>
      </c>
      <c r="AD754">
        <v>328239523</v>
      </c>
    </row>
    <row r="755" spans="1:30" hidden="1" x14ac:dyDescent="0.45">
      <c r="A755">
        <v>748</v>
      </c>
      <c r="B755">
        <v>3800</v>
      </c>
      <c r="C755" t="s">
        <v>126</v>
      </c>
      <c r="D755" t="s">
        <v>2895</v>
      </c>
      <c r="E755">
        <v>61</v>
      </c>
      <c r="F755" t="s">
        <v>35</v>
      </c>
      <c r="G755" t="s">
        <v>433</v>
      </c>
      <c r="H755" t="s">
        <v>2896</v>
      </c>
      <c r="I755" t="s">
        <v>126</v>
      </c>
      <c r="J755" t="s">
        <v>35</v>
      </c>
      <c r="L755" t="b">
        <v>1</v>
      </c>
      <c r="M755" t="s">
        <v>29</v>
      </c>
      <c r="N755" t="s">
        <v>8245</v>
      </c>
      <c r="O755" s="1">
        <v>22616</v>
      </c>
      <c r="P755" t="s">
        <v>2897</v>
      </c>
      <c r="Q755" t="s">
        <v>717</v>
      </c>
      <c r="S755" s="1">
        <v>45020.209027777775</v>
      </c>
      <c r="T755" t="s">
        <v>435</v>
      </c>
      <c r="U755" t="s">
        <v>69</v>
      </c>
      <c r="V755">
        <v>1961</v>
      </c>
      <c r="W755">
        <v>117.24</v>
      </c>
      <c r="X755">
        <v>7.5</v>
      </c>
      <c r="Y755" s="2">
        <v>21427700000000</v>
      </c>
      <c r="Z755">
        <v>88.2</v>
      </c>
      <c r="AA755">
        <v>101.8</v>
      </c>
      <c r="AB755">
        <v>9.6</v>
      </c>
      <c r="AC755">
        <v>36.6</v>
      </c>
      <c r="AD755">
        <v>328239523</v>
      </c>
    </row>
    <row r="756" spans="1:30" x14ac:dyDescent="0.45">
      <c r="A756">
        <v>748</v>
      </c>
      <c r="B756" s="6">
        <v>3800</v>
      </c>
      <c r="C756" t="s">
        <v>76</v>
      </c>
      <c r="D756" t="s">
        <v>2898</v>
      </c>
      <c r="E756">
        <v>87</v>
      </c>
      <c r="F756" t="s">
        <v>35</v>
      </c>
      <c r="G756" t="s">
        <v>466</v>
      </c>
      <c r="H756" t="s">
        <v>2899</v>
      </c>
      <c r="I756" t="s">
        <v>76</v>
      </c>
      <c r="J756" t="s">
        <v>35</v>
      </c>
      <c r="K756" t="s">
        <v>2900</v>
      </c>
      <c r="L756" t="b">
        <v>0</v>
      </c>
      <c r="M756" t="s">
        <v>39</v>
      </c>
      <c r="N756" t="s">
        <v>8246</v>
      </c>
      <c r="O756" s="10">
        <v>13016</v>
      </c>
      <c r="P756" t="s">
        <v>2901</v>
      </c>
      <c r="Q756" t="s">
        <v>2902</v>
      </c>
      <c r="R756" t="s">
        <v>2903</v>
      </c>
      <c r="S756" s="8">
        <v>45020.209027777775</v>
      </c>
      <c r="T756" t="s">
        <v>469</v>
      </c>
      <c r="U756" t="s">
        <v>44</v>
      </c>
      <c r="V756">
        <v>1935</v>
      </c>
      <c r="W756" s="12">
        <v>117.24</v>
      </c>
      <c r="X756">
        <v>7.5</v>
      </c>
      <c r="Y756" s="14">
        <v>21427700000000</v>
      </c>
      <c r="Z756">
        <v>88.2</v>
      </c>
      <c r="AA756">
        <v>101.8</v>
      </c>
      <c r="AB756">
        <v>9.6</v>
      </c>
      <c r="AC756">
        <v>36.6</v>
      </c>
      <c r="AD756">
        <v>328239523</v>
      </c>
    </row>
    <row r="757" spans="1:30" hidden="1" x14ac:dyDescent="0.45">
      <c r="A757">
        <v>748</v>
      </c>
      <c r="B757">
        <v>3800</v>
      </c>
      <c r="C757" t="s">
        <v>33</v>
      </c>
      <c r="D757" t="s">
        <v>2904</v>
      </c>
      <c r="E757">
        <v>41</v>
      </c>
      <c r="F757" t="s">
        <v>128</v>
      </c>
      <c r="G757" t="s">
        <v>187</v>
      </c>
      <c r="H757" t="s">
        <v>2905</v>
      </c>
      <c r="I757" t="s">
        <v>33</v>
      </c>
      <c r="J757" t="s">
        <v>128</v>
      </c>
      <c r="L757" t="b">
        <v>1</v>
      </c>
      <c r="M757" t="s">
        <v>39</v>
      </c>
      <c r="N757" t="s">
        <v>8245</v>
      </c>
      <c r="O757" s="1">
        <v>29860</v>
      </c>
      <c r="P757" t="s">
        <v>230</v>
      </c>
      <c r="Q757" t="s">
        <v>2906</v>
      </c>
      <c r="S757" s="1">
        <v>45020.209027777775</v>
      </c>
      <c r="V757">
        <v>1981</v>
      </c>
      <c r="W757">
        <v>125.08</v>
      </c>
      <c r="X757">
        <v>2.9</v>
      </c>
      <c r="Y757" s="2">
        <v>19910000000000</v>
      </c>
      <c r="Z757">
        <v>50.6</v>
      </c>
      <c r="AA757">
        <v>100.2</v>
      </c>
      <c r="AB757">
        <v>9.4</v>
      </c>
      <c r="AC757">
        <v>59.2</v>
      </c>
      <c r="AD757">
        <v>1397715000</v>
      </c>
    </row>
    <row r="758" spans="1:30" hidden="1" x14ac:dyDescent="0.45">
      <c r="A758">
        <v>748</v>
      </c>
      <c r="B758">
        <v>3800</v>
      </c>
      <c r="C758" t="s">
        <v>302</v>
      </c>
      <c r="D758" t="s">
        <v>2907</v>
      </c>
      <c r="E758">
        <v>64</v>
      </c>
      <c r="F758" t="s">
        <v>35</v>
      </c>
      <c r="G758" t="s">
        <v>704</v>
      </c>
      <c r="H758" t="s">
        <v>304</v>
      </c>
      <c r="I758" t="s">
        <v>302</v>
      </c>
      <c r="J758" t="s">
        <v>35</v>
      </c>
      <c r="L758" t="b">
        <v>0</v>
      </c>
      <c r="M758" t="s">
        <v>29</v>
      </c>
      <c r="N758" t="s">
        <v>8245</v>
      </c>
      <c r="O758" s="1">
        <v>21496</v>
      </c>
      <c r="P758" t="s">
        <v>2908</v>
      </c>
      <c r="Q758" t="s">
        <v>2909</v>
      </c>
      <c r="S758" s="1">
        <v>45020.209027777775</v>
      </c>
      <c r="T758" t="s">
        <v>43</v>
      </c>
      <c r="U758" t="s">
        <v>44</v>
      </c>
      <c r="V758">
        <v>1958</v>
      </c>
      <c r="W758">
        <v>117.24</v>
      </c>
      <c r="X758">
        <v>7.5</v>
      </c>
      <c r="Y758" s="2">
        <v>21427700000000</v>
      </c>
      <c r="Z758">
        <v>88.2</v>
      </c>
      <c r="AA758">
        <v>101.8</v>
      </c>
      <c r="AB758">
        <v>9.6</v>
      </c>
      <c r="AC758">
        <v>36.6</v>
      </c>
      <c r="AD758">
        <v>328239523</v>
      </c>
    </row>
    <row r="759" spans="1:30" hidden="1" x14ac:dyDescent="0.45">
      <c r="A759">
        <v>748</v>
      </c>
      <c r="B759">
        <v>3800</v>
      </c>
      <c r="C759" t="s">
        <v>302</v>
      </c>
      <c r="D759" t="s">
        <v>2910</v>
      </c>
      <c r="E759">
        <v>82</v>
      </c>
      <c r="F759" t="s">
        <v>93</v>
      </c>
      <c r="G759" t="s">
        <v>94</v>
      </c>
      <c r="H759" t="s">
        <v>304</v>
      </c>
      <c r="I759" t="s">
        <v>302</v>
      </c>
      <c r="J759" t="s">
        <v>93</v>
      </c>
      <c r="L759" t="b">
        <v>0</v>
      </c>
      <c r="M759" t="s">
        <v>29</v>
      </c>
      <c r="N759" t="s">
        <v>8245</v>
      </c>
      <c r="O759" s="1">
        <v>14885</v>
      </c>
      <c r="P759" t="s">
        <v>2911</v>
      </c>
      <c r="Q759" t="s">
        <v>2912</v>
      </c>
      <c r="S759" s="1">
        <v>45020.209027777775</v>
      </c>
      <c r="V759">
        <v>1940</v>
      </c>
      <c r="W759">
        <v>180.44</v>
      </c>
      <c r="X759">
        <v>7.7</v>
      </c>
      <c r="Y759" s="2">
        <v>2611000000000</v>
      </c>
      <c r="Z759">
        <v>28.1</v>
      </c>
      <c r="AA759">
        <v>113</v>
      </c>
      <c r="AB759">
        <v>11.2</v>
      </c>
      <c r="AC759">
        <v>49.7</v>
      </c>
      <c r="AD759">
        <v>1366417754</v>
      </c>
    </row>
    <row r="760" spans="1:30" hidden="1" x14ac:dyDescent="0.45">
      <c r="A760">
        <v>748</v>
      </c>
      <c r="B760">
        <v>3800</v>
      </c>
      <c r="C760" t="s">
        <v>347</v>
      </c>
      <c r="D760" t="s">
        <v>2913</v>
      </c>
      <c r="E760">
        <v>71</v>
      </c>
      <c r="F760" t="s">
        <v>35</v>
      </c>
      <c r="G760" t="s">
        <v>704</v>
      </c>
      <c r="H760" t="s">
        <v>503</v>
      </c>
      <c r="I760" t="s">
        <v>347</v>
      </c>
      <c r="J760" t="s">
        <v>35</v>
      </c>
      <c r="L760" t="b">
        <v>1</v>
      </c>
      <c r="M760" t="s">
        <v>39</v>
      </c>
      <c r="N760" t="s">
        <v>8245</v>
      </c>
      <c r="O760" s="1">
        <v>18852</v>
      </c>
      <c r="P760" t="s">
        <v>2914</v>
      </c>
      <c r="Q760" t="s">
        <v>2915</v>
      </c>
      <c r="S760" s="1">
        <v>45020.209027777775</v>
      </c>
      <c r="T760" t="s">
        <v>43</v>
      </c>
      <c r="U760" t="s">
        <v>44</v>
      </c>
      <c r="V760">
        <v>1951</v>
      </c>
      <c r="W760">
        <v>117.24</v>
      </c>
      <c r="X760">
        <v>7.5</v>
      </c>
      <c r="Y760" s="2">
        <v>21427700000000</v>
      </c>
      <c r="Z760">
        <v>88.2</v>
      </c>
      <c r="AA760">
        <v>101.8</v>
      </c>
      <c r="AB760">
        <v>9.6</v>
      </c>
      <c r="AC760">
        <v>36.6</v>
      </c>
      <c r="AD760">
        <v>328239523</v>
      </c>
    </row>
    <row r="761" spans="1:30" hidden="1" x14ac:dyDescent="0.45">
      <c r="A761">
        <v>748</v>
      </c>
      <c r="B761">
        <v>3800</v>
      </c>
      <c r="C761" t="s">
        <v>83</v>
      </c>
      <c r="D761" t="s">
        <v>2916</v>
      </c>
      <c r="E761">
        <v>58</v>
      </c>
      <c r="F761" t="s">
        <v>266</v>
      </c>
      <c r="G761" t="s">
        <v>267</v>
      </c>
      <c r="H761" t="s">
        <v>2917</v>
      </c>
      <c r="I761" t="s">
        <v>83</v>
      </c>
      <c r="J761" t="s">
        <v>266</v>
      </c>
      <c r="L761" t="b">
        <v>1</v>
      </c>
      <c r="M761" t="s">
        <v>29</v>
      </c>
      <c r="N761" t="s">
        <v>8245</v>
      </c>
      <c r="O761" s="1">
        <v>23798</v>
      </c>
      <c r="P761" t="s">
        <v>2918</v>
      </c>
      <c r="Q761" t="s">
        <v>2919</v>
      </c>
      <c r="S761" s="1">
        <v>45020.209027777775</v>
      </c>
      <c r="V761">
        <v>1965</v>
      </c>
      <c r="W761">
        <v>105.48</v>
      </c>
      <c r="X761">
        <v>0.5</v>
      </c>
      <c r="Y761" s="2">
        <v>5081769542380</v>
      </c>
      <c r="Z761">
        <v>63.2</v>
      </c>
      <c r="AA761">
        <v>98.8</v>
      </c>
      <c r="AB761">
        <v>11.9</v>
      </c>
      <c r="AC761">
        <v>46.7</v>
      </c>
      <c r="AD761">
        <v>126226568</v>
      </c>
    </row>
    <row r="762" spans="1:30" hidden="1" x14ac:dyDescent="0.45">
      <c r="A762">
        <v>748</v>
      </c>
      <c r="B762">
        <v>3800</v>
      </c>
      <c r="C762" t="s">
        <v>402</v>
      </c>
      <c r="D762" t="s">
        <v>2920</v>
      </c>
      <c r="E762">
        <v>54</v>
      </c>
      <c r="F762" t="s">
        <v>128</v>
      </c>
      <c r="G762" t="s">
        <v>2921</v>
      </c>
      <c r="H762" t="s">
        <v>402</v>
      </c>
      <c r="I762" t="s">
        <v>402</v>
      </c>
      <c r="J762" t="s">
        <v>128</v>
      </c>
      <c r="L762" t="b">
        <v>1</v>
      </c>
      <c r="M762" t="s">
        <v>258</v>
      </c>
      <c r="N762" t="s">
        <v>8245</v>
      </c>
      <c r="O762" s="1">
        <v>25204</v>
      </c>
      <c r="P762" t="s">
        <v>2922</v>
      </c>
      <c r="Q762" t="s">
        <v>2923</v>
      </c>
      <c r="S762" s="1">
        <v>45020.209027777775</v>
      </c>
      <c r="V762">
        <v>1969</v>
      </c>
      <c r="W762">
        <v>125.08</v>
      </c>
      <c r="X762">
        <v>2.9</v>
      </c>
      <c r="Y762" s="2">
        <v>19910000000000</v>
      </c>
      <c r="Z762">
        <v>50.6</v>
      </c>
      <c r="AA762">
        <v>100.2</v>
      </c>
      <c r="AB762">
        <v>9.4</v>
      </c>
      <c r="AC762">
        <v>59.2</v>
      </c>
      <c r="AD762">
        <v>1397715000</v>
      </c>
    </row>
    <row r="763" spans="1:30" hidden="1" x14ac:dyDescent="0.45">
      <c r="A763">
        <v>748</v>
      </c>
      <c r="B763">
        <v>3800</v>
      </c>
      <c r="C763" t="s">
        <v>61</v>
      </c>
      <c r="D763" t="s">
        <v>2924</v>
      </c>
      <c r="E763">
        <v>73</v>
      </c>
      <c r="F763" t="s">
        <v>1259</v>
      </c>
      <c r="G763" t="s">
        <v>1260</v>
      </c>
      <c r="H763" t="s">
        <v>1839</v>
      </c>
      <c r="I763" t="s">
        <v>61</v>
      </c>
      <c r="J763" t="s">
        <v>1259</v>
      </c>
      <c r="L763" t="b">
        <v>0</v>
      </c>
      <c r="M763" t="s">
        <v>39</v>
      </c>
      <c r="N763" t="s">
        <v>8245</v>
      </c>
      <c r="O763" s="1">
        <v>18354</v>
      </c>
      <c r="P763" t="s">
        <v>1323</v>
      </c>
      <c r="Q763" t="s">
        <v>2925</v>
      </c>
      <c r="S763" s="1">
        <v>45020.209027777775</v>
      </c>
      <c r="V763">
        <v>1950</v>
      </c>
      <c r="W763"/>
      <c r="Y763"/>
    </row>
    <row r="764" spans="1:30" x14ac:dyDescent="0.45">
      <c r="A764">
        <v>748</v>
      </c>
      <c r="B764" s="6">
        <v>3800</v>
      </c>
      <c r="C764" t="s">
        <v>436</v>
      </c>
      <c r="D764" t="s">
        <v>2926</v>
      </c>
      <c r="E764">
        <v>77</v>
      </c>
      <c r="F764" t="s">
        <v>35</v>
      </c>
      <c r="G764" t="s">
        <v>2927</v>
      </c>
      <c r="H764" t="s">
        <v>2928</v>
      </c>
      <c r="I764" t="s">
        <v>436</v>
      </c>
      <c r="J764" t="s">
        <v>35</v>
      </c>
      <c r="K764" t="s">
        <v>2929</v>
      </c>
      <c r="L764" t="b">
        <v>1</v>
      </c>
      <c r="M764" t="s">
        <v>39</v>
      </c>
      <c r="N764" t="s">
        <v>8245</v>
      </c>
      <c r="O764" s="10">
        <v>16856</v>
      </c>
      <c r="P764" t="s">
        <v>2930</v>
      </c>
      <c r="Q764" t="s">
        <v>1363</v>
      </c>
      <c r="R764" t="s">
        <v>2931</v>
      </c>
      <c r="S764" s="8">
        <v>45020.209027777775</v>
      </c>
      <c r="T764" t="s">
        <v>43</v>
      </c>
      <c r="U764" t="s">
        <v>44</v>
      </c>
      <c r="V764">
        <v>1946</v>
      </c>
      <c r="W764" s="12">
        <v>117.24</v>
      </c>
      <c r="X764">
        <v>7.5</v>
      </c>
      <c r="Y764" s="14">
        <v>21427700000000</v>
      </c>
      <c r="Z764">
        <v>88.2</v>
      </c>
      <c r="AA764">
        <v>101.8</v>
      </c>
      <c r="AB764">
        <v>9.6</v>
      </c>
      <c r="AC764">
        <v>36.6</v>
      </c>
      <c r="AD764">
        <v>328239523</v>
      </c>
    </row>
    <row r="765" spans="1:30" hidden="1" x14ac:dyDescent="0.45">
      <c r="A765">
        <v>748</v>
      </c>
      <c r="B765">
        <v>3800</v>
      </c>
      <c r="C765" t="s">
        <v>296</v>
      </c>
      <c r="D765" t="s">
        <v>2932</v>
      </c>
      <c r="E765">
        <v>77</v>
      </c>
      <c r="F765" t="s">
        <v>35</v>
      </c>
      <c r="G765" t="s">
        <v>2933</v>
      </c>
      <c r="H765" t="s">
        <v>2934</v>
      </c>
      <c r="I765" t="s">
        <v>296</v>
      </c>
      <c r="J765" t="s">
        <v>35</v>
      </c>
      <c r="L765" t="b">
        <v>1</v>
      </c>
      <c r="M765" t="s">
        <v>258</v>
      </c>
      <c r="N765" t="s">
        <v>8246</v>
      </c>
      <c r="O765" s="1">
        <v>16625</v>
      </c>
      <c r="P765" t="s">
        <v>2935</v>
      </c>
      <c r="Q765" t="s">
        <v>1011</v>
      </c>
      <c r="R765" t="s">
        <v>952</v>
      </c>
      <c r="S765" s="1">
        <v>45020.209027777775</v>
      </c>
      <c r="T765" t="s">
        <v>435</v>
      </c>
      <c r="U765" t="s">
        <v>69</v>
      </c>
      <c r="V765">
        <v>1945</v>
      </c>
      <c r="W765">
        <v>117.24</v>
      </c>
      <c r="X765">
        <v>7.5</v>
      </c>
      <c r="Y765" s="2">
        <v>21427700000000</v>
      </c>
      <c r="Z765">
        <v>88.2</v>
      </c>
      <c r="AA765">
        <v>101.8</v>
      </c>
      <c r="AB765">
        <v>9.6</v>
      </c>
      <c r="AC765">
        <v>36.6</v>
      </c>
      <c r="AD765">
        <v>328239523</v>
      </c>
    </row>
    <row r="766" spans="1:30" hidden="1" x14ac:dyDescent="0.45">
      <c r="A766">
        <v>748</v>
      </c>
      <c r="B766">
        <v>3800</v>
      </c>
      <c r="C766" t="s">
        <v>296</v>
      </c>
      <c r="D766" t="s">
        <v>2936</v>
      </c>
      <c r="E766">
        <v>77</v>
      </c>
      <c r="F766" t="s">
        <v>35</v>
      </c>
      <c r="G766" t="s">
        <v>2933</v>
      </c>
      <c r="H766" t="s">
        <v>2934</v>
      </c>
      <c r="I766" t="s">
        <v>296</v>
      </c>
      <c r="J766" t="s">
        <v>35</v>
      </c>
      <c r="L766" t="b">
        <v>1</v>
      </c>
      <c r="M766" t="s">
        <v>258</v>
      </c>
      <c r="N766" t="s">
        <v>8245</v>
      </c>
      <c r="O766" s="1">
        <v>16676</v>
      </c>
      <c r="P766" t="s">
        <v>2935</v>
      </c>
      <c r="Q766" t="s">
        <v>1068</v>
      </c>
      <c r="S766" s="1">
        <v>45020.209027777775</v>
      </c>
      <c r="T766" t="s">
        <v>435</v>
      </c>
      <c r="U766" t="s">
        <v>69</v>
      </c>
      <c r="V766">
        <v>1945</v>
      </c>
      <c r="W766">
        <v>117.24</v>
      </c>
      <c r="X766">
        <v>7.5</v>
      </c>
      <c r="Y766" s="2">
        <v>21427700000000</v>
      </c>
      <c r="Z766">
        <v>88.2</v>
      </c>
      <c r="AA766">
        <v>101.8</v>
      </c>
      <c r="AB766">
        <v>9.6</v>
      </c>
      <c r="AC766">
        <v>36.6</v>
      </c>
      <c r="AD766">
        <v>328239523</v>
      </c>
    </row>
    <row r="767" spans="1:30" hidden="1" x14ac:dyDescent="0.45">
      <c r="A767">
        <v>766</v>
      </c>
      <c r="B767">
        <v>3700</v>
      </c>
      <c r="C767" t="s">
        <v>61</v>
      </c>
      <c r="D767" t="s">
        <v>2937</v>
      </c>
      <c r="E767">
        <v>51</v>
      </c>
      <c r="F767" t="s">
        <v>35</v>
      </c>
      <c r="G767" t="s">
        <v>36</v>
      </c>
      <c r="H767" t="s">
        <v>1418</v>
      </c>
      <c r="I767" t="s">
        <v>61</v>
      </c>
      <c r="J767" t="s">
        <v>35</v>
      </c>
      <c r="L767" t="b">
        <v>1</v>
      </c>
      <c r="M767" t="s">
        <v>258</v>
      </c>
      <c r="N767" t="s">
        <v>8245</v>
      </c>
      <c r="O767" s="1">
        <v>26344</v>
      </c>
      <c r="P767" t="s">
        <v>2938</v>
      </c>
      <c r="Q767" t="s">
        <v>2939</v>
      </c>
      <c r="S767" s="1">
        <v>45020.209027777775</v>
      </c>
      <c r="T767" t="s">
        <v>43</v>
      </c>
      <c r="U767" t="s">
        <v>44</v>
      </c>
      <c r="V767">
        <v>1972</v>
      </c>
      <c r="W767">
        <v>117.24</v>
      </c>
      <c r="X767">
        <v>7.5</v>
      </c>
      <c r="Y767" s="2">
        <v>21427700000000</v>
      </c>
      <c r="Z767">
        <v>88.2</v>
      </c>
      <c r="AA767">
        <v>101.8</v>
      </c>
      <c r="AB767">
        <v>9.6</v>
      </c>
      <c r="AC767">
        <v>36.6</v>
      </c>
      <c r="AD767">
        <v>328239523</v>
      </c>
    </row>
    <row r="768" spans="1:30" x14ac:dyDescent="0.45">
      <c r="A768">
        <v>766</v>
      </c>
      <c r="B768" s="6">
        <v>3700</v>
      </c>
      <c r="C768" t="s">
        <v>61</v>
      </c>
      <c r="D768" t="s">
        <v>2940</v>
      </c>
      <c r="E768">
        <v>76</v>
      </c>
      <c r="F768" t="s">
        <v>35</v>
      </c>
      <c r="G768" t="s">
        <v>2941</v>
      </c>
      <c r="H768" t="s">
        <v>1210</v>
      </c>
      <c r="I768" t="s">
        <v>61</v>
      </c>
      <c r="J768" t="s">
        <v>35</v>
      </c>
      <c r="K768" t="s">
        <v>2942</v>
      </c>
      <c r="L768" t="b">
        <v>1</v>
      </c>
      <c r="M768" t="s">
        <v>611</v>
      </c>
      <c r="N768" t="s">
        <v>8245</v>
      </c>
      <c r="O768" s="10">
        <v>17046</v>
      </c>
      <c r="P768" t="s">
        <v>2943</v>
      </c>
      <c r="Q768" t="s">
        <v>338</v>
      </c>
      <c r="R768" t="s">
        <v>32</v>
      </c>
      <c r="S768" s="8">
        <v>45020.209027777775</v>
      </c>
      <c r="T768" t="s">
        <v>253</v>
      </c>
      <c r="U768" t="s">
        <v>44</v>
      </c>
      <c r="V768">
        <v>1946</v>
      </c>
      <c r="W768" s="12">
        <v>117.24</v>
      </c>
      <c r="X768">
        <v>7.5</v>
      </c>
      <c r="Y768" s="14">
        <v>21427700000000</v>
      </c>
      <c r="Z768">
        <v>88.2</v>
      </c>
      <c r="AA768">
        <v>101.8</v>
      </c>
      <c r="AB768">
        <v>9.6</v>
      </c>
      <c r="AC768">
        <v>36.6</v>
      </c>
      <c r="AD768">
        <v>328239523</v>
      </c>
    </row>
    <row r="769" spans="1:30" hidden="1" x14ac:dyDescent="0.45">
      <c r="A769">
        <v>766</v>
      </c>
      <c r="B769">
        <v>3700</v>
      </c>
      <c r="C769" t="s">
        <v>302</v>
      </c>
      <c r="D769" t="s">
        <v>2944</v>
      </c>
      <c r="E769">
        <v>71</v>
      </c>
      <c r="F769" t="s">
        <v>35</v>
      </c>
      <c r="G769" t="s">
        <v>78</v>
      </c>
      <c r="H769" t="s">
        <v>304</v>
      </c>
      <c r="I769" t="s">
        <v>302</v>
      </c>
      <c r="J769" t="s">
        <v>35</v>
      </c>
      <c r="L769" t="b">
        <v>0</v>
      </c>
      <c r="M769" t="s">
        <v>29</v>
      </c>
      <c r="N769" t="s">
        <v>8245</v>
      </c>
      <c r="O769" s="1">
        <v>19032</v>
      </c>
      <c r="P769" t="s">
        <v>529</v>
      </c>
      <c r="Q769" t="s">
        <v>144</v>
      </c>
      <c r="S769" s="1">
        <v>45020.209027777775</v>
      </c>
      <c r="T769" t="s">
        <v>78</v>
      </c>
      <c r="U769" t="s">
        <v>82</v>
      </c>
      <c r="V769">
        <v>1952</v>
      </c>
      <c r="W769">
        <v>117.24</v>
      </c>
      <c r="X769">
        <v>7.5</v>
      </c>
      <c r="Y769" s="2">
        <v>21427700000000</v>
      </c>
      <c r="Z769">
        <v>88.2</v>
      </c>
      <c r="AA769">
        <v>101.8</v>
      </c>
      <c r="AB769">
        <v>9.6</v>
      </c>
      <c r="AC769">
        <v>36.6</v>
      </c>
      <c r="AD769">
        <v>328239523</v>
      </c>
    </row>
    <row r="770" spans="1:30" hidden="1" x14ac:dyDescent="0.45">
      <c r="A770">
        <v>766</v>
      </c>
      <c r="B770">
        <v>3700</v>
      </c>
      <c r="C770" t="s">
        <v>302</v>
      </c>
      <c r="D770" t="s">
        <v>2945</v>
      </c>
      <c r="E770">
        <v>56</v>
      </c>
      <c r="F770" t="s">
        <v>272</v>
      </c>
      <c r="G770" t="s">
        <v>273</v>
      </c>
      <c r="H770" t="s">
        <v>304</v>
      </c>
      <c r="I770" t="s">
        <v>302</v>
      </c>
      <c r="J770" t="s">
        <v>686</v>
      </c>
      <c r="L770" t="b">
        <v>1</v>
      </c>
      <c r="M770" t="s">
        <v>39</v>
      </c>
      <c r="N770" t="s">
        <v>8245</v>
      </c>
      <c r="O770" s="1">
        <v>24210</v>
      </c>
      <c r="P770" t="s">
        <v>2946</v>
      </c>
      <c r="Q770" t="s">
        <v>2947</v>
      </c>
      <c r="S770" s="1">
        <v>45020.209027777775</v>
      </c>
      <c r="V770">
        <v>1966</v>
      </c>
      <c r="W770">
        <v>119.62</v>
      </c>
      <c r="X770">
        <v>1.7</v>
      </c>
      <c r="Y770" s="2">
        <v>2827113184696</v>
      </c>
      <c r="Z770">
        <v>60</v>
      </c>
      <c r="AA770">
        <v>101.2</v>
      </c>
      <c r="AB770">
        <v>25.5</v>
      </c>
      <c r="AC770">
        <v>30.6</v>
      </c>
      <c r="AD770">
        <v>66834405</v>
      </c>
    </row>
    <row r="771" spans="1:30" hidden="1" x14ac:dyDescent="0.45">
      <c r="A771">
        <v>766</v>
      </c>
      <c r="B771">
        <v>3700</v>
      </c>
      <c r="C771" t="s">
        <v>45</v>
      </c>
      <c r="D771" t="s">
        <v>2948</v>
      </c>
      <c r="E771">
        <v>59</v>
      </c>
      <c r="F771" t="s">
        <v>128</v>
      </c>
      <c r="G771" t="s">
        <v>2420</v>
      </c>
      <c r="H771" t="s">
        <v>2949</v>
      </c>
      <c r="I771" t="s">
        <v>45</v>
      </c>
      <c r="J771" t="s">
        <v>128</v>
      </c>
      <c r="L771" t="b">
        <v>1</v>
      </c>
      <c r="M771" t="s">
        <v>39</v>
      </c>
      <c r="N771" t="s">
        <v>8245</v>
      </c>
      <c r="O771" s="1">
        <v>23189</v>
      </c>
      <c r="P771" t="s">
        <v>294</v>
      </c>
      <c r="Q771" t="s">
        <v>230</v>
      </c>
      <c r="S771" s="1">
        <v>45020.209027777775</v>
      </c>
      <c r="V771">
        <v>1963</v>
      </c>
      <c r="W771">
        <v>125.08</v>
      </c>
      <c r="X771">
        <v>2.9</v>
      </c>
      <c r="Y771" s="2">
        <v>19910000000000</v>
      </c>
      <c r="Z771">
        <v>50.6</v>
      </c>
      <c r="AA771">
        <v>100.2</v>
      </c>
      <c r="AB771">
        <v>9.4</v>
      </c>
      <c r="AC771">
        <v>59.2</v>
      </c>
      <c r="AD771">
        <v>1397715000</v>
      </c>
    </row>
    <row r="772" spans="1:30" hidden="1" x14ac:dyDescent="0.45">
      <c r="A772">
        <v>766</v>
      </c>
      <c r="B772">
        <v>3700</v>
      </c>
      <c r="C772" t="s">
        <v>203</v>
      </c>
      <c r="D772" t="s">
        <v>2950</v>
      </c>
      <c r="E772">
        <v>66</v>
      </c>
      <c r="F772" t="s">
        <v>35</v>
      </c>
      <c r="G772" t="s">
        <v>474</v>
      </c>
      <c r="H772" t="s">
        <v>203</v>
      </c>
      <c r="I772" t="s">
        <v>203</v>
      </c>
      <c r="J772" t="s">
        <v>35</v>
      </c>
      <c r="L772" t="b">
        <v>1</v>
      </c>
      <c r="M772" t="s">
        <v>611</v>
      </c>
      <c r="N772" t="s">
        <v>8245</v>
      </c>
      <c r="O772" s="1">
        <v>20637</v>
      </c>
      <c r="P772" t="s">
        <v>2672</v>
      </c>
      <c r="Q772" t="s">
        <v>2951</v>
      </c>
      <c r="S772" s="1">
        <v>45020.209027777775</v>
      </c>
      <c r="T772" t="s">
        <v>479</v>
      </c>
      <c r="U772" t="s">
        <v>82</v>
      </c>
      <c r="V772">
        <v>1956</v>
      </c>
      <c r="W772">
        <v>117.24</v>
      </c>
      <c r="X772">
        <v>7.5</v>
      </c>
      <c r="Y772" s="2">
        <v>21427700000000</v>
      </c>
      <c r="Z772">
        <v>88.2</v>
      </c>
      <c r="AA772">
        <v>101.8</v>
      </c>
      <c r="AB772">
        <v>9.6</v>
      </c>
      <c r="AC772">
        <v>36.6</v>
      </c>
      <c r="AD772">
        <v>328239523</v>
      </c>
    </row>
    <row r="773" spans="1:30" hidden="1" x14ac:dyDescent="0.45">
      <c r="A773">
        <v>766</v>
      </c>
      <c r="B773">
        <v>3700</v>
      </c>
      <c r="C773" t="s">
        <v>302</v>
      </c>
      <c r="D773" t="s">
        <v>2952</v>
      </c>
      <c r="E773">
        <v>56</v>
      </c>
      <c r="F773" t="s">
        <v>128</v>
      </c>
      <c r="G773" t="s">
        <v>292</v>
      </c>
      <c r="H773" t="s">
        <v>2953</v>
      </c>
      <c r="I773" t="s">
        <v>302</v>
      </c>
      <c r="J773" t="s">
        <v>128</v>
      </c>
      <c r="L773" t="b">
        <v>1</v>
      </c>
      <c r="M773" t="s">
        <v>29</v>
      </c>
      <c r="N773" t="s">
        <v>8245</v>
      </c>
      <c r="O773" s="1">
        <v>24381</v>
      </c>
      <c r="P773" t="s">
        <v>2954</v>
      </c>
      <c r="Q773" t="s">
        <v>1265</v>
      </c>
      <c r="S773" s="1">
        <v>45020.209027777775</v>
      </c>
      <c r="V773">
        <v>1966</v>
      </c>
      <c r="W773">
        <v>125.08</v>
      </c>
      <c r="X773">
        <v>2.9</v>
      </c>
      <c r="Y773" s="2">
        <v>19910000000000</v>
      </c>
      <c r="Z773">
        <v>50.6</v>
      </c>
      <c r="AA773">
        <v>100.2</v>
      </c>
      <c r="AB773">
        <v>9.4</v>
      </c>
      <c r="AC773">
        <v>59.2</v>
      </c>
      <c r="AD773">
        <v>1397715000</v>
      </c>
    </row>
    <row r="774" spans="1:30" hidden="1" x14ac:dyDescent="0.45">
      <c r="A774">
        <v>766</v>
      </c>
      <c r="B774">
        <v>3700</v>
      </c>
      <c r="C774" t="s">
        <v>76</v>
      </c>
      <c r="D774" t="s">
        <v>2955</v>
      </c>
      <c r="E774">
        <v>50</v>
      </c>
      <c r="F774" t="s">
        <v>128</v>
      </c>
      <c r="G774" t="s">
        <v>292</v>
      </c>
      <c r="H774" t="s">
        <v>2956</v>
      </c>
      <c r="I774" t="s">
        <v>76</v>
      </c>
      <c r="J774" t="s">
        <v>574</v>
      </c>
      <c r="L774" t="b">
        <v>1</v>
      </c>
      <c r="M774" t="s">
        <v>39</v>
      </c>
      <c r="N774" t="s">
        <v>8245</v>
      </c>
      <c r="O774" s="1">
        <v>26665</v>
      </c>
      <c r="P774" t="s">
        <v>748</v>
      </c>
      <c r="Q774" t="s">
        <v>2328</v>
      </c>
      <c r="S774" s="1">
        <v>45020.209027777775</v>
      </c>
      <c r="V774">
        <v>1973</v>
      </c>
      <c r="W774">
        <v>125.08</v>
      </c>
      <c r="X774">
        <v>2.9</v>
      </c>
      <c r="Y774" s="2">
        <v>19910000000000</v>
      </c>
      <c r="Z774">
        <v>50.6</v>
      </c>
      <c r="AA774">
        <v>100.2</v>
      </c>
      <c r="AB774">
        <v>9.4</v>
      </c>
      <c r="AC774">
        <v>59.2</v>
      </c>
      <c r="AD774">
        <v>1397715000</v>
      </c>
    </row>
    <row r="775" spans="1:30" hidden="1" x14ac:dyDescent="0.45">
      <c r="A775">
        <v>766</v>
      </c>
      <c r="B775">
        <v>3700</v>
      </c>
      <c r="C775" t="s">
        <v>45</v>
      </c>
      <c r="D775" t="s">
        <v>2957</v>
      </c>
      <c r="E775">
        <v>60</v>
      </c>
      <c r="F775" t="s">
        <v>35</v>
      </c>
      <c r="G775" t="s">
        <v>1508</v>
      </c>
      <c r="H775" t="s">
        <v>1821</v>
      </c>
      <c r="I775" t="s">
        <v>45</v>
      </c>
      <c r="J775" t="s">
        <v>35</v>
      </c>
      <c r="L775" t="b">
        <v>1</v>
      </c>
      <c r="M775" t="s">
        <v>29</v>
      </c>
      <c r="N775" t="s">
        <v>8245</v>
      </c>
      <c r="O775" s="1">
        <v>22936</v>
      </c>
      <c r="P775" t="s">
        <v>2958</v>
      </c>
      <c r="Q775" t="s">
        <v>153</v>
      </c>
      <c r="S775" s="1">
        <v>45020.209027777775</v>
      </c>
      <c r="T775" t="s">
        <v>1153</v>
      </c>
      <c r="U775" t="s">
        <v>69</v>
      </c>
      <c r="V775">
        <v>1962</v>
      </c>
      <c r="W775">
        <v>117.24</v>
      </c>
      <c r="X775">
        <v>7.5</v>
      </c>
      <c r="Y775" s="2">
        <v>21427700000000</v>
      </c>
      <c r="Z775">
        <v>88.2</v>
      </c>
      <c r="AA775">
        <v>101.8</v>
      </c>
      <c r="AB775">
        <v>9.6</v>
      </c>
      <c r="AC775">
        <v>36.6</v>
      </c>
      <c r="AD775">
        <v>328239523</v>
      </c>
    </row>
    <row r="776" spans="1:30" hidden="1" x14ac:dyDescent="0.45">
      <c r="A776">
        <v>766</v>
      </c>
      <c r="B776">
        <v>3700</v>
      </c>
      <c r="C776" t="s">
        <v>302</v>
      </c>
      <c r="D776" t="s">
        <v>2959</v>
      </c>
      <c r="E776">
        <v>77</v>
      </c>
      <c r="F776" t="s">
        <v>35</v>
      </c>
      <c r="G776" t="s">
        <v>78</v>
      </c>
      <c r="H776" t="s">
        <v>304</v>
      </c>
      <c r="I776" t="s">
        <v>302</v>
      </c>
      <c r="J776" t="s">
        <v>35</v>
      </c>
      <c r="L776" t="b">
        <v>0</v>
      </c>
      <c r="M776" t="s">
        <v>611</v>
      </c>
      <c r="N776" t="s">
        <v>8245</v>
      </c>
      <c r="O776" s="1">
        <v>16678</v>
      </c>
      <c r="P776" t="s">
        <v>2960</v>
      </c>
      <c r="Q776" t="s">
        <v>1068</v>
      </c>
      <c r="S776" s="1">
        <v>45020.209027777775</v>
      </c>
      <c r="T776" t="s">
        <v>78</v>
      </c>
      <c r="U776" t="s">
        <v>82</v>
      </c>
      <c r="V776">
        <v>1945</v>
      </c>
      <c r="W776">
        <v>117.24</v>
      </c>
      <c r="X776">
        <v>7.5</v>
      </c>
      <c r="Y776" s="2">
        <v>21427700000000</v>
      </c>
      <c r="Z776">
        <v>88.2</v>
      </c>
      <c r="AA776">
        <v>101.8</v>
      </c>
      <c r="AB776">
        <v>9.6</v>
      </c>
      <c r="AC776">
        <v>36.6</v>
      </c>
      <c r="AD776">
        <v>328239523</v>
      </c>
    </row>
    <row r="777" spans="1:30" hidden="1" x14ac:dyDescent="0.45">
      <c r="A777">
        <v>766</v>
      </c>
      <c r="B777">
        <v>3700</v>
      </c>
      <c r="C777" t="s">
        <v>61</v>
      </c>
      <c r="D777" t="s">
        <v>2961</v>
      </c>
      <c r="E777">
        <v>47</v>
      </c>
      <c r="F777" t="s">
        <v>2377</v>
      </c>
      <c r="G777" t="s">
        <v>2378</v>
      </c>
      <c r="H777" t="s">
        <v>1418</v>
      </c>
      <c r="I777" t="s">
        <v>61</v>
      </c>
      <c r="J777" t="s">
        <v>1134</v>
      </c>
      <c r="L777" t="b">
        <v>1</v>
      </c>
      <c r="M777" t="s">
        <v>29</v>
      </c>
      <c r="N777" t="s">
        <v>8245</v>
      </c>
      <c r="O777" s="1">
        <v>27684</v>
      </c>
      <c r="P777" t="s">
        <v>2962</v>
      </c>
      <c r="Q777" t="s">
        <v>738</v>
      </c>
      <c r="S777" s="1">
        <v>45020.209027777775</v>
      </c>
      <c r="V777">
        <v>1975</v>
      </c>
      <c r="W777">
        <v>182.75</v>
      </c>
      <c r="X777">
        <v>5.2</v>
      </c>
      <c r="Y777" s="2">
        <v>180161741180</v>
      </c>
      <c r="Z777">
        <v>61.7</v>
      </c>
      <c r="AA777">
        <v>104.4</v>
      </c>
      <c r="AB777">
        <v>11.7</v>
      </c>
      <c r="AC777">
        <v>28.4</v>
      </c>
      <c r="AD777">
        <v>18513930</v>
      </c>
    </row>
    <row r="778" spans="1:30" hidden="1" x14ac:dyDescent="0.45">
      <c r="A778">
        <v>766</v>
      </c>
      <c r="B778">
        <v>3700</v>
      </c>
      <c r="C778" t="s">
        <v>23</v>
      </c>
      <c r="D778" t="s">
        <v>2963</v>
      </c>
      <c r="E778">
        <v>68</v>
      </c>
      <c r="F778" t="s">
        <v>272</v>
      </c>
      <c r="G778" t="s">
        <v>2964</v>
      </c>
      <c r="H778" t="s">
        <v>196</v>
      </c>
      <c r="I778" t="s">
        <v>23</v>
      </c>
      <c r="J778" t="s">
        <v>272</v>
      </c>
      <c r="L778" t="b">
        <v>1</v>
      </c>
      <c r="M778" t="s">
        <v>29</v>
      </c>
      <c r="N778" t="s">
        <v>8245</v>
      </c>
      <c r="O778" s="1">
        <v>19999</v>
      </c>
      <c r="P778" t="s">
        <v>1152</v>
      </c>
      <c r="Q778" t="s">
        <v>1770</v>
      </c>
      <c r="S778" s="1">
        <v>45020.209027777775</v>
      </c>
      <c r="V778">
        <v>1954</v>
      </c>
      <c r="W778">
        <v>119.62</v>
      </c>
      <c r="X778">
        <v>1.7</v>
      </c>
      <c r="Y778" s="2">
        <v>2827113184696</v>
      </c>
      <c r="Z778">
        <v>60</v>
      </c>
      <c r="AA778">
        <v>101.2</v>
      </c>
      <c r="AB778">
        <v>25.5</v>
      </c>
      <c r="AC778">
        <v>30.6</v>
      </c>
      <c r="AD778">
        <v>66834405</v>
      </c>
    </row>
    <row r="779" spans="1:30" hidden="1" x14ac:dyDescent="0.45">
      <c r="A779">
        <v>766</v>
      </c>
      <c r="B779">
        <v>3700</v>
      </c>
      <c r="C779" t="s">
        <v>296</v>
      </c>
      <c r="D779" t="s">
        <v>2965</v>
      </c>
      <c r="E779">
        <v>78</v>
      </c>
      <c r="F779" t="s">
        <v>266</v>
      </c>
      <c r="G779" t="s">
        <v>2966</v>
      </c>
      <c r="H779" t="s">
        <v>2967</v>
      </c>
      <c r="I779" t="s">
        <v>296</v>
      </c>
      <c r="J779" t="s">
        <v>266</v>
      </c>
      <c r="L779" t="b">
        <v>1</v>
      </c>
      <c r="M779" t="s">
        <v>39</v>
      </c>
      <c r="N779" t="s">
        <v>8245</v>
      </c>
      <c r="O779" s="1">
        <v>16312</v>
      </c>
      <c r="P779" t="s">
        <v>2968</v>
      </c>
      <c r="Q779" t="s">
        <v>2969</v>
      </c>
      <c r="S779" s="1">
        <v>45020.209027777775</v>
      </c>
      <c r="V779">
        <v>1944</v>
      </c>
      <c r="W779">
        <v>105.48</v>
      </c>
      <c r="X779">
        <v>0.5</v>
      </c>
      <c r="Y779" s="2">
        <v>5081769542380</v>
      </c>
      <c r="Z779">
        <v>63.2</v>
      </c>
      <c r="AA779">
        <v>98.8</v>
      </c>
      <c r="AB779">
        <v>11.9</v>
      </c>
      <c r="AC779">
        <v>46.7</v>
      </c>
      <c r="AD779">
        <v>126226568</v>
      </c>
    </row>
    <row r="780" spans="1:30" x14ac:dyDescent="0.45">
      <c r="A780">
        <v>766</v>
      </c>
      <c r="B780" s="6">
        <v>3700</v>
      </c>
      <c r="C780" t="s">
        <v>61</v>
      </c>
      <c r="D780" t="s">
        <v>2970</v>
      </c>
      <c r="E780">
        <v>62</v>
      </c>
      <c r="F780" t="s">
        <v>35</v>
      </c>
      <c r="G780" t="s">
        <v>1223</v>
      </c>
      <c r="H780" t="s">
        <v>248</v>
      </c>
      <c r="I780" t="s">
        <v>61</v>
      </c>
      <c r="J780" t="s">
        <v>35</v>
      </c>
      <c r="K780" t="s">
        <v>2971</v>
      </c>
      <c r="L780" t="b">
        <v>1</v>
      </c>
      <c r="M780" t="s">
        <v>39</v>
      </c>
      <c r="N780" t="s">
        <v>8245</v>
      </c>
      <c r="O780" s="10">
        <v>22308</v>
      </c>
      <c r="P780" t="s">
        <v>2972</v>
      </c>
      <c r="Q780" t="s">
        <v>520</v>
      </c>
      <c r="R780" t="s">
        <v>192</v>
      </c>
      <c r="S780" s="8">
        <v>45020.209027777775</v>
      </c>
      <c r="T780" t="s">
        <v>253</v>
      </c>
      <c r="U780" t="s">
        <v>44</v>
      </c>
      <c r="V780">
        <v>1961</v>
      </c>
      <c r="W780" s="12">
        <v>117.24</v>
      </c>
      <c r="X780">
        <v>7.5</v>
      </c>
      <c r="Y780" s="14">
        <v>21427700000000</v>
      </c>
      <c r="Z780">
        <v>88.2</v>
      </c>
      <c r="AA780">
        <v>101.8</v>
      </c>
      <c r="AB780">
        <v>9.6</v>
      </c>
      <c r="AC780">
        <v>36.6</v>
      </c>
      <c r="AD780">
        <v>328239523</v>
      </c>
    </row>
    <row r="781" spans="1:30" hidden="1" x14ac:dyDescent="0.45">
      <c r="A781">
        <v>766</v>
      </c>
      <c r="B781">
        <v>3700</v>
      </c>
      <c r="C781" t="s">
        <v>23</v>
      </c>
      <c r="D781" t="s">
        <v>2973</v>
      </c>
      <c r="E781">
        <v>88</v>
      </c>
      <c r="F781" t="s">
        <v>393</v>
      </c>
      <c r="G781" t="s">
        <v>394</v>
      </c>
      <c r="H781" t="s">
        <v>196</v>
      </c>
      <c r="I781" t="s">
        <v>23</v>
      </c>
      <c r="J781" t="s">
        <v>393</v>
      </c>
      <c r="L781" t="b">
        <v>1</v>
      </c>
      <c r="M781" t="s">
        <v>29</v>
      </c>
      <c r="N781" t="s">
        <v>8245</v>
      </c>
      <c r="O781" s="1">
        <v>12785</v>
      </c>
      <c r="P781" t="s">
        <v>2974</v>
      </c>
      <c r="Q781" t="s">
        <v>2975</v>
      </c>
      <c r="S781" s="1">
        <v>45020.209027777775</v>
      </c>
      <c r="V781">
        <v>1935</v>
      </c>
      <c r="W781">
        <v>131.91</v>
      </c>
      <c r="X781">
        <v>2.6</v>
      </c>
      <c r="Y781" s="2">
        <v>282318159745</v>
      </c>
      <c r="Z781">
        <v>88.5</v>
      </c>
      <c r="AA781">
        <v>101.4</v>
      </c>
      <c r="AB781">
        <v>18.2</v>
      </c>
      <c r="AC781">
        <v>34</v>
      </c>
      <c r="AD781">
        <v>18952038</v>
      </c>
    </row>
    <row r="782" spans="1:30" hidden="1" x14ac:dyDescent="0.45">
      <c r="A782">
        <v>766</v>
      </c>
      <c r="B782">
        <v>3700</v>
      </c>
      <c r="C782" t="s">
        <v>436</v>
      </c>
      <c r="D782" t="s">
        <v>2976</v>
      </c>
      <c r="E782">
        <v>62</v>
      </c>
      <c r="F782" t="s">
        <v>35</v>
      </c>
      <c r="G782" t="s">
        <v>964</v>
      </c>
      <c r="H782" t="s">
        <v>1909</v>
      </c>
      <c r="I782" t="s">
        <v>436</v>
      </c>
      <c r="J782" t="s">
        <v>35</v>
      </c>
      <c r="L782" t="b">
        <v>0</v>
      </c>
      <c r="M782" t="s">
        <v>611</v>
      </c>
      <c r="N782" t="s">
        <v>8245</v>
      </c>
      <c r="O782" s="1">
        <v>22288</v>
      </c>
      <c r="P782" t="s">
        <v>1910</v>
      </c>
      <c r="Q782" t="s">
        <v>797</v>
      </c>
      <c r="S782" s="1">
        <v>45020.209027777775</v>
      </c>
      <c r="T782" t="s">
        <v>115</v>
      </c>
      <c r="U782" t="s">
        <v>53</v>
      </c>
      <c r="V782">
        <v>1961</v>
      </c>
      <c r="W782">
        <v>117.24</v>
      </c>
      <c r="X782">
        <v>7.5</v>
      </c>
      <c r="Y782" s="2">
        <v>21427700000000</v>
      </c>
      <c r="Z782">
        <v>88.2</v>
      </c>
      <c r="AA782">
        <v>101.8</v>
      </c>
      <c r="AB782">
        <v>9.6</v>
      </c>
      <c r="AC782">
        <v>36.6</v>
      </c>
      <c r="AD782">
        <v>328239523</v>
      </c>
    </row>
    <row r="783" spans="1:30" x14ac:dyDescent="0.45">
      <c r="A783">
        <v>766</v>
      </c>
      <c r="B783" s="6">
        <v>3700</v>
      </c>
      <c r="C783" t="s">
        <v>45</v>
      </c>
      <c r="D783" t="s">
        <v>2977</v>
      </c>
      <c r="E783">
        <v>75</v>
      </c>
      <c r="F783" t="s">
        <v>35</v>
      </c>
      <c r="G783" t="s">
        <v>1347</v>
      </c>
      <c r="H783" t="s">
        <v>856</v>
      </c>
      <c r="I783" t="s">
        <v>45</v>
      </c>
      <c r="J783" t="s">
        <v>35</v>
      </c>
      <c r="K783" t="s">
        <v>1348</v>
      </c>
      <c r="L783" t="b">
        <v>1</v>
      </c>
      <c r="M783" t="s">
        <v>29</v>
      </c>
      <c r="N783" t="s">
        <v>8245</v>
      </c>
      <c r="O783" s="10">
        <v>17627</v>
      </c>
      <c r="P783" t="s">
        <v>2978</v>
      </c>
      <c r="Q783" t="s">
        <v>225</v>
      </c>
      <c r="R783" t="s">
        <v>2979</v>
      </c>
      <c r="S783" s="8">
        <v>45020.209027777775</v>
      </c>
      <c r="T783" t="s">
        <v>1350</v>
      </c>
      <c r="U783" t="s">
        <v>44</v>
      </c>
      <c r="V783">
        <v>1948</v>
      </c>
      <c r="W783" s="12">
        <v>117.24</v>
      </c>
      <c r="X783">
        <v>7.5</v>
      </c>
      <c r="Y783" s="14">
        <v>21427700000000</v>
      </c>
      <c r="Z783">
        <v>88.2</v>
      </c>
      <c r="AA783">
        <v>101.8</v>
      </c>
      <c r="AB783">
        <v>9.6</v>
      </c>
      <c r="AC783">
        <v>36.6</v>
      </c>
      <c r="AD783">
        <v>328239523</v>
      </c>
    </row>
    <row r="784" spans="1:30" hidden="1" x14ac:dyDescent="0.45">
      <c r="A784">
        <v>766</v>
      </c>
      <c r="B784">
        <v>3700</v>
      </c>
      <c r="C784" t="s">
        <v>126</v>
      </c>
      <c r="D784" t="s">
        <v>2980</v>
      </c>
      <c r="E784">
        <v>69</v>
      </c>
      <c r="F784" t="s">
        <v>35</v>
      </c>
      <c r="G784" t="s">
        <v>372</v>
      </c>
      <c r="H784" t="s">
        <v>2981</v>
      </c>
      <c r="I784" t="s">
        <v>126</v>
      </c>
      <c r="J784" t="s">
        <v>35</v>
      </c>
      <c r="L784" t="b">
        <v>1</v>
      </c>
      <c r="M784" t="s">
        <v>39</v>
      </c>
      <c r="N784" t="s">
        <v>8245</v>
      </c>
      <c r="O784" s="1">
        <v>19559</v>
      </c>
      <c r="P784" t="s">
        <v>2982</v>
      </c>
      <c r="Q784" t="s">
        <v>2983</v>
      </c>
      <c r="S784" s="1">
        <v>45020.209027777775</v>
      </c>
      <c r="T784" t="s">
        <v>52</v>
      </c>
      <c r="U784" t="s">
        <v>53</v>
      </c>
      <c r="V784">
        <v>1953</v>
      </c>
      <c r="W784">
        <v>117.24</v>
      </c>
      <c r="X784">
        <v>7.5</v>
      </c>
      <c r="Y784" s="2">
        <v>21427700000000</v>
      </c>
      <c r="Z784">
        <v>88.2</v>
      </c>
      <c r="AA784">
        <v>101.8</v>
      </c>
      <c r="AB784">
        <v>9.6</v>
      </c>
      <c r="AC784">
        <v>36.6</v>
      </c>
      <c r="AD784">
        <v>328239523</v>
      </c>
    </row>
    <row r="785" spans="1:30" x14ac:dyDescent="0.45">
      <c r="A785">
        <v>766</v>
      </c>
      <c r="B785" s="6">
        <v>3700</v>
      </c>
      <c r="C785" t="s">
        <v>23</v>
      </c>
      <c r="D785" t="s">
        <v>2984</v>
      </c>
      <c r="E785">
        <v>82</v>
      </c>
      <c r="F785" t="s">
        <v>35</v>
      </c>
      <c r="G785" t="s">
        <v>751</v>
      </c>
      <c r="H785" t="s">
        <v>2985</v>
      </c>
      <c r="I785" t="s">
        <v>23</v>
      </c>
      <c r="J785" t="s">
        <v>35</v>
      </c>
      <c r="K785" t="s">
        <v>2986</v>
      </c>
      <c r="L785" t="b">
        <v>1</v>
      </c>
      <c r="M785" t="s">
        <v>39</v>
      </c>
      <c r="N785" t="s">
        <v>8245</v>
      </c>
      <c r="O785" s="10">
        <v>14978</v>
      </c>
      <c r="P785" t="s">
        <v>2987</v>
      </c>
      <c r="Q785" t="s">
        <v>1068</v>
      </c>
      <c r="R785" t="s">
        <v>170</v>
      </c>
      <c r="S785" s="8">
        <v>45020.209027777775</v>
      </c>
      <c r="T785" t="s">
        <v>253</v>
      </c>
      <c r="U785" t="s">
        <v>44</v>
      </c>
      <c r="V785">
        <v>1941</v>
      </c>
      <c r="W785" s="12">
        <v>117.24</v>
      </c>
      <c r="X785">
        <v>7.5</v>
      </c>
      <c r="Y785" s="14">
        <v>21427700000000</v>
      </c>
      <c r="Z785">
        <v>88.2</v>
      </c>
      <c r="AA785">
        <v>101.8</v>
      </c>
      <c r="AB785">
        <v>9.6</v>
      </c>
      <c r="AC785">
        <v>36.6</v>
      </c>
      <c r="AD785">
        <v>328239523</v>
      </c>
    </row>
    <row r="786" spans="1:30" hidden="1" x14ac:dyDescent="0.45">
      <c r="A786">
        <v>766</v>
      </c>
      <c r="B786">
        <v>3700</v>
      </c>
      <c r="C786" t="s">
        <v>302</v>
      </c>
      <c r="D786" t="s">
        <v>2988</v>
      </c>
      <c r="E786">
        <v>74</v>
      </c>
      <c r="F786" t="s">
        <v>490</v>
      </c>
      <c r="G786" t="s">
        <v>2989</v>
      </c>
      <c r="H786" t="s">
        <v>304</v>
      </c>
      <c r="I786" t="s">
        <v>302</v>
      </c>
      <c r="J786" t="s">
        <v>490</v>
      </c>
      <c r="L786" t="b">
        <v>1</v>
      </c>
      <c r="M786" t="s">
        <v>39</v>
      </c>
      <c r="N786" t="s">
        <v>8245</v>
      </c>
      <c r="O786" s="1">
        <v>17721</v>
      </c>
      <c r="P786" t="s">
        <v>2990</v>
      </c>
      <c r="Q786" t="s">
        <v>2991</v>
      </c>
      <c r="S786" s="1">
        <v>45020.209027777775</v>
      </c>
      <c r="V786">
        <v>1948</v>
      </c>
      <c r="W786">
        <v>108.15</v>
      </c>
      <c r="X786">
        <v>0.8</v>
      </c>
      <c r="Y786" s="2">
        <v>395098666122</v>
      </c>
      <c r="Z786">
        <v>63.4</v>
      </c>
      <c r="AA786">
        <v>104.9</v>
      </c>
      <c r="AB786">
        <v>23.1</v>
      </c>
      <c r="AC786">
        <v>25.3</v>
      </c>
      <c r="AD786">
        <v>9053300</v>
      </c>
    </row>
    <row r="787" spans="1:30" hidden="1" x14ac:dyDescent="0.45">
      <c r="A787">
        <v>766</v>
      </c>
      <c r="B787">
        <v>3700</v>
      </c>
      <c r="C787" t="s">
        <v>296</v>
      </c>
      <c r="D787" t="s">
        <v>2992</v>
      </c>
      <c r="E787">
        <v>56</v>
      </c>
      <c r="F787" t="s">
        <v>128</v>
      </c>
      <c r="G787" t="s">
        <v>2993</v>
      </c>
      <c r="H787" t="s">
        <v>2724</v>
      </c>
      <c r="I787" t="s">
        <v>296</v>
      </c>
      <c r="J787" t="s">
        <v>128</v>
      </c>
      <c r="L787" t="b">
        <v>1</v>
      </c>
      <c r="M787" t="s">
        <v>39</v>
      </c>
      <c r="N787" t="s">
        <v>8245</v>
      </c>
      <c r="O787" s="1">
        <v>24204</v>
      </c>
      <c r="P787" t="s">
        <v>439</v>
      </c>
      <c r="Q787" t="s">
        <v>2994</v>
      </c>
      <c r="S787" s="1">
        <v>45020.209027777775</v>
      </c>
      <c r="V787">
        <v>1966</v>
      </c>
      <c r="W787">
        <v>125.08</v>
      </c>
      <c r="X787">
        <v>2.9</v>
      </c>
      <c r="Y787" s="2">
        <v>19910000000000</v>
      </c>
      <c r="Z787">
        <v>50.6</v>
      </c>
      <c r="AA787">
        <v>100.2</v>
      </c>
      <c r="AB787">
        <v>9.4</v>
      </c>
      <c r="AC787">
        <v>59.2</v>
      </c>
      <c r="AD787">
        <v>1397715000</v>
      </c>
    </row>
    <row r="788" spans="1:30" hidden="1" x14ac:dyDescent="0.45">
      <c r="A788">
        <v>787</v>
      </c>
      <c r="B788">
        <v>3600</v>
      </c>
      <c r="C788" t="s">
        <v>91</v>
      </c>
      <c r="D788" t="s">
        <v>2995</v>
      </c>
      <c r="E788">
        <v>56</v>
      </c>
      <c r="F788" t="s">
        <v>93</v>
      </c>
      <c r="G788" t="s">
        <v>404</v>
      </c>
      <c r="H788" t="s">
        <v>91</v>
      </c>
      <c r="I788" t="s">
        <v>91</v>
      </c>
      <c r="J788" t="s">
        <v>93</v>
      </c>
      <c r="L788" t="b">
        <v>0</v>
      </c>
      <c r="M788" t="s">
        <v>285</v>
      </c>
      <c r="N788" t="s">
        <v>8245</v>
      </c>
      <c r="O788" s="1">
        <v>24462</v>
      </c>
      <c r="P788" t="s">
        <v>2996</v>
      </c>
      <c r="Q788" t="s">
        <v>2997</v>
      </c>
      <c r="S788" s="1">
        <v>45020.209027777775</v>
      </c>
      <c r="V788">
        <v>1966</v>
      </c>
      <c r="W788">
        <v>180.44</v>
      </c>
      <c r="X788">
        <v>7.7</v>
      </c>
      <c r="Y788" s="2">
        <v>2611000000000</v>
      </c>
      <c r="Z788">
        <v>28.1</v>
      </c>
      <c r="AA788">
        <v>113</v>
      </c>
      <c r="AB788">
        <v>11.2</v>
      </c>
      <c r="AC788">
        <v>49.7</v>
      </c>
      <c r="AD788">
        <v>1366417754</v>
      </c>
    </row>
    <row r="789" spans="1:30" hidden="1" x14ac:dyDescent="0.45">
      <c r="A789">
        <v>787</v>
      </c>
      <c r="B789">
        <v>3600</v>
      </c>
      <c r="C789" t="s">
        <v>91</v>
      </c>
      <c r="D789" t="s">
        <v>2998</v>
      </c>
      <c r="E789">
        <v>53</v>
      </c>
      <c r="F789" t="s">
        <v>93</v>
      </c>
      <c r="G789" t="s">
        <v>404</v>
      </c>
      <c r="H789" t="s">
        <v>91</v>
      </c>
      <c r="I789" t="s">
        <v>91</v>
      </c>
      <c r="J789" t="s">
        <v>93</v>
      </c>
      <c r="L789" t="b">
        <v>0</v>
      </c>
      <c r="M789" t="s">
        <v>285</v>
      </c>
      <c r="N789" t="s">
        <v>8245</v>
      </c>
      <c r="O789" s="1">
        <v>25509</v>
      </c>
      <c r="P789" t="s">
        <v>2996</v>
      </c>
      <c r="Q789" t="s">
        <v>2999</v>
      </c>
      <c r="S789" s="1">
        <v>45020.209027777775</v>
      </c>
      <c r="V789">
        <v>1969</v>
      </c>
      <c r="W789">
        <v>180.44</v>
      </c>
      <c r="X789">
        <v>7.7</v>
      </c>
      <c r="Y789" s="2">
        <v>2611000000000</v>
      </c>
      <c r="Z789">
        <v>28.1</v>
      </c>
      <c r="AA789">
        <v>113</v>
      </c>
      <c r="AB789">
        <v>11.2</v>
      </c>
      <c r="AC789">
        <v>49.7</v>
      </c>
      <c r="AD789">
        <v>1366417754</v>
      </c>
    </row>
    <row r="790" spans="1:30" hidden="1" x14ac:dyDescent="0.45">
      <c r="A790">
        <v>787</v>
      </c>
      <c r="B790">
        <v>3600</v>
      </c>
      <c r="C790" t="s">
        <v>61</v>
      </c>
      <c r="D790" t="s">
        <v>3000</v>
      </c>
      <c r="E790">
        <v>71</v>
      </c>
      <c r="F790" t="s">
        <v>214</v>
      </c>
      <c r="G790" t="s">
        <v>3001</v>
      </c>
      <c r="H790" t="s">
        <v>1064</v>
      </c>
      <c r="I790" t="s">
        <v>61</v>
      </c>
      <c r="J790" t="s">
        <v>164</v>
      </c>
      <c r="L790" t="b">
        <v>1</v>
      </c>
      <c r="M790" t="s">
        <v>39</v>
      </c>
      <c r="N790" t="s">
        <v>8245</v>
      </c>
      <c r="O790" s="1">
        <v>18796</v>
      </c>
      <c r="P790" t="s">
        <v>3002</v>
      </c>
      <c r="Q790" t="s">
        <v>431</v>
      </c>
      <c r="S790" s="1">
        <v>45020.209027777775</v>
      </c>
      <c r="V790">
        <v>1951</v>
      </c>
      <c r="W790">
        <v>110.62</v>
      </c>
      <c r="X790">
        <v>0.6</v>
      </c>
      <c r="Y790" s="2">
        <v>2001244392042</v>
      </c>
      <c r="Z790">
        <v>61.9</v>
      </c>
      <c r="AA790">
        <v>101.9</v>
      </c>
      <c r="AB790">
        <v>24.3</v>
      </c>
      <c r="AC790">
        <v>59.1</v>
      </c>
      <c r="AD790">
        <v>60297396</v>
      </c>
    </row>
    <row r="791" spans="1:30" hidden="1" x14ac:dyDescent="0.45">
      <c r="A791">
        <v>787</v>
      </c>
      <c r="B791">
        <v>3600</v>
      </c>
      <c r="C791" t="s">
        <v>61</v>
      </c>
      <c r="D791" t="s">
        <v>3003</v>
      </c>
      <c r="E791">
        <v>63</v>
      </c>
      <c r="F791" t="s">
        <v>35</v>
      </c>
      <c r="G791" t="s">
        <v>991</v>
      </c>
      <c r="H791" t="s">
        <v>930</v>
      </c>
      <c r="I791" t="s">
        <v>61</v>
      </c>
      <c r="J791" t="s">
        <v>35</v>
      </c>
      <c r="L791" t="b">
        <v>1</v>
      </c>
      <c r="M791" t="s">
        <v>29</v>
      </c>
      <c r="N791" t="s">
        <v>8245</v>
      </c>
      <c r="O791" s="1">
        <v>21885</v>
      </c>
      <c r="P791" t="s">
        <v>3004</v>
      </c>
      <c r="Q791" t="s">
        <v>153</v>
      </c>
      <c r="S791" s="1">
        <v>45020.209027777775</v>
      </c>
      <c r="T791" t="s">
        <v>115</v>
      </c>
      <c r="U791" t="s">
        <v>53</v>
      </c>
      <c r="V791">
        <v>1959</v>
      </c>
      <c r="W791">
        <v>117.24</v>
      </c>
      <c r="X791">
        <v>7.5</v>
      </c>
      <c r="Y791" s="2">
        <v>21427700000000</v>
      </c>
      <c r="Z791">
        <v>88.2</v>
      </c>
      <c r="AA791">
        <v>101.8</v>
      </c>
      <c r="AB791">
        <v>9.6</v>
      </c>
      <c r="AC791">
        <v>36.6</v>
      </c>
      <c r="AD791">
        <v>328239523</v>
      </c>
    </row>
    <row r="792" spans="1:30" hidden="1" x14ac:dyDescent="0.45">
      <c r="A792">
        <v>787</v>
      </c>
      <c r="B792">
        <v>3600</v>
      </c>
      <c r="C792" t="s">
        <v>33</v>
      </c>
      <c r="D792" t="s">
        <v>3005</v>
      </c>
      <c r="E792">
        <v>47</v>
      </c>
      <c r="F792" t="s">
        <v>205</v>
      </c>
      <c r="G792" t="s">
        <v>3006</v>
      </c>
      <c r="H792" t="s">
        <v>3007</v>
      </c>
      <c r="I792" t="s">
        <v>33</v>
      </c>
      <c r="J792" t="s">
        <v>211</v>
      </c>
      <c r="L792" t="b">
        <v>0</v>
      </c>
      <c r="M792" t="s">
        <v>258</v>
      </c>
      <c r="N792" t="s">
        <v>8245</v>
      </c>
      <c r="O792" s="1">
        <v>27497</v>
      </c>
      <c r="P792" t="s">
        <v>3008</v>
      </c>
      <c r="Q792" t="s">
        <v>3009</v>
      </c>
      <c r="S792" s="1">
        <v>45020.209027777775</v>
      </c>
      <c r="V792">
        <v>1975</v>
      </c>
      <c r="W792">
        <v>99.55</v>
      </c>
      <c r="X792">
        <v>0.4</v>
      </c>
      <c r="Y792" s="2">
        <v>703082435360</v>
      </c>
      <c r="Z792">
        <v>59.6</v>
      </c>
      <c r="AA792">
        <v>105.2</v>
      </c>
      <c r="AB792">
        <v>10.1</v>
      </c>
      <c r="AC792">
        <v>28.8</v>
      </c>
      <c r="AD792">
        <v>8574832</v>
      </c>
    </row>
    <row r="793" spans="1:30" hidden="1" x14ac:dyDescent="0.45">
      <c r="A793">
        <v>787</v>
      </c>
      <c r="B793">
        <v>3600</v>
      </c>
      <c r="C793" t="s">
        <v>126</v>
      </c>
      <c r="D793" t="s">
        <v>3010</v>
      </c>
      <c r="E793">
        <v>84</v>
      </c>
      <c r="F793" t="s">
        <v>3011</v>
      </c>
      <c r="H793" t="s">
        <v>602</v>
      </c>
      <c r="I793" t="s">
        <v>126</v>
      </c>
      <c r="J793" t="s">
        <v>1712</v>
      </c>
      <c r="L793" t="b">
        <v>0</v>
      </c>
      <c r="M793" t="s">
        <v>29</v>
      </c>
      <c r="N793" t="s">
        <v>8246</v>
      </c>
      <c r="O793" s="1">
        <v>14311</v>
      </c>
      <c r="P793" t="s">
        <v>3012</v>
      </c>
      <c r="Q793" t="s">
        <v>3013</v>
      </c>
      <c r="S793" s="1">
        <v>45020.209027777775</v>
      </c>
      <c r="V793">
        <v>1939</v>
      </c>
      <c r="W793"/>
      <c r="Y793"/>
    </row>
    <row r="794" spans="1:30" hidden="1" x14ac:dyDescent="0.45">
      <c r="A794">
        <v>787</v>
      </c>
      <c r="B794">
        <v>3600</v>
      </c>
      <c r="C794" t="s">
        <v>302</v>
      </c>
      <c r="D794" t="s">
        <v>3014</v>
      </c>
      <c r="E794">
        <v>82</v>
      </c>
      <c r="F794" t="s">
        <v>164</v>
      </c>
      <c r="G794" t="s">
        <v>978</v>
      </c>
      <c r="H794" t="s">
        <v>3015</v>
      </c>
      <c r="I794" t="s">
        <v>302</v>
      </c>
      <c r="J794" t="s">
        <v>164</v>
      </c>
      <c r="L794" t="b">
        <v>1</v>
      </c>
      <c r="M794" t="s">
        <v>29</v>
      </c>
      <c r="N794" t="s">
        <v>8245</v>
      </c>
      <c r="O794" s="1">
        <v>15026</v>
      </c>
      <c r="P794" t="s">
        <v>3016</v>
      </c>
      <c r="Q794" t="s">
        <v>3017</v>
      </c>
      <c r="S794" s="1">
        <v>45020.209027777775</v>
      </c>
      <c r="V794">
        <v>1941</v>
      </c>
      <c r="W794">
        <v>116.76</v>
      </c>
      <c r="X794">
        <v>1.9</v>
      </c>
      <c r="Y794" s="2">
        <v>1736425629520</v>
      </c>
      <c r="Z794">
        <v>68.900000000000006</v>
      </c>
      <c r="AA794">
        <v>100.9</v>
      </c>
      <c r="AB794">
        <v>12.8</v>
      </c>
      <c r="AC794">
        <v>24.5</v>
      </c>
      <c r="AD794">
        <v>36991981</v>
      </c>
    </row>
    <row r="795" spans="1:30" hidden="1" x14ac:dyDescent="0.45">
      <c r="A795">
        <v>787</v>
      </c>
      <c r="B795">
        <v>3600</v>
      </c>
      <c r="C795" t="s">
        <v>61</v>
      </c>
      <c r="D795" t="s">
        <v>3018</v>
      </c>
      <c r="E795">
        <v>65</v>
      </c>
      <c r="F795" t="s">
        <v>272</v>
      </c>
      <c r="G795" t="s">
        <v>273</v>
      </c>
      <c r="H795" t="s">
        <v>557</v>
      </c>
      <c r="I795" t="s">
        <v>61</v>
      </c>
      <c r="J795" t="s">
        <v>1712</v>
      </c>
      <c r="L795" t="b">
        <v>0</v>
      </c>
      <c r="M795" t="s">
        <v>39</v>
      </c>
      <c r="N795" t="s">
        <v>8245</v>
      </c>
      <c r="O795" s="1">
        <v>21168</v>
      </c>
      <c r="P795" t="s">
        <v>3019</v>
      </c>
      <c r="Q795" t="s">
        <v>3020</v>
      </c>
      <c r="R795" t="s">
        <v>688</v>
      </c>
      <c r="S795" s="1">
        <v>45020.209027777775</v>
      </c>
      <c r="V795">
        <v>1957</v>
      </c>
      <c r="W795">
        <v>119.62</v>
      </c>
      <c r="X795">
        <v>1.7</v>
      </c>
      <c r="Y795" s="2">
        <v>2827113184696</v>
      </c>
      <c r="Z795">
        <v>60</v>
      </c>
      <c r="AA795">
        <v>101.2</v>
      </c>
      <c r="AB795">
        <v>25.5</v>
      </c>
      <c r="AC795">
        <v>30.6</v>
      </c>
      <c r="AD795">
        <v>66834405</v>
      </c>
    </row>
    <row r="796" spans="1:30" hidden="1" x14ac:dyDescent="0.45">
      <c r="A796">
        <v>787</v>
      </c>
      <c r="B796">
        <v>3600</v>
      </c>
      <c r="C796" t="s">
        <v>239</v>
      </c>
      <c r="D796" t="s">
        <v>3021</v>
      </c>
      <c r="E796">
        <v>60</v>
      </c>
      <c r="F796" t="s">
        <v>228</v>
      </c>
      <c r="G796" t="s">
        <v>228</v>
      </c>
      <c r="H796" t="s">
        <v>242</v>
      </c>
      <c r="I796" t="s">
        <v>239</v>
      </c>
      <c r="J796" t="s">
        <v>228</v>
      </c>
      <c r="L796" t="b">
        <v>0</v>
      </c>
      <c r="M796" t="s">
        <v>29</v>
      </c>
      <c r="N796" t="s">
        <v>8246</v>
      </c>
      <c r="O796" s="1">
        <v>22884</v>
      </c>
      <c r="P796" t="s">
        <v>3022</v>
      </c>
      <c r="Q796" t="s">
        <v>3023</v>
      </c>
      <c r="S796" s="1">
        <v>45020.209027777775</v>
      </c>
      <c r="V796">
        <v>1962</v>
      </c>
      <c r="W796"/>
      <c r="Y796"/>
    </row>
    <row r="797" spans="1:30" hidden="1" x14ac:dyDescent="0.45">
      <c r="A797">
        <v>787</v>
      </c>
      <c r="B797">
        <v>3600</v>
      </c>
      <c r="C797" t="s">
        <v>61</v>
      </c>
      <c r="D797" t="s">
        <v>3024</v>
      </c>
      <c r="E797">
        <v>59</v>
      </c>
      <c r="F797" t="s">
        <v>205</v>
      </c>
      <c r="G797" t="s">
        <v>284</v>
      </c>
      <c r="H797" t="s">
        <v>248</v>
      </c>
      <c r="I797" t="s">
        <v>61</v>
      </c>
      <c r="J797" t="s">
        <v>272</v>
      </c>
      <c r="K797" t="s">
        <v>3025</v>
      </c>
      <c r="L797" t="b">
        <v>1</v>
      </c>
      <c r="M797" t="s">
        <v>29</v>
      </c>
      <c r="N797" t="s">
        <v>8245</v>
      </c>
      <c r="O797" s="1">
        <v>23255</v>
      </c>
      <c r="P797" t="s">
        <v>2983</v>
      </c>
      <c r="Q797" t="s">
        <v>3026</v>
      </c>
      <c r="R797" t="s">
        <v>192</v>
      </c>
      <c r="S797" s="1">
        <v>45020.209027777775</v>
      </c>
      <c r="V797">
        <v>1963</v>
      </c>
      <c r="W797">
        <v>99.55</v>
      </c>
      <c r="X797">
        <v>0.4</v>
      </c>
      <c r="Y797" s="2">
        <v>703082435360</v>
      </c>
      <c r="Z797">
        <v>59.6</v>
      </c>
      <c r="AA797">
        <v>105.2</v>
      </c>
      <c r="AB797">
        <v>10.1</v>
      </c>
      <c r="AC797">
        <v>28.8</v>
      </c>
      <c r="AD797">
        <v>8574832</v>
      </c>
    </row>
    <row r="798" spans="1:30" hidden="1" x14ac:dyDescent="0.45">
      <c r="A798">
        <v>787</v>
      </c>
      <c r="B798">
        <v>3600</v>
      </c>
      <c r="C798" t="s">
        <v>33</v>
      </c>
      <c r="D798" t="s">
        <v>3027</v>
      </c>
      <c r="E798">
        <v>61</v>
      </c>
      <c r="F798" t="s">
        <v>128</v>
      </c>
      <c r="G798" t="s">
        <v>187</v>
      </c>
      <c r="H798" t="s">
        <v>2749</v>
      </c>
      <c r="I798" t="s">
        <v>33</v>
      </c>
      <c r="J798" t="s">
        <v>228</v>
      </c>
      <c r="L798" t="b">
        <v>1</v>
      </c>
      <c r="M798" t="s">
        <v>39</v>
      </c>
      <c r="N798" t="s">
        <v>8245</v>
      </c>
      <c r="O798" s="1">
        <v>22647</v>
      </c>
      <c r="P798" t="s">
        <v>294</v>
      </c>
      <c r="Q798" t="s">
        <v>3028</v>
      </c>
      <c r="S798" s="1">
        <v>45020.209027777775</v>
      </c>
      <c r="V798">
        <v>1962</v>
      </c>
      <c r="W798">
        <v>125.08</v>
      </c>
      <c r="X798">
        <v>2.9</v>
      </c>
      <c r="Y798" s="2">
        <v>19910000000000</v>
      </c>
      <c r="Z798">
        <v>50.6</v>
      </c>
      <c r="AA798">
        <v>100.2</v>
      </c>
      <c r="AB798">
        <v>9.4</v>
      </c>
      <c r="AC798">
        <v>59.2</v>
      </c>
      <c r="AD798">
        <v>1397715000</v>
      </c>
    </row>
    <row r="799" spans="1:30" hidden="1" x14ac:dyDescent="0.45">
      <c r="A799">
        <v>787</v>
      </c>
      <c r="B799">
        <v>3600</v>
      </c>
      <c r="C799" t="s">
        <v>61</v>
      </c>
      <c r="D799" t="s">
        <v>3029</v>
      </c>
      <c r="E799">
        <v>80</v>
      </c>
      <c r="F799" t="s">
        <v>35</v>
      </c>
      <c r="G799" t="s">
        <v>3030</v>
      </c>
      <c r="H799" t="s">
        <v>317</v>
      </c>
      <c r="I799" t="s">
        <v>61</v>
      </c>
      <c r="J799" t="s">
        <v>35</v>
      </c>
      <c r="L799" t="b">
        <v>0</v>
      </c>
      <c r="M799" t="s">
        <v>611</v>
      </c>
      <c r="N799" t="s">
        <v>8245</v>
      </c>
      <c r="O799" s="1">
        <v>15585</v>
      </c>
      <c r="P799" t="s">
        <v>3031</v>
      </c>
      <c r="Q799" t="s">
        <v>608</v>
      </c>
      <c r="S799" s="1">
        <v>45020.209027777775</v>
      </c>
      <c r="T799" t="s">
        <v>1254</v>
      </c>
      <c r="U799" t="s">
        <v>82</v>
      </c>
      <c r="V799">
        <v>1942</v>
      </c>
      <c r="W799">
        <v>117.24</v>
      </c>
      <c r="X799">
        <v>7.5</v>
      </c>
      <c r="Y799" s="2">
        <v>21427700000000</v>
      </c>
      <c r="Z799">
        <v>88.2</v>
      </c>
      <c r="AA799">
        <v>101.8</v>
      </c>
      <c r="AB799">
        <v>9.6</v>
      </c>
      <c r="AC799">
        <v>36.6</v>
      </c>
      <c r="AD799">
        <v>328239523</v>
      </c>
    </row>
    <row r="800" spans="1:30" hidden="1" x14ac:dyDescent="0.45">
      <c r="A800">
        <v>787</v>
      </c>
      <c r="B800">
        <v>3600</v>
      </c>
      <c r="C800" t="s">
        <v>61</v>
      </c>
      <c r="D800" t="s">
        <v>3032</v>
      </c>
      <c r="E800">
        <v>53</v>
      </c>
      <c r="F800" t="s">
        <v>2377</v>
      </c>
      <c r="G800" t="s">
        <v>2378</v>
      </c>
      <c r="H800" t="s">
        <v>1418</v>
      </c>
      <c r="I800" t="s">
        <v>61</v>
      </c>
      <c r="J800" t="s">
        <v>2377</v>
      </c>
      <c r="L800" t="b">
        <v>1</v>
      </c>
      <c r="M800" t="s">
        <v>29</v>
      </c>
      <c r="N800" t="s">
        <v>8245</v>
      </c>
      <c r="O800" s="1">
        <v>25366</v>
      </c>
      <c r="P800" t="s">
        <v>932</v>
      </c>
      <c r="Q800" t="s">
        <v>3033</v>
      </c>
      <c r="S800" s="1">
        <v>45020.209027777775</v>
      </c>
      <c r="V800">
        <v>1969</v>
      </c>
      <c r="W800">
        <v>182.75</v>
      </c>
      <c r="X800">
        <v>5.2</v>
      </c>
      <c r="Y800" s="2">
        <v>180161741180</v>
      </c>
      <c r="Z800">
        <v>61.7</v>
      </c>
      <c r="AA800">
        <v>104.4</v>
      </c>
      <c r="AB800">
        <v>11.7</v>
      </c>
      <c r="AC800">
        <v>28.4</v>
      </c>
      <c r="AD800">
        <v>18513930</v>
      </c>
    </row>
    <row r="801" spans="1:30" x14ac:dyDescent="0.45">
      <c r="A801">
        <v>787</v>
      </c>
      <c r="B801" s="6">
        <v>3600</v>
      </c>
      <c r="C801" t="s">
        <v>61</v>
      </c>
      <c r="D801" t="s">
        <v>3034</v>
      </c>
      <c r="E801">
        <v>37</v>
      </c>
      <c r="F801" t="s">
        <v>35</v>
      </c>
      <c r="G801" t="s">
        <v>3035</v>
      </c>
      <c r="H801" t="s">
        <v>1064</v>
      </c>
      <c r="I801" t="s">
        <v>61</v>
      </c>
      <c r="J801" t="s">
        <v>35</v>
      </c>
      <c r="K801" t="s">
        <v>3036</v>
      </c>
      <c r="L801" t="b">
        <v>1</v>
      </c>
      <c r="M801" t="s">
        <v>29</v>
      </c>
      <c r="N801" t="s">
        <v>8245</v>
      </c>
      <c r="O801" s="10">
        <v>31210</v>
      </c>
      <c r="P801" t="s">
        <v>3037</v>
      </c>
      <c r="Q801" t="s">
        <v>1847</v>
      </c>
      <c r="R801" t="s">
        <v>3038</v>
      </c>
      <c r="S801" s="8">
        <v>45020.209027777775</v>
      </c>
      <c r="T801" t="s">
        <v>78</v>
      </c>
      <c r="U801" t="s">
        <v>82</v>
      </c>
      <c r="V801">
        <v>1985</v>
      </c>
      <c r="W801" s="12">
        <v>117.24</v>
      </c>
      <c r="X801">
        <v>7.5</v>
      </c>
      <c r="Y801" s="14">
        <v>21427700000000</v>
      </c>
      <c r="Z801">
        <v>88.2</v>
      </c>
      <c r="AA801">
        <v>101.8</v>
      </c>
      <c r="AB801">
        <v>9.6</v>
      </c>
      <c r="AC801">
        <v>36.6</v>
      </c>
      <c r="AD801">
        <v>328239523</v>
      </c>
    </row>
    <row r="802" spans="1:30" hidden="1" x14ac:dyDescent="0.45">
      <c r="A802">
        <v>787</v>
      </c>
      <c r="B802">
        <v>3600</v>
      </c>
      <c r="C802" t="s">
        <v>302</v>
      </c>
      <c r="D802" t="s">
        <v>3039</v>
      </c>
      <c r="E802">
        <v>83</v>
      </c>
      <c r="F802" t="s">
        <v>228</v>
      </c>
      <c r="G802" t="s">
        <v>228</v>
      </c>
      <c r="H802" t="s">
        <v>304</v>
      </c>
      <c r="I802" t="s">
        <v>302</v>
      </c>
      <c r="J802" t="s">
        <v>228</v>
      </c>
      <c r="L802" t="b">
        <v>0</v>
      </c>
      <c r="M802" t="s">
        <v>39</v>
      </c>
      <c r="N802" t="s">
        <v>8245</v>
      </c>
      <c r="O802" s="1">
        <v>14344</v>
      </c>
      <c r="P802" t="s">
        <v>305</v>
      </c>
      <c r="Q802" t="s">
        <v>3040</v>
      </c>
      <c r="S802" s="1">
        <v>45020.209027777775</v>
      </c>
      <c r="V802">
        <v>1939</v>
      </c>
      <c r="W802"/>
      <c r="Y802"/>
    </row>
    <row r="803" spans="1:30" hidden="1" x14ac:dyDescent="0.45">
      <c r="A803">
        <v>787</v>
      </c>
      <c r="B803">
        <v>3600</v>
      </c>
      <c r="C803" t="s">
        <v>302</v>
      </c>
      <c r="D803" t="s">
        <v>3041</v>
      </c>
      <c r="E803">
        <v>71</v>
      </c>
      <c r="F803" t="s">
        <v>228</v>
      </c>
      <c r="G803" t="s">
        <v>228</v>
      </c>
      <c r="H803" t="s">
        <v>304</v>
      </c>
      <c r="I803" t="s">
        <v>302</v>
      </c>
      <c r="J803" t="s">
        <v>228</v>
      </c>
      <c r="L803" t="b">
        <v>1</v>
      </c>
      <c r="M803" t="s">
        <v>39</v>
      </c>
      <c r="N803" t="s">
        <v>8245</v>
      </c>
      <c r="O803" s="1">
        <v>18966</v>
      </c>
      <c r="P803" t="s">
        <v>3042</v>
      </c>
      <c r="Q803" t="s">
        <v>3043</v>
      </c>
      <c r="S803" s="1">
        <v>45020.209027777775</v>
      </c>
      <c r="V803">
        <v>1951</v>
      </c>
      <c r="W803"/>
      <c r="Y803"/>
    </row>
    <row r="804" spans="1:30" x14ac:dyDescent="0.45">
      <c r="A804">
        <v>787</v>
      </c>
      <c r="B804" s="6">
        <v>3600</v>
      </c>
      <c r="C804" t="s">
        <v>61</v>
      </c>
      <c r="D804" t="s">
        <v>3044</v>
      </c>
      <c r="E804">
        <v>67</v>
      </c>
      <c r="F804" t="s">
        <v>35</v>
      </c>
      <c r="G804" t="s">
        <v>474</v>
      </c>
      <c r="H804" t="s">
        <v>248</v>
      </c>
      <c r="I804" t="s">
        <v>61</v>
      </c>
      <c r="J804" t="s">
        <v>35</v>
      </c>
      <c r="K804" t="s">
        <v>3045</v>
      </c>
      <c r="L804" t="b">
        <v>1</v>
      </c>
      <c r="M804" t="s">
        <v>39</v>
      </c>
      <c r="N804" t="s">
        <v>8245</v>
      </c>
      <c r="O804" s="10">
        <v>20526</v>
      </c>
      <c r="P804" t="s">
        <v>3046</v>
      </c>
      <c r="Q804" t="s">
        <v>320</v>
      </c>
      <c r="R804" t="s">
        <v>192</v>
      </c>
      <c r="S804" s="8">
        <v>45020.209027777775</v>
      </c>
      <c r="T804" t="s">
        <v>479</v>
      </c>
      <c r="U804" t="s">
        <v>82</v>
      </c>
      <c r="V804">
        <v>1956</v>
      </c>
      <c r="W804" s="12">
        <v>117.24</v>
      </c>
      <c r="X804">
        <v>7.5</v>
      </c>
      <c r="Y804" s="14">
        <v>21427700000000</v>
      </c>
      <c r="Z804">
        <v>88.2</v>
      </c>
      <c r="AA804">
        <v>101.8</v>
      </c>
      <c r="AB804">
        <v>9.6</v>
      </c>
      <c r="AC804">
        <v>36.6</v>
      </c>
      <c r="AD804">
        <v>328239523</v>
      </c>
    </row>
    <row r="805" spans="1:30" hidden="1" x14ac:dyDescent="0.45">
      <c r="A805">
        <v>787</v>
      </c>
      <c r="B805">
        <v>3600</v>
      </c>
      <c r="C805" t="s">
        <v>91</v>
      </c>
      <c r="D805" t="s">
        <v>3047</v>
      </c>
      <c r="E805">
        <v>75</v>
      </c>
      <c r="F805" t="s">
        <v>272</v>
      </c>
      <c r="G805" t="s">
        <v>273</v>
      </c>
      <c r="H805" t="s">
        <v>91</v>
      </c>
      <c r="I805" t="s">
        <v>91</v>
      </c>
      <c r="J805" t="s">
        <v>1365</v>
      </c>
      <c r="L805" t="b">
        <v>1</v>
      </c>
      <c r="M805" t="s">
        <v>29</v>
      </c>
      <c r="N805" t="s">
        <v>8245</v>
      </c>
      <c r="O805" s="1">
        <v>17555</v>
      </c>
      <c r="P805" t="s">
        <v>3048</v>
      </c>
      <c r="Q805" t="s">
        <v>3049</v>
      </c>
      <c r="S805" s="1">
        <v>45020.209027777775</v>
      </c>
      <c r="V805">
        <v>1948</v>
      </c>
      <c r="W805">
        <v>119.62</v>
      </c>
      <c r="X805">
        <v>1.7</v>
      </c>
      <c r="Y805" s="2">
        <v>2827113184696</v>
      </c>
      <c r="Z805">
        <v>60</v>
      </c>
      <c r="AA805">
        <v>101.2</v>
      </c>
      <c r="AB805">
        <v>25.5</v>
      </c>
      <c r="AC805">
        <v>30.6</v>
      </c>
      <c r="AD805">
        <v>66834405</v>
      </c>
    </row>
    <row r="806" spans="1:30" hidden="1" x14ac:dyDescent="0.45">
      <c r="A806">
        <v>787</v>
      </c>
      <c r="B806">
        <v>3600</v>
      </c>
      <c r="C806" t="s">
        <v>23</v>
      </c>
      <c r="D806" t="s">
        <v>3050</v>
      </c>
      <c r="E806">
        <v>67</v>
      </c>
      <c r="F806" t="s">
        <v>266</v>
      </c>
      <c r="G806" t="s">
        <v>267</v>
      </c>
      <c r="H806" t="s">
        <v>1273</v>
      </c>
      <c r="I806" t="s">
        <v>23</v>
      </c>
      <c r="J806" t="s">
        <v>266</v>
      </c>
      <c r="L806" t="b">
        <v>1</v>
      </c>
      <c r="M806" t="s">
        <v>29</v>
      </c>
      <c r="N806" t="s">
        <v>8245</v>
      </c>
      <c r="O806" s="1">
        <v>20296</v>
      </c>
      <c r="P806" t="s">
        <v>3051</v>
      </c>
      <c r="Q806" t="s">
        <v>3052</v>
      </c>
      <c r="S806" s="1">
        <v>45020.209027777775</v>
      </c>
      <c r="V806">
        <v>1955</v>
      </c>
      <c r="W806">
        <v>105.48</v>
      </c>
      <c r="X806">
        <v>0.5</v>
      </c>
      <c r="Y806" s="2">
        <v>5081769542380</v>
      </c>
      <c r="Z806">
        <v>63.2</v>
      </c>
      <c r="AA806">
        <v>98.8</v>
      </c>
      <c r="AB806">
        <v>11.9</v>
      </c>
      <c r="AC806">
        <v>46.7</v>
      </c>
      <c r="AD806">
        <v>126226568</v>
      </c>
    </row>
    <row r="807" spans="1:30" hidden="1" x14ac:dyDescent="0.45">
      <c r="A807">
        <v>787</v>
      </c>
      <c r="B807">
        <v>3600</v>
      </c>
      <c r="C807" t="s">
        <v>45</v>
      </c>
      <c r="D807" t="s">
        <v>3053</v>
      </c>
      <c r="E807">
        <v>84</v>
      </c>
      <c r="F807" t="s">
        <v>266</v>
      </c>
      <c r="G807" t="s">
        <v>267</v>
      </c>
      <c r="H807" t="s">
        <v>856</v>
      </c>
      <c r="I807" t="s">
        <v>45</v>
      </c>
      <c r="J807" t="s">
        <v>266</v>
      </c>
      <c r="L807" t="b">
        <v>1</v>
      </c>
      <c r="M807" t="s">
        <v>29</v>
      </c>
      <c r="N807" t="s">
        <v>8245</v>
      </c>
      <c r="O807" s="1">
        <v>14116</v>
      </c>
      <c r="P807" t="s">
        <v>3054</v>
      </c>
      <c r="Q807" t="s">
        <v>3052</v>
      </c>
      <c r="S807" s="1">
        <v>45020.209027777775</v>
      </c>
      <c r="V807">
        <v>1938</v>
      </c>
      <c r="W807">
        <v>105.48</v>
      </c>
      <c r="X807">
        <v>0.5</v>
      </c>
      <c r="Y807" s="2">
        <v>5081769542380</v>
      </c>
      <c r="Z807">
        <v>63.2</v>
      </c>
      <c r="AA807">
        <v>98.8</v>
      </c>
      <c r="AB807">
        <v>11.9</v>
      </c>
      <c r="AC807">
        <v>46.7</v>
      </c>
      <c r="AD807">
        <v>126226568</v>
      </c>
    </row>
    <row r="808" spans="1:30" hidden="1" x14ac:dyDescent="0.45">
      <c r="A808">
        <v>787</v>
      </c>
      <c r="B808">
        <v>3600</v>
      </c>
      <c r="C808" t="s">
        <v>45</v>
      </c>
      <c r="D808" t="s">
        <v>3055</v>
      </c>
      <c r="E808">
        <v>37</v>
      </c>
      <c r="F808" t="s">
        <v>328</v>
      </c>
      <c r="G808" t="s">
        <v>724</v>
      </c>
      <c r="H808" t="s">
        <v>856</v>
      </c>
      <c r="I808" t="s">
        <v>45</v>
      </c>
      <c r="J808" t="s">
        <v>328</v>
      </c>
      <c r="L808" t="b">
        <v>1</v>
      </c>
      <c r="M808" t="s">
        <v>39</v>
      </c>
      <c r="N808" t="s">
        <v>8245</v>
      </c>
      <c r="O808" s="1">
        <v>31409</v>
      </c>
      <c r="P808" t="s">
        <v>3056</v>
      </c>
      <c r="Q808" t="s">
        <v>3057</v>
      </c>
      <c r="S808" s="1">
        <v>45020.209027777775</v>
      </c>
      <c r="V808">
        <v>1985</v>
      </c>
      <c r="W808">
        <v>119.8</v>
      </c>
      <c r="X808">
        <v>1.6</v>
      </c>
      <c r="Y808" s="2">
        <v>1392680589329</v>
      </c>
      <c r="Z808">
        <v>113.1</v>
      </c>
      <c r="AA808">
        <v>100.3</v>
      </c>
      <c r="AB808">
        <v>23</v>
      </c>
      <c r="AC808">
        <v>47.4</v>
      </c>
      <c r="AD808">
        <v>25766605</v>
      </c>
    </row>
    <row r="809" spans="1:30" hidden="1" x14ac:dyDescent="0.45">
      <c r="A809">
        <v>787</v>
      </c>
      <c r="B809">
        <v>3600</v>
      </c>
      <c r="C809" t="s">
        <v>45</v>
      </c>
      <c r="D809" t="s">
        <v>3058</v>
      </c>
      <c r="E809">
        <v>35</v>
      </c>
      <c r="F809" t="s">
        <v>328</v>
      </c>
      <c r="G809" t="s">
        <v>724</v>
      </c>
      <c r="H809" t="s">
        <v>856</v>
      </c>
      <c r="I809" t="s">
        <v>45</v>
      </c>
      <c r="J809" t="s">
        <v>328</v>
      </c>
      <c r="K809" t="s">
        <v>3059</v>
      </c>
      <c r="L809" t="b">
        <v>1</v>
      </c>
      <c r="M809" t="s">
        <v>39</v>
      </c>
      <c r="N809" t="s">
        <v>8246</v>
      </c>
      <c r="O809" s="1">
        <v>31910</v>
      </c>
      <c r="P809" t="s">
        <v>3060</v>
      </c>
      <c r="Q809" t="s">
        <v>3061</v>
      </c>
      <c r="R809" t="s">
        <v>3062</v>
      </c>
      <c r="S809" s="1">
        <v>45020.209027777775</v>
      </c>
      <c r="V809">
        <v>1987</v>
      </c>
      <c r="W809">
        <v>119.8</v>
      </c>
      <c r="X809">
        <v>1.6</v>
      </c>
      <c r="Y809" s="2">
        <v>1392680589329</v>
      </c>
      <c r="Z809">
        <v>113.1</v>
      </c>
      <c r="AA809">
        <v>100.3</v>
      </c>
      <c r="AB809">
        <v>23</v>
      </c>
      <c r="AC809">
        <v>47.4</v>
      </c>
      <c r="AD809">
        <v>25766605</v>
      </c>
    </row>
    <row r="810" spans="1:30" hidden="1" x14ac:dyDescent="0.45">
      <c r="A810">
        <v>787</v>
      </c>
      <c r="B810">
        <v>3600</v>
      </c>
      <c r="C810" t="s">
        <v>61</v>
      </c>
      <c r="D810" t="s">
        <v>3063</v>
      </c>
      <c r="E810">
        <v>58</v>
      </c>
      <c r="F810" t="s">
        <v>35</v>
      </c>
      <c r="G810" t="s">
        <v>1150</v>
      </c>
      <c r="H810" t="s">
        <v>1909</v>
      </c>
      <c r="I810" t="s">
        <v>61</v>
      </c>
      <c r="J810" t="s">
        <v>35</v>
      </c>
      <c r="L810" t="b">
        <v>0</v>
      </c>
      <c r="M810" t="s">
        <v>611</v>
      </c>
      <c r="N810" t="s">
        <v>8245</v>
      </c>
      <c r="O810" s="1">
        <v>23761</v>
      </c>
      <c r="P810" t="s">
        <v>1910</v>
      </c>
      <c r="Q810" t="s">
        <v>3064</v>
      </c>
      <c r="S810" s="1">
        <v>45020.209027777775</v>
      </c>
      <c r="T810" t="s">
        <v>435</v>
      </c>
      <c r="U810" t="s">
        <v>69</v>
      </c>
      <c r="V810">
        <v>1965</v>
      </c>
      <c r="W810">
        <v>117.24</v>
      </c>
      <c r="X810">
        <v>7.5</v>
      </c>
      <c r="Y810" s="2">
        <v>21427700000000</v>
      </c>
      <c r="Z810">
        <v>88.2</v>
      </c>
      <c r="AA810">
        <v>101.8</v>
      </c>
      <c r="AB810">
        <v>9.6</v>
      </c>
      <c r="AC810">
        <v>36.6</v>
      </c>
      <c r="AD810">
        <v>328239523</v>
      </c>
    </row>
    <row r="811" spans="1:30" hidden="1" x14ac:dyDescent="0.45">
      <c r="A811">
        <v>787</v>
      </c>
      <c r="B811">
        <v>3600</v>
      </c>
      <c r="C811" t="s">
        <v>23</v>
      </c>
      <c r="D811" t="s">
        <v>3065</v>
      </c>
      <c r="E811">
        <v>73</v>
      </c>
      <c r="F811" t="s">
        <v>117</v>
      </c>
      <c r="G811" t="s">
        <v>3066</v>
      </c>
      <c r="H811" t="s">
        <v>594</v>
      </c>
      <c r="I811" t="s">
        <v>23</v>
      </c>
      <c r="J811" t="s">
        <v>117</v>
      </c>
      <c r="L811" t="b">
        <v>0</v>
      </c>
      <c r="M811" t="s">
        <v>39</v>
      </c>
      <c r="N811" t="s">
        <v>8245</v>
      </c>
      <c r="O811" s="1">
        <v>18179</v>
      </c>
      <c r="P811" t="s">
        <v>3067</v>
      </c>
      <c r="Q811" t="s">
        <v>3068</v>
      </c>
      <c r="S811" s="1">
        <v>45020.209027777775</v>
      </c>
      <c r="V811">
        <v>1949</v>
      </c>
      <c r="W811">
        <v>110.96</v>
      </c>
      <c r="X811">
        <v>0.7</v>
      </c>
      <c r="Y811" s="2">
        <v>1394116310769</v>
      </c>
      <c r="Z811">
        <v>88.9</v>
      </c>
      <c r="AA811">
        <v>102.7</v>
      </c>
      <c r="AB811">
        <v>14.2</v>
      </c>
      <c r="AC811">
        <v>47</v>
      </c>
      <c r="AD811">
        <v>47076781</v>
      </c>
    </row>
    <row r="812" spans="1:30" hidden="1" x14ac:dyDescent="0.45">
      <c r="A812">
        <v>787</v>
      </c>
      <c r="B812">
        <v>3600</v>
      </c>
      <c r="C812" t="s">
        <v>302</v>
      </c>
      <c r="D812" t="s">
        <v>3069</v>
      </c>
      <c r="E812">
        <v>82</v>
      </c>
      <c r="F812" t="s">
        <v>35</v>
      </c>
      <c r="G812" t="s">
        <v>78</v>
      </c>
      <c r="H812" t="s">
        <v>304</v>
      </c>
      <c r="I812" t="s">
        <v>302</v>
      </c>
      <c r="J812" t="s">
        <v>35</v>
      </c>
      <c r="L812" t="b">
        <v>1</v>
      </c>
      <c r="M812" t="s">
        <v>611</v>
      </c>
      <c r="N812" t="s">
        <v>8245</v>
      </c>
      <c r="O812" s="1">
        <v>14785</v>
      </c>
      <c r="P812" t="s">
        <v>3070</v>
      </c>
      <c r="Q812" t="s">
        <v>707</v>
      </c>
      <c r="S812" s="1">
        <v>45020.209027777775</v>
      </c>
      <c r="T812" t="s">
        <v>78</v>
      </c>
      <c r="U812" t="s">
        <v>82</v>
      </c>
      <c r="V812">
        <v>1940</v>
      </c>
      <c r="W812">
        <v>117.24</v>
      </c>
      <c r="X812">
        <v>7.5</v>
      </c>
      <c r="Y812" s="2">
        <v>21427700000000</v>
      </c>
      <c r="Z812">
        <v>88.2</v>
      </c>
      <c r="AA812">
        <v>101.8</v>
      </c>
      <c r="AB812">
        <v>9.6</v>
      </c>
      <c r="AC812">
        <v>36.6</v>
      </c>
      <c r="AD812">
        <v>328239523</v>
      </c>
    </row>
    <row r="813" spans="1:30" hidden="1" x14ac:dyDescent="0.45">
      <c r="A813">
        <v>787</v>
      </c>
      <c r="B813">
        <v>3600</v>
      </c>
      <c r="C813" t="s">
        <v>23</v>
      </c>
      <c r="D813" t="s">
        <v>3071</v>
      </c>
      <c r="E813">
        <v>63</v>
      </c>
      <c r="F813" t="s">
        <v>205</v>
      </c>
      <c r="G813" t="s">
        <v>284</v>
      </c>
      <c r="H813" t="s">
        <v>3072</v>
      </c>
      <c r="I813" t="s">
        <v>23</v>
      </c>
      <c r="J813" t="s">
        <v>164</v>
      </c>
      <c r="L813" t="b">
        <v>1</v>
      </c>
      <c r="M813" t="s">
        <v>29</v>
      </c>
      <c r="N813" t="s">
        <v>8245</v>
      </c>
      <c r="O813" s="1">
        <v>21742</v>
      </c>
      <c r="P813" t="s">
        <v>3073</v>
      </c>
      <c r="Q813" t="s">
        <v>3074</v>
      </c>
      <c r="S813" s="1">
        <v>45020.209027777775</v>
      </c>
      <c r="V813">
        <v>1959</v>
      </c>
      <c r="W813">
        <v>99.55</v>
      </c>
      <c r="X813">
        <v>0.4</v>
      </c>
      <c r="Y813" s="2">
        <v>703082435360</v>
      </c>
      <c r="Z813">
        <v>59.6</v>
      </c>
      <c r="AA813">
        <v>105.2</v>
      </c>
      <c r="AB813">
        <v>10.1</v>
      </c>
      <c r="AC813">
        <v>28.8</v>
      </c>
      <c r="AD813">
        <v>8574832</v>
      </c>
    </row>
    <row r="814" spans="1:30" hidden="1" x14ac:dyDescent="0.45">
      <c r="A814">
        <v>787</v>
      </c>
      <c r="B814">
        <v>3600</v>
      </c>
      <c r="C814" t="s">
        <v>203</v>
      </c>
      <c r="D814" t="s">
        <v>3075</v>
      </c>
      <c r="E814">
        <v>80</v>
      </c>
      <c r="F814" t="s">
        <v>228</v>
      </c>
      <c r="G814" t="s">
        <v>228</v>
      </c>
      <c r="H814" t="s">
        <v>207</v>
      </c>
      <c r="I814" t="s">
        <v>203</v>
      </c>
      <c r="J814" t="s">
        <v>228</v>
      </c>
      <c r="L814" t="b">
        <v>0</v>
      </c>
      <c r="M814" t="s">
        <v>611</v>
      </c>
      <c r="N814" t="s">
        <v>8245</v>
      </c>
      <c r="O814" s="1">
        <v>15690</v>
      </c>
      <c r="P814" t="s">
        <v>3076</v>
      </c>
      <c r="Q814" t="s">
        <v>3077</v>
      </c>
      <c r="S814" s="1">
        <v>45020.209027777775</v>
      </c>
      <c r="V814">
        <v>1942</v>
      </c>
      <c r="W814"/>
      <c r="Y814"/>
    </row>
    <row r="815" spans="1:30" hidden="1" x14ac:dyDescent="0.45">
      <c r="A815">
        <v>787</v>
      </c>
      <c r="B815">
        <v>3600</v>
      </c>
      <c r="C815" t="s">
        <v>126</v>
      </c>
      <c r="D815" t="s">
        <v>3078</v>
      </c>
      <c r="E815">
        <v>60</v>
      </c>
      <c r="F815" t="s">
        <v>128</v>
      </c>
      <c r="G815" t="s">
        <v>777</v>
      </c>
      <c r="H815" t="s">
        <v>3079</v>
      </c>
      <c r="I815" t="s">
        <v>126</v>
      </c>
      <c r="J815" t="s">
        <v>128</v>
      </c>
      <c r="L815" t="b">
        <v>1</v>
      </c>
      <c r="M815" t="s">
        <v>39</v>
      </c>
      <c r="N815" t="s">
        <v>8245</v>
      </c>
      <c r="O815" s="1">
        <v>22890</v>
      </c>
      <c r="P815" t="s">
        <v>439</v>
      </c>
      <c r="Q815" t="s">
        <v>3080</v>
      </c>
      <c r="S815" s="1">
        <v>45020.209027777775</v>
      </c>
      <c r="V815">
        <v>1962</v>
      </c>
      <c r="W815">
        <v>125.08</v>
      </c>
      <c r="X815">
        <v>2.9</v>
      </c>
      <c r="Y815" s="2">
        <v>19910000000000</v>
      </c>
      <c r="Z815">
        <v>50.6</v>
      </c>
      <c r="AA815">
        <v>100.2</v>
      </c>
      <c r="AB815">
        <v>9.4</v>
      </c>
      <c r="AC815">
        <v>59.2</v>
      </c>
      <c r="AD815">
        <v>1397715000</v>
      </c>
    </row>
    <row r="816" spans="1:30" hidden="1" x14ac:dyDescent="0.45">
      <c r="A816">
        <v>787</v>
      </c>
      <c r="B816">
        <v>3600</v>
      </c>
      <c r="C816" t="s">
        <v>33</v>
      </c>
      <c r="D816" t="s">
        <v>3081</v>
      </c>
      <c r="E816">
        <v>61</v>
      </c>
      <c r="F816" t="s">
        <v>128</v>
      </c>
      <c r="G816" t="s">
        <v>234</v>
      </c>
      <c r="H816" t="s">
        <v>720</v>
      </c>
      <c r="I816" t="s">
        <v>33</v>
      </c>
      <c r="J816" t="s">
        <v>128</v>
      </c>
      <c r="L816" t="b">
        <v>1</v>
      </c>
      <c r="M816" t="s">
        <v>29</v>
      </c>
      <c r="N816" t="s">
        <v>8245</v>
      </c>
      <c r="O816" s="1">
        <v>22647</v>
      </c>
      <c r="P816" t="s">
        <v>3082</v>
      </c>
      <c r="Q816" t="s">
        <v>3083</v>
      </c>
      <c r="S816" s="1">
        <v>45020.209027777775</v>
      </c>
      <c r="V816">
        <v>1962</v>
      </c>
      <c r="W816">
        <v>125.08</v>
      </c>
      <c r="X816">
        <v>2.9</v>
      </c>
      <c r="Y816" s="2">
        <v>19910000000000</v>
      </c>
      <c r="Z816">
        <v>50.6</v>
      </c>
      <c r="AA816">
        <v>100.2</v>
      </c>
      <c r="AB816">
        <v>9.4</v>
      </c>
      <c r="AC816">
        <v>59.2</v>
      </c>
      <c r="AD816">
        <v>1397715000</v>
      </c>
    </row>
    <row r="817" spans="1:30" hidden="1" x14ac:dyDescent="0.45">
      <c r="A817">
        <v>787</v>
      </c>
      <c r="B817">
        <v>3600</v>
      </c>
      <c r="C817" t="s">
        <v>45</v>
      </c>
      <c r="D817" t="s">
        <v>3084</v>
      </c>
      <c r="E817">
        <v>57</v>
      </c>
      <c r="F817" t="s">
        <v>128</v>
      </c>
      <c r="G817" t="s">
        <v>234</v>
      </c>
      <c r="H817" t="s">
        <v>3085</v>
      </c>
      <c r="I817" t="s">
        <v>45</v>
      </c>
      <c r="J817" t="s">
        <v>128</v>
      </c>
      <c r="L817" t="b">
        <v>1</v>
      </c>
      <c r="M817" t="s">
        <v>39</v>
      </c>
      <c r="N817" t="s">
        <v>8246</v>
      </c>
      <c r="O817" s="1">
        <v>24101</v>
      </c>
      <c r="P817" t="s">
        <v>263</v>
      </c>
      <c r="Q817" t="s">
        <v>3086</v>
      </c>
      <c r="S817" s="1">
        <v>45020.209027777775</v>
      </c>
      <c r="V817">
        <v>1965</v>
      </c>
      <c r="W817">
        <v>125.08</v>
      </c>
      <c r="X817">
        <v>2.9</v>
      </c>
      <c r="Y817" s="2">
        <v>19910000000000</v>
      </c>
      <c r="Z817">
        <v>50.6</v>
      </c>
      <c r="AA817">
        <v>100.2</v>
      </c>
      <c r="AB817">
        <v>9.4</v>
      </c>
      <c r="AC817">
        <v>59.2</v>
      </c>
      <c r="AD817">
        <v>1397715000</v>
      </c>
    </row>
    <row r="818" spans="1:30" hidden="1" x14ac:dyDescent="0.45">
      <c r="A818">
        <v>787</v>
      </c>
      <c r="B818">
        <v>3600</v>
      </c>
      <c r="C818" t="s">
        <v>296</v>
      </c>
      <c r="D818" t="s">
        <v>3087</v>
      </c>
      <c r="E818">
        <v>54</v>
      </c>
      <c r="F818" t="s">
        <v>128</v>
      </c>
      <c r="G818" t="s">
        <v>3088</v>
      </c>
      <c r="H818" t="s">
        <v>3089</v>
      </c>
      <c r="I818" t="s">
        <v>296</v>
      </c>
      <c r="J818" t="s">
        <v>128</v>
      </c>
      <c r="L818" t="b">
        <v>1</v>
      </c>
      <c r="M818" t="s">
        <v>29</v>
      </c>
      <c r="N818" t="s">
        <v>8245</v>
      </c>
      <c r="O818" s="1">
        <v>25204</v>
      </c>
      <c r="P818" t="s">
        <v>190</v>
      </c>
      <c r="Q818" t="s">
        <v>1703</v>
      </c>
      <c r="S818" s="1">
        <v>45020.209027777775</v>
      </c>
      <c r="V818">
        <v>1969</v>
      </c>
      <c r="W818">
        <v>125.08</v>
      </c>
      <c r="X818">
        <v>2.9</v>
      </c>
      <c r="Y818" s="2">
        <v>19910000000000</v>
      </c>
      <c r="Z818">
        <v>50.6</v>
      </c>
      <c r="AA818">
        <v>100.2</v>
      </c>
      <c r="AB818">
        <v>9.4</v>
      </c>
      <c r="AC818">
        <v>59.2</v>
      </c>
      <c r="AD818">
        <v>1397715000</v>
      </c>
    </row>
    <row r="819" spans="1:30" hidden="1" x14ac:dyDescent="0.45">
      <c r="A819">
        <v>818</v>
      </c>
      <c r="B819">
        <v>3500</v>
      </c>
      <c r="C819" t="s">
        <v>23</v>
      </c>
      <c r="D819" t="s">
        <v>3090</v>
      </c>
      <c r="E819">
        <v>33</v>
      </c>
      <c r="F819" t="s">
        <v>35</v>
      </c>
      <c r="G819" t="s">
        <v>964</v>
      </c>
      <c r="H819" t="s">
        <v>3091</v>
      </c>
      <c r="I819" t="s">
        <v>23</v>
      </c>
      <c r="J819" t="s">
        <v>214</v>
      </c>
      <c r="L819" t="b">
        <v>0</v>
      </c>
      <c r="M819" t="s">
        <v>258</v>
      </c>
      <c r="N819" t="s">
        <v>8245</v>
      </c>
      <c r="O819" s="1">
        <v>32700</v>
      </c>
      <c r="P819" t="s">
        <v>3092</v>
      </c>
      <c r="Q819" t="s">
        <v>1253</v>
      </c>
      <c r="S819" s="1">
        <v>45020.209027777775</v>
      </c>
      <c r="T819" t="s">
        <v>115</v>
      </c>
      <c r="U819" t="s">
        <v>53</v>
      </c>
      <c r="V819">
        <v>1989</v>
      </c>
      <c r="W819">
        <v>117.24</v>
      </c>
      <c r="X819">
        <v>7.5</v>
      </c>
      <c r="Y819" s="2">
        <v>21427700000000</v>
      </c>
      <c r="Z819">
        <v>88.2</v>
      </c>
      <c r="AA819">
        <v>101.8</v>
      </c>
      <c r="AB819">
        <v>9.6</v>
      </c>
      <c r="AC819">
        <v>36.6</v>
      </c>
      <c r="AD819">
        <v>328239523</v>
      </c>
    </row>
    <row r="820" spans="1:30" hidden="1" x14ac:dyDescent="0.45">
      <c r="A820">
        <v>818</v>
      </c>
      <c r="B820">
        <v>3500</v>
      </c>
      <c r="C820" t="s">
        <v>402</v>
      </c>
      <c r="D820" t="s">
        <v>3093</v>
      </c>
      <c r="E820">
        <v>65</v>
      </c>
      <c r="F820" t="s">
        <v>558</v>
      </c>
      <c r="G820" t="s">
        <v>839</v>
      </c>
      <c r="H820" t="s">
        <v>3094</v>
      </c>
      <c r="I820" t="s">
        <v>402</v>
      </c>
      <c r="J820" t="s">
        <v>558</v>
      </c>
      <c r="L820" t="b">
        <v>0</v>
      </c>
      <c r="M820" t="s">
        <v>29</v>
      </c>
      <c r="N820" t="s">
        <v>8245</v>
      </c>
      <c r="O820" s="1">
        <v>21146</v>
      </c>
      <c r="P820" t="s">
        <v>3095</v>
      </c>
      <c r="Q820" t="s">
        <v>3096</v>
      </c>
      <c r="S820" s="1">
        <v>45020.209027777775</v>
      </c>
      <c r="V820">
        <v>1957</v>
      </c>
      <c r="W820">
        <v>167.4</v>
      </c>
      <c r="X820">
        <v>3.7</v>
      </c>
      <c r="Y820" s="2">
        <v>1839758040766</v>
      </c>
      <c r="Z820">
        <v>51.3</v>
      </c>
      <c r="AA820">
        <v>115.4</v>
      </c>
      <c r="AB820">
        <v>14.2</v>
      </c>
      <c r="AC820">
        <v>65.099999999999994</v>
      </c>
      <c r="AD820">
        <v>212559417</v>
      </c>
    </row>
    <row r="821" spans="1:30" hidden="1" x14ac:dyDescent="0.45">
      <c r="A821">
        <v>818</v>
      </c>
      <c r="B821">
        <v>3500</v>
      </c>
      <c r="C821" t="s">
        <v>61</v>
      </c>
      <c r="D821" t="s">
        <v>3097</v>
      </c>
      <c r="E821">
        <v>62</v>
      </c>
      <c r="F821" t="s">
        <v>128</v>
      </c>
      <c r="G821" t="s">
        <v>3098</v>
      </c>
      <c r="H821" t="s">
        <v>317</v>
      </c>
      <c r="I821" t="s">
        <v>61</v>
      </c>
      <c r="J821" t="s">
        <v>128</v>
      </c>
      <c r="L821" t="b">
        <v>1</v>
      </c>
      <c r="M821" t="s">
        <v>39</v>
      </c>
      <c r="N821" t="s">
        <v>8245</v>
      </c>
      <c r="O821" s="1">
        <v>22215</v>
      </c>
      <c r="P821" t="s">
        <v>679</v>
      </c>
      <c r="Q821" t="s">
        <v>3099</v>
      </c>
      <c r="S821" s="1">
        <v>45020.209027777775</v>
      </c>
      <c r="V821">
        <v>1960</v>
      </c>
      <c r="W821">
        <v>125.08</v>
      </c>
      <c r="X821">
        <v>2.9</v>
      </c>
      <c r="Y821" s="2">
        <v>19910000000000</v>
      </c>
      <c r="Z821">
        <v>50.6</v>
      </c>
      <c r="AA821">
        <v>100.2</v>
      </c>
      <c r="AB821">
        <v>9.4</v>
      </c>
      <c r="AC821">
        <v>59.2</v>
      </c>
      <c r="AD821">
        <v>1397715000</v>
      </c>
    </row>
    <row r="822" spans="1:30" hidden="1" x14ac:dyDescent="0.45">
      <c r="A822">
        <v>818</v>
      </c>
      <c r="B822">
        <v>3500</v>
      </c>
      <c r="C822" t="s">
        <v>296</v>
      </c>
      <c r="D822" t="s">
        <v>3100</v>
      </c>
      <c r="E822">
        <v>87</v>
      </c>
      <c r="F822" t="s">
        <v>214</v>
      </c>
      <c r="G822" t="s">
        <v>3101</v>
      </c>
      <c r="H822" t="s">
        <v>3102</v>
      </c>
      <c r="I822" t="s">
        <v>296</v>
      </c>
      <c r="J822" t="s">
        <v>214</v>
      </c>
      <c r="L822" t="b">
        <v>1</v>
      </c>
      <c r="M822" t="s">
        <v>29</v>
      </c>
      <c r="N822" t="s">
        <v>8245</v>
      </c>
      <c r="O822" s="1">
        <v>12909</v>
      </c>
      <c r="P822" t="s">
        <v>3103</v>
      </c>
      <c r="Q822" t="s">
        <v>2816</v>
      </c>
      <c r="S822" s="1">
        <v>45020.209027777775</v>
      </c>
      <c r="V822">
        <v>1935</v>
      </c>
      <c r="W822">
        <v>110.62</v>
      </c>
      <c r="X822">
        <v>0.6</v>
      </c>
      <c r="Y822" s="2">
        <v>2001244392042</v>
      </c>
      <c r="Z822">
        <v>61.9</v>
      </c>
      <c r="AA822">
        <v>101.9</v>
      </c>
      <c r="AB822">
        <v>24.3</v>
      </c>
      <c r="AC822">
        <v>59.1</v>
      </c>
      <c r="AD822">
        <v>60297396</v>
      </c>
    </row>
    <row r="823" spans="1:30" hidden="1" x14ac:dyDescent="0.45">
      <c r="A823">
        <v>818</v>
      </c>
      <c r="B823">
        <v>3500</v>
      </c>
      <c r="C823" t="s">
        <v>61</v>
      </c>
      <c r="D823" t="s">
        <v>3104</v>
      </c>
      <c r="E823">
        <v>76</v>
      </c>
      <c r="F823" t="s">
        <v>35</v>
      </c>
      <c r="G823" t="s">
        <v>1247</v>
      </c>
      <c r="H823" t="s">
        <v>930</v>
      </c>
      <c r="I823" t="s">
        <v>61</v>
      </c>
      <c r="J823" t="s">
        <v>35</v>
      </c>
      <c r="L823" t="b">
        <v>1</v>
      </c>
      <c r="M823" t="s">
        <v>39</v>
      </c>
      <c r="N823" t="s">
        <v>8245</v>
      </c>
      <c r="O823" s="1">
        <v>17059</v>
      </c>
      <c r="P823" t="s">
        <v>3105</v>
      </c>
      <c r="Q823" t="s">
        <v>520</v>
      </c>
      <c r="S823" s="1">
        <v>45020.209027777775</v>
      </c>
      <c r="T823" t="s">
        <v>222</v>
      </c>
      <c r="U823" t="s">
        <v>44</v>
      </c>
      <c r="V823">
        <v>1946</v>
      </c>
      <c r="W823">
        <v>117.24</v>
      </c>
      <c r="X823">
        <v>7.5</v>
      </c>
      <c r="Y823" s="2">
        <v>21427700000000</v>
      </c>
      <c r="Z823">
        <v>88.2</v>
      </c>
      <c r="AA823">
        <v>101.8</v>
      </c>
      <c r="AB823">
        <v>9.6</v>
      </c>
      <c r="AC823">
        <v>36.6</v>
      </c>
      <c r="AD823">
        <v>328239523</v>
      </c>
    </row>
    <row r="824" spans="1:30" hidden="1" x14ac:dyDescent="0.45">
      <c r="A824">
        <v>818</v>
      </c>
      <c r="B824">
        <v>3500</v>
      </c>
      <c r="C824" t="s">
        <v>23</v>
      </c>
      <c r="D824" t="s">
        <v>3106</v>
      </c>
      <c r="E824">
        <v>66</v>
      </c>
      <c r="F824" t="s">
        <v>35</v>
      </c>
      <c r="G824" t="s">
        <v>3107</v>
      </c>
      <c r="H824" t="s">
        <v>3091</v>
      </c>
      <c r="I824" t="s">
        <v>23</v>
      </c>
      <c r="J824" t="s">
        <v>214</v>
      </c>
      <c r="L824" t="b">
        <v>0</v>
      </c>
      <c r="M824" t="s">
        <v>258</v>
      </c>
      <c r="N824" t="s">
        <v>8245</v>
      </c>
      <c r="O824" s="1">
        <v>20877</v>
      </c>
      <c r="P824" t="s">
        <v>3108</v>
      </c>
      <c r="Q824" t="s">
        <v>3109</v>
      </c>
      <c r="S824" s="1">
        <v>45020.209027777775</v>
      </c>
      <c r="T824" t="s">
        <v>78</v>
      </c>
      <c r="U824" t="s">
        <v>82</v>
      </c>
      <c r="V824">
        <v>1957</v>
      </c>
      <c r="W824">
        <v>117.24</v>
      </c>
      <c r="X824">
        <v>7.5</v>
      </c>
      <c r="Y824" s="2">
        <v>21427700000000</v>
      </c>
      <c r="Z824">
        <v>88.2</v>
      </c>
      <c r="AA824">
        <v>101.8</v>
      </c>
      <c r="AB824">
        <v>9.6</v>
      </c>
      <c r="AC824">
        <v>36.6</v>
      </c>
      <c r="AD824">
        <v>328239523</v>
      </c>
    </row>
    <row r="825" spans="1:30" hidden="1" x14ac:dyDescent="0.45">
      <c r="A825">
        <v>818</v>
      </c>
      <c r="B825">
        <v>3500</v>
      </c>
      <c r="C825" t="s">
        <v>23</v>
      </c>
      <c r="D825" t="s">
        <v>3110</v>
      </c>
      <c r="E825">
        <v>18</v>
      </c>
      <c r="F825" t="s">
        <v>214</v>
      </c>
      <c r="G825" t="s">
        <v>802</v>
      </c>
      <c r="H825" t="s">
        <v>3111</v>
      </c>
      <c r="I825" t="s">
        <v>23</v>
      </c>
      <c r="J825" t="s">
        <v>214</v>
      </c>
      <c r="L825" t="b">
        <v>0</v>
      </c>
      <c r="M825" t="s">
        <v>258</v>
      </c>
      <c r="N825" t="s">
        <v>8245</v>
      </c>
      <c r="O825" s="1">
        <v>38113</v>
      </c>
      <c r="P825" t="s">
        <v>3108</v>
      </c>
      <c r="Q825" t="s">
        <v>3112</v>
      </c>
      <c r="S825" s="1">
        <v>45020.209027777775</v>
      </c>
      <c r="V825">
        <v>2004</v>
      </c>
      <c r="W825">
        <v>110.62</v>
      </c>
      <c r="X825">
        <v>0.6</v>
      </c>
      <c r="Y825" s="2">
        <v>2001244392042</v>
      </c>
      <c r="Z825">
        <v>61.9</v>
      </c>
      <c r="AA825">
        <v>101.9</v>
      </c>
      <c r="AB825">
        <v>24.3</v>
      </c>
      <c r="AC825">
        <v>59.1</v>
      </c>
      <c r="AD825">
        <v>60297396</v>
      </c>
    </row>
    <row r="826" spans="1:30" hidden="1" x14ac:dyDescent="0.45">
      <c r="A826">
        <v>818</v>
      </c>
      <c r="B826">
        <v>3500</v>
      </c>
      <c r="C826" t="s">
        <v>23</v>
      </c>
      <c r="D826" t="s">
        <v>3113</v>
      </c>
      <c r="E826">
        <v>27</v>
      </c>
      <c r="F826" t="s">
        <v>214</v>
      </c>
      <c r="G826" t="s">
        <v>802</v>
      </c>
      <c r="H826" t="s">
        <v>3091</v>
      </c>
      <c r="I826" t="s">
        <v>23</v>
      </c>
      <c r="J826" t="s">
        <v>214</v>
      </c>
      <c r="L826" t="b">
        <v>0</v>
      </c>
      <c r="M826" t="s">
        <v>258</v>
      </c>
      <c r="N826" t="s">
        <v>8245</v>
      </c>
      <c r="O826" s="1">
        <v>34825</v>
      </c>
      <c r="P826" t="s">
        <v>3108</v>
      </c>
      <c r="Q826" t="s">
        <v>3114</v>
      </c>
      <c r="S826" s="1">
        <v>45020.209027777775</v>
      </c>
      <c r="V826">
        <v>1995</v>
      </c>
      <c r="W826">
        <v>110.62</v>
      </c>
      <c r="X826">
        <v>0.6</v>
      </c>
      <c r="Y826" s="2">
        <v>2001244392042</v>
      </c>
      <c r="Z826">
        <v>61.9</v>
      </c>
      <c r="AA826">
        <v>101.9</v>
      </c>
      <c r="AB826">
        <v>24.3</v>
      </c>
      <c r="AC826">
        <v>59.1</v>
      </c>
      <c r="AD826">
        <v>60297396</v>
      </c>
    </row>
    <row r="827" spans="1:30" hidden="1" x14ac:dyDescent="0.45">
      <c r="A827">
        <v>818</v>
      </c>
      <c r="B827">
        <v>3500</v>
      </c>
      <c r="C827" t="s">
        <v>23</v>
      </c>
      <c r="D827" t="s">
        <v>3115</v>
      </c>
      <c r="E827">
        <v>21</v>
      </c>
      <c r="F827" t="s">
        <v>214</v>
      </c>
      <c r="G827" t="s">
        <v>802</v>
      </c>
      <c r="H827" t="s">
        <v>3091</v>
      </c>
      <c r="I827" t="s">
        <v>23</v>
      </c>
      <c r="J827" t="s">
        <v>214</v>
      </c>
      <c r="L827" t="b">
        <v>0</v>
      </c>
      <c r="M827" t="s">
        <v>258</v>
      </c>
      <c r="N827" t="s">
        <v>8245</v>
      </c>
      <c r="O827" s="1">
        <v>37134</v>
      </c>
      <c r="P827" t="s">
        <v>3108</v>
      </c>
      <c r="Q827" t="s">
        <v>2658</v>
      </c>
      <c r="S827" s="1">
        <v>45020.209027777775</v>
      </c>
      <c r="V827">
        <v>2001</v>
      </c>
      <c r="W827">
        <v>110.62</v>
      </c>
      <c r="X827">
        <v>0.6</v>
      </c>
      <c r="Y827" s="2">
        <v>2001244392042</v>
      </c>
      <c r="Z827">
        <v>61.9</v>
      </c>
      <c r="AA827">
        <v>101.9</v>
      </c>
      <c r="AB827">
        <v>24.3</v>
      </c>
      <c r="AC827">
        <v>59.1</v>
      </c>
      <c r="AD827">
        <v>60297396</v>
      </c>
    </row>
    <row r="828" spans="1:30" hidden="1" x14ac:dyDescent="0.45">
      <c r="A828">
        <v>818</v>
      </c>
      <c r="B828">
        <v>3500</v>
      </c>
      <c r="C828" t="s">
        <v>23</v>
      </c>
      <c r="D828" t="s">
        <v>3116</v>
      </c>
      <c r="E828">
        <v>64</v>
      </c>
      <c r="F828" t="s">
        <v>214</v>
      </c>
      <c r="G828" t="s">
        <v>2878</v>
      </c>
      <c r="H828" t="s">
        <v>3091</v>
      </c>
      <c r="I828" t="s">
        <v>23</v>
      </c>
      <c r="J828" t="s">
        <v>214</v>
      </c>
      <c r="L828" t="b">
        <v>0</v>
      </c>
      <c r="M828" t="s">
        <v>258</v>
      </c>
      <c r="N828" t="s">
        <v>8246</v>
      </c>
      <c r="O828" s="1">
        <v>21376</v>
      </c>
      <c r="P828" t="s">
        <v>3108</v>
      </c>
      <c r="Q828" t="s">
        <v>3117</v>
      </c>
      <c r="S828" s="1">
        <v>45020.209027777775</v>
      </c>
      <c r="V828">
        <v>1958</v>
      </c>
      <c r="W828">
        <v>110.62</v>
      </c>
      <c r="X828">
        <v>0.6</v>
      </c>
      <c r="Y828" s="2">
        <v>2001244392042</v>
      </c>
      <c r="Z828">
        <v>61.9</v>
      </c>
      <c r="AA828">
        <v>101.9</v>
      </c>
      <c r="AB828">
        <v>24.3</v>
      </c>
      <c r="AC828">
        <v>59.1</v>
      </c>
      <c r="AD828">
        <v>60297396</v>
      </c>
    </row>
    <row r="829" spans="1:30" hidden="1" x14ac:dyDescent="0.45">
      <c r="A829">
        <v>818</v>
      </c>
      <c r="B829">
        <v>3500</v>
      </c>
      <c r="C829" t="s">
        <v>23</v>
      </c>
      <c r="D829" t="s">
        <v>3118</v>
      </c>
      <c r="E829">
        <v>61</v>
      </c>
      <c r="F829" t="s">
        <v>3119</v>
      </c>
      <c r="G829" t="s">
        <v>3119</v>
      </c>
      <c r="H829" t="s">
        <v>3091</v>
      </c>
      <c r="I829" t="s">
        <v>23</v>
      </c>
      <c r="J829" t="s">
        <v>214</v>
      </c>
      <c r="L829" t="b">
        <v>0</v>
      </c>
      <c r="M829" t="s">
        <v>258</v>
      </c>
      <c r="N829" t="s">
        <v>8246</v>
      </c>
      <c r="O829" s="1">
        <v>22415</v>
      </c>
      <c r="P829" t="s">
        <v>3108</v>
      </c>
      <c r="Q829" t="s">
        <v>3120</v>
      </c>
      <c r="S829" s="1">
        <v>45020.209027777775</v>
      </c>
      <c r="V829">
        <v>1961</v>
      </c>
      <c r="W829">
        <v>115.09</v>
      </c>
      <c r="X829">
        <v>1.7</v>
      </c>
      <c r="Y829" s="2">
        <v>71104919108</v>
      </c>
      <c r="Z829">
        <v>19.2</v>
      </c>
      <c r="AA829">
        <v>102.3</v>
      </c>
      <c r="AB829">
        <v>26.5</v>
      </c>
      <c r="AC829">
        <v>20.399999999999999</v>
      </c>
      <c r="AD829">
        <v>645397</v>
      </c>
    </row>
    <row r="830" spans="1:30" hidden="1" x14ac:dyDescent="0.45">
      <c r="A830">
        <v>818</v>
      </c>
      <c r="B830">
        <v>3500</v>
      </c>
      <c r="C830" t="s">
        <v>61</v>
      </c>
      <c r="D830" t="s">
        <v>3121</v>
      </c>
      <c r="E830">
        <v>70</v>
      </c>
      <c r="F830" t="s">
        <v>194</v>
      </c>
      <c r="G830" t="s">
        <v>3122</v>
      </c>
      <c r="H830" t="s">
        <v>3123</v>
      </c>
      <c r="I830" t="s">
        <v>61</v>
      </c>
      <c r="J830" t="s">
        <v>194</v>
      </c>
      <c r="L830" t="b">
        <v>1</v>
      </c>
      <c r="M830" t="s">
        <v>39</v>
      </c>
      <c r="N830" t="s">
        <v>8245</v>
      </c>
      <c r="O830" s="1">
        <v>19323</v>
      </c>
      <c r="P830" t="s">
        <v>3124</v>
      </c>
      <c r="Q830" t="s">
        <v>3125</v>
      </c>
      <c r="S830" s="1">
        <v>45020.209027777775</v>
      </c>
      <c r="V830">
        <v>1952</v>
      </c>
      <c r="W830">
        <v>112.85</v>
      </c>
      <c r="X830">
        <v>1.4</v>
      </c>
      <c r="Y830" s="2">
        <v>3845630030824</v>
      </c>
      <c r="Z830">
        <v>70.2</v>
      </c>
      <c r="AA830">
        <v>104</v>
      </c>
      <c r="AB830">
        <v>11.5</v>
      </c>
      <c r="AC830">
        <v>48.8</v>
      </c>
      <c r="AD830">
        <v>83132799</v>
      </c>
    </row>
    <row r="831" spans="1:30" hidden="1" x14ac:dyDescent="0.45">
      <c r="A831">
        <v>818</v>
      </c>
      <c r="B831">
        <v>3500</v>
      </c>
      <c r="C831" t="s">
        <v>23</v>
      </c>
      <c r="D831" t="s">
        <v>3126</v>
      </c>
      <c r="E831">
        <v>57</v>
      </c>
      <c r="F831" t="s">
        <v>128</v>
      </c>
      <c r="G831" t="s">
        <v>3127</v>
      </c>
      <c r="H831" t="s">
        <v>3128</v>
      </c>
      <c r="I831" t="s">
        <v>23</v>
      </c>
      <c r="J831" t="s">
        <v>128</v>
      </c>
      <c r="L831" t="b">
        <v>1</v>
      </c>
      <c r="M831" t="s">
        <v>258</v>
      </c>
      <c r="N831" t="s">
        <v>8246</v>
      </c>
      <c r="O831" s="1">
        <v>24108</v>
      </c>
      <c r="P831" t="s">
        <v>3129</v>
      </c>
      <c r="Q831" t="s">
        <v>3130</v>
      </c>
      <c r="S831" s="1">
        <v>45020.209027777775</v>
      </c>
      <c r="V831">
        <v>1966</v>
      </c>
      <c r="W831">
        <v>125.08</v>
      </c>
      <c r="X831">
        <v>2.9</v>
      </c>
      <c r="Y831" s="2">
        <v>19910000000000</v>
      </c>
      <c r="Z831">
        <v>50.6</v>
      </c>
      <c r="AA831">
        <v>100.2</v>
      </c>
      <c r="AB831">
        <v>9.4</v>
      </c>
      <c r="AC831">
        <v>59.2</v>
      </c>
      <c r="AD831">
        <v>1397715000</v>
      </c>
    </row>
    <row r="832" spans="1:30" hidden="1" x14ac:dyDescent="0.45">
      <c r="A832">
        <v>818</v>
      </c>
      <c r="B832">
        <v>3500</v>
      </c>
      <c r="C832" t="s">
        <v>45</v>
      </c>
      <c r="D832" t="s">
        <v>3131</v>
      </c>
      <c r="E832">
        <v>58</v>
      </c>
      <c r="F832" t="s">
        <v>35</v>
      </c>
      <c r="G832" t="s">
        <v>3132</v>
      </c>
      <c r="H832" t="s">
        <v>856</v>
      </c>
      <c r="I832" t="s">
        <v>45</v>
      </c>
      <c r="J832" t="s">
        <v>35</v>
      </c>
      <c r="L832" t="b">
        <v>1</v>
      </c>
      <c r="M832" t="s">
        <v>29</v>
      </c>
      <c r="N832" t="s">
        <v>8245</v>
      </c>
      <c r="O832" s="1">
        <v>23799</v>
      </c>
      <c r="P832" t="s">
        <v>3133</v>
      </c>
      <c r="Q832" t="s">
        <v>608</v>
      </c>
      <c r="S832" s="1">
        <v>45020.209027777775</v>
      </c>
      <c r="T832" t="s">
        <v>115</v>
      </c>
      <c r="U832" t="s">
        <v>53</v>
      </c>
      <c r="V832">
        <v>1965</v>
      </c>
      <c r="W832">
        <v>117.24</v>
      </c>
      <c r="X832">
        <v>7.5</v>
      </c>
      <c r="Y832" s="2">
        <v>21427700000000</v>
      </c>
      <c r="Z832">
        <v>88.2</v>
      </c>
      <c r="AA832">
        <v>101.8</v>
      </c>
      <c r="AB832">
        <v>9.6</v>
      </c>
      <c r="AC832">
        <v>36.6</v>
      </c>
      <c r="AD832">
        <v>328239523</v>
      </c>
    </row>
    <row r="833" spans="1:30" hidden="1" x14ac:dyDescent="0.45">
      <c r="A833">
        <v>818</v>
      </c>
      <c r="B833">
        <v>3500</v>
      </c>
      <c r="C833" t="s">
        <v>347</v>
      </c>
      <c r="D833" t="s">
        <v>3134</v>
      </c>
      <c r="E833">
        <v>65</v>
      </c>
      <c r="F833" t="s">
        <v>363</v>
      </c>
      <c r="G833" t="s">
        <v>381</v>
      </c>
      <c r="H833" t="s">
        <v>3135</v>
      </c>
      <c r="I833" t="s">
        <v>347</v>
      </c>
      <c r="J833" t="s">
        <v>363</v>
      </c>
      <c r="L833" t="b">
        <v>1</v>
      </c>
      <c r="M833" t="s">
        <v>29</v>
      </c>
      <c r="N833" t="s">
        <v>8245</v>
      </c>
      <c r="O833" s="1">
        <v>21253</v>
      </c>
      <c r="P833" t="s">
        <v>3136</v>
      </c>
      <c r="Q833" t="s">
        <v>738</v>
      </c>
      <c r="S833" s="1">
        <v>45020.209027777775</v>
      </c>
      <c r="V833">
        <v>1958</v>
      </c>
      <c r="W833">
        <v>180.75</v>
      </c>
      <c r="X833">
        <v>4.5</v>
      </c>
      <c r="Y833" s="2">
        <v>1699876578871</v>
      </c>
      <c r="Z833">
        <v>81.900000000000006</v>
      </c>
      <c r="AA833">
        <v>102.6</v>
      </c>
      <c r="AB833">
        <v>11.4</v>
      </c>
      <c r="AC833">
        <v>46.2</v>
      </c>
      <c r="AD833">
        <v>144373535</v>
      </c>
    </row>
    <row r="834" spans="1:30" hidden="1" x14ac:dyDescent="0.45">
      <c r="A834">
        <v>818</v>
      </c>
      <c r="B834">
        <v>3500</v>
      </c>
      <c r="C834" t="s">
        <v>296</v>
      </c>
      <c r="D834" t="s">
        <v>3137</v>
      </c>
      <c r="E834">
        <v>81</v>
      </c>
      <c r="F834" t="s">
        <v>228</v>
      </c>
      <c r="G834" t="s">
        <v>228</v>
      </c>
      <c r="H834" t="s">
        <v>3138</v>
      </c>
      <c r="I834" t="s">
        <v>296</v>
      </c>
      <c r="J834" t="s">
        <v>228</v>
      </c>
      <c r="L834" t="b">
        <v>1</v>
      </c>
      <c r="M834" t="s">
        <v>39</v>
      </c>
      <c r="N834" t="s">
        <v>8245</v>
      </c>
      <c r="O834" s="1">
        <v>15342</v>
      </c>
      <c r="P834" t="s">
        <v>305</v>
      </c>
      <c r="Q834" t="s">
        <v>1213</v>
      </c>
      <c r="S834" s="1">
        <v>45020.209027777775</v>
      </c>
      <c r="V834">
        <v>1942</v>
      </c>
      <c r="W834"/>
      <c r="Y834"/>
    </row>
    <row r="835" spans="1:30" hidden="1" x14ac:dyDescent="0.45">
      <c r="A835">
        <v>818</v>
      </c>
      <c r="B835">
        <v>3500</v>
      </c>
      <c r="C835" t="s">
        <v>126</v>
      </c>
      <c r="D835" t="s">
        <v>3139</v>
      </c>
      <c r="E835">
        <v>54</v>
      </c>
      <c r="F835" t="s">
        <v>128</v>
      </c>
      <c r="G835" t="s">
        <v>187</v>
      </c>
      <c r="H835" t="s">
        <v>3140</v>
      </c>
      <c r="I835" t="s">
        <v>126</v>
      </c>
      <c r="J835" t="s">
        <v>128</v>
      </c>
      <c r="L835" t="b">
        <v>1</v>
      </c>
      <c r="M835" t="s">
        <v>39</v>
      </c>
      <c r="N835" t="s">
        <v>8245</v>
      </c>
      <c r="O835" s="1">
        <v>25204</v>
      </c>
      <c r="P835" t="s">
        <v>3141</v>
      </c>
      <c r="Q835" t="s">
        <v>3142</v>
      </c>
      <c r="S835" s="1">
        <v>45020.209027777775</v>
      </c>
      <c r="V835">
        <v>1969</v>
      </c>
      <c r="W835">
        <v>125.08</v>
      </c>
      <c r="X835">
        <v>2.9</v>
      </c>
      <c r="Y835" s="2">
        <v>19910000000000</v>
      </c>
      <c r="Z835">
        <v>50.6</v>
      </c>
      <c r="AA835">
        <v>100.2</v>
      </c>
      <c r="AB835">
        <v>9.4</v>
      </c>
      <c r="AC835">
        <v>59.2</v>
      </c>
      <c r="AD835">
        <v>1397715000</v>
      </c>
    </row>
    <row r="836" spans="1:30" x14ac:dyDescent="0.45">
      <c r="A836">
        <v>818</v>
      </c>
      <c r="B836" s="6">
        <v>3500</v>
      </c>
      <c r="C836" t="s">
        <v>61</v>
      </c>
      <c r="D836" t="s">
        <v>3143</v>
      </c>
      <c r="E836">
        <v>61</v>
      </c>
      <c r="F836" t="s">
        <v>35</v>
      </c>
      <c r="G836" t="s">
        <v>78</v>
      </c>
      <c r="H836" t="s">
        <v>248</v>
      </c>
      <c r="I836" t="s">
        <v>61</v>
      </c>
      <c r="J836" t="s">
        <v>35</v>
      </c>
      <c r="K836" t="s">
        <v>3144</v>
      </c>
      <c r="L836" t="b">
        <v>1</v>
      </c>
      <c r="M836" t="s">
        <v>39</v>
      </c>
      <c r="N836" t="s">
        <v>8245</v>
      </c>
      <c r="O836" s="10">
        <v>22633</v>
      </c>
      <c r="P836" t="s">
        <v>3145</v>
      </c>
      <c r="Q836" t="s">
        <v>520</v>
      </c>
      <c r="R836" t="s">
        <v>688</v>
      </c>
      <c r="S836" s="8">
        <v>45020.209027777775</v>
      </c>
      <c r="T836" t="s">
        <v>78</v>
      </c>
      <c r="U836" t="s">
        <v>82</v>
      </c>
      <c r="V836">
        <v>1961</v>
      </c>
      <c r="W836" s="12">
        <v>117.24</v>
      </c>
      <c r="X836">
        <v>7.5</v>
      </c>
      <c r="Y836" s="14">
        <v>21427700000000</v>
      </c>
      <c r="Z836">
        <v>88.2</v>
      </c>
      <c r="AA836">
        <v>101.8</v>
      </c>
      <c r="AB836">
        <v>9.6</v>
      </c>
      <c r="AC836">
        <v>36.6</v>
      </c>
      <c r="AD836">
        <v>328239523</v>
      </c>
    </row>
    <row r="837" spans="1:30" hidden="1" x14ac:dyDescent="0.45">
      <c r="A837">
        <v>818</v>
      </c>
      <c r="B837">
        <v>3500</v>
      </c>
      <c r="C837" t="s">
        <v>126</v>
      </c>
      <c r="D837" t="s">
        <v>3146</v>
      </c>
      <c r="E837">
        <v>60</v>
      </c>
      <c r="F837" t="s">
        <v>205</v>
      </c>
      <c r="G837" t="s">
        <v>3147</v>
      </c>
      <c r="H837" t="s">
        <v>663</v>
      </c>
      <c r="I837" t="s">
        <v>126</v>
      </c>
      <c r="J837" t="s">
        <v>205</v>
      </c>
      <c r="K837" t="s">
        <v>3148</v>
      </c>
      <c r="L837" t="b">
        <v>0</v>
      </c>
      <c r="M837" t="s">
        <v>39</v>
      </c>
      <c r="N837" t="s">
        <v>8246</v>
      </c>
      <c r="O837" s="1">
        <v>22798</v>
      </c>
      <c r="P837" t="s">
        <v>3149</v>
      </c>
      <c r="Q837" t="s">
        <v>3150</v>
      </c>
      <c r="R837" t="s">
        <v>1639</v>
      </c>
      <c r="S837" s="1">
        <v>45020.209027777775</v>
      </c>
      <c r="V837">
        <v>1962</v>
      </c>
      <c r="W837">
        <v>99.55</v>
      </c>
      <c r="X837">
        <v>0.4</v>
      </c>
      <c r="Y837" s="2">
        <v>703082435360</v>
      </c>
      <c r="Z837">
        <v>59.6</v>
      </c>
      <c r="AA837">
        <v>105.2</v>
      </c>
      <c r="AB837">
        <v>10.1</v>
      </c>
      <c r="AC837">
        <v>28.8</v>
      </c>
      <c r="AD837">
        <v>8574832</v>
      </c>
    </row>
    <row r="838" spans="1:30" hidden="1" x14ac:dyDescent="0.45">
      <c r="A838">
        <v>818</v>
      </c>
      <c r="B838">
        <v>3500</v>
      </c>
      <c r="C838" t="s">
        <v>402</v>
      </c>
      <c r="D838" t="s">
        <v>3151</v>
      </c>
      <c r="E838">
        <v>90</v>
      </c>
      <c r="F838" t="s">
        <v>628</v>
      </c>
      <c r="G838" t="s">
        <v>629</v>
      </c>
      <c r="H838" t="s">
        <v>467</v>
      </c>
      <c r="I838" t="s">
        <v>402</v>
      </c>
      <c r="J838" t="s">
        <v>628</v>
      </c>
      <c r="L838" t="b">
        <v>1</v>
      </c>
      <c r="M838" t="s">
        <v>29</v>
      </c>
      <c r="N838" t="s">
        <v>8245</v>
      </c>
      <c r="O838" s="1">
        <v>12139</v>
      </c>
      <c r="P838" t="s">
        <v>3152</v>
      </c>
      <c r="Q838" t="s">
        <v>3153</v>
      </c>
      <c r="S838" s="1">
        <v>45020.209027777775</v>
      </c>
      <c r="V838">
        <v>1933</v>
      </c>
      <c r="W838">
        <v>113.27</v>
      </c>
      <c r="X838">
        <v>0.7</v>
      </c>
      <c r="Y838" s="2">
        <v>543649976166</v>
      </c>
      <c r="Z838">
        <v>49.3</v>
      </c>
      <c r="AA838">
        <v>99.8</v>
      </c>
      <c r="AB838">
        <v>14.9</v>
      </c>
      <c r="AC838">
        <v>29.5</v>
      </c>
      <c r="AD838">
        <v>69625582</v>
      </c>
    </row>
    <row r="839" spans="1:30" hidden="1" x14ac:dyDescent="0.45">
      <c r="A839">
        <v>818</v>
      </c>
      <c r="B839">
        <v>3500</v>
      </c>
      <c r="C839" t="s">
        <v>61</v>
      </c>
      <c r="D839" t="s">
        <v>3154</v>
      </c>
      <c r="E839">
        <v>88</v>
      </c>
      <c r="F839" t="s">
        <v>35</v>
      </c>
      <c r="G839" t="s">
        <v>78</v>
      </c>
      <c r="H839" t="s">
        <v>317</v>
      </c>
      <c r="I839" t="s">
        <v>61</v>
      </c>
      <c r="J839" t="s">
        <v>35</v>
      </c>
      <c r="L839" t="b">
        <v>1</v>
      </c>
      <c r="M839" t="s">
        <v>39</v>
      </c>
      <c r="N839" t="s">
        <v>8245</v>
      </c>
      <c r="O839" s="1">
        <v>12570</v>
      </c>
      <c r="P839" t="s">
        <v>3155</v>
      </c>
      <c r="Q839" t="s">
        <v>3156</v>
      </c>
      <c r="S839" s="1">
        <v>45020.209027777775</v>
      </c>
      <c r="T839" t="s">
        <v>78</v>
      </c>
      <c r="U839" t="s">
        <v>82</v>
      </c>
      <c r="V839">
        <v>1934</v>
      </c>
      <c r="W839">
        <v>117.24</v>
      </c>
      <c r="X839">
        <v>7.5</v>
      </c>
      <c r="Y839" s="2">
        <v>21427700000000</v>
      </c>
      <c r="Z839">
        <v>88.2</v>
      </c>
      <c r="AA839">
        <v>101.8</v>
      </c>
      <c r="AB839">
        <v>9.6</v>
      </c>
      <c r="AC839">
        <v>36.6</v>
      </c>
      <c r="AD839">
        <v>328239523</v>
      </c>
    </row>
    <row r="840" spans="1:30" hidden="1" x14ac:dyDescent="0.45">
      <c r="A840">
        <v>818</v>
      </c>
      <c r="B840">
        <v>3500</v>
      </c>
      <c r="C840" t="s">
        <v>23</v>
      </c>
      <c r="D840" t="s">
        <v>3157</v>
      </c>
      <c r="E840">
        <v>76</v>
      </c>
      <c r="F840" t="s">
        <v>194</v>
      </c>
      <c r="G840" t="s">
        <v>3158</v>
      </c>
      <c r="H840" t="s">
        <v>1155</v>
      </c>
      <c r="I840" t="s">
        <v>23</v>
      </c>
      <c r="J840" t="s">
        <v>194</v>
      </c>
      <c r="L840" t="b">
        <v>1</v>
      </c>
      <c r="M840" t="s">
        <v>29</v>
      </c>
      <c r="N840" t="s">
        <v>8245</v>
      </c>
      <c r="O840" s="1">
        <v>17052</v>
      </c>
      <c r="P840" t="s">
        <v>3159</v>
      </c>
      <c r="Q840" t="s">
        <v>1884</v>
      </c>
      <c r="S840" s="1">
        <v>45020.209027777775</v>
      </c>
      <c r="V840">
        <v>1946</v>
      </c>
      <c r="W840">
        <v>112.85</v>
      </c>
      <c r="X840">
        <v>1.4</v>
      </c>
      <c r="Y840" s="2">
        <v>3845630030824</v>
      </c>
      <c r="Z840">
        <v>70.2</v>
      </c>
      <c r="AA840">
        <v>104</v>
      </c>
      <c r="AB840">
        <v>11.5</v>
      </c>
      <c r="AC840">
        <v>48.8</v>
      </c>
      <c r="AD840">
        <v>83132799</v>
      </c>
    </row>
    <row r="841" spans="1:30" hidden="1" x14ac:dyDescent="0.45">
      <c r="A841">
        <v>818</v>
      </c>
      <c r="B841">
        <v>3500</v>
      </c>
      <c r="C841" t="s">
        <v>689</v>
      </c>
      <c r="D841" t="s">
        <v>3160</v>
      </c>
      <c r="E841">
        <v>71</v>
      </c>
      <c r="F841" t="s">
        <v>363</v>
      </c>
      <c r="G841" t="s">
        <v>381</v>
      </c>
      <c r="H841" t="s">
        <v>3161</v>
      </c>
      <c r="I841" t="s">
        <v>689</v>
      </c>
      <c r="J841" t="s">
        <v>363</v>
      </c>
      <c r="L841" t="b">
        <v>1</v>
      </c>
      <c r="M841" t="s">
        <v>29</v>
      </c>
      <c r="N841" t="s">
        <v>8245</v>
      </c>
      <c r="O841" s="1">
        <v>18977</v>
      </c>
      <c r="P841" t="s">
        <v>3162</v>
      </c>
      <c r="Q841" t="s">
        <v>3163</v>
      </c>
      <c r="S841" s="1">
        <v>45020.209027777775</v>
      </c>
      <c r="V841">
        <v>1951</v>
      </c>
      <c r="W841">
        <v>180.75</v>
      </c>
      <c r="X841">
        <v>4.5</v>
      </c>
      <c r="Y841" s="2">
        <v>1699876578871</v>
      </c>
      <c r="Z841">
        <v>81.900000000000006</v>
      </c>
      <c r="AA841">
        <v>102.6</v>
      </c>
      <c r="AB841">
        <v>11.4</v>
      </c>
      <c r="AC841">
        <v>46.2</v>
      </c>
      <c r="AD841">
        <v>144373535</v>
      </c>
    </row>
    <row r="842" spans="1:30" hidden="1" x14ac:dyDescent="0.45">
      <c r="A842">
        <v>818</v>
      </c>
      <c r="B842">
        <v>3500</v>
      </c>
      <c r="C842" t="s">
        <v>23</v>
      </c>
      <c r="D842" t="s">
        <v>3164</v>
      </c>
      <c r="E842">
        <v>61</v>
      </c>
      <c r="F842" t="s">
        <v>214</v>
      </c>
      <c r="G842" t="s">
        <v>3165</v>
      </c>
      <c r="H842" t="s">
        <v>3166</v>
      </c>
      <c r="I842" t="s">
        <v>23</v>
      </c>
      <c r="J842" t="s">
        <v>214</v>
      </c>
      <c r="L842" t="b">
        <v>1</v>
      </c>
      <c r="M842" t="s">
        <v>29</v>
      </c>
      <c r="N842" t="s">
        <v>8245</v>
      </c>
      <c r="O842" s="1">
        <v>22520</v>
      </c>
      <c r="P842" t="s">
        <v>3167</v>
      </c>
      <c r="Q842" t="s">
        <v>3168</v>
      </c>
      <c r="S842" s="1">
        <v>45020.209027777775</v>
      </c>
      <c r="V842">
        <v>1961</v>
      </c>
      <c r="W842">
        <v>110.62</v>
      </c>
      <c r="X842">
        <v>0.6</v>
      </c>
      <c r="Y842" s="2">
        <v>2001244392042</v>
      </c>
      <c r="Z842">
        <v>61.9</v>
      </c>
      <c r="AA842">
        <v>101.9</v>
      </c>
      <c r="AB842">
        <v>24.3</v>
      </c>
      <c r="AC842">
        <v>59.1</v>
      </c>
      <c r="AD842">
        <v>60297396</v>
      </c>
    </row>
    <row r="843" spans="1:30" hidden="1" x14ac:dyDescent="0.45">
      <c r="A843">
        <v>818</v>
      </c>
      <c r="B843">
        <v>3500</v>
      </c>
      <c r="C843" t="s">
        <v>402</v>
      </c>
      <c r="D843" t="s">
        <v>3169</v>
      </c>
      <c r="F843" t="s">
        <v>194</v>
      </c>
      <c r="G843" t="s">
        <v>3170</v>
      </c>
      <c r="H843" t="s">
        <v>3171</v>
      </c>
      <c r="I843" t="s">
        <v>402</v>
      </c>
      <c r="J843" t="s">
        <v>194</v>
      </c>
      <c r="L843" t="b">
        <v>0</v>
      </c>
      <c r="M843" t="s">
        <v>29</v>
      </c>
      <c r="N843" t="s">
        <v>8246</v>
      </c>
      <c r="O843"/>
      <c r="P843" t="s">
        <v>3172</v>
      </c>
      <c r="Q843" t="s">
        <v>3173</v>
      </c>
      <c r="S843" s="1">
        <v>45020.209027777775</v>
      </c>
      <c r="W843">
        <v>112.85</v>
      </c>
      <c r="X843">
        <v>1.4</v>
      </c>
      <c r="Y843" s="2">
        <v>3845630030824</v>
      </c>
      <c r="Z843">
        <v>70.2</v>
      </c>
      <c r="AA843">
        <v>104</v>
      </c>
      <c r="AB843">
        <v>11.5</v>
      </c>
      <c r="AC843">
        <v>48.8</v>
      </c>
      <c r="AD843">
        <v>83132799</v>
      </c>
    </row>
    <row r="844" spans="1:30" hidden="1" x14ac:dyDescent="0.45">
      <c r="A844">
        <v>818</v>
      </c>
      <c r="B844">
        <v>3500</v>
      </c>
      <c r="C844" t="s">
        <v>33</v>
      </c>
      <c r="D844" t="s">
        <v>3174</v>
      </c>
      <c r="E844">
        <v>66</v>
      </c>
      <c r="F844" t="s">
        <v>93</v>
      </c>
      <c r="G844" t="s">
        <v>343</v>
      </c>
      <c r="H844" t="s">
        <v>752</v>
      </c>
      <c r="I844" t="s">
        <v>33</v>
      </c>
      <c r="J844" t="s">
        <v>328</v>
      </c>
      <c r="L844" t="b">
        <v>1</v>
      </c>
      <c r="M844" t="s">
        <v>29</v>
      </c>
      <c r="N844" t="s">
        <v>8245</v>
      </c>
      <c r="O844" s="1">
        <v>20726</v>
      </c>
      <c r="P844" t="s">
        <v>3175</v>
      </c>
      <c r="Q844" t="s">
        <v>3176</v>
      </c>
      <c r="S844" s="1">
        <v>45020.209027777775</v>
      </c>
      <c r="V844">
        <v>1956</v>
      </c>
      <c r="W844">
        <v>180.44</v>
      </c>
      <c r="X844">
        <v>7.7</v>
      </c>
      <c r="Y844" s="2">
        <v>2611000000000</v>
      </c>
      <c r="Z844">
        <v>28.1</v>
      </c>
      <c r="AA844">
        <v>113</v>
      </c>
      <c r="AB844">
        <v>11.2</v>
      </c>
      <c r="AC844">
        <v>49.7</v>
      </c>
      <c r="AD844">
        <v>1366417754</v>
      </c>
    </row>
    <row r="845" spans="1:30" x14ac:dyDescent="0.45">
      <c r="A845">
        <v>818</v>
      </c>
      <c r="B845" s="6">
        <v>3500</v>
      </c>
      <c r="C845" t="s">
        <v>61</v>
      </c>
      <c r="D845" t="s">
        <v>3177</v>
      </c>
      <c r="E845">
        <v>45</v>
      </c>
      <c r="F845" t="s">
        <v>35</v>
      </c>
      <c r="G845" t="s">
        <v>78</v>
      </c>
      <c r="H845" t="s">
        <v>930</v>
      </c>
      <c r="I845" t="s">
        <v>61</v>
      </c>
      <c r="J845" t="s">
        <v>35</v>
      </c>
      <c r="K845" t="s">
        <v>1120</v>
      </c>
      <c r="L845" t="b">
        <v>1</v>
      </c>
      <c r="M845" t="s">
        <v>39</v>
      </c>
      <c r="N845" t="s">
        <v>8245</v>
      </c>
      <c r="O845" s="10">
        <v>28290</v>
      </c>
      <c r="P845" t="s">
        <v>3178</v>
      </c>
      <c r="Q845" t="s">
        <v>373</v>
      </c>
      <c r="R845" t="s">
        <v>688</v>
      </c>
      <c r="S845" s="8">
        <v>45020.209027777775</v>
      </c>
      <c r="T845" t="s">
        <v>78</v>
      </c>
      <c r="U845" t="s">
        <v>82</v>
      </c>
      <c r="V845">
        <v>1977</v>
      </c>
      <c r="W845" s="12">
        <v>117.24</v>
      </c>
      <c r="X845">
        <v>7.5</v>
      </c>
      <c r="Y845" s="14">
        <v>21427700000000</v>
      </c>
      <c r="Z845">
        <v>88.2</v>
      </c>
      <c r="AA845">
        <v>101.8</v>
      </c>
      <c r="AB845">
        <v>9.6</v>
      </c>
      <c r="AC845">
        <v>36.6</v>
      </c>
      <c r="AD845">
        <v>328239523</v>
      </c>
    </row>
    <row r="846" spans="1:30" hidden="1" x14ac:dyDescent="0.45">
      <c r="A846">
        <v>818</v>
      </c>
      <c r="B846">
        <v>3500</v>
      </c>
      <c r="C846" t="s">
        <v>45</v>
      </c>
      <c r="D846" t="s">
        <v>3179</v>
      </c>
      <c r="E846">
        <v>70</v>
      </c>
      <c r="F846" t="s">
        <v>35</v>
      </c>
      <c r="G846" t="s">
        <v>1022</v>
      </c>
      <c r="H846" t="s">
        <v>865</v>
      </c>
      <c r="I846" t="s">
        <v>45</v>
      </c>
      <c r="J846" t="s">
        <v>35</v>
      </c>
      <c r="L846" t="b">
        <v>1</v>
      </c>
      <c r="M846" t="s">
        <v>611</v>
      </c>
      <c r="N846" t="s">
        <v>8245</v>
      </c>
      <c r="O846" s="1">
        <v>19320</v>
      </c>
      <c r="P846" t="s">
        <v>3180</v>
      </c>
      <c r="Q846" t="s">
        <v>358</v>
      </c>
      <c r="S846" s="1">
        <v>45020.209027777775</v>
      </c>
      <c r="T846" t="s">
        <v>115</v>
      </c>
      <c r="U846" t="s">
        <v>53</v>
      </c>
      <c r="V846">
        <v>1952</v>
      </c>
      <c r="W846">
        <v>117.24</v>
      </c>
      <c r="X846">
        <v>7.5</v>
      </c>
      <c r="Y846" s="2">
        <v>21427700000000</v>
      </c>
      <c r="Z846">
        <v>88.2</v>
      </c>
      <c r="AA846">
        <v>101.8</v>
      </c>
      <c r="AB846">
        <v>9.6</v>
      </c>
      <c r="AC846">
        <v>36.6</v>
      </c>
      <c r="AD846">
        <v>328239523</v>
      </c>
    </row>
    <row r="847" spans="1:30" hidden="1" x14ac:dyDescent="0.45">
      <c r="A847">
        <v>818</v>
      </c>
      <c r="B847">
        <v>3500</v>
      </c>
      <c r="C847" t="s">
        <v>296</v>
      </c>
      <c r="D847" t="s">
        <v>3181</v>
      </c>
      <c r="E847">
        <v>75</v>
      </c>
      <c r="F847" t="s">
        <v>641</v>
      </c>
      <c r="G847" t="s">
        <v>3182</v>
      </c>
      <c r="H847" t="s">
        <v>296</v>
      </c>
      <c r="I847" t="s">
        <v>296</v>
      </c>
      <c r="J847" t="s">
        <v>641</v>
      </c>
      <c r="L847" t="b">
        <v>0</v>
      </c>
      <c r="M847" t="s">
        <v>29</v>
      </c>
      <c r="N847" t="s">
        <v>8245</v>
      </c>
      <c r="O847" s="1">
        <v>17402</v>
      </c>
      <c r="P847" t="s">
        <v>3183</v>
      </c>
      <c r="Q847" t="s">
        <v>3184</v>
      </c>
      <c r="S847" s="1">
        <v>45020.209027777775</v>
      </c>
      <c r="V847">
        <v>1947</v>
      </c>
      <c r="W847">
        <v>115.91</v>
      </c>
      <c r="X847">
        <v>2.6</v>
      </c>
      <c r="Y847" s="2">
        <v>909070395161</v>
      </c>
      <c r="Z847">
        <v>85</v>
      </c>
      <c r="AA847">
        <v>104.2</v>
      </c>
      <c r="AB847">
        <v>23</v>
      </c>
      <c r="AC847">
        <v>41.2</v>
      </c>
      <c r="AD847">
        <v>17332850</v>
      </c>
    </row>
    <row r="848" spans="1:30" hidden="1" x14ac:dyDescent="0.45">
      <c r="A848">
        <v>818</v>
      </c>
      <c r="B848">
        <v>3500</v>
      </c>
      <c r="C848" t="s">
        <v>91</v>
      </c>
      <c r="D848" t="s">
        <v>3185</v>
      </c>
      <c r="E848">
        <v>58</v>
      </c>
      <c r="F848" t="s">
        <v>128</v>
      </c>
      <c r="G848" t="s">
        <v>187</v>
      </c>
      <c r="H848" t="s">
        <v>1708</v>
      </c>
      <c r="I848" t="s">
        <v>91</v>
      </c>
      <c r="J848" t="s">
        <v>128</v>
      </c>
      <c r="L848" t="b">
        <v>1</v>
      </c>
      <c r="M848" t="s">
        <v>39</v>
      </c>
      <c r="N848" t="s">
        <v>8245</v>
      </c>
      <c r="O848" s="1">
        <v>23559</v>
      </c>
      <c r="P848" t="s">
        <v>3186</v>
      </c>
      <c r="Q848" t="s">
        <v>3187</v>
      </c>
      <c r="S848" s="1">
        <v>45020.209027777775</v>
      </c>
      <c r="V848">
        <v>1964</v>
      </c>
      <c r="W848">
        <v>125.08</v>
      </c>
      <c r="X848">
        <v>2.9</v>
      </c>
      <c r="Y848" s="2">
        <v>19910000000000</v>
      </c>
      <c r="Z848">
        <v>50.6</v>
      </c>
      <c r="AA848">
        <v>100.2</v>
      </c>
      <c r="AB848">
        <v>9.4</v>
      </c>
      <c r="AC848">
        <v>59.2</v>
      </c>
      <c r="AD848">
        <v>1397715000</v>
      </c>
    </row>
    <row r="849" spans="1:30" hidden="1" x14ac:dyDescent="0.45">
      <c r="A849">
        <v>818</v>
      </c>
      <c r="B849">
        <v>3500</v>
      </c>
      <c r="C849" t="s">
        <v>45</v>
      </c>
      <c r="D849" t="s">
        <v>3188</v>
      </c>
      <c r="E849">
        <v>54</v>
      </c>
      <c r="F849" t="s">
        <v>35</v>
      </c>
      <c r="G849" t="s">
        <v>2704</v>
      </c>
      <c r="H849" t="s">
        <v>2705</v>
      </c>
      <c r="I849" t="s">
        <v>45</v>
      </c>
      <c r="J849" t="s">
        <v>35</v>
      </c>
      <c r="L849" t="b">
        <v>1</v>
      </c>
      <c r="M849" t="s">
        <v>29</v>
      </c>
      <c r="N849" t="s">
        <v>8245</v>
      </c>
      <c r="O849" s="1">
        <v>25254</v>
      </c>
      <c r="P849" t="s">
        <v>2706</v>
      </c>
      <c r="Q849" t="s">
        <v>81</v>
      </c>
      <c r="S849" s="1">
        <v>45020.209027777775</v>
      </c>
      <c r="T849" t="s">
        <v>115</v>
      </c>
      <c r="U849" t="s">
        <v>53</v>
      </c>
      <c r="V849">
        <v>1969</v>
      </c>
      <c r="W849">
        <v>117.24</v>
      </c>
      <c r="X849">
        <v>7.5</v>
      </c>
      <c r="Y849" s="2">
        <v>21427700000000</v>
      </c>
      <c r="Z849">
        <v>88.2</v>
      </c>
      <c r="AA849">
        <v>101.8</v>
      </c>
      <c r="AB849">
        <v>9.6</v>
      </c>
      <c r="AC849">
        <v>36.6</v>
      </c>
      <c r="AD849">
        <v>328239523</v>
      </c>
    </row>
    <row r="850" spans="1:30" hidden="1" x14ac:dyDescent="0.45">
      <c r="A850">
        <v>818</v>
      </c>
      <c r="B850">
        <v>3500</v>
      </c>
      <c r="C850" t="s">
        <v>203</v>
      </c>
      <c r="D850" t="s">
        <v>3189</v>
      </c>
      <c r="E850">
        <v>65</v>
      </c>
      <c r="F850" t="s">
        <v>128</v>
      </c>
      <c r="G850" t="s">
        <v>3190</v>
      </c>
      <c r="H850" t="s">
        <v>207</v>
      </c>
      <c r="I850" t="s">
        <v>203</v>
      </c>
      <c r="J850" t="s">
        <v>128</v>
      </c>
      <c r="L850" t="b">
        <v>1</v>
      </c>
      <c r="M850" t="s">
        <v>39</v>
      </c>
      <c r="N850" t="s">
        <v>8245</v>
      </c>
      <c r="O850" s="1">
        <v>21186</v>
      </c>
      <c r="P850" t="s">
        <v>1179</v>
      </c>
      <c r="Q850" t="s">
        <v>3191</v>
      </c>
      <c r="S850" s="1">
        <v>45020.209027777775</v>
      </c>
      <c r="V850">
        <v>1958</v>
      </c>
      <c r="W850">
        <v>125.08</v>
      </c>
      <c r="X850">
        <v>2.9</v>
      </c>
      <c r="Y850" s="2">
        <v>19910000000000</v>
      </c>
      <c r="Z850">
        <v>50.6</v>
      </c>
      <c r="AA850">
        <v>100.2</v>
      </c>
      <c r="AB850">
        <v>9.4</v>
      </c>
      <c r="AC850">
        <v>59.2</v>
      </c>
      <c r="AD850">
        <v>1397715000</v>
      </c>
    </row>
    <row r="851" spans="1:30" hidden="1" x14ac:dyDescent="0.45">
      <c r="A851">
        <v>818</v>
      </c>
      <c r="B851">
        <v>3500</v>
      </c>
      <c r="C851" t="s">
        <v>23</v>
      </c>
      <c r="D851" t="s">
        <v>3192</v>
      </c>
      <c r="E851">
        <v>65</v>
      </c>
      <c r="F851" t="s">
        <v>487</v>
      </c>
      <c r="G851" t="s">
        <v>487</v>
      </c>
      <c r="H851" t="s">
        <v>3091</v>
      </c>
      <c r="I851" t="s">
        <v>23</v>
      </c>
      <c r="J851" t="s">
        <v>214</v>
      </c>
      <c r="L851" t="b">
        <v>0</v>
      </c>
      <c r="M851" t="s">
        <v>258</v>
      </c>
      <c r="N851" t="s">
        <v>8246</v>
      </c>
      <c r="O851" s="1">
        <v>21272</v>
      </c>
      <c r="P851" t="s">
        <v>3193</v>
      </c>
      <c r="Q851" t="s">
        <v>3194</v>
      </c>
      <c r="S851" s="1">
        <v>45020.209027777775</v>
      </c>
      <c r="V851">
        <v>1958</v>
      </c>
      <c r="W851"/>
      <c r="Y851" s="2">
        <v>7184844193</v>
      </c>
      <c r="AD851">
        <v>38964</v>
      </c>
    </row>
    <row r="852" spans="1:30" hidden="1" x14ac:dyDescent="0.45">
      <c r="A852">
        <v>818</v>
      </c>
      <c r="B852">
        <v>3500</v>
      </c>
      <c r="C852" t="s">
        <v>296</v>
      </c>
      <c r="D852" t="s">
        <v>3195</v>
      </c>
      <c r="E852">
        <v>56</v>
      </c>
      <c r="F852" t="s">
        <v>164</v>
      </c>
      <c r="G852" t="s">
        <v>3196</v>
      </c>
      <c r="H852" t="s">
        <v>523</v>
      </c>
      <c r="I852" t="s">
        <v>296</v>
      </c>
      <c r="J852" t="s">
        <v>164</v>
      </c>
      <c r="L852" t="b">
        <v>0</v>
      </c>
      <c r="M852" t="s">
        <v>29</v>
      </c>
      <c r="N852" t="s">
        <v>8245</v>
      </c>
      <c r="O852" s="1">
        <v>24475</v>
      </c>
      <c r="P852" t="s">
        <v>3197</v>
      </c>
      <c r="Q852" t="s">
        <v>2100</v>
      </c>
      <c r="S852" s="1">
        <v>45020.209027777775</v>
      </c>
      <c r="V852">
        <v>1967</v>
      </c>
      <c r="W852">
        <v>116.76</v>
      </c>
      <c r="X852">
        <v>1.9</v>
      </c>
      <c r="Y852" s="2">
        <v>1736425629520</v>
      </c>
      <c r="Z852">
        <v>68.900000000000006</v>
      </c>
      <c r="AA852">
        <v>100.9</v>
      </c>
      <c r="AB852">
        <v>12.8</v>
      </c>
      <c r="AC852">
        <v>24.5</v>
      </c>
      <c r="AD852">
        <v>36991981</v>
      </c>
    </row>
    <row r="853" spans="1:30" x14ac:dyDescent="0.45">
      <c r="A853">
        <v>852</v>
      </c>
      <c r="B853" s="6">
        <v>3400</v>
      </c>
      <c r="C853" t="s">
        <v>61</v>
      </c>
      <c r="D853" t="s">
        <v>3198</v>
      </c>
      <c r="E853">
        <v>56</v>
      </c>
      <c r="F853" t="s">
        <v>35</v>
      </c>
      <c r="G853" t="s">
        <v>78</v>
      </c>
      <c r="H853" t="s">
        <v>248</v>
      </c>
      <c r="I853" t="s">
        <v>61</v>
      </c>
      <c r="J853" t="s">
        <v>35</v>
      </c>
      <c r="K853" t="s">
        <v>3199</v>
      </c>
      <c r="L853" t="b">
        <v>1</v>
      </c>
      <c r="M853" t="s">
        <v>29</v>
      </c>
      <c r="N853" t="s">
        <v>8245</v>
      </c>
      <c r="O853" s="10">
        <v>24238</v>
      </c>
      <c r="P853" t="s">
        <v>3200</v>
      </c>
      <c r="Q853" t="s">
        <v>338</v>
      </c>
      <c r="R853" t="s">
        <v>3201</v>
      </c>
      <c r="S853" s="8">
        <v>45020.209027777775</v>
      </c>
      <c r="T853" t="s">
        <v>78</v>
      </c>
      <c r="U853" t="s">
        <v>82</v>
      </c>
      <c r="V853">
        <v>1966</v>
      </c>
      <c r="W853" s="12">
        <v>117.24</v>
      </c>
      <c r="X853">
        <v>7.5</v>
      </c>
      <c r="Y853" s="14">
        <v>21427700000000</v>
      </c>
      <c r="Z853">
        <v>88.2</v>
      </c>
      <c r="AA853">
        <v>101.8</v>
      </c>
      <c r="AB853">
        <v>9.6</v>
      </c>
      <c r="AC853">
        <v>36.6</v>
      </c>
      <c r="AD853">
        <v>328239523</v>
      </c>
    </row>
    <row r="854" spans="1:30" hidden="1" x14ac:dyDescent="0.45">
      <c r="A854">
        <v>852</v>
      </c>
      <c r="B854">
        <v>3400</v>
      </c>
      <c r="C854" t="s">
        <v>347</v>
      </c>
      <c r="D854" t="s">
        <v>3202</v>
      </c>
      <c r="E854">
        <v>55</v>
      </c>
      <c r="F854" t="s">
        <v>628</v>
      </c>
      <c r="G854" t="s">
        <v>629</v>
      </c>
      <c r="H854" t="s">
        <v>2385</v>
      </c>
      <c r="I854" t="s">
        <v>347</v>
      </c>
      <c r="J854" t="s">
        <v>628</v>
      </c>
      <c r="L854" t="b">
        <v>1</v>
      </c>
      <c r="M854" t="s">
        <v>39</v>
      </c>
      <c r="N854" t="s">
        <v>8245</v>
      </c>
      <c r="O854" s="1">
        <v>24624</v>
      </c>
      <c r="P854" t="s">
        <v>3203</v>
      </c>
      <c r="Q854" t="s">
        <v>3204</v>
      </c>
      <c r="S854" s="1">
        <v>45020.209027777775</v>
      </c>
      <c r="V854">
        <v>1967</v>
      </c>
      <c r="W854">
        <v>113.27</v>
      </c>
      <c r="X854">
        <v>0.7</v>
      </c>
      <c r="Y854" s="2">
        <v>543649976166</v>
      </c>
      <c r="Z854">
        <v>49.3</v>
      </c>
      <c r="AA854">
        <v>99.8</v>
      </c>
      <c r="AB854">
        <v>14.9</v>
      </c>
      <c r="AC854">
        <v>29.5</v>
      </c>
      <c r="AD854">
        <v>69625582</v>
      </c>
    </row>
    <row r="855" spans="1:30" hidden="1" x14ac:dyDescent="0.45">
      <c r="A855">
        <v>852</v>
      </c>
      <c r="B855">
        <v>3400</v>
      </c>
      <c r="C855" t="s">
        <v>326</v>
      </c>
      <c r="D855" t="s">
        <v>3205</v>
      </c>
      <c r="E855">
        <v>52</v>
      </c>
      <c r="F855" t="s">
        <v>363</v>
      </c>
      <c r="G855" t="s">
        <v>3206</v>
      </c>
      <c r="H855" t="s">
        <v>382</v>
      </c>
      <c r="I855" t="s">
        <v>326</v>
      </c>
      <c r="J855" t="s">
        <v>363</v>
      </c>
      <c r="L855" t="b">
        <v>1</v>
      </c>
      <c r="M855" t="s">
        <v>29</v>
      </c>
      <c r="N855" t="s">
        <v>8245</v>
      </c>
      <c r="O855" s="1">
        <v>25821</v>
      </c>
      <c r="P855" t="s">
        <v>3207</v>
      </c>
      <c r="Q855" t="s">
        <v>1466</v>
      </c>
      <c r="S855" s="1">
        <v>45020.209027777775</v>
      </c>
      <c r="V855">
        <v>1970</v>
      </c>
      <c r="W855">
        <v>180.75</v>
      </c>
      <c r="X855">
        <v>4.5</v>
      </c>
      <c r="Y855" s="2">
        <v>1699876578871</v>
      </c>
      <c r="Z855">
        <v>81.900000000000006</v>
      </c>
      <c r="AA855">
        <v>102.6</v>
      </c>
      <c r="AB855">
        <v>11.4</v>
      </c>
      <c r="AC855">
        <v>46.2</v>
      </c>
      <c r="AD855">
        <v>144373535</v>
      </c>
    </row>
    <row r="856" spans="1:30" hidden="1" x14ac:dyDescent="0.45">
      <c r="A856">
        <v>852</v>
      </c>
      <c r="B856">
        <v>3400</v>
      </c>
      <c r="C856" t="s">
        <v>126</v>
      </c>
      <c r="D856" t="s">
        <v>3208</v>
      </c>
      <c r="E856">
        <v>69</v>
      </c>
      <c r="F856" t="s">
        <v>1111</v>
      </c>
      <c r="G856" t="s">
        <v>1112</v>
      </c>
      <c r="H856" t="s">
        <v>91</v>
      </c>
      <c r="I856" t="s">
        <v>126</v>
      </c>
      <c r="J856" t="s">
        <v>1111</v>
      </c>
      <c r="L856" t="b">
        <v>1</v>
      </c>
      <c r="M856" t="s">
        <v>29</v>
      </c>
      <c r="N856" t="s">
        <v>8245</v>
      </c>
      <c r="O856" s="1">
        <v>19738</v>
      </c>
      <c r="P856" t="s">
        <v>3209</v>
      </c>
      <c r="Q856" t="s">
        <v>3210</v>
      </c>
      <c r="S856" s="1">
        <v>45020.209027777775</v>
      </c>
      <c r="V856">
        <v>1954</v>
      </c>
      <c r="W856">
        <v>129.61000000000001</v>
      </c>
      <c r="X856">
        <v>2.5</v>
      </c>
      <c r="Y856" s="2">
        <v>376795508680</v>
      </c>
      <c r="Z856">
        <v>35.5</v>
      </c>
      <c r="AA856">
        <v>107.5</v>
      </c>
      <c r="AB856">
        <v>14</v>
      </c>
      <c r="AC856">
        <v>43.1</v>
      </c>
      <c r="AD856">
        <v>108116615</v>
      </c>
    </row>
    <row r="857" spans="1:30" hidden="1" x14ac:dyDescent="0.45">
      <c r="A857">
        <v>852</v>
      </c>
      <c r="B857">
        <v>3400</v>
      </c>
      <c r="C857" t="s">
        <v>126</v>
      </c>
      <c r="D857" t="s">
        <v>3211</v>
      </c>
      <c r="E857">
        <v>50</v>
      </c>
      <c r="F857" t="s">
        <v>93</v>
      </c>
      <c r="G857" t="s">
        <v>3212</v>
      </c>
      <c r="H857" t="s">
        <v>2022</v>
      </c>
      <c r="I857" t="s">
        <v>126</v>
      </c>
      <c r="J857" t="s">
        <v>93</v>
      </c>
      <c r="L857" t="b">
        <v>1</v>
      </c>
      <c r="M857" t="s">
        <v>29</v>
      </c>
      <c r="N857" t="s">
        <v>8245</v>
      </c>
      <c r="O857" s="1">
        <v>26505</v>
      </c>
      <c r="P857" t="s">
        <v>3213</v>
      </c>
      <c r="Q857" t="s">
        <v>3214</v>
      </c>
      <c r="S857" s="1">
        <v>45020.209027777775</v>
      </c>
      <c r="V857">
        <v>1972</v>
      </c>
      <c r="W857">
        <v>180.44</v>
      </c>
      <c r="X857">
        <v>7.7</v>
      </c>
      <c r="Y857" s="2">
        <v>2611000000000</v>
      </c>
      <c r="Z857">
        <v>28.1</v>
      </c>
      <c r="AA857">
        <v>113</v>
      </c>
      <c r="AB857">
        <v>11.2</v>
      </c>
      <c r="AC857">
        <v>49.7</v>
      </c>
      <c r="AD857">
        <v>1366417754</v>
      </c>
    </row>
    <row r="858" spans="1:30" hidden="1" x14ac:dyDescent="0.45">
      <c r="A858">
        <v>852</v>
      </c>
      <c r="B858">
        <v>3400</v>
      </c>
      <c r="C858" t="s">
        <v>296</v>
      </c>
      <c r="D858" t="s">
        <v>3215</v>
      </c>
      <c r="E858">
        <v>52</v>
      </c>
      <c r="F858" t="s">
        <v>205</v>
      </c>
      <c r="G858" t="s">
        <v>1644</v>
      </c>
      <c r="H858" t="s">
        <v>399</v>
      </c>
      <c r="I858" t="s">
        <v>296</v>
      </c>
      <c r="J858" t="s">
        <v>205</v>
      </c>
      <c r="L858" t="b">
        <v>0</v>
      </c>
      <c r="M858" t="s">
        <v>29</v>
      </c>
      <c r="N858" t="s">
        <v>8245</v>
      </c>
      <c r="O858" s="1">
        <v>25934</v>
      </c>
      <c r="P858" t="s">
        <v>1645</v>
      </c>
      <c r="Q858" t="s">
        <v>3216</v>
      </c>
      <c r="S858" s="1">
        <v>45020.209027777775</v>
      </c>
      <c r="V858">
        <v>1971</v>
      </c>
      <c r="W858">
        <v>99.55</v>
      </c>
      <c r="X858">
        <v>0.4</v>
      </c>
      <c r="Y858" s="2">
        <v>703082435360</v>
      </c>
      <c r="Z858">
        <v>59.6</v>
      </c>
      <c r="AA858">
        <v>105.2</v>
      </c>
      <c r="AB858">
        <v>10.1</v>
      </c>
      <c r="AC858">
        <v>28.8</v>
      </c>
      <c r="AD858">
        <v>8574832</v>
      </c>
    </row>
    <row r="859" spans="1:30" hidden="1" x14ac:dyDescent="0.45">
      <c r="A859">
        <v>852</v>
      </c>
      <c r="B859">
        <v>3400</v>
      </c>
      <c r="C859" t="s">
        <v>91</v>
      </c>
      <c r="D859" t="s">
        <v>3217</v>
      </c>
      <c r="E859">
        <v>72</v>
      </c>
      <c r="F859" t="s">
        <v>3218</v>
      </c>
      <c r="G859" t="s">
        <v>3219</v>
      </c>
      <c r="H859" t="s">
        <v>3220</v>
      </c>
      <c r="I859" t="s">
        <v>91</v>
      </c>
      <c r="J859" t="s">
        <v>272</v>
      </c>
      <c r="L859" t="b">
        <v>1</v>
      </c>
      <c r="M859" t="s">
        <v>39</v>
      </c>
      <c r="N859" t="s">
        <v>8245</v>
      </c>
      <c r="O859" s="1">
        <v>18462</v>
      </c>
      <c r="P859" t="s">
        <v>3221</v>
      </c>
      <c r="Q859" t="s">
        <v>1068</v>
      </c>
      <c r="S859" s="1">
        <v>45020.209027777775</v>
      </c>
      <c r="V859">
        <v>1950</v>
      </c>
      <c r="W859"/>
      <c r="Y859"/>
    </row>
    <row r="860" spans="1:30" hidden="1" x14ac:dyDescent="0.45">
      <c r="A860">
        <v>852</v>
      </c>
      <c r="B860">
        <v>3400</v>
      </c>
      <c r="C860" t="s">
        <v>61</v>
      </c>
      <c r="D860" t="s">
        <v>3222</v>
      </c>
      <c r="E860">
        <v>64</v>
      </c>
      <c r="F860" t="s">
        <v>928</v>
      </c>
      <c r="G860" t="s">
        <v>929</v>
      </c>
      <c r="H860" t="s">
        <v>1839</v>
      </c>
      <c r="I860" t="s">
        <v>61</v>
      </c>
      <c r="J860" t="s">
        <v>928</v>
      </c>
      <c r="K860" t="s">
        <v>3223</v>
      </c>
      <c r="L860" t="b">
        <v>0</v>
      </c>
      <c r="M860" t="s">
        <v>29</v>
      </c>
      <c r="N860" t="s">
        <v>8245</v>
      </c>
      <c r="O860" s="1">
        <v>21463</v>
      </c>
      <c r="P860" t="s">
        <v>3224</v>
      </c>
      <c r="Q860" t="s">
        <v>3225</v>
      </c>
      <c r="S860" s="1">
        <v>45020.209027777775</v>
      </c>
      <c r="V860">
        <v>1958</v>
      </c>
      <c r="W860">
        <v>115.16</v>
      </c>
      <c r="X860">
        <v>0.4</v>
      </c>
      <c r="Y860" s="2">
        <v>2029000000000</v>
      </c>
      <c r="Z860">
        <v>94.3</v>
      </c>
      <c r="AA860">
        <v>98.1</v>
      </c>
      <c r="AB860">
        <v>15.6</v>
      </c>
      <c r="AC860">
        <v>33.200000000000003</v>
      </c>
      <c r="AD860">
        <v>51709098</v>
      </c>
    </row>
    <row r="861" spans="1:30" hidden="1" x14ac:dyDescent="0.45">
      <c r="A861">
        <v>852</v>
      </c>
      <c r="B861">
        <v>3400</v>
      </c>
      <c r="C861" t="s">
        <v>126</v>
      </c>
      <c r="D861" t="s">
        <v>3226</v>
      </c>
      <c r="E861">
        <v>63</v>
      </c>
      <c r="F861" t="s">
        <v>214</v>
      </c>
      <c r="G861" t="s">
        <v>802</v>
      </c>
      <c r="H861" t="s">
        <v>2656</v>
      </c>
      <c r="I861" t="s">
        <v>126</v>
      </c>
      <c r="J861" t="s">
        <v>214</v>
      </c>
      <c r="L861" t="b">
        <v>0</v>
      </c>
      <c r="M861" t="s">
        <v>29</v>
      </c>
      <c r="N861" t="s">
        <v>8246</v>
      </c>
      <c r="O861" s="1">
        <v>21952</v>
      </c>
      <c r="P861" t="s">
        <v>2657</v>
      </c>
      <c r="Q861" t="s">
        <v>3227</v>
      </c>
      <c r="S861" s="1">
        <v>45020.209027777775</v>
      </c>
      <c r="V861">
        <v>1960</v>
      </c>
      <c r="W861">
        <v>110.62</v>
      </c>
      <c r="X861">
        <v>0.6</v>
      </c>
      <c r="Y861" s="2">
        <v>2001244392042</v>
      </c>
      <c r="Z861">
        <v>61.9</v>
      </c>
      <c r="AA861">
        <v>101.9</v>
      </c>
      <c r="AB861">
        <v>24.3</v>
      </c>
      <c r="AC861">
        <v>59.1</v>
      </c>
      <c r="AD861">
        <v>60297396</v>
      </c>
    </row>
    <row r="862" spans="1:30" hidden="1" x14ac:dyDescent="0.45">
      <c r="A862">
        <v>852</v>
      </c>
      <c r="B862">
        <v>3400</v>
      </c>
      <c r="C862" t="s">
        <v>23</v>
      </c>
      <c r="D862" t="s">
        <v>3228</v>
      </c>
      <c r="E862">
        <v>84</v>
      </c>
      <c r="F862" t="s">
        <v>205</v>
      </c>
      <c r="G862" t="s">
        <v>983</v>
      </c>
      <c r="H862" t="s">
        <v>3229</v>
      </c>
      <c r="I862" t="s">
        <v>23</v>
      </c>
      <c r="J862" t="s">
        <v>272</v>
      </c>
      <c r="L862" t="b">
        <v>1</v>
      </c>
      <c r="M862" t="s">
        <v>611</v>
      </c>
      <c r="N862" t="s">
        <v>8245</v>
      </c>
      <c r="O862" s="1">
        <v>14044</v>
      </c>
      <c r="P862" t="s">
        <v>3230</v>
      </c>
      <c r="Q862" t="s">
        <v>3231</v>
      </c>
      <c r="S862" s="1">
        <v>45020.209027777775</v>
      </c>
      <c r="V862">
        <v>1938</v>
      </c>
      <c r="W862">
        <v>99.55</v>
      </c>
      <c r="X862">
        <v>0.4</v>
      </c>
      <c r="Y862" s="2">
        <v>703082435360</v>
      </c>
      <c r="Z862">
        <v>59.6</v>
      </c>
      <c r="AA862">
        <v>105.2</v>
      </c>
      <c r="AB862">
        <v>10.1</v>
      </c>
      <c r="AC862">
        <v>28.8</v>
      </c>
      <c r="AD862">
        <v>8574832</v>
      </c>
    </row>
    <row r="863" spans="1:30" x14ac:dyDescent="0.45">
      <c r="A863">
        <v>852</v>
      </c>
      <c r="B863" s="6">
        <v>3400</v>
      </c>
      <c r="C863" t="s">
        <v>76</v>
      </c>
      <c r="D863" t="s">
        <v>3232</v>
      </c>
      <c r="E863">
        <v>86</v>
      </c>
      <c r="F863" t="s">
        <v>35</v>
      </c>
      <c r="G863" t="s">
        <v>1549</v>
      </c>
      <c r="H863" t="s">
        <v>1012</v>
      </c>
      <c r="I863" t="s">
        <v>76</v>
      </c>
      <c r="J863" t="s">
        <v>35</v>
      </c>
      <c r="K863" t="s">
        <v>3233</v>
      </c>
      <c r="L863" t="b">
        <v>1</v>
      </c>
      <c r="M863" t="s">
        <v>39</v>
      </c>
      <c r="N863" t="s">
        <v>8245</v>
      </c>
      <c r="O863" s="10">
        <v>13527</v>
      </c>
      <c r="P863" t="s">
        <v>3234</v>
      </c>
      <c r="Q863" t="s">
        <v>3235</v>
      </c>
      <c r="R863" t="s">
        <v>3236</v>
      </c>
      <c r="S863" s="8">
        <v>45020.209027777775</v>
      </c>
      <c r="T863" t="s">
        <v>427</v>
      </c>
      <c r="U863" t="s">
        <v>82</v>
      </c>
      <c r="V863">
        <v>1937</v>
      </c>
      <c r="W863" s="12">
        <v>117.24</v>
      </c>
      <c r="X863">
        <v>7.5</v>
      </c>
      <c r="Y863" s="14">
        <v>21427700000000</v>
      </c>
      <c r="Z863">
        <v>88.2</v>
      </c>
      <c r="AA863">
        <v>101.8</v>
      </c>
      <c r="AB863">
        <v>9.6</v>
      </c>
      <c r="AC863">
        <v>36.6</v>
      </c>
      <c r="AD863">
        <v>328239523</v>
      </c>
    </row>
    <row r="864" spans="1:30" hidden="1" x14ac:dyDescent="0.45">
      <c r="A864">
        <v>852</v>
      </c>
      <c r="B864">
        <v>3400</v>
      </c>
      <c r="C864" t="s">
        <v>702</v>
      </c>
      <c r="D864" t="s">
        <v>3237</v>
      </c>
      <c r="E864">
        <v>75</v>
      </c>
      <c r="F864" t="s">
        <v>35</v>
      </c>
      <c r="G864" t="s">
        <v>355</v>
      </c>
      <c r="H864" t="s">
        <v>3238</v>
      </c>
      <c r="I864" t="s">
        <v>702</v>
      </c>
      <c r="J864" t="s">
        <v>35</v>
      </c>
      <c r="L864" t="b">
        <v>0</v>
      </c>
      <c r="M864" t="s">
        <v>258</v>
      </c>
      <c r="N864" t="s">
        <v>8245</v>
      </c>
      <c r="O864" s="1">
        <v>17269</v>
      </c>
      <c r="P864" t="s">
        <v>425</v>
      </c>
      <c r="Q864" t="s">
        <v>3239</v>
      </c>
      <c r="S864" s="1">
        <v>45020.209027777775</v>
      </c>
      <c r="T864" t="s">
        <v>253</v>
      </c>
      <c r="U864" t="s">
        <v>44</v>
      </c>
      <c r="V864">
        <v>1947</v>
      </c>
      <c r="W864">
        <v>117.24</v>
      </c>
      <c r="X864">
        <v>7.5</v>
      </c>
      <c r="Y864" s="2">
        <v>21427700000000</v>
      </c>
      <c r="Z864">
        <v>88.2</v>
      </c>
      <c r="AA864">
        <v>101.8</v>
      </c>
      <c r="AB864">
        <v>9.6</v>
      </c>
      <c r="AC864">
        <v>36.6</v>
      </c>
      <c r="AD864">
        <v>328239523</v>
      </c>
    </row>
    <row r="865" spans="1:30" x14ac:dyDescent="0.45">
      <c r="A865">
        <v>852</v>
      </c>
      <c r="B865" s="6">
        <v>3400</v>
      </c>
      <c r="C865" t="s">
        <v>61</v>
      </c>
      <c r="D865" t="s">
        <v>3240</v>
      </c>
      <c r="E865">
        <v>66</v>
      </c>
      <c r="F865" t="s">
        <v>35</v>
      </c>
      <c r="G865" t="s">
        <v>78</v>
      </c>
      <c r="H865" t="s">
        <v>317</v>
      </c>
      <c r="I865" t="s">
        <v>61</v>
      </c>
      <c r="J865" t="s">
        <v>35</v>
      </c>
      <c r="K865" t="s">
        <v>3241</v>
      </c>
      <c r="L865" t="b">
        <v>1</v>
      </c>
      <c r="M865" t="s">
        <v>611</v>
      </c>
      <c r="N865" t="s">
        <v>8245</v>
      </c>
      <c r="O865" s="10">
        <v>20605</v>
      </c>
      <c r="P865" t="s">
        <v>3242</v>
      </c>
      <c r="Q865" t="s">
        <v>1363</v>
      </c>
      <c r="R865" t="s">
        <v>252</v>
      </c>
      <c r="S865" s="8">
        <v>45020.209027777775</v>
      </c>
      <c r="T865" t="s">
        <v>78</v>
      </c>
      <c r="U865" t="s">
        <v>82</v>
      </c>
      <c r="V865">
        <v>1956</v>
      </c>
      <c r="W865" s="12">
        <v>117.24</v>
      </c>
      <c r="X865">
        <v>7.5</v>
      </c>
      <c r="Y865" s="14">
        <v>21427700000000</v>
      </c>
      <c r="Z865">
        <v>88.2</v>
      </c>
      <c r="AA865">
        <v>101.8</v>
      </c>
      <c r="AB865">
        <v>9.6</v>
      </c>
      <c r="AC865">
        <v>36.6</v>
      </c>
      <c r="AD865">
        <v>328239523</v>
      </c>
    </row>
    <row r="866" spans="1:30" hidden="1" x14ac:dyDescent="0.45">
      <c r="A866">
        <v>852</v>
      </c>
      <c r="B866">
        <v>3400</v>
      </c>
      <c r="C866" t="s">
        <v>23</v>
      </c>
      <c r="D866" t="s">
        <v>3243</v>
      </c>
      <c r="E866">
        <v>62</v>
      </c>
      <c r="F866" t="s">
        <v>35</v>
      </c>
      <c r="G866" t="s">
        <v>78</v>
      </c>
      <c r="H866" t="s">
        <v>447</v>
      </c>
      <c r="I866" t="s">
        <v>23</v>
      </c>
      <c r="J866" t="s">
        <v>35</v>
      </c>
      <c r="L866" t="b">
        <v>0</v>
      </c>
      <c r="M866" t="s">
        <v>39</v>
      </c>
      <c r="N866" t="s">
        <v>8245</v>
      </c>
      <c r="O866" s="1">
        <v>22017</v>
      </c>
      <c r="P866" t="s">
        <v>449</v>
      </c>
      <c r="Q866" t="s">
        <v>338</v>
      </c>
      <c r="S866" s="1">
        <v>45020.209027777775</v>
      </c>
      <c r="T866" t="s">
        <v>78</v>
      </c>
      <c r="U866" t="s">
        <v>82</v>
      </c>
      <c r="V866">
        <v>1960</v>
      </c>
      <c r="W866">
        <v>117.24</v>
      </c>
      <c r="X866">
        <v>7.5</v>
      </c>
      <c r="Y866" s="2">
        <v>21427700000000</v>
      </c>
      <c r="Z866">
        <v>88.2</v>
      </c>
      <c r="AA866">
        <v>101.8</v>
      </c>
      <c r="AB866">
        <v>9.6</v>
      </c>
      <c r="AC866">
        <v>36.6</v>
      </c>
      <c r="AD866">
        <v>328239523</v>
      </c>
    </row>
    <row r="867" spans="1:30" hidden="1" x14ac:dyDescent="0.45">
      <c r="A867">
        <v>852</v>
      </c>
      <c r="B867">
        <v>3400</v>
      </c>
      <c r="C867" t="s">
        <v>126</v>
      </c>
      <c r="D867" t="s">
        <v>3244</v>
      </c>
      <c r="E867">
        <v>68</v>
      </c>
      <c r="F867" t="s">
        <v>35</v>
      </c>
      <c r="G867" t="s">
        <v>782</v>
      </c>
      <c r="H867" t="s">
        <v>3245</v>
      </c>
      <c r="I867" t="s">
        <v>126</v>
      </c>
      <c r="J867" t="s">
        <v>35</v>
      </c>
      <c r="L867" t="b">
        <v>0</v>
      </c>
      <c r="M867" t="s">
        <v>611</v>
      </c>
      <c r="N867" t="s">
        <v>8245</v>
      </c>
      <c r="O867" s="1">
        <v>20150</v>
      </c>
      <c r="P867" t="s">
        <v>3246</v>
      </c>
      <c r="Q867" t="s">
        <v>225</v>
      </c>
      <c r="S867" s="1">
        <v>45020.209027777775</v>
      </c>
      <c r="T867" t="s">
        <v>311</v>
      </c>
      <c r="U867" t="s">
        <v>82</v>
      </c>
      <c r="V867">
        <v>1955</v>
      </c>
      <c r="W867">
        <v>117.24</v>
      </c>
      <c r="X867">
        <v>7.5</v>
      </c>
      <c r="Y867" s="2">
        <v>21427700000000</v>
      </c>
      <c r="Z867">
        <v>88.2</v>
      </c>
      <c r="AA867">
        <v>101.8</v>
      </c>
      <c r="AB867">
        <v>9.6</v>
      </c>
      <c r="AC867">
        <v>36.6</v>
      </c>
      <c r="AD867">
        <v>328239523</v>
      </c>
    </row>
    <row r="868" spans="1:30" hidden="1" x14ac:dyDescent="0.45">
      <c r="A868">
        <v>852</v>
      </c>
      <c r="B868">
        <v>3400</v>
      </c>
      <c r="C868" t="s">
        <v>23</v>
      </c>
      <c r="D868" t="s">
        <v>3247</v>
      </c>
      <c r="E868">
        <v>58</v>
      </c>
      <c r="F868" t="s">
        <v>266</v>
      </c>
      <c r="G868" t="s">
        <v>267</v>
      </c>
      <c r="H868" t="s">
        <v>783</v>
      </c>
      <c r="I868" t="s">
        <v>23</v>
      </c>
      <c r="J868" t="s">
        <v>266</v>
      </c>
      <c r="L868" t="b">
        <v>1</v>
      </c>
      <c r="M868" t="s">
        <v>39</v>
      </c>
      <c r="N868" t="s">
        <v>8245</v>
      </c>
      <c r="O868" s="1">
        <v>23812</v>
      </c>
      <c r="P868" t="s">
        <v>3248</v>
      </c>
      <c r="Q868" t="s">
        <v>3249</v>
      </c>
      <c r="S868" s="1">
        <v>45020.209027777775</v>
      </c>
      <c r="V868">
        <v>1965</v>
      </c>
      <c r="W868">
        <v>105.48</v>
      </c>
      <c r="X868">
        <v>0.5</v>
      </c>
      <c r="Y868" s="2">
        <v>5081769542380</v>
      </c>
      <c r="Z868">
        <v>63.2</v>
      </c>
      <c r="AA868">
        <v>98.8</v>
      </c>
      <c r="AB868">
        <v>11.9</v>
      </c>
      <c r="AC868">
        <v>46.7</v>
      </c>
      <c r="AD868">
        <v>126226568</v>
      </c>
    </row>
    <row r="869" spans="1:30" hidden="1" x14ac:dyDescent="0.45">
      <c r="A869">
        <v>852</v>
      </c>
      <c r="B869">
        <v>3400</v>
      </c>
      <c r="C869" t="s">
        <v>45</v>
      </c>
      <c r="D869" t="s">
        <v>3250</v>
      </c>
      <c r="E869">
        <v>72</v>
      </c>
      <c r="F869" t="s">
        <v>35</v>
      </c>
      <c r="G869" t="s">
        <v>3251</v>
      </c>
      <c r="H869" t="s">
        <v>3252</v>
      </c>
      <c r="I869" t="s">
        <v>45</v>
      </c>
      <c r="J869" t="s">
        <v>35</v>
      </c>
      <c r="L869" t="b">
        <v>1</v>
      </c>
      <c r="M869" t="s">
        <v>611</v>
      </c>
      <c r="N869" t="s">
        <v>8245</v>
      </c>
      <c r="O869" s="1">
        <v>18594</v>
      </c>
      <c r="P869" t="s">
        <v>3253</v>
      </c>
      <c r="Q869" t="s">
        <v>3017</v>
      </c>
      <c r="S869" s="1">
        <v>45020.209027777775</v>
      </c>
      <c r="T869" t="s">
        <v>2260</v>
      </c>
      <c r="U869" t="s">
        <v>53</v>
      </c>
      <c r="V869">
        <v>1950</v>
      </c>
      <c r="W869">
        <v>117.24</v>
      </c>
      <c r="X869">
        <v>7.5</v>
      </c>
      <c r="Y869" s="2">
        <v>21427700000000</v>
      </c>
      <c r="Z869">
        <v>88.2</v>
      </c>
      <c r="AA869">
        <v>101.8</v>
      </c>
      <c r="AB869">
        <v>9.6</v>
      </c>
      <c r="AC869">
        <v>36.6</v>
      </c>
      <c r="AD869">
        <v>328239523</v>
      </c>
    </row>
    <row r="870" spans="1:30" hidden="1" x14ac:dyDescent="0.45">
      <c r="A870">
        <v>852</v>
      </c>
      <c r="B870">
        <v>3400</v>
      </c>
      <c r="C870" t="s">
        <v>61</v>
      </c>
      <c r="D870" t="s">
        <v>3254</v>
      </c>
      <c r="E870">
        <v>81</v>
      </c>
      <c r="F870" t="s">
        <v>35</v>
      </c>
      <c r="G870" t="s">
        <v>3255</v>
      </c>
      <c r="H870" t="s">
        <v>3256</v>
      </c>
      <c r="I870" t="s">
        <v>61</v>
      </c>
      <c r="J870" t="s">
        <v>35</v>
      </c>
      <c r="L870" t="b">
        <v>1</v>
      </c>
      <c r="M870" t="s">
        <v>39</v>
      </c>
      <c r="N870" t="s">
        <v>8245</v>
      </c>
      <c r="O870" s="1">
        <v>15173</v>
      </c>
      <c r="P870" t="s">
        <v>3257</v>
      </c>
      <c r="Q870" t="s">
        <v>3258</v>
      </c>
      <c r="S870" s="1">
        <v>45020.209027777775</v>
      </c>
      <c r="T870" t="s">
        <v>226</v>
      </c>
      <c r="U870" t="s">
        <v>44</v>
      </c>
      <c r="V870">
        <v>1941</v>
      </c>
      <c r="W870">
        <v>117.24</v>
      </c>
      <c r="X870">
        <v>7.5</v>
      </c>
      <c r="Y870" s="2">
        <v>21427700000000</v>
      </c>
      <c r="Z870">
        <v>88.2</v>
      </c>
      <c r="AA870">
        <v>101.8</v>
      </c>
      <c r="AB870">
        <v>9.6</v>
      </c>
      <c r="AC870">
        <v>36.6</v>
      </c>
      <c r="AD870">
        <v>328239523</v>
      </c>
    </row>
    <row r="871" spans="1:30" x14ac:dyDescent="0.45">
      <c r="A871">
        <v>852</v>
      </c>
      <c r="B871" s="6">
        <v>3400</v>
      </c>
      <c r="C871" t="s">
        <v>302</v>
      </c>
      <c r="D871" t="s">
        <v>3259</v>
      </c>
      <c r="E871">
        <v>88</v>
      </c>
      <c r="F871" t="s">
        <v>35</v>
      </c>
      <c r="G871" t="s">
        <v>3260</v>
      </c>
      <c r="H871" t="s">
        <v>304</v>
      </c>
      <c r="I871" t="s">
        <v>302</v>
      </c>
      <c r="J871" t="s">
        <v>35</v>
      </c>
      <c r="K871" t="s">
        <v>3261</v>
      </c>
      <c r="L871" t="b">
        <v>1</v>
      </c>
      <c r="M871" t="s">
        <v>39</v>
      </c>
      <c r="N871" t="s">
        <v>8245</v>
      </c>
      <c r="O871" s="10">
        <v>12715</v>
      </c>
      <c r="P871" t="s">
        <v>1686</v>
      </c>
      <c r="Q871" t="s">
        <v>3262</v>
      </c>
      <c r="R871" t="s">
        <v>3263</v>
      </c>
      <c r="S871" s="8">
        <v>45020.209027777775</v>
      </c>
      <c r="T871" t="s">
        <v>862</v>
      </c>
      <c r="U871" t="s">
        <v>69</v>
      </c>
      <c r="V871">
        <v>1934</v>
      </c>
      <c r="W871" s="12">
        <v>117.24</v>
      </c>
      <c r="X871">
        <v>7.5</v>
      </c>
      <c r="Y871" s="14">
        <v>21427700000000</v>
      </c>
      <c r="Z871">
        <v>88.2</v>
      </c>
      <c r="AA871">
        <v>101.8</v>
      </c>
      <c r="AB871">
        <v>9.6</v>
      </c>
      <c r="AC871">
        <v>36.6</v>
      </c>
      <c r="AD871">
        <v>328239523</v>
      </c>
    </row>
    <row r="872" spans="1:30" hidden="1" x14ac:dyDescent="0.45">
      <c r="A872">
        <v>852</v>
      </c>
      <c r="B872">
        <v>3400</v>
      </c>
      <c r="C872" t="s">
        <v>402</v>
      </c>
      <c r="D872" t="s">
        <v>3264</v>
      </c>
      <c r="E872">
        <v>65</v>
      </c>
      <c r="F872" t="s">
        <v>93</v>
      </c>
      <c r="G872" t="s">
        <v>94</v>
      </c>
      <c r="H872" t="s">
        <v>610</v>
      </c>
      <c r="I872" t="s">
        <v>402</v>
      </c>
      <c r="J872" t="s">
        <v>93</v>
      </c>
      <c r="L872" t="b">
        <v>0</v>
      </c>
      <c r="M872" t="s">
        <v>39</v>
      </c>
      <c r="N872" t="s">
        <v>8246</v>
      </c>
      <c r="O872" s="1">
        <v>21066</v>
      </c>
      <c r="P872" t="s">
        <v>3265</v>
      </c>
      <c r="Q872" t="s">
        <v>3266</v>
      </c>
      <c r="S872" s="1">
        <v>45020.209027777775</v>
      </c>
      <c r="V872">
        <v>1957</v>
      </c>
      <c r="W872">
        <v>180.44</v>
      </c>
      <c r="X872">
        <v>7.7</v>
      </c>
      <c r="Y872" s="2">
        <v>2611000000000</v>
      </c>
      <c r="Z872">
        <v>28.1</v>
      </c>
      <c r="AA872">
        <v>113</v>
      </c>
      <c r="AB872">
        <v>11.2</v>
      </c>
      <c r="AC872">
        <v>49.7</v>
      </c>
      <c r="AD872">
        <v>1366417754</v>
      </c>
    </row>
    <row r="873" spans="1:30" hidden="1" x14ac:dyDescent="0.45">
      <c r="A873">
        <v>852</v>
      </c>
      <c r="B873">
        <v>3400</v>
      </c>
      <c r="C873" t="s">
        <v>76</v>
      </c>
      <c r="D873" t="s">
        <v>3267</v>
      </c>
      <c r="E873">
        <v>59</v>
      </c>
      <c r="F873" t="s">
        <v>194</v>
      </c>
      <c r="G873" t="s">
        <v>3268</v>
      </c>
      <c r="H873" t="s">
        <v>2645</v>
      </c>
      <c r="I873" t="s">
        <v>76</v>
      </c>
      <c r="J873" t="s">
        <v>194</v>
      </c>
      <c r="L873" t="b">
        <v>0</v>
      </c>
      <c r="M873" t="s">
        <v>29</v>
      </c>
      <c r="N873" t="s">
        <v>8245</v>
      </c>
      <c r="O873" s="1">
        <v>23146</v>
      </c>
      <c r="P873" t="s">
        <v>3269</v>
      </c>
      <c r="Q873" t="s">
        <v>370</v>
      </c>
      <c r="S873" s="1">
        <v>45020.209027777775</v>
      </c>
      <c r="V873">
        <v>1963</v>
      </c>
      <c r="W873">
        <v>112.85</v>
      </c>
      <c r="X873">
        <v>1.4</v>
      </c>
      <c r="Y873" s="2">
        <v>3845630030824</v>
      </c>
      <c r="Z873">
        <v>70.2</v>
      </c>
      <c r="AA873">
        <v>104</v>
      </c>
      <c r="AB873">
        <v>11.5</v>
      </c>
      <c r="AC873">
        <v>48.8</v>
      </c>
      <c r="AD873">
        <v>83132799</v>
      </c>
    </row>
    <row r="874" spans="1:30" hidden="1" x14ac:dyDescent="0.45">
      <c r="A874">
        <v>852</v>
      </c>
      <c r="B874">
        <v>3400</v>
      </c>
      <c r="C874" t="s">
        <v>126</v>
      </c>
      <c r="D874" t="s">
        <v>3270</v>
      </c>
      <c r="E874">
        <v>81</v>
      </c>
      <c r="F874" t="s">
        <v>205</v>
      </c>
      <c r="G874" t="s">
        <v>3271</v>
      </c>
      <c r="H874" t="s">
        <v>3272</v>
      </c>
      <c r="I874" t="s">
        <v>126</v>
      </c>
      <c r="J874" t="s">
        <v>205</v>
      </c>
      <c r="L874" t="b">
        <v>0</v>
      </c>
      <c r="M874" t="s">
        <v>39</v>
      </c>
      <c r="N874" t="s">
        <v>8245</v>
      </c>
      <c r="O874" s="1">
        <v>15143</v>
      </c>
      <c r="P874" t="s">
        <v>3273</v>
      </c>
      <c r="Q874" t="s">
        <v>3274</v>
      </c>
      <c r="S874" s="1">
        <v>45020.209027777775</v>
      </c>
      <c r="V874">
        <v>1941</v>
      </c>
      <c r="W874">
        <v>99.55</v>
      </c>
      <c r="X874">
        <v>0.4</v>
      </c>
      <c r="Y874" s="2">
        <v>703082435360</v>
      </c>
      <c r="Z874">
        <v>59.6</v>
      </c>
      <c r="AA874">
        <v>105.2</v>
      </c>
      <c r="AB874">
        <v>10.1</v>
      </c>
      <c r="AC874">
        <v>28.8</v>
      </c>
      <c r="AD874">
        <v>8574832</v>
      </c>
    </row>
    <row r="875" spans="1:30" hidden="1" x14ac:dyDescent="0.45">
      <c r="A875">
        <v>852</v>
      </c>
      <c r="B875">
        <v>3400</v>
      </c>
      <c r="C875" t="s">
        <v>402</v>
      </c>
      <c r="D875" t="s">
        <v>3275</v>
      </c>
      <c r="E875">
        <v>54</v>
      </c>
      <c r="F875" t="s">
        <v>128</v>
      </c>
      <c r="G875" t="s">
        <v>747</v>
      </c>
      <c r="H875" t="s">
        <v>610</v>
      </c>
      <c r="I875" t="s">
        <v>402</v>
      </c>
      <c r="J875" t="s">
        <v>128</v>
      </c>
      <c r="L875" t="b">
        <v>1</v>
      </c>
      <c r="M875" t="s">
        <v>39</v>
      </c>
      <c r="N875" t="s">
        <v>8245</v>
      </c>
      <c r="O875" s="1">
        <v>25193</v>
      </c>
      <c r="P875" t="s">
        <v>894</v>
      </c>
      <c r="Q875" t="s">
        <v>3276</v>
      </c>
      <c r="S875" s="1">
        <v>45020.209027777775</v>
      </c>
      <c r="V875">
        <v>1968</v>
      </c>
      <c r="W875">
        <v>125.08</v>
      </c>
      <c r="X875">
        <v>2.9</v>
      </c>
      <c r="Y875" s="2">
        <v>19910000000000</v>
      </c>
      <c r="Z875">
        <v>50.6</v>
      </c>
      <c r="AA875">
        <v>100.2</v>
      </c>
      <c r="AB875">
        <v>9.4</v>
      </c>
      <c r="AC875">
        <v>59.2</v>
      </c>
      <c r="AD875">
        <v>1397715000</v>
      </c>
    </row>
    <row r="876" spans="1:30" hidden="1" x14ac:dyDescent="0.45">
      <c r="A876">
        <v>852</v>
      </c>
      <c r="B876">
        <v>3400</v>
      </c>
      <c r="C876" t="s">
        <v>45</v>
      </c>
      <c r="D876" t="s">
        <v>3277</v>
      </c>
      <c r="E876">
        <v>52</v>
      </c>
      <c r="F876" t="s">
        <v>128</v>
      </c>
      <c r="G876" t="s">
        <v>129</v>
      </c>
      <c r="H876" t="s">
        <v>856</v>
      </c>
      <c r="I876" t="s">
        <v>45</v>
      </c>
      <c r="J876" t="s">
        <v>128</v>
      </c>
      <c r="L876" t="b">
        <v>1</v>
      </c>
      <c r="M876" t="s">
        <v>29</v>
      </c>
      <c r="N876" t="s">
        <v>8245</v>
      </c>
      <c r="O876" s="1">
        <v>25856</v>
      </c>
      <c r="P876" t="s">
        <v>3028</v>
      </c>
      <c r="Q876" t="s">
        <v>1147</v>
      </c>
      <c r="S876" s="1">
        <v>45020.209027777775</v>
      </c>
      <c r="V876">
        <v>1970</v>
      </c>
      <c r="W876">
        <v>125.08</v>
      </c>
      <c r="X876">
        <v>2.9</v>
      </c>
      <c r="Y876" s="2">
        <v>19910000000000</v>
      </c>
      <c r="Z876">
        <v>50.6</v>
      </c>
      <c r="AA876">
        <v>100.2</v>
      </c>
      <c r="AB876">
        <v>9.4</v>
      </c>
      <c r="AC876">
        <v>59.2</v>
      </c>
      <c r="AD876">
        <v>1397715000</v>
      </c>
    </row>
    <row r="877" spans="1:30" x14ac:dyDescent="0.45">
      <c r="A877">
        <v>852</v>
      </c>
      <c r="B877" s="6">
        <v>3400</v>
      </c>
      <c r="C877" t="s">
        <v>45</v>
      </c>
      <c r="D877" t="s">
        <v>3278</v>
      </c>
      <c r="E877">
        <v>53</v>
      </c>
      <c r="F877" t="s">
        <v>35</v>
      </c>
      <c r="G877" t="s">
        <v>3279</v>
      </c>
      <c r="H877" t="s">
        <v>3280</v>
      </c>
      <c r="I877" t="s">
        <v>45</v>
      </c>
      <c r="J877" t="s">
        <v>35</v>
      </c>
      <c r="K877" t="s">
        <v>3280</v>
      </c>
      <c r="L877" t="b">
        <v>1</v>
      </c>
      <c r="M877" t="s">
        <v>39</v>
      </c>
      <c r="N877" t="s">
        <v>8245</v>
      </c>
      <c r="O877" s="10">
        <v>25619</v>
      </c>
      <c r="P877" t="s">
        <v>3281</v>
      </c>
      <c r="Q877" t="s">
        <v>482</v>
      </c>
      <c r="R877" t="s">
        <v>938</v>
      </c>
      <c r="S877" s="8">
        <v>45020.209027777775</v>
      </c>
      <c r="T877" t="s">
        <v>115</v>
      </c>
      <c r="U877" t="s">
        <v>53</v>
      </c>
      <c r="V877">
        <v>1970</v>
      </c>
      <c r="W877" s="12">
        <v>117.24</v>
      </c>
      <c r="X877">
        <v>7.5</v>
      </c>
      <c r="Y877" s="14">
        <v>21427700000000</v>
      </c>
      <c r="Z877">
        <v>88.2</v>
      </c>
      <c r="AA877">
        <v>101.8</v>
      </c>
      <c r="AB877">
        <v>9.6</v>
      </c>
      <c r="AC877">
        <v>36.6</v>
      </c>
      <c r="AD877">
        <v>328239523</v>
      </c>
    </row>
    <row r="878" spans="1:30" hidden="1" x14ac:dyDescent="0.45">
      <c r="A878">
        <v>852</v>
      </c>
      <c r="B878">
        <v>3400</v>
      </c>
      <c r="C878" t="s">
        <v>76</v>
      </c>
      <c r="D878" t="s">
        <v>3282</v>
      </c>
      <c r="E878">
        <v>75</v>
      </c>
      <c r="F878" t="s">
        <v>35</v>
      </c>
      <c r="G878" t="s">
        <v>78</v>
      </c>
      <c r="H878" t="s">
        <v>79</v>
      </c>
      <c r="I878" t="s">
        <v>76</v>
      </c>
      <c r="J878" t="s">
        <v>35</v>
      </c>
      <c r="L878" t="b">
        <v>1</v>
      </c>
      <c r="M878" t="s">
        <v>29</v>
      </c>
      <c r="N878" t="s">
        <v>8245</v>
      </c>
      <c r="O878" s="1">
        <v>17592</v>
      </c>
      <c r="P878" t="s">
        <v>3283</v>
      </c>
      <c r="Q878" t="s">
        <v>144</v>
      </c>
      <c r="S878" s="1">
        <v>45020.209027777775</v>
      </c>
      <c r="T878" t="s">
        <v>78</v>
      </c>
      <c r="U878" t="s">
        <v>82</v>
      </c>
      <c r="V878">
        <v>1948</v>
      </c>
      <c r="W878">
        <v>117.24</v>
      </c>
      <c r="X878">
        <v>7.5</v>
      </c>
      <c r="Y878" s="2">
        <v>21427700000000</v>
      </c>
      <c r="Z878">
        <v>88.2</v>
      </c>
      <c r="AA878">
        <v>101.8</v>
      </c>
      <c r="AB878">
        <v>9.6</v>
      </c>
      <c r="AC878">
        <v>36.6</v>
      </c>
      <c r="AD878">
        <v>328239523</v>
      </c>
    </row>
    <row r="879" spans="1:30" hidden="1" x14ac:dyDescent="0.45">
      <c r="A879">
        <v>878</v>
      </c>
      <c r="B879">
        <v>3300</v>
      </c>
      <c r="C879" t="s">
        <v>689</v>
      </c>
      <c r="D879" t="s">
        <v>3284</v>
      </c>
      <c r="E879">
        <v>75</v>
      </c>
      <c r="F879" t="s">
        <v>25</v>
      </c>
      <c r="G879" t="s">
        <v>3285</v>
      </c>
      <c r="H879" t="s">
        <v>3286</v>
      </c>
      <c r="I879" t="s">
        <v>689</v>
      </c>
      <c r="J879" t="s">
        <v>25</v>
      </c>
      <c r="L879" t="b">
        <v>1</v>
      </c>
      <c r="M879" t="s">
        <v>39</v>
      </c>
      <c r="N879" t="s">
        <v>8245</v>
      </c>
      <c r="O879" s="1">
        <v>17601</v>
      </c>
      <c r="P879" t="s">
        <v>3287</v>
      </c>
      <c r="Q879" t="s">
        <v>3288</v>
      </c>
      <c r="S879" s="1">
        <v>45020.209027777775</v>
      </c>
      <c r="V879">
        <v>1948</v>
      </c>
      <c r="W879">
        <v>110.05</v>
      </c>
      <c r="X879">
        <v>1.1000000000000001</v>
      </c>
      <c r="Y879" s="2">
        <v>2715518274227</v>
      </c>
      <c r="Z879">
        <v>65.599999999999994</v>
      </c>
      <c r="AA879">
        <v>102.5</v>
      </c>
      <c r="AB879">
        <v>24.2</v>
      </c>
      <c r="AC879">
        <v>60.7</v>
      </c>
      <c r="AD879">
        <v>67059887</v>
      </c>
    </row>
    <row r="880" spans="1:30" x14ac:dyDescent="0.45">
      <c r="A880">
        <v>878</v>
      </c>
      <c r="B880" s="6">
        <v>3300</v>
      </c>
      <c r="C880" t="s">
        <v>61</v>
      </c>
      <c r="D880" t="s">
        <v>3289</v>
      </c>
      <c r="E880">
        <v>49</v>
      </c>
      <c r="F880" t="s">
        <v>35</v>
      </c>
      <c r="G880" t="s">
        <v>870</v>
      </c>
      <c r="H880" t="s">
        <v>248</v>
      </c>
      <c r="I880" t="s">
        <v>61</v>
      </c>
      <c r="J880" t="s">
        <v>35</v>
      </c>
      <c r="K880" t="s">
        <v>3290</v>
      </c>
      <c r="L880" t="b">
        <v>1</v>
      </c>
      <c r="M880" t="s">
        <v>611</v>
      </c>
      <c r="N880" t="s">
        <v>8245</v>
      </c>
      <c r="O880" s="10">
        <v>27097</v>
      </c>
      <c r="P880" t="s">
        <v>3291</v>
      </c>
      <c r="Q880" t="s">
        <v>225</v>
      </c>
      <c r="R880" t="s">
        <v>192</v>
      </c>
      <c r="S880" s="8">
        <v>45020.209027777775</v>
      </c>
      <c r="T880" t="s">
        <v>43</v>
      </c>
      <c r="U880" t="s">
        <v>44</v>
      </c>
      <c r="V880">
        <v>1974</v>
      </c>
      <c r="W880" s="12">
        <v>117.24</v>
      </c>
      <c r="X880">
        <v>7.5</v>
      </c>
      <c r="Y880" s="14">
        <v>21427700000000</v>
      </c>
      <c r="Z880">
        <v>88.2</v>
      </c>
      <c r="AA880">
        <v>101.8</v>
      </c>
      <c r="AB880">
        <v>9.6</v>
      </c>
      <c r="AC880">
        <v>36.6</v>
      </c>
      <c r="AD880">
        <v>328239523</v>
      </c>
    </row>
    <row r="881" spans="1:30" hidden="1" x14ac:dyDescent="0.45">
      <c r="A881">
        <v>878</v>
      </c>
      <c r="B881">
        <v>3300</v>
      </c>
      <c r="C881" t="s">
        <v>296</v>
      </c>
      <c r="D881" t="s">
        <v>3292</v>
      </c>
      <c r="E881">
        <v>81</v>
      </c>
      <c r="F881" t="s">
        <v>35</v>
      </c>
      <c r="G881" t="s">
        <v>3293</v>
      </c>
      <c r="H881" t="s">
        <v>3294</v>
      </c>
      <c r="I881" t="s">
        <v>296</v>
      </c>
      <c r="J881" t="s">
        <v>35</v>
      </c>
      <c r="L881" t="b">
        <v>1</v>
      </c>
      <c r="M881" t="s">
        <v>29</v>
      </c>
      <c r="N881" t="s">
        <v>8245</v>
      </c>
      <c r="O881" s="1">
        <v>15397</v>
      </c>
      <c r="P881" t="s">
        <v>36</v>
      </c>
      <c r="Q881" t="s">
        <v>74</v>
      </c>
      <c r="S881" s="1">
        <v>45020.209027777775</v>
      </c>
      <c r="T881" t="s">
        <v>43</v>
      </c>
      <c r="U881" t="s">
        <v>44</v>
      </c>
      <c r="V881">
        <v>1942</v>
      </c>
      <c r="W881">
        <v>117.24</v>
      </c>
      <c r="X881">
        <v>7.5</v>
      </c>
      <c r="Y881" s="2">
        <v>21427700000000</v>
      </c>
      <c r="Z881">
        <v>88.2</v>
      </c>
      <c r="AA881">
        <v>101.8</v>
      </c>
      <c r="AB881">
        <v>9.6</v>
      </c>
      <c r="AC881">
        <v>36.6</v>
      </c>
      <c r="AD881">
        <v>328239523</v>
      </c>
    </row>
    <row r="882" spans="1:30" hidden="1" x14ac:dyDescent="0.45">
      <c r="A882">
        <v>878</v>
      </c>
      <c r="B882">
        <v>3300</v>
      </c>
      <c r="C882" t="s">
        <v>296</v>
      </c>
      <c r="D882" t="s">
        <v>3295</v>
      </c>
      <c r="E882">
        <v>56</v>
      </c>
      <c r="F882" t="s">
        <v>128</v>
      </c>
      <c r="G882" t="s">
        <v>944</v>
      </c>
      <c r="H882" t="s">
        <v>3296</v>
      </c>
      <c r="I882" t="s">
        <v>296</v>
      </c>
      <c r="J882" t="s">
        <v>128</v>
      </c>
      <c r="L882" t="b">
        <v>1</v>
      </c>
      <c r="M882" t="s">
        <v>29</v>
      </c>
      <c r="N882" t="s">
        <v>8245</v>
      </c>
      <c r="O882" s="1">
        <v>24412</v>
      </c>
      <c r="P882" t="s">
        <v>679</v>
      </c>
      <c r="Q882" t="s">
        <v>3297</v>
      </c>
      <c r="S882" s="1">
        <v>45020.209027777775</v>
      </c>
      <c r="V882">
        <v>1966</v>
      </c>
      <c r="W882">
        <v>125.08</v>
      </c>
      <c r="X882">
        <v>2.9</v>
      </c>
      <c r="Y882" s="2">
        <v>19910000000000</v>
      </c>
      <c r="Z882">
        <v>50.6</v>
      </c>
      <c r="AA882">
        <v>100.2</v>
      </c>
      <c r="AB882">
        <v>9.4</v>
      </c>
      <c r="AC882">
        <v>59.2</v>
      </c>
      <c r="AD882">
        <v>1397715000</v>
      </c>
    </row>
    <row r="883" spans="1:30" hidden="1" x14ac:dyDescent="0.45">
      <c r="A883">
        <v>878</v>
      </c>
      <c r="B883">
        <v>3300</v>
      </c>
      <c r="C883" t="s">
        <v>126</v>
      </c>
      <c r="D883" t="s">
        <v>3298</v>
      </c>
      <c r="E883">
        <v>77</v>
      </c>
      <c r="F883" t="s">
        <v>35</v>
      </c>
      <c r="G883" t="s">
        <v>3299</v>
      </c>
      <c r="H883" t="s">
        <v>2679</v>
      </c>
      <c r="I883" t="s">
        <v>126</v>
      </c>
      <c r="J883" t="s">
        <v>35</v>
      </c>
      <c r="L883" t="b">
        <v>0</v>
      </c>
      <c r="M883" t="s">
        <v>29</v>
      </c>
      <c r="N883" t="s">
        <v>8245</v>
      </c>
      <c r="O883" s="1">
        <v>16842</v>
      </c>
      <c r="P883" t="s">
        <v>3300</v>
      </c>
      <c r="Q883" t="s">
        <v>3301</v>
      </c>
      <c r="S883" s="1">
        <v>45020.209027777775</v>
      </c>
      <c r="T883" t="s">
        <v>2260</v>
      </c>
      <c r="U883" t="s">
        <v>53</v>
      </c>
      <c r="V883">
        <v>1946</v>
      </c>
      <c r="W883">
        <v>117.24</v>
      </c>
      <c r="X883">
        <v>7.5</v>
      </c>
      <c r="Y883" s="2">
        <v>21427700000000</v>
      </c>
      <c r="Z883">
        <v>88.2</v>
      </c>
      <c r="AA883">
        <v>101.8</v>
      </c>
      <c r="AB883">
        <v>9.6</v>
      </c>
      <c r="AC883">
        <v>36.6</v>
      </c>
      <c r="AD883">
        <v>328239523</v>
      </c>
    </row>
    <row r="884" spans="1:30" hidden="1" x14ac:dyDescent="0.45">
      <c r="A884">
        <v>878</v>
      </c>
      <c r="B884">
        <v>3300</v>
      </c>
      <c r="C884" t="s">
        <v>126</v>
      </c>
      <c r="D884" t="s">
        <v>3302</v>
      </c>
      <c r="E884">
        <v>68</v>
      </c>
      <c r="F884" t="s">
        <v>558</v>
      </c>
      <c r="G884" t="s">
        <v>2682</v>
      </c>
      <c r="H884" t="s">
        <v>602</v>
      </c>
      <c r="I884" t="s">
        <v>126</v>
      </c>
      <c r="J884" t="s">
        <v>558</v>
      </c>
      <c r="L884" t="b">
        <v>1</v>
      </c>
      <c r="M884" t="s">
        <v>611</v>
      </c>
      <c r="N884" t="s">
        <v>8245</v>
      </c>
      <c r="O884" s="1">
        <v>20180</v>
      </c>
      <c r="P884" t="s">
        <v>3303</v>
      </c>
      <c r="Q884" t="s">
        <v>2064</v>
      </c>
      <c r="S884" s="1">
        <v>45020.209027777775</v>
      </c>
      <c r="V884">
        <v>1955</v>
      </c>
      <c r="W884">
        <v>167.4</v>
      </c>
      <c r="X884">
        <v>3.7</v>
      </c>
      <c r="Y884" s="2">
        <v>1839758040766</v>
      </c>
      <c r="Z884">
        <v>51.3</v>
      </c>
      <c r="AA884">
        <v>115.4</v>
      </c>
      <c r="AB884">
        <v>14.2</v>
      </c>
      <c r="AC884">
        <v>65.099999999999994</v>
      </c>
      <c r="AD884">
        <v>212559417</v>
      </c>
    </row>
    <row r="885" spans="1:30" hidden="1" x14ac:dyDescent="0.45">
      <c r="A885">
        <v>878</v>
      </c>
      <c r="B885">
        <v>3300</v>
      </c>
      <c r="C885" t="s">
        <v>33</v>
      </c>
      <c r="D885" t="s">
        <v>3304</v>
      </c>
      <c r="E885">
        <v>79</v>
      </c>
      <c r="F885" t="s">
        <v>205</v>
      </c>
      <c r="G885" t="s">
        <v>3305</v>
      </c>
      <c r="H885" t="s">
        <v>2749</v>
      </c>
      <c r="I885" t="s">
        <v>33</v>
      </c>
      <c r="J885" t="s">
        <v>205</v>
      </c>
      <c r="L885" t="b">
        <v>0</v>
      </c>
      <c r="M885" t="s">
        <v>29</v>
      </c>
      <c r="N885" t="s">
        <v>8245</v>
      </c>
      <c r="O885" s="1">
        <v>15917</v>
      </c>
      <c r="P885" t="s">
        <v>3306</v>
      </c>
      <c r="Q885" t="s">
        <v>2064</v>
      </c>
      <c r="S885" s="1">
        <v>45020.209027777775</v>
      </c>
      <c r="V885">
        <v>1943</v>
      </c>
      <c r="W885">
        <v>99.55</v>
      </c>
      <c r="X885">
        <v>0.4</v>
      </c>
      <c r="Y885" s="2">
        <v>703082435360</v>
      </c>
      <c r="Z885">
        <v>59.6</v>
      </c>
      <c r="AA885">
        <v>105.2</v>
      </c>
      <c r="AB885">
        <v>10.1</v>
      </c>
      <c r="AC885">
        <v>28.8</v>
      </c>
      <c r="AD885">
        <v>8574832</v>
      </c>
    </row>
    <row r="886" spans="1:30" hidden="1" x14ac:dyDescent="0.45">
      <c r="A886">
        <v>878</v>
      </c>
      <c r="B886">
        <v>3300</v>
      </c>
      <c r="C886" t="s">
        <v>45</v>
      </c>
      <c r="D886" t="s">
        <v>3307</v>
      </c>
      <c r="E886">
        <v>55</v>
      </c>
      <c r="F886" t="s">
        <v>128</v>
      </c>
      <c r="G886" t="s">
        <v>129</v>
      </c>
      <c r="H886" t="s">
        <v>3308</v>
      </c>
      <c r="I886" t="s">
        <v>45</v>
      </c>
      <c r="J886" t="s">
        <v>128</v>
      </c>
      <c r="L886" t="b">
        <v>1</v>
      </c>
      <c r="M886" t="s">
        <v>39</v>
      </c>
      <c r="N886" t="s">
        <v>8245</v>
      </c>
      <c r="O886" s="1">
        <v>24685</v>
      </c>
      <c r="P886" t="s">
        <v>3309</v>
      </c>
      <c r="Q886" t="s">
        <v>3310</v>
      </c>
      <c r="S886" s="1">
        <v>45020.209027777775</v>
      </c>
      <c r="V886">
        <v>1967</v>
      </c>
      <c r="W886">
        <v>125.08</v>
      </c>
      <c r="X886">
        <v>2.9</v>
      </c>
      <c r="Y886" s="2">
        <v>19910000000000</v>
      </c>
      <c r="Z886">
        <v>50.6</v>
      </c>
      <c r="AA886">
        <v>100.2</v>
      </c>
      <c r="AB886">
        <v>9.4</v>
      </c>
      <c r="AC886">
        <v>59.2</v>
      </c>
      <c r="AD886">
        <v>1397715000</v>
      </c>
    </row>
    <row r="887" spans="1:30" hidden="1" x14ac:dyDescent="0.45">
      <c r="A887">
        <v>878</v>
      </c>
      <c r="B887">
        <v>3300</v>
      </c>
      <c r="C887" t="s">
        <v>302</v>
      </c>
      <c r="D887" t="s">
        <v>3311</v>
      </c>
      <c r="E887">
        <v>88</v>
      </c>
      <c r="F887" t="s">
        <v>328</v>
      </c>
      <c r="G887" t="s">
        <v>795</v>
      </c>
      <c r="H887" t="s">
        <v>3312</v>
      </c>
      <c r="I887" t="s">
        <v>302</v>
      </c>
      <c r="J887" t="s">
        <v>328</v>
      </c>
      <c r="L887" t="b">
        <v>0</v>
      </c>
      <c r="M887" t="s">
        <v>611</v>
      </c>
      <c r="N887" t="s">
        <v>8245</v>
      </c>
      <c r="O887" s="1">
        <v>12644</v>
      </c>
      <c r="P887" t="s">
        <v>3313</v>
      </c>
      <c r="Q887" t="s">
        <v>225</v>
      </c>
      <c r="S887" s="1">
        <v>45020.209027777775</v>
      </c>
      <c r="V887">
        <v>1934</v>
      </c>
      <c r="W887">
        <v>119.8</v>
      </c>
      <c r="X887">
        <v>1.6</v>
      </c>
      <c r="Y887" s="2">
        <v>1392680589329</v>
      </c>
      <c r="Z887">
        <v>113.1</v>
      </c>
      <c r="AA887">
        <v>100.3</v>
      </c>
      <c r="AB887">
        <v>23</v>
      </c>
      <c r="AC887">
        <v>47.4</v>
      </c>
      <c r="AD887">
        <v>25766605</v>
      </c>
    </row>
    <row r="888" spans="1:30" hidden="1" x14ac:dyDescent="0.45">
      <c r="A888">
        <v>878</v>
      </c>
      <c r="B888">
        <v>3300</v>
      </c>
      <c r="C888" t="s">
        <v>689</v>
      </c>
      <c r="D888" t="s">
        <v>3314</v>
      </c>
      <c r="E888">
        <v>72</v>
      </c>
      <c r="F888" t="s">
        <v>164</v>
      </c>
      <c r="G888" t="s">
        <v>3315</v>
      </c>
      <c r="H888" t="s">
        <v>3316</v>
      </c>
      <c r="I888" t="s">
        <v>689</v>
      </c>
      <c r="J888" t="s">
        <v>164</v>
      </c>
      <c r="K888" t="s">
        <v>3317</v>
      </c>
      <c r="L888" t="b">
        <v>1</v>
      </c>
      <c r="M888" t="s">
        <v>29</v>
      </c>
      <c r="N888" t="s">
        <v>8245</v>
      </c>
      <c r="O888" s="1">
        <v>18629</v>
      </c>
      <c r="P888" t="s">
        <v>3318</v>
      </c>
      <c r="Q888" t="s">
        <v>608</v>
      </c>
      <c r="R888" t="s">
        <v>3319</v>
      </c>
      <c r="S888" s="1">
        <v>45020.209027777775</v>
      </c>
      <c r="V888">
        <v>1951</v>
      </c>
      <c r="W888">
        <v>116.76</v>
      </c>
      <c r="X888">
        <v>1.9</v>
      </c>
      <c r="Y888" s="2">
        <v>1736425629520</v>
      </c>
      <c r="Z888">
        <v>68.900000000000006</v>
      </c>
      <c r="AA888">
        <v>100.9</v>
      </c>
      <c r="AB888">
        <v>12.8</v>
      </c>
      <c r="AC888">
        <v>24.5</v>
      </c>
      <c r="AD888">
        <v>36991981</v>
      </c>
    </row>
    <row r="889" spans="1:30" hidden="1" x14ac:dyDescent="0.45">
      <c r="A889">
        <v>878</v>
      </c>
      <c r="B889">
        <v>3300</v>
      </c>
      <c r="C889" t="s">
        <v>91</v>
      </c>
      <c r="D889" t="s">
        <v>3320</v>
      </c>
      <c r="E889">
        <v>82</v>
      </c>
      <c r="F889" t="s">
        <v>574</v>
      </c>
      <c r="G889" t="s">
        <v>574</v>
      </c>
      <c r="H889" t="s">
        <v>91</v>
      </c>
      <c r="I889" t="s">
        <v>91</v>
      </c>
      <c r="J889" t="s">
        <v>574</v>
      </c>
      <c r="L889" t="b">
        <v>0</v>
      </c>
      <c r="M889" t="s">
        <v>29</v>
      </c>
      <c r="N889" t="s">
        <v>8245</v>
      </c>
      <c r="O889" s="1">
        <v>14977</v>
      </c>
      <c r="P889" t="s">
        <v>3321</v>
      </c>
      <c r="Q889" t="s">
        <v>3322</v>
      </c>
      <c r="S889" s="1">
        <v>45020.209027777775</v>
      </c>
      <c r="V889">
        <v>1941</v>
      </c>
      <c r="W889">
        <v>114.41</v>
      </c>
      <c r="X889">
        <v>0.6</v>
      </c>
      <c r="Y889" s="2">
        <v>372062527489</v>
      </c>
      <c r="Z889">
        <v>84.8</v>
      </c>
      <c r="AA889">
        <v>100.6</v>
      </c>
      <c r="AB889">
        <v>13.1</v>
      </c>
      <c r="AC889">
        <v>21</v>
      </c>
      <c r="AD889">
        <v>5703569</v>
      </c>
    </row>
    <row r="890" spans="1:30" hidden="1" x14ac:dyDescent="0.45">
      <c r="A890">
        <v>878</v>
      </c>
      <c r="B890">
        <v>3300</v>
      </c>
      <c r="C890" t="s">
        <v>61</v>
      </c>
      <c r="D890" t="s">
        <v>3323</v>
      </c>
      <c r="E890">
        <v>59</v>
      </c>
      <c r="F890" t="s">
        <v>35</v>
      </c>
      <c r="G890" t="s">
        <v>3324</v>
      </c>
      <c r="H890" t="s">
        <v>317</v>
      </c>
      <c r="I890" t="s">
        <v>61</v>
      </c>
      <c r="J890" t="s">
        <v>35</v>
      </c>
      <c r="L890" t="b">
        <v>1</v>
      </c>
      <c r="M890" t="s">
        <v>39</v>
      </c>
      <c r="N890" t="s">
        <v>8245</v>
      </c>
      <c r="O890" s="1">
        <v>23314</v>
      </c>
      <c r="P890" t="s">
        <v>3325</v>
      </c>
      <c r="Q890" t="s">
        <v>3326</v>
      </c>
      <c r="S890" s="1">
        <v>45020.209027777775</v>
      </c>
      <c r="T890" t="s">
        <v>78</v>
      </c>
      <c r="U890" t="s">
        <v>82</v>
      </c>
      <c r="V890">
        <v>1963</v>
      </c>
      <c r="W890">
        <v>117.24</v>
      </c>
      <c r="X890">
        <v>7.5</v>
      </c>
      <c r="Y890" s="2">
        <v>21427700000000</v>
      </c>
      <c r="Z890">
        <v>88.2</v>
      </c>
      <c r="AA890">
        <v>101.8</v>
      </c>
      <c r="AB890">
        <v>9.6</v>
      </c>
      <c r="AC890">
        <v>36.6</v>
      </c>
      <c r="AD890">
        <v>328239523</v>
      </c>
    </row>
    <row r="891" spans="1:30" hidden="1" x14ac:dyDescent="0.45">
      <c r="A891">
        <v>878</v>
      </c>
      <c r="B891">
        <v>3300</v>
      </c>
      <c r="C891" t="s">
        <v>76</v>
      </c>
      <c r="D891" t="s">
        <v>3327</v>
      </c>
      <c r="E891">
        <v>78</v>
      </c>
      <c r="F891" t="s">
        <v>490</v>
      </c>
      <c r="G891" t="s">
        <v>1737</v>
      </c>
      <c r="H891" t="s">
        <v>3328</v>
      </c>
      <c r="I891" t="s">
        <v>76</v>
      </c>
      <c r="J891" t="s">
        <v>490</v>
      </c>
      <c r="L891" t="b">
        <v>1</v>
      </c>
      <c r="M891" t="s">
        <v>39</v>
      </c>
      <c r="N891" t="s">
        <v>8245</v>
      </c>
      <c r="O891" s="1">
        <v>16412</v>
      </c>
      <c r="P891" t="s">
        <v>3329</v>
      </c>
      <c r="Q891" t="s">
        <v>3330</v>
      </c>
      <c r="S891" s="1">
        <v>45020.209027777775</v>
      </c>
      <c r="V891">
        <v>1944</v>
      </c>
      <c r="W891">
        <v>108.15</v>
      </c>
      <c r="X891">
        <v>0.8</v>
      </c>
      <c r="Y891" s="2">
        <v>395098666122</v>
      </c>
      <c r="Z891">
        <v>63.4</v>
      </c>
      <c r="AA891">
        <v>104.9</v>
      </c>
      <c r="AB891">
        <v>23.1</v>
      </c>
      <c r="AC891">
        <v>25.3</v>
      </c>
      <c r="AD891">
        <v>9053300</v>
      </c>
    </row>
    <row r="892" spans="1:30" hidden="1" x14ac:dyDescent="0.45">
      <c r="A892">
        <v>878</v>
      </c>
      <c r="B892">
        <v>3300</v>
      </c>
      <c r="C892" t="s">
        <v>23</v>
      </c>
      <c r="D892" t="s">
        <v>3331</v>
      </c>
      <c r="E892">
        <v>79</v>
      </c>
      <c r="F892" t="s">
        <v>266</v>
      </c>
      <c r="G892" t="s">
        <v>3332</v>
      </c>
      <c r="H892" t="s">
        <v>3333</v>
      </c>
      <c r="I892" t="s">
        <v>23</v>
      </c>
      <c r="J892" t="s">
        <v>266</v>
      </c>
      <c r="L892" t="b">
        <v>1</v>
      </c>
      <c r="M892" t="s">
        <v>39</v>
      </c>
      <c r="N892" t="s">
        <v>8245</v>
      </c>
      <c r="O892" s="1">
        <v>16136</v>
      </c>
      <c r="P892" t="s">
        <v>3334</v>
      </c>
      <c r="Q892" t="s">
        <v>3335</v>
      </c>
      <c r="S892" s="1">
        <v>45020.209027777775</v>
      </c>
      <c r="V892">
        <v>1944</v>
      </c>
      <c r="W892">
        <v>105.48</v>
      </c>
      <c r="X892">
        <v>0.5</v>
      </c>
      <c r="Y892" s="2">
        <v>5081769542380</v>
      </c>
      <c r="Z892">
        <v>63.2</v>
      </c>
      <c r="AA892">
        <v>98.8</v>
      </c>
      <c r="AB892">
        <v>11.9</v>
      </c>
      <c r="AC892">
        <v>46.7</v>
      </c>
      <c r="AD892">
        <v>126226568</v>
      </c>
    </row>
    <row r="893" spans="1:30" hidden="1" x14ac:dyDescent="0.45">
      <c r="A893">
        <v>878</v>
      </c>
      <c r="B893">
        <v>3300</v>
      </c>
      <c r="C893" t="s">
        <v>326</v>
      </c>
      <c r="D893" t="s">
        <v>3336</v>
      </c>
      <c r="E893">
        <v>77</v>
      </c>
      <c r="F893" t="s">
        <v>393</v>
      </c>
      <c r="G893" t="s">
        <v>394</v>
      </c>
      <c r="H893" t="s">
        <v>1708</v>
      </c>
      <c r="I893" t="s">
        <v>326</v>
      </c>
      <c r="J893" t="s">
        <v>393</v>
      </c>
      <c r="L893" t="b">
        <v>1</v>
      </c>
      <c r="M893" t="s">
        <v>39</v>
      </c>
      <c r="N893" t="s">
        <v>8245</v>
      </c>
      <c r="O893" s="1">
        <v>16754</v>
      </c>
      <c r="P893" t="s">
        <v>3337</v>
      </c>
      <c r="Q893" t="s">
        <v>3338</v>
      </c>
      <c r="S893" s="1">
        <v>45020.209027777775</v>
      </c>
      <c r="V893">
        <v>1945</v>
      </c>
      <c r="W893">
        <v>131.91</v>
      </c>
      <c r="X893">
        <v>2.6</v>
      </c>
      <c r="Y893" s="2">
        <v>282318159745</v>
      </c>
      <c r="Z893">
        <v>88.5</v>
      </c>
      <c r="AA893">
        <v>101.4</v>
      </c>
      <c r="AB893">
        <v>18.2</v>
      </c>
      <c r="AC893">
        <v>34</v>
      </c>
      <c r="AD893">
        <v>18952038</v>
      </c>
    </row>
    <row r="894" spans="1:30" x14ac:dyDescent="0.45">
      <c r="A894">
        <v>878</v>
      </c>
      <c r="B894" s="6">
        <v>3300</v>
      </c>
      <c r="C894" t="s">
        <v>61</v>
      </c>
      <c r="D894" t="s">
        <v>3339</v>
      </c>
      <c r="E894">
        <v>77</v>
      </c>
      <c r="F894" t="s">
        <v>35</v>
      </c>
      <c r="G894" t="s">
        <v>1508</v>
      </c>
      <c r="H894" t="s">
        <v>356</v>
      </c>
      <c r="I894" t="s">
        <v>61</v>
      </c>
      <c r="J894" t="s">
        <v>35</v>
      </c>
      <c r="K894" t="s">
        <v>3340</v>
      </c>
      <c r="L894" t="b">
        <v>1</v>
      </c>
      <c r="M894" t="s">
        <v>39</v>
      </c>
      <c r="N894" t="s">
        <v>8245</v>
      </c>
      <c r="O894" s="10">
        <v>16803</v>
      </c>
      <c r="P894" t="s">
        <v>3341</v>
      </c>
      <c r="Q894" t="s">
        <v>3342</v>
      </c>
      <c r="R894" t="s">
        <v>138</v>
      </c>
      <c r="S894" s="8">
        <v>45020.209027777775</v>
      </c>
      <c r="T894" t="s">
        <v>1153</v>
      </c>
      <c r="U894" t="s">
        <v>69</v>
      </c>
      <c r="V894">
        <v>1946</v>
      </c>
      <c r="W894" s="12">
        <v>117.24</v>
      </c>
      <c r="X894">
        <v>7.5</v>
      </c>
      <c r="Y894" s="14">
        <v>21427700000000</v>
      </c>
      <c r="Z894">
        <v>88.2</v>
      </c>
      <c r="AA894">
        <v>101.8</v>
      </c>
      <c r="AB894">
        <v>9.6</v>
      </c>
      <c r="AC894">
        <v>36.6</v>
      </c>
      <c r="AD894">
        <v>328239523</v>
      </c>
    </row>
    <row r="895" spans="1:30" hidden="1" x14ac:dyDescent="0.45">
      <c r="A895">
        <v>878</v>
      </c>
      <c r="B895">
        <v>3300</v>
      </c>
      <c r="C895" t="s">
        <v>91</v>
      </c>
      <c r="D895" t="s">
        <v>3343</v>
      </c>
      <c r="E895">
        <v>88</v>
      </c>
      <c r="F895" t="s">
        <v>35</v>
      </c>
      <c r="G895" t="s">
        <v>241</v>
      </c>
      <c r="H895" t="s">
        <v>3344</v>
      </c>
      <c r="I895" t="s">
        <v>91</v>
      </c>
      <c r="J895" t="s">
        <v>35</v>
      </c>
      <c r="L895" t="b">
        <v>1</v>
      </c>
      <c r="M895" t="s">
        <v>29</v>
      </c>
      <c r="N895" t="s">
        <v>8245</v>
      </c>
      <c r="O895" s="1">
        <v>12860</v>
      </c>
      <c r="P895" t="s">
        <v>3345</v>
      </c>
      <c r="Q895" t="s">
        <v>184</v>
      </c>
      <c r="S895" s="1">
        <v>45020.209027777775</v>
      </c>
      <c r="T895" t="s">
        <v>245</v>
      </c>
      <c r="U895" t="s">
        <v>53</v>
      </c>
      <c r="V895">
        <v>1935</v>
      </c>
      <c r="W895">
        <v>117.24</v>
      </c>
      <c r="X895">
        <v>7.5</v>
      </c>
      <c r="Y895" s="2">
        <v>21427700000000</v>
      </c>
      <c r="Z895">
        <v>88.2</v>
      </c>
      <c r="AA895">
        <v>101.8</v>
      </c>
      <c r="AB895">
        <v>9.6</v>
      </c>
      <c r="AC895">
        <v>36.6</v>
      </c>
      <c r="AD895">
        <v>328239523</v>
      </c>
    </row>
    <row r="896" spans="1:30" hidden="1" x14ac:dyDescent="0.45">
      <c r="A896">
        <v>878</v>
      </c>
      <c r="B896">
        <v>3300</v>
      </c>
      <c r="C896" t="s">
        <v>83</v>
      </c>
      <c r="D896" t="s">
        <v>3346</v>
      </c>
      <c r="E896">
        <v>68</v>
      </c>
      <c r="F896" t="s">
        <v>1365</v>
      </c>
      <c r="G896" t="s">
        <v>1366</v>
      </c>
      <c r="H896" t="s">
        <v>83</v>
      </c>
      <c r="I896" t="s">
        <v>83</v>
      </c>
      <c r="J896" t="s">
        <v>1365</v>
      </c>
      <c r="L896" t="b">
        <v>0</v>
      </c>
      <c r="M896" t="s">
        <v>39</v>
      </c>
      <c r="N896" t="s">
        <v>8245</v>
      </c>
      <c r="O896" s="1">
        <v>19890</v>
      </c>
      <c r="P896" t="s">
        <v>1368</v>
      </c>
      <c r="Q896" t="s">
        <v>3347</v>
      </c>
      <c r="S896" s="1">
        <v>45020.209027777775</v>
      </c>
      <c r="V896">
        <v>1954</v>
      </c>
      <c r="W896">
        <v>288.57</v>
      </c>
      <c r="X896">
        <v>9.1999999999999993</v>
      </c>
      <c r="Y896" s="2">
        <v>303175127598</v>
      </c>
      <c r="Z896">
        <v>35.200000000000003</v>
      </c>
      <c r="AA896">
        <v>106.3</v>
      </c>
      <c r="AB896">
        <v>12.5</v>
      </c>
      <c r="AC896">
        <v>44.4</v>
      </c>
      <c r="AD896">
        <v>100388073</v>
      </c>
    </row>
    <row r="897" spans="1:30" hidden="1" x14ac:dyDescent="0.45">
      <c r="A897">
        <v>878</v>
      </c>
      <c r="B897">
        <v>3300</v>
      </c>
      <c r="C897" t="s">
        <v>61</v>
      </c>
      <c r="D897" t="s">
        <v>3348</v>
      </c>
      <c r="E897">
        <v>55</v>
      </c>
      <c r="F897" t="s">
        <v>128</v>
      </c>
      <c r="G897" t="s">
        <v>228</v>
      </c>
      <c r="H897" t="s">
        <v>1064</v>
      </c>
      <c r="I897" t="s">
        <v>61</v>
      </c>
      <c r="J897" t="s">
        <v>228</v>
      </c>
      <c r="K897" t="s">
        <v>3349</v>
      </c>
      <c r="L897" t="b">
        <v>1</v>
      </c>
      <c r="M897" t="s">
        <v>39</v>
      </c>
      <c r="N897" t="s">
        <v>8245</v>
      </c>
      <c r="O897" s="1">
        <v>24822</v>
      </c>
      <c r="P897" t="s">
        <v>3350</v>
      </c>
      <c r="Q897" t="s">
        <v>1795</v>
      </c>
      <c r="R897" t="s">
        <v>688</v>
      </c>
      <c r="S897" s="1">
        <v>45020.209027777775</v>
      </c>
      <c r="V897">
        <v>1967</v>
      </c>
      <c r="W897">
        <v>125.08</v>
      </c>
      <c r="X897">
        <v>2.9</v>
      </c>
      <c r="Y897" s="2">
        <v>19910000000000</v>
      </c>
      <c r="Z897">
        <v>50.6</v>
      </c>
      <c r="AA897">
        <v>100.2</v>
      </c>
      <c r="AB897">
        <v>9.4</v>
      </c>
      <c r="AC897">
        <v>59.2</v>
      </c>
      <c r="AD897">
        <v>1397715000</v>
      </c>
    </row>
    <row r="898" spans="1:30" hidden="1" x14ac:dyDescent="0.45">
      <c r="A898">
        <v>878</v>
      </c>
      <c r="B898">
        <v>3300</v>
      </c>
      <c r="C898" t="s">
        <v>45</v>
      </c>
      <c r="D898" t="s">
        <v>3351</v>
      </c>
      <c r="E898">
        <v>54</v>
      </c>
      <c r="F898" t="s">
        <v>490</v>
      </c>
      <c r="G898" t="s">
        <v>1737</v>
      </c>
      <c r="H898" t="s">
        <v>856</v>
      </c>
      <c r="I898" t="s">
        <v>45</v>
      </c>
      <c r="J898" t="s">
        <v>490</v>
      </c>
      <c r="L898" t="b">
        <v>1</v>
      </c>
      <c r="M898" t="s">
        <v>39</v>
      </c>
      <c r="N898" t="s">
        <v>8245</v>
      </c>
      <c r="O898" s="1">
        <v>25001</v>
      </c>
      <c r="P898" t="s">
        <v>3352</v>
      </c>
      <c r="Q898" t="s">
        <v>3353</v>
      </c>
      <c r="S898" s="1">
        <v>45020.209027777775</v>
      </c>
      <c r="V898">
        <v>1968</v>
      </c>
      <c r="W898">
        <v>108.15</v>
      </c>
      <c r="X898">
        <v>0.8</v>
      </c>
      <c r="Y898" s="2">
        <v>395098666122</v>
      </c>
      <c r="Z898">
        <v>63.4</v>
      </c>
      <c r="AA898">
        <v>104.9</v>
      </c>
      <c r="AB898">
        <v>23.1</v>
      </c>
      <c r="AC898">
        <v>25.3</v>
      </c>
      <c r="AD898">
        <v>9053300</v>
      </c>
    </row>
    <row r="899" spans="1:30" hidden="1" x14ac:dyDescent="0.45">
      <c r="A899">
        <v>878</v>
      </c>
      <c r="B899">
        <v>3300</v>
      </c>
      <c r="C899" t="s">
        <v>61</v>
      </c>
      <c r="D899" t="s">
        <v>3354</v>
      </c>
      <c r="E899">
        <v>71</v>
      </c>
      <c r="F899" t="s">
        <v>164</v>
      </c>
      <c r="G899" t="s">
        <v>165</v>
      </c>
      <c r="H899" t="s">
        <v>3355</v>
      </c>
      <c r="I899" t="s">
        <v>61</v>
      </c>
      <c r="J899" t="s">
        <v>164</v>
      </c>
      <c r="L899" t="b">
        <v>1</v>
      </c>
      <c r="M899" t="s">
        <v>29</v>
      </c>
      <c r="N899" t="s">
        <v>8245</v>
      </c>
      <c r="O899" s="1">
        <v>18781</v>
      </c>
      <c r="P899" t="s">
        <v>1215</v>
      </c>
      <c r="Q899" t="s">
        <v>320</v>
      </c>
      <c r="S899" s="1">
        <v>45020.209027777775</v>
      </c>
      <c r="V899">
        <v>1951</v>
      </c>
      <c r="W899">
        <v>116.76</v>
      </c>
      <c r="X899">
        <v>1.9</v>
      </c>
      <c r="Y899" s="2">
        <v>1736425629520</v>
      </c>
      <c r="Z899">
        <v>68.900000000000006</v>
      </c>
      <c r="AA899">
        <v>100.9</v>
      </c>
      <c r="AB899">
        <v>12.8</v>
      </c>
      <c r="AC899">
        <v>24.5</v>
      </c>
      <c r="AD899">
        <v>36991981</v>
      </c>
    </row>
    <row r="900" spans="1:30" hidden="1" x14ac:dyDescent="0.45">
      <c r="A900">
        <v>878</v>
      </c>
      <c r="B900">
        <v>3300</v>
      </c>
      <c r="C900" t="s">
        <v>61</v>
      </c>
      <c r="D900" t="s">
        <v>3356</v>
      </c>
      <c r="E900">
        <v>38</v>
      </c>
      <c r="F900" t="s">
        <v>272</v>
      </c>
      <c r="G900" t="s">
        <v>273</v>
      </c>
      <c r="H900" t="s">
        <v>1418</v>
      </c>
      <c r="I900" t="s">
        <v>61</v>
      </c>
      <c r="J900" t="s">
        <v>272</v>
      </c>
      <c r="L900" t="b">
        <v>1</v>
      </c>
      <c r="M900" t="s">
        <v>39</v>
      </c>
      <c r="N900" t="s">
        <v>8245</v>
      </c>
      <c r="O900" s="1">
        <v>30884</v>
      </c>
      <c r="P900" t="s">
        <v>3357</v>
      </c>
      <c r="Q900" t="s">
        <v>3358</v>
      </c>
      <c r="S900" s="1">
        <v>45020.209027777775</v>
      </c>
      <c r="V900">
        <v>1984</v>
      </c>
      <c r="W900">
        <v>119.62</v>
      </c>
      <c r="X900">
        <v>1.7</v>
      </c>
      <c r="Y900" s="2">
        <v>2827113184696</v>
      </c>
      <c r="Z900">
        <v>60</v>
      </c>
      <c r="AA900">
        <v>101.2</v>
      </c>
      <c r="AB900">
        <v>25.5</v>
      </c>
      <c r="AC900">
        <v>30.6</v>
      </c>
      <c r="AD900">
        <v>66834405</v>
      </c>
    </row>
    <row r="901" spans="1:30" x14ac:dyDescent="0.45">
      <c r="A901">
        <v>878</v>
      </c>
      <c r="B901" s="6">
        <v>3300</v>
      </c>
      <c r="C901" t="s">
        <v>61</v>
      </c>
      <c r="D901" t="s">
        <v>3359</v>
      </c>
      <c r="E901">
        <v>48</v>
      </c>
      <c r="F901" t="s">
        <v>35</v>
      </c>
      <c r="G901" t="s">
        <v>3360</v>
      </c>
      <c r="H901" t="s">
        <v>1513</v>
      </c>
      <c r="I901" t="s">
        <v>61</v>
      </c>
      <c r="J901" t="s">
        <v>35</v>
      </c>
      <c r="K901" t="s">
        <v>3361</v>
      </c>
      <c r="L901" t="b">
        <v>1</v>
      </c>
      <c r="M901" t="s">
        <v>29</v>
      </c>
      <c r="N901" t="s">
        <v>8245</v>
      </c>
      <c r="O901" s="10">
        <v>27459</v>
      </c>
      <c r="P901" t="s">
        <v>3362</v>
      </c>
      <c r="Q901" t="s">
        <v>2498</v>
      </c>
      <c r="R901" t="s">
        <v>192</v>
      </c>
      <c r="S901" s="8">
        <v>45020.209027777775</v>
      </c>
      <c r="T901" t="s">
        <v>78</v>
      </c>
      <c r="U901" t="s">
        <v>82</v>
      </c>
      <c r="V901">
        <v>1975</v>
      </c>
      <c r="W901" s="12">
        <v>117.24</v>
      </c>
      <c r="X901">
        <v>7.5</v>
      </c>
      <c r="Y901" s="14">
        <v>21427700000000</v>
      </c>
      <c r="Z901">
        <v>88.2</v>
      </c>
      <c r="AA901">
        <v>101.8</v>
      </c>
      <c r="AB901">
        <v>9.6</v>
      </c>
      <c r="AC901">
        <v>36.6</v>
      </c>
      <c r="AD901">
        <v>328239523</v>
      </c>
    </row>
    <row r="902" spans="1:30" hidden="1" x14ac:dyDescent="0.45">
      <c r="A902">
        <v>878</v>
      </c>
      <c r="B902">
        <v>3300</v>
      </c>
      <c r="C902" t="s">
        <v>61</v>
      </c>
      <c r="D902" t="s">
        <v>3363</v>
      </c>
      <c r="E902">
        <v>74</v>
      </c>
      <c r="F902" t="s">
        <v>35</v>
      </c>
      <c r="G902" t="s">
        <v>704</v>
      </c>
      <c r="H902" t="s">
        <v>317</v>
      </c>
      <c r="I902" t="s">
        <v>61</v>
      </c>
      <c r="J902" t="s">
        <v>35</v>
      </c>
      <c r="L902" t="b">
        <v>1</v>
      </c>
      <c r="M902" t="s">
        <v>29</v>
      </c>
      <c r="N902" t="s">
        <v>8245</v>
      </c>
      <c r="O902" s="1">
        <v>17818</v>
      </c>
      <c r="P902" t="s">
        <v>3364</v>
      </c>
      <c r="Q902" t="s">
        <v>534</v>
      </c>
      <c r="R902" t="s">
        <v>688</v>
      </c>
      <c r="S902" s="1">
        <v>45020.209027777775</v>
      </c>
      <c r="T902" t="s">
        <v>43</v>
      </c>
      <c r="U902" t="s">
        <v>44</v>
      </c>
      <c r="V902">
        <v>1948</v>
      </c>
      <c r="W902">
        <v>117.24</v>
      </c>
      <c r="X902">
        <v>7.5</v>
      </c>
      <c r="Y902" s="2">
        <v>21427700000000</v>
      </c>
      <c r="Z902">
        <v>88.2</v>
      </c>
      <c r="AA902">
        <v>101.8</v>
      </c>
      <c r="AB902">
        <v>9.6</v>
      </c>
      <c r="AC902">
        <v>36.6</v>
      </c>
      <c r="AD902">
        <v>328239523</v>
      </c>
    </row>
    <row r="903" spans="1:30" hidden="1" x14ac:dyDescent="0.45">
      <c r="A903">
        <v>878</v>
      </c>
      <c r="B903">
        <v>3300</v>
      </c>
      <c r="C903" t="s">
        <v>296</v>
      </c>
      <c r="D903" t="s">
        <v>3365</v>
      </c>
      <c r="E903">
        <v>59</v>
      </c>
      <c r="F903" t="s">
        <v>35</v>
      </c>
      <c r="G903" t="s">
        <v>3366</v>
      </c>
      <c r="H903" t="s">
        <v>1268</v>
      </c>
      <c r="I903" t="s">
        <v>296</v>
      </c>
      <c r="J903" t="s">
        <v>35</v>
      </c>
      <c r="L903" t="b">
        <v>0</v>
      </c>
      <c r="M903" t="s">
        <v>39</v>
      </c>
      <c r="N903" t="s">
        <v>8245</v>
      </c>
      <c r="O903" s="1">
        <v>23452</v>
      </c>
      <c r="P903" t="s">
        <v>2067</v>
      </c>
      <c r="Q903" t="s">
        <v>2033</v>
      </c>
      <c r="S903" s="1">
        <v>45020.209027777775</v>
      </c>
      <c r="T903" t="s">
        <v>253</v>
      </c>
      <c r="U903" t="s">
        <v>44</v>
      </c>
      <c r="V903">
        <v>1964</v>
      </c>
      <c r="W903">
        <v>117.24</v>
      </c>
      <c r="X903">
        <v>7.5</v>
      </c>
      <c r="Y903" s="2">
        <v>21427700000000</v>
      </c>
      <c r="Z903">
        <v>88.2</v>
      </c>
      <c r="AA903">
        <v>101.8</v>
      </c>
      <c r="AB903">
        <v>9.6</v>
      </c>
      <c r="AC903">
        <v>36.6</v>
      </c>
      <c r="AD903">
        <v>328239523</v>
      </c>
    </row>
    <row r="904" spans="1:30" hidden="1" x14ac:dyDescent="0.45">
      <c r="A904">
        <v>878</v>
      </c>
      <c r="B904">
        <v>3300</v>
      </c>
      <c r="C904" t="s">
        <v>296</v>
      </c>
      <c r="D904" t="s">
        <v>3367</v>
      </c>
      <c r="E904">
        <v>53</v>
      </c>
      <c r="F904" t="s">
        <v>128</v>
      </c>
      <c r="G904" t="s">
        <v>719</v>
      </c>
      <c r="H904" t="s">
        <v>778</v>
      </c>
      <c r="I904" t="s">
        <v>296</v>
      </c>
      <c r="J904" t="s">
        <v>128</v>
      </c>
      <c r="L904" t="b">
        <v>1</v>
      </c>
      <c r="M904" t="s">
        <v>39</v>
      </c>
      <c r="N904" t="s">
        <v>8245</v>
      </c>
      <c r="O904"/>
      <c r="P904" t="s">
        <v>2083</v>
      </c>
      <c r="Q904" t="s">
        <v>2592</v>
      </c>
      <c r="S904" s="1">
        <v>45020.209027777775</v>
      </c>
      <c r="W904">
        <v>125.08</v>
      </c>
      <c r="X904">
        <v>2.9</v>
      </c>
      <c r="Y904" s="2">
        <v>19910000000000</v>
      </c>
      <c r="Z904">
        <v>50.6</v>
      </c>
      <c r="AA904">
        <v>100.2</v>
      </c>
      <c r="AB904">
        <v>9.4</v>
      </c>
      <c r="AC904">
        <v>59.2</v>
      </c>
      <c r="AD904">
        <v>1397715000</v>
      </c>
    </row>
    <row r="905" spans="1:30" hidden="1" x14ac:dyDescent="0.45">
      <c r="A905">
        <v>878</v>
      </c>
      <c r="B905">
        <v>3300</v>
      </c>
      <c r="C905" t="s">
        <v>23</v>
      </c>
      <c r="D905" t="s">
        <v>3368</v>
      </c>
      <c r="E905">
        <v>73</v>
      </c>
      <c r="F905" t="s">
        <v>574</v>
      </c>
      <c r="G905" t="s">
        <v>574</v>
      </c>
      <c r="H905" t="s">
        <v>196</v>
      </c>
      <c r="I905" t="s">
        <v>23</v>
      </c>
      <c r="J905" t="s">
        <v>266</v>
      </c>
      <c r="L905" t="b">
        <v>1</v>
      </c>
      <c r="M905" t="s">
        <v>29</v>
      </c>
      <c r="N905" t="s">
        <v>8245</v>
      </c>
      <c r="O905" s="1">
        <v>18025</v>
      </c>
      <c r="P905" t="s">
        <v>3369</v>
      </c>
      <c r="Q905" t="s">
        <v>3370</v>
      </c>
      <c r="S905" s="1">
        <v>45020.209027777775</v>
      </c>
      <c r="V905">
        <v>1949</v>
      </c>
      <c r="W905">
        <v>114.41</v>
      </c>
      <c r="X905">
        <v>0.6</v>
      </c>
      <c r="Y905" s="2">
        <v>372062527489</v>
      </c>
      <c r="Z905">
        <v>84.8</v>
      </c>
      <c r="AA905">
        <v>100.6</v>
      </c>
      <c r="AB905">
        <v>13.1</v>
      </c>
      <c r="AC905">
        <v>21</v>
      </c>
      <c r="AD905">
        <v>5703569</v>
      </c>
    </row>
    <row r="906" spans="1:30" hidden="1" x14ac:dyDescent="0.45">
      <c r="A906">
        <v>905</v>
      </c>
      <c r="B906">
        <v>3200</v>
      </c>
      <c r="C906" t="s">
        <v>126</v>
      </c>
      <c r="D906" t="s">
        <v>3371</v>
      </c>
      <c r="E906">
        <v>53</v>
      </c>
      <c r="H906" t="s">
        <v>2423</v>
      </c>
      <c r="I906" t="s">
        <v>126</v>
      </c>
      <c r="J906" t="s">
        <v>85</v>
      </c>
      <c r="L906" t="b">
        <v>0</v>
      </c>
      <c r="M906" t="s">
        <v>29</v>
      </c>
      <c r="N906" t="s">
        <v>8246</v>
      </c>
      <c r="O906"/>
      <c r="P906" t="s">
        <v>3372</v>
      </c>
      <c r="Q906" t="s">
        <v>3373</v>
      </c>
      <c r="S906" s="1">
        <v>45020.209027777775</v>
      </c>
      <c r="W906"/>
      <c r="Y906"/>
    </row>
    <row r="907" spans="1:30" hidden="1" x14ac:dyDescent="0.45">
      <c r="A907">
        <v>905</v>
      </c>
      <c r="B907">
        <v>3200</v>
      </c>
      <c r="C907" t="s">
        <v>23</v>
      </c>
      <c r="D907" t="s">
        <v>3374</v>
      </c>
      <c r="E907">
        <v>85</v>
      </c>
      <c r="F907" t="s">
        <v>214</v>
      </c>
      <c r="G907" t="s">
        <v>2813</v>
      </c>
      <c r="H907" t="s">
        <v>3375</v>
      </c>
      <c r="I907" t="s">
        <v>23</v>
      </c>
      <c r="J907" t="s">
        <v>214</v>
      </c>
      <c r="L907" t="b">
        <v>1</v>
      </c>
      <c r="M907" t="s">
        <v>29</v>
      </c>
      <c r="N907" t="s">
        <v>8246</v>
      </c>
      <c r="O907" s="1">
        <v>13704</v>
      </c>
      <c r="P907" t="s">
        <v>3376</v>
      </c>
      <c r="Q907" t="s">
        <v>3377</v>
      </c>
      <c r="S907" s="1">
        <v>45020.209027777775</v>
      </c>
      <c r="V907">
        <v>1937</v>
      </c>
      <c r="W907">
        <v>110.62</v>
      </c>
      <c r="X907">
        <v>0.6</v>
      </c>
      <c r="Y907" s="2">
        <v>2001244392042</v>
      </c>
      <c r="Z907">
        <v>61.9</v>
      </c>
      <c r="AA907">
        <v>101.9</v>
      </c>
      <c r="AB907">
        <v>24.3</v>
      </c>
      <c r="AC907">
        <v>59.1</v>
      </c>
      <c r="AD907">
        <v>60297396</v>
      </c>
    </row>
    <row r="908" spans="1:30" hidden="1" x14ac:dyDescent="0.45">
      <c r="A908">
        <v>905</v>
      </c>
      <c r="B908">
        <v>3200</v>
      </c>
      <c r="C908" t="s">
        <v>23</v>
      </c>
      <c r="D908" t="s">
        <v>3378</v>
      </c>
      <c r="E908">
        <v>87</v>
      </c>
      <c r="F908" t="s">
        <v>214</v>
      </c>
      <c r="G908" t="s">
        <v>3379</v>
      </c>
      <c r="H908" t="s">
        <v>3375</v>
      </c>
      <c r="I908" t="s">
        <v>23</v>
      </c>
      <c r="J908" t="s">
        <v>214</v>
      </c>
      <c r="L908" t="b">
        <v>1</v>
      </c>
      <c r="M908" t="s">
        <v>29</v>
      </c>
      <c r="N908" t="s">
        <v>8245</v>
      </c>
      <c r="O908" s="1">
        <v>12917</v>
      </c>
      <c r="P908" t="s">
        <v>3376</v>
      </c>
      <c r="Q908" t="s">
        <v>3380</v>
      </c>
      <c r="S908" s="1">
        <v>45020.209027777775</v>
      </c>
      <c r="V908">
        <v>1935</v>
      </c>
      <c r="W908">
        <v>110.62</v>
      </c>
      <c r="X908">
        <v>0.6</v>
      </c>
      <c r="Y908" s="2">
        <v>2001244392042</v>
      </c>
      <c r="Z908">
        <v>61.9</v>
      </c>
      <c r="AA908">
        <v>101.9</v>
      </c>
      <c r="AB908">
        <v>24.3</v>
      </c>
      <c r="AC908">
        <v>59.1</v>
      </c>
      <c r="AD908">
        <v>60297396</v>
      </c>
    </row>
    <row r="909" spans="1:30" hidden="1" x14ac:dyDescent="0.45">
      <c r="A909">
        <v>905</v>
      </c>
      <c r="B909">
        <v>3200</v>
      </c>
      <c r="C909" t="s">
        <v>296</v>
      </c>
      <c r="D909" t="s">
        <v>3381</v>
      </c>
      <c r="E909">
        <v>82</v>
      </c>
      <c r="F909" t="s">
        <v>93</v>
      </c>
      <c r="G909" t="s">
        <v>343</v>
      </c>
      <c r="H909" t="s">
        <v>399</v>
      </c>
      <c r="I909" t="s">
        <v>296</v>
      </c>
      <c r="J909" t="s">
        <v>93</v>
      </c>
      <c r="L909" t="b">
        <v>0</v>
      </c>
      <c r="M909" t="s">
        <v>39</v>
      </c>
      <c r="N909" t="s">
        <v>8245</v>
      </c>
      <c r="O909" s="1">
        <v>14930</v>
      </c>
      <c r="P909" t="s">
        <v>3382</v>
      </c>
      <c r="Q909" t="s">
        <v>3383</v>
      </c>
      <c r="S909" s="1">
        <v>45020.209027777775</v>
      </c>
      <c r="V909">
        <v>1940</v>
      </c>
      <c r="W909">
        <v>180.44</v>
      </c>
      <c r="X909">
        <v>7.7</v>
      </c>
      <c r="Y909" s="2">
        <v>2611000000000</v>
      </c>
      <c r="Z909">
        <v>28.1</v>
      </c>
      <c r="AA909">
        <v>113</v>
      </c>
      <c r="AB909">
        <v>11.2</v>
      </c>
      <c r="AC909">
        <v>49.7</v>
      </c>
      <c r="AD909">
        <v>1366417754</v>
      </c>
    </row>
    <row r="910" spans="1:30" hidden="1" x14ac:dyDescent="0.45">
      <c r="A910">
        <v>905</v>
      </c>
      <c r="B910">
        <v>3200</v>
      </c>
      <c r="C910" t="s">
        <v>61</v>
      </c>
      <c r="D910" t="s">
        <v>3384</v>
      </c>
      <c r="E910">
        <v>70</v>
      </c>
      <c r="F910" t="s">
        <v>272</v>
      </c>
      <c r="G910" t="s">
        <v>273</v>
      </c>
      <c r="H910" t="s">
        <v>3385</v>
      </c>
      <c r="I910" t="s">
        <v>61</v>
      </c>
      <c r="J910" t="s">
        <v>35</v>
      </c>
      <c r="K910" t="s">
        <v>3386</v>
      </c>
      <c r="L910" t="b">
        <v>1</v>
      </c>
      <c r="M910" t="s">
        <v>29</v>
      </c>
      <c r="N910" t="s">
        <v>8245</v>
      </c>
      <c r="O910" s="1">
        <v>19310</v>
      </c>
      <c r="P910" t="s">
        <v>3387</v>
      </c>
      <c r="Q910" t="s">
        <v>2160</v>
      </c>
      <c r="R910" t="s">
        <v>688</v>
      </c>
      <c r="S910" s="1">
        <v>45020.209027777775</v>
      </c>
      <c r="V910">
        <v>1952</v>
      </c>
      <c r="W910">
        <v>119.62</v>
      </c>
      <c r="X910">
        <v>1.7</v>
      </c>
      <c r="Y910" s="2">
        <v>2827113184696</v>
      </c>
      <c r="Z910">
        <v>60</v>
      </c>
      <c r="AA910">
        <v>101.2</v>
      </c>
      <c r="AB910">
        <v>25.5</v>
      </c>
      <c r="AC910">
        <v>30.6</v>
      </c>
      <c r="AD910">
        <v>66834405</v>
      </c>
    </row>
    <row r="911" spans="1:30" hidden="1" x14ac:dyDescent="0.45">
      <c r="A911">
        <v>905</v>
      </c>
      <c r="B911">
        <v>3200</v>
      </c>
      <c r="C911" t="s">
        <v>296</v>
      </c>
      <c r="D911" t="s">
        <v>3388</v>
      </c>
      <c r="E911">
        <v>64</v>
      </c>
      <c r="F911" t="s">
        <v>128</v>
      </c>
      <c r="G911" t="s">
        <v>719</v>
      </c>
      <c r="H911" t="s">
        <v>3389</v>
      </c>
      <c r="I911" t="s">
        <v>296</v>
      </c>
      <c r="J911" t="s">
        <v>128</v>
      </c>
      <c r="L911" t="b">
        <v>1</v>
      </c>
      <c r="M911" t="s">
        <v>39</v>
      </c>
      <c r="N911" t="s">
        <v>8245</v>
      </c>
      <c r="O911" s="1">
        <v>21306</v>
      </c>
      <c r="P911" t="s">
        <v>679</v>
      </c>
      <c r="Q911" t="s">
        <v>3390</v>
      </c>
      <c r="S911" s="1">
        <v>45020.209027777775</v>
      </c>
      <c r="V911">
        <v>1958</v>
      </c>
      <c r="W911">
        <v>125.08</v>
      </c>
      <c r="X911">
        <v>2.9</v>
      </c>
      <c r="Y911" s="2">
        <v>19910000000000</v>
      </c>
      <c r="Z911">
        <v>50.6</v>
      </c>
      <c r="AA911">
        <v>100.2</v>
      </c>
      <c r="AB911">
        <v>9.4</v>
      </c>
      <c r="AC911">
        <v>59.2</v>
      </c>
      <c r="AD911">
        <v>1397715000</v>
      </c>
    </row>
    <row r="912" spans="1:30" hidden="1" x14ac:dyDescent="0.45">
      <c r="A912">
        <v>905</v>
      </c>
      <c r="B912">
        <v>3200</v>
      </c>
      <c r="C912" t="s">
        <v>23</v>
      </c>
      <c r="D912" t="s">
        <v>3391</v>
      </c>
      <c r="E912">
        <v>69</v>
      </c>
      <c r="F912" t="s">
        <v>214</v>
      </c>
      <c r="G912" t="s">
        <v>3392</v>
      </c>
      <c r="H912" t="s">
        <v>3393</v>
      </c>
      <c r="I912" t="s">
        <v>23</v>
      </c>
      <c r="J912" t="s">
        <v>214</v>
      </c>
      <c r="L912" t="b">
        <v>1</v>
      </c>
      <c r="M912" t="s">
        <v>29</v>
      </c>
      <c r="N912" t="s">
        <v>8245</v>
      </c>
      <c r="O912" s="1">
        <v>19605</v>
      </c>
      <c r="P912" t="s">
        <v>3394</v>
      </c>
      <c r="Q912" t="s">
        <v>3395</v>
      </c>
      <c r="S912" s="1">
        <v>45020.209027777775</v>
      </c>
      <c r="V912">
        <v>1953</v>
      </c>
      <c r="W912">
        <v>110.62</v>
      </c>
      <c r="X912">
        <v>0.6</v>
      </c>
      <c r="Y912" s="2">
        <v>2001244392042</v>
      </c>
      <c r="Z912">
        <v>61.9</v>
      </c>
      <c r="AA912">
        <v>101.9</v>
      </c>
      <c r="AB912">
        <v>24.3</v>
      </c>
      <c r="AC912">
        <v>59.1</v>
      </c>
      <c r="AD912">
        <v>60297396</v>
      </c>
    </row>
    <row r="913" spans="1:30" hidden="1" x14ac:dyDescent="0.45">
      <c r="A913">
        <v>905</v>
      </c>
      <c r="B913">
        <v>3200</v>
      </c>
      <c r="C913" t="s">
        <v>296</v>
      </c>
      <c r="D913" t="s">
        <v>3396</v>
      </c>
      <c r="E913">
        <v>84</v>
      </c>
      <c r="F913" t="s">
        <v>85</v>
      </c>
      <c r="G913" t="s">
        <v>86</v>
      </c>
      <c r="H913" t="s">
        <v>399</v>
      </c>
      <c r="I913" t="s">
        <v>296</v>
      </c>
      <c r="J913" t="s">
        <v>85</v>
      </c>
      <c r="L913" t="b">
        <v>1</v>
      </c>
      <c r="M913" t="s">
        <v>39</v>
      </c>
      <c r="N913" t="s">
        <v>8245</v>
      </c>
      <c r="O913" s="1">
        <v>14105</v>
      </c>
      <c r="P913" t="s">
        <v>3397</v>
      </c>
      <c r="Q913" t="s">
        <v>3398</v>
      </c>
      <c r="S913" s="1">
        <v>45020.209027777775</v>
      </c>
      <c r="V913">
        <v>1938</v>
      </c>
      <c r="W913">
        <v>141.54</v>
      </c>
      <c r="X913">
        <v>3.6</v>
      </c>
      <c r="Y913" s="2">
        <v>1258286717125</v>
      </c>
      <c r="Z913">
        <v>40.200000000000003</v>
      </c>
      <c r="AA913">
        <v>105.8</v>
      </c>
      <c r="AB913">
        <v>13.1</v>
      </c>
      <c r="AC913">
        <v>55.1</v>
      </c>
      <c r="AD913">
        <v>126014024</v>
      </c>
    </row>
    <row r="914" spans="1:30" hidden="1" x14ac:dyDescent="0.45">
      <c r="A914">
        <v>905</v>
      </c>
      <c r="B914">
        <v>3200</v>
      </c>
      <c r="C914" t="s">
        <v>402</v>
      </c>
      <c r="D914" t="s">
        <v>3399</v>
      </c>
      <c r="E914">
        <v>86</v>
      </c>
      <c r="F914" t="s">
        <v>214</v>
      </c>
      <c r="G914" t="s">
        <v>3400</v>
      </c>
      <c r="H914" t="s">
        <v>1919</v>
      </c>
      <c r="I914" t="s">
        <v>402</v>
      </c>
      <c r="J914" t="s">
        <v>214</v>
      </c>
      <c r="L914" t="b">
        <v>1</v>
      </c>
      <c r="M914" t="s">
        <v>285</v>
      </c>
      <c r="N914" t="s">
        <v>8245</v>
      </c>
      <c r="O914" s="1">
        <v>13591</v>
      </c>
      <c r="P914" t="s">
        <v>3401</v>
      </c>
      <c r="Q914" t="s">
        <v>3402</v>
      </c>
      <c r="S914" s="1">
        <v>45020.209027777775</v>
      </c>
      <c r="V914">
        <v>1937</v>
      </c>
      <c r="W914">
        <v>110.62</v>
      </c>
      <c r="X914">
        <v>0.6</v>
      </c>
      <c r="Y914" s="2">
        <v>2001244392042</v>
      </c>
      <c r="Z914">
        <v>61.9</v>
      </c>
      <c r="AA914">
        <v>101.9</v>
      </c>
      <c r="AB914">
        <v>24.3</v>
      </c>
      <c r="AC914">
        <v>59.1</v>
      </c>
      <c r="AD914">
        <v>60297396</v>
      </c>
    </row>
    <row r="915" spans="1:30" hidden="1" x14ac:dyDescent="0.45">
      <c r="A915">
        <v>905</v>
      </c>
      <c r="B915">
        <v>3200</v>
      </c>
      <c r="C915" t="s">
        <v>33</v>
      </c>
      <c r="D915" t="s">
        <v>3403</v>
      </c>
      <c r="E915">
        <v>53</v>
      </c>
      <c r="F915" t="s">
        <v>128</v>
      </c>
      <c r="G915" t="s">
        <v>2993</v>
      </c>
      <c r="H915" t="s">
        <v>3404</v>
      </c>
      <c r="I915" t="s">
        <v>33</v>
      </c>
      <c r="J915" t="s">
        <v>128</v>
      </c>
      <c r="L915" t="b">
        <v>1</v>
      </c>
      <c r="M915" t="s">
        <v>29</v>
      </c>
      <c r="N915" t="s">
        <v>8245</v>
      </c>
      <c r="O915"/>
      <c r="P915" t="s">
        <v>3405</v>
      </c>
      <c r="Q915" t="s">
        <v>3406</v>
      </c>
      <c r="S915" s="1">
        <v>45020.209027777775</v>
      </c>
      <c r="W915">
        <v>125.08</v>
      </c>
      <c r="X915">
        <v>2.9</v>
      </c>
      <c r="Y915" s="2">
        <v>19910000000000</v>
      </c>
      <c r="Z915">
        <v>50.6</v>
      </c>
      <c r="AA915">
        <v>100.2</v>
      </c>
      <c r="AB915">
        <v>9.4</v>
      </c>
      <c r="AC915">
        <v>59.2</v>
      </c>
      <c r="AD915">
        <v>1397715000</v>
      </c>
    </row>
    <row r="916" spans="1:30" x14ac:dyDescent="0.45">
      <c r="A916">
        <v>905</v>
      </c>
      <c r="B916" s="6">
        <v>3200</v>
      </c>
      <c r="C916" t="s">
        <v>76</v>
      </c>
      <c r="D916" t="s">
        <v>3407</v>
      </c>
      <c r="E916">
        <v>70</v>
      </c>
      <c r="F916" t="s">
        <v>35</v>
      </c>
      <c r="G916" t="s">
        <v>816</v>
      </c>
      <c r="H916" t="s">
        <v>3408</v>
      </c>
      <c r="I916" t="s">
        <v>76</v>
      </c>
      <c r="J916" t="s">
        <v>35</v>
      </c>
      <c r="K916" t="s">
        <v>3409</v>
      </c>
      <c r="L916" t="b">
        <v>1</v>
      </c>
      <c r="M916" t="s">
        <v>39</v>
      </c>
      <c r="N916" t="s">
        <v>8245</v>
      </c>
      <c r="O916" s="10">
        <v>19419</v>
      </c>
      <c r="P916" t="s">
        <v>3410</v>
      </c>
      <c r="Q916" t="s">
        <v>144</v>
      </c>
      <c r="R916" t="s">
        <v>98</v>
      </c>
      <c r="S916" s="8">
        <v>45020.209027777775</v>
      </c>
      <c r="T916" t="s">
        <v>820</v>
      </c>
      <c r="U916" t="s">
        <v>53</v>
      </c>
      <c r="V916">
        <v>1953</v>
      </c>
      <c r="W916" s="12">
        <v>117.24</v>
      </c>
      <c r="X916">
        <v>7.5</v>
      </c>
      <c r="Y916" s="14">
        <v>21427700000000</v>
      </c>
      <c r="Z916">
        <v>88.2</v>
      </c>
      <c r="AA916">
        <v>101.8</v>
      </c>
      <c r="AB916">
        <v>9.6</v>
      </c>
      <c r="AC916">
        <v>36.6</v>
      </c>
      <c r="AD916">
        <v>328239523</v>
      </c>
    </row>
    <row r="917" spans="1:30" x14ac:dyDescent="0.45">
      <c r="A917">
        <v>905</v>
      </c>
      <c r="B917" s="6">
        <v>3200</v>
      </c>
      <c r="C917" t="s">
        <v>45</v>
      </c>
      <c r="D917" t="s">
        <v>3411</v>
      </c>
      <c r="E917">
        <v>56</v>
      </c>
      <c r="F917" t="s">
        <v>35</v>
      </c>
      <c r="G917" t="s">
        <v>110</v>
      </c>
      <c r="H917" t="s">
        <v>3412</v>
      </c>
      <c r="I917" t="s">
        <v>45</v>
      </c>
      <c r="J917" t="s">
        <v>35</v>
      </c>
      <c r="K917" t="s">
        <v>3413</v>
      </c>
      <c r="L917" t="b">
        <v>1</v>
      </c>
      <c r="M917" t="s">
        <v>39</v>
      </c>
      <c r="N917" t="s">
        <v>8245</v>
      </c>
      <c r="O917" s="10">
        <v>24212</v>
      </c>
      <c r="P917" t="s">
        <v>3414</v>
      </c>
      <c r="Q917" t="s">
        <v>169</v>
      </c>
      <c r="R917" t="s">
        <v>3415</v>
      </c>
      <c r="S917" s="8">
        <v>45020.209027777775</v>
      </c>
      <c r="T917" t="s">
        <v>115</v>
      </c>
      <c r="U917" t="s">
        <v>53</v>
      </c>
      <c r="V917">
        <v>1966</v>
      </c>
      <c r="W917" s="12">
        <v>117.24</v>
      </c>
      <c r="X917">
        <v>7.5</v>
      </c>
      <c r="Y917" s="14">
        <v>21427700000000</v>
      </c>
      <c r="Z917">
        <v>88.2</v>
      </c>
      <c r="AA917">
        <v>101.8</v>
      </c>
      <c r="AB917">
        <v>9.6</v>
      </c>
      <c r="AC917">
        <v>36.6</v>
      </c>
      <c r="AD917">
        <v>328239523</v>
      </c>
    </row>
    <row r="918" spans="1:30" hidden="1" x14ac:dyDescent="0.45">
      <c r="A918">
        <v>905</v>
      </c>
      <c r="B918">
        <v>3200</v>
      </c>
      <c r="C918" t="s">
        <v>203</v>
      </c>
      <c r="D918" t="s">
        <v>3416</v>
      </c>
      <c r="E918">
        <v>85</v>
      </c>
      <c r="F918" t="s">
        <v>328</v>
      </c>
      <c r="G918" t="s">
        <v>795</v>
      </c>
      <c r="H918" t="s">
        <v>3417</v>
      </c>
      <c r="I918" t="s">
        <v>203</v>
      </c>
      <c r="J918" t="s">
        <v>328</v>
      </c>
      <c r="L918" t="b">
        <v>1</v>
      </c>
      <c r="M918" t="s">
        <v>29</v>
      </c>
      <c r="N918" t="s">
        <v>8245</v>
      </c>
      <c r="O918" s="1">
        <v>13624</v>
      </c>
      <c r="P918" t="s">
        <v>3418</v>
      </c>
      <c r="Q918" t="s">
        <v>3419</v>
      </c>
      <c r="S918" s="1">
        <v>45020.209027777775</v>
      </c>
      <c r="V918">
        <v>1937</v>
      </c>
      <c r="W918">
        <v>119.8</v>
      </c>
      <c r="X918">
        <v>1.6</v>
      </c>
      <c r="Y918" s="2">
        <v>1392680589329</v>
      </c>
      <c r="Z918">
        <v>113.1</v>
      </c>
      <c r="AA918">
        <v>100.3</v>
      </c>
      <c r="AB918">
        <v>23</v>
      </c>
      <c r="AC918">
        <v>47.4</v>
      </c>
      <c r="AD918">
        <v>25766605</v>
      </c>
    </row>
    <row r="919" spans="1:30" hidden="1" x14ac:dyDescent="0.45">
      <c r="A919">
        <v>905</v>
      </c>
      <c r="B919">
        <v>3200</v>
      </c>
      <c r="C919" t="s">
        <v>23</v>
      </c>
      <c r="D919" t="s">
        <v>3420</v>
      </c>
      <c r="E919">
        <v>55</v>
      </c>
      <c r="F919" t="s">
        <v>363</v>
      </c>
      <c r="G919" t="s">
        <v>3421</v>
      </c>
      <c r="H919" t="s">
        <v>196</v>
      </c>
      <c r="I919" t="s">
        <v>23</v>
      </c>
      <c r="J919" t="s">
        <v>363</v>
      </c>
      <c r="L919" t="b">
        <v>1</v>
      </c>
      <c r="M919" t="s">
        <v>611</v>
      </c>
      <c r="N919" t="s">
        <v>8245</v>
      </c>
      <c r="O919" s="1">
        <v>24698</v>
      </c>
      <c r="P919" t="s">
        <v>3422</v>
      </c>
      <c r="Q919" t="s">
        <v>3423</v>
      </c>
      <c r="S919" s="1">
        <v>45020.209027777775</v>
      </c>
      <c r="V919">
        <v>1967</v>
      </c>
      <c r="W919">
        <v>180.75</v>
      </c>
      <c r="X919">
        <v>4.5</v>
      </c>
      <c r="Y919" s="2">
        <v>1699876578871</v>
      </c>
      <c r="Z919">
        <v>81.900000000000006</v>
      </c>
      <c r="AA919">
        <v>102.6</v>
      </c>
      <c r="AB919">
        <v>11.4</v>
      </c>
      <c r="AC919">
        <v>46.2</v>
      </c>
      <c r="AD919">
        <v>144373535</v>
      </c>
    </row>
    <row r="920" spans="1:30" hidden="1" x14ac:dyDescent="0.45">
      <c r="A920">
        <v>905</v>
      </c>
      <c r="B920">
        <v>3200</v>
      </c>
      <c r="C920" t="s">
        <v>45</v>
      </c>
      <c r="D920" t="s">
        <v>3424</v>
      </c>
      <c r="E920">
        <v>67</v>
      </c>
      <c r="F920" t="s">
        <v>93</v>
      </c>
      <c r="G920" t="s">
        <v>1015</v>
      </c>
      <c r="H920" t="s">
        <v>1016</v>
      </c>
      <c r="I920" t="s">
        <v>45</v>
      </c>
      <c r="J920" t="s">
        <v>93</v>
      </c>
      <c r="L920" t="b">
        <v>1</v>
      </c>
      <c r="M920" t="s">
        <v>39</v>
      </c>
      <c r="N920" t="s">
        <v>8245</v>
      </c>
      <c r="O920" s="1">
        <v>20184</v>
      </c>
      <c r="P920" t="s">
        <v>3425</v>
      </c>
      <c r="Q920" t="s">
        <v>3426</v>
      </c>
      <c r="S920" s="1">
        <v>45020.209027777775</v>
      </c>
      <c r="V920">
        <v>1955</v>
      </c>
      <c r="W920">
        <v>180.44</v>
      </c>
      <c r="X920">
        <v>7.7</v>
      </c>
      <c r="Y920" s="2">
        <v>2611000000000</v>
      </c>
      <c r="Z920">
        <v>28.1</v>
      </c>
      <c r="AA920">
        <v>113</v>
      </c>
      <c r="AB920">
        <v>11.2</v>
      </c>
      <c r="AC920">
        <v>49.7</v>
      </c>
      <c r="AD920">
        <v>1366417754</v>
      </c>
    </row>
    <row r="921" spans="1:30" hidden="1" x14ac:dyDescent="0.45">
      <c r="A921">
        <v>905</v>
      </c>
      <c r="B921">
        <v>3200</v>
      </c>
      <c r="C921" t="s">
        <v>23</v>
      </c>
      <c r="D921" t="s">
        <v>3427</v>
      </c>
      <c r="E921">
        <v>60</v>
      </c>
      <c r="F921" t="s">
        <v>558</v>
      </c>
      <c r="G921" t="s">
        <v>3428</v>
      </c>
      <c r="H921" t="s">
        <v>3429</v>
      </c>
      <c r="I921" t="s">
        <v>23</v>
      </c>
      <c r="J921" t="s">
        <v>558</v>
      </c>
      <c r="L921" t="b">
        <v>1</v>
      </c>
      <c r="M921" t="s">
        <v>39</v>
      </c>
      <c r="N921" t="s">
        <v>8245</v>
      </c>
      <c r="O921" s="1">
        <v>22930</v>
      </c>
      <c r="P921" t="s">
        <v>647</v>
      </c>
      <c r="Q921" t="s">
        <v>3380</v>
      </c>
      <c r="S921" s="1">
        <v>45020.209027777775</v>
      </c>
      <c r="V921">
        <v>1962</v>
      </c>
      <c r="W921">
        <v>167.4</v>
      </c>
      <c r="X921">
        <v>3.7</v>
      </c>
      <c r="Y921" s="2">
        <v>1839758040766</v>
      </c>
      <c r="Z921">
        <v>51.3</v>
      </c>
      <c r="AA921">
        <v>115.4</v>
      </c>
      <c r="AB921">
        <v>14.2</v>
      </c>
      <c r="AC921">
        <v>65.099999999999994</v>
      </c>
      <c r="AD921">
        <v>212559417</v>
      </c>
    </row>
    <row r="922" spans="1:30" hidden="1" x14ac:dyDescent="0.45">
      <c r="A922">
        <v>905</v>
      </c>
      <c r="B922">
        <v>3200</v>
      </c>
      <c r="C922" t="s">
        <v>61</v>
      </c>
      <c r="D922" t="s">
        <v>3430</v>
      </c>
      <c r="E922">
        <v>69</v>
      </c>
      <c r="F922" t="s">
        <v>272</v>
      </c>
      <c r="G922" t="s">
        <v>273</v>
      </c>
      <c r="H922" t="s">
        <v>3431</v>
      </c>
      <c r="I922" t="s">
        <v>61</v>
      </c>
      <c r="J922" t="s">
        <v>328</v>
      </c>
      <c r="K922" t="s">
        <v>3432</v>
      </c>
      <c r="L922" t="b">
        <v>1</v>
      </c>
      <c r="M922" t="s">
        <v>611</v>
      </c>
      <c r="N922" t="s">
        <v>8245</v>
      </c>
      <c r="O922" s="1">
        <v>19567</v>
      </c>
      <c r="P922" t="s">
        <v>3433</v>
      </c>
      <c r="Q922" t="s">
        <v>81</v>
      </c>
      <c r="R922" t="s">
        <v>192</v>
      </c>
      <c r="S922" s="1">
        <v>45020.209027777775</v>
      </c>
      <c r="V922">
        <v>1953</v>
      </c>
      <c r="W922">
        <v>119.62</v>
      </c>
      <c r="X922">
        <v>1.7</v>
      </c>
      <c r="Y922" s="2">
        <v>2827113184696</v>
      </c>
      <c r="Z922">
        <v>60</v>
      </c>
      <c r="AA922">
        <v>101.2</v>
      </c>
      <c r="AB922">
        <v>25.5</v>
      </c>
      <c r="AC922">
        <v>30.6</v>
      </c>
      <c r="AD922">
        <v>66834405</v>
      </c>
    </row>
    <row r="923" spans="1:30" hidden="1" x14ac:dyDescent="0.45">
      <c r="A923">
        <v>905</v>
      </c>
      <c r="B923">
        <v>3200</v>
      </c>
      <c r="C923" t="s">
        <v>402</v>
      </c>
      <c r="D923" t="s">
        <v>3434</v>
      </c>
      <c r="E923">
        <v>60</v>
      </c>
      <c r="F923" t="s">
        <v>128</v>
      </c>
      <c r="G923" t="s">
        <v>2785</v>
      </c>
      <c r="H923" t="s">
        <v>610</v>
      </c>
      <c r="I923" t="s">
        <v>402</v>
      </c>
      <c r="J923" t="s">
        <v>128</v>
      </c>
      <c r="L923" t="b">
        <v>1</v>
      </c>
      <c r="M923" t="s">
        <v>39</v>
      </c>
      <c r="N923" t="s">
        <v>8245</v>
      </c>
      <c r="O923" s="1">
        <v>22920</v>
      </c>
      <c r="P923" t="s">
        <v>2526</v>
      </c>
      <c r="Q923" t="s">
        <v>3435</v>
      </c>
      <c r="S923" s="1">
        <v>45020.209027777775</v>
      </c>
      <c r="V923">
        <v>1962</v>
      </c>
      <c r="W923">
        <v>125.08</v>
      </c>
      <c r="X923">
        <v>2.9</v>
      </c>
      <c r="Y923" s="2">
        <v>19910000000000</v>
      </c>
      <c r="Z923">
        <v>50.6</v>
      </c>
      <c r="AA923">
        <v>100.2</v>
      </c>
      <c r="AB923">
        <v>9.4</v>
      </c>
      <c r="AC923">
        <v>59.2</v>
      </c>
      <c r="AD923">
        <v>1397715000</v>
      </c>
    </row>
    <row r="924" spans="1:30" hidden="1" x14ac:dyDescent="0.45">
      <c r="A924">
        <v>905</v>
      </c>
      <c r="B924">
        <v>3200</v>
      </c>
      <c r="C924" t="s">
        <v>61</v>
      </c>
      <c r="D924" t="s">
        <v>3436</v>
      </c>
      <c r="E924">
        <v>71</v>
      </c>
      <c r="F924" t="s">
        <v>35</v>
      </c>
      <c r="G924" t="s">
        <v>78</v>
      </c>
      <c r="H924" t="s">
        <v>317</v>
      </c>
      <c r="I924" t="s">
        <v>61</v>
      </c>
      <c r="J924" t="s">
        <v>35</v>
      </c>
      <c r="L924" t="b">
        <v>1</v>
      </c>
      <c r="M924" t="s">
        <v>29</v>
      </c>
      <c r="N924" t="s">
        <v>8245</v>
      </c>
      <c r="O924" s="1">
        <v>18843</v>
      </c>
      <c r="P924" t="s">
        <v>401</v>
      </c>
      <c r="Q924" t="s">
        <v>3437</v>
      </c>
      <c r="S924" s="1">
        <v>45020.209027777775</v>
      </c>
      <c r="T924" t="s">
        <v>78</v>
      </c>
      <c r="U924" t="s">
        <v>82</v>
      </c>
      <c r="V924">
        <v>1951</v>
      </c>
      <c r="W924">
        <v>117.24</v>
      </c>
      <c r="X924">
        <v>7.5</v>
      </c>
      <c r="Y924" s="2">
        <v>21427700000000</v>
      </c>
      <c r="Z924">
        <v>88.2</v>
      </c>
      <c r="AA924">
        <v>101.8</v>
      </c>
      <c r="AB924">
        <v>9.6</v>
      </c>
      <c r="AC924">
        <v>36.6</v>
      </c>
      <c r="AD924">
        <v>328239523</v>
      </c>
    </row>
    <row r="925" spans="1:30" hidden="1" x14ac:dyDescent="0.45">
      <c r="A925">
        <v>905</v>
      </c>
      <c r="B925">
        <v>3200</v>
      </c>
      <c r="C925" t="s">
        <v>45</v>
      </c>
      <c r="D925" t="s">
        <v>3438</v>
      </c>
      <c r="E925">
        <v>52</v>
      </c>
      <c r="F925" t="s">
        <v>928</v>
      </c>
      <c r="G925" t="s">
        <v>929</v>
      </c>
      <c r="H925" t="s">
        <v>1235</v>
      </c>
      <c r="I925" t="s">
        <v>45</v>
      </c>
      <c r="J925" t="s">
        <v>928</v>
      </c>
      <c r="L925" t="b">
        <v>0</v>
      </c>
      <c r="M925" t="s">
        <v>39</v>
      </c>
      <c r="N925" t="s">
        <v>8246</v>
      </c>
      <c r="O925" s="1">
        <v>25847</v>
      </c>
      <c r="P925" t="s">
        <v>305</v>
      </c>
      <c r="Q925" t="s">
        <v>3439</v>
      </c>
      <c r="S925" s="1">
        <v>45020.209027777775</v>
      </c>
      <c r="V925">
        <v>1970</v>
      </c>
      <c r="W925">
        <v>115.16</v>
      </c>
      <c r="X925">
        <v>0.4</v>
      </c>
      <c r="Y925" s="2">
        <v>2029000000000</v>
      </c>
      <c r="Z925">
        <v>94.3</v>
      </c>
      <c r="AA925">
        <v>98.1</v>
      </c>
      <c r="AB925">
        <v>15.6</v>
      </c>
      <c r="AC925">
        <v>33.200000000000003</v>
      </c>
      <c r="AD925">
        <v>51709098</v>
      </c>
    </row>
    <row r="926" spans="1:30" hidden="1" x14ac:dyDescent="0.45">
      <c r="A926">
        <v>905</v>
      </c>
      <c r="B926">
        <v>3200</v>
      </c>
      <c r="C926" t="s">
        <v>296</v>
      </c>
      <c r="D926" t="s">
        <v>3440</v>
      </c>
      <c r="E926">
        <v>55</v>
      </c>
      <c r="F926" t="s">
        <v>128</v>
      </c>
      <c r="G926" t="s">
        <v>3441</v>
      </c>
      <c r="H926" t="s">
        <v>3442</v>
      </c>
      <c r="I926" t="s">
        <v>296</v>
      </c>
      <c r="J926" t="s">
        <v>128</v>
      </c>
      <c r="L926" t="b">
        <v>1</v>
      </c>
      <c r="M926" t="s">
        <v>39</v>
      </c>
      <c r="N926" t="s">
        <v>8245</v>
      </c>
      <c r="O926" s="1">
        <v>24716</v>
      </c>
      <c r="P926" t="s">
        <v>230</v>
      </c>
      <c r="Q926" t="s">
        <v>3443</v>
      </c>
      <c r="S926" s="1">
        <v>45020.209027777775</v>
      </c>
      <c r="V926">
        <v>1967</v>
      </c>
      <c r="W926">
        <v>125.08</v>
      </c>
      <c r="X926">
        <v>2.9</v>
      </c>
      <c r="Y926" s="2">
        <v>19910000000000</v>
      </c>
      <c r="Z926">
        <v>50.6</v>
      </c>
      <c r="AA926">
        <v>100.2</v>
      </c>
      <c r="AB926">
        <v>9.4</v>
      </c>
      <c r="AC926">
        <v>59.2</v>
      </c>
      <c r="AD926">
        <v>1397715000</v>
      </c>
    </row>
    <row r="927" spans="1:30" hidden="1" x14ac:dyDescent="0.45">
      <c r="A927">
        <v>905</v>
      </c>
      <c r="B927">
        <v>3200</v>
      </c>
      <c r="C927" t="s">
        <v>296</v>
      </c>
      <c r="D927" t="s">
        <v>3444</v>
      </c>
      <c r="E927">
        <v>54</v>
      </c>
      <c r="F927" t="s">
        <v>128</v>
      </c>
      <c r="G927" t="s">
        <v>292</v>
      </c>
      <c r="H927" t="s">
        <v>296</v>
      </c>
      <c r="I927" t="s">
        <v>296</v>
      </c>
      <c r="J927" t="s">
        <v>128</v>
      </c>
      <c r="L927" t="b">
        <v>1</v>
      </c>
      <c r="M927" t="s">
        <v>39</v>
      </c>
      <c r="N927" t="s">
        <v>8245</v>
      </c>
      <c r="O927" s="1">
        <v>25164</v>
      </c>
      <c r="P927" t="s">
        <v>1446</v>
      </c>
      <c r="Q927" t="s">
        <v>3445</v>
      </c>
      <c r="S927" s="1">
        <v>45020.209027777775</v>
      </c>
      <c r="V927">
        <v>1968</v>
      </c>
      <c r="W927">
        <v>125.08</v>
      </c>
      <c r="X927">
        <v>2.9</v>
      </c>
      <c r="Y927" s="2">
        <v>19910000000000</v>
      </c>
      <c r="Z927">
        <v>50.6</v>
      </c>
      <c r="AA927">
        <v>100.2</v>
      </c>
      <c r="AB927">
        <v>9.4</v>
      </c>
      <c r="AC927">
        <v>59.2</v>
      </c>
      <c r="AD927">
        <v>1397715000</v>
      </c>
    </row>
    <row r="928" spans="1:30" hidden="1" x14ac:dyDescent="0.45">
      <c r="A928">
        <v>905</v>
      </c>
      <c r="B928">
        <v>3200</v>
      </c>
      <c r="C928" t="s">
        <v>402</v>
      </c>
      <c r="D928" t="s">
        <v>3446</v>
      </c>
      <c r="E928">
        <v>59</v>
      </c>
      <c r="F928" t="s">
        <v>93</v>
      </c>
      <c r="G928" t="s">
        <v>176</v>
      </c>
      <c r="H928" t="s">
        <v>3447</v>
      </c>
      <c r="I928" t="s">
        <v>402</v>
      </c>
      <c r="J928" t="s">
        <v>93</v>
      </c>
      <c r="L928" t="b">
        <v>0</v>
      </c>
      <c r="M928" t="s">
        <v>29</v>
      </c>
      <c r="N928" t="s">
        <v>8245</v>
      </c>
      <c r="O928" s="1">
        <v>23272</v>
      </c>
      <c r="P928" t="s">
        <v>3448</v>
      </c>
      <c r="Q928" t="s">
        <v>3449</v>
      </c>
      <c r="S928" s="1">
        <v>45020.209027777775</v>
      </c>
      <c r="V928">
        <v>1963</v>
      </c>
      <c r="W928">
        <v>180.44</v>
      </c>
      <c r="X928">
        <v>7.7</v>
      </c>
      <c r="Y928" s="2">
        <v>2611000000000</v>
      </c>
      <c r="Z928">
        <v>28.1</v>
      </c>
      <c r="AA928">
        <v>113</v>
      </c>
      <c r="AB928">
        <v>11.2</v>
      </c>
      <c r="AC928">
        <v>49.7</v>
      </c>
      <c r="AD928">
        <v>1366417754</v>
      </c>
    </row>
    <row r="929" spans="1:30" hidden="1" x14ac:dyDescent="0.45">
      <c r="A929">
        <v>905</v>
      </c>
      <c r="B929">
        <v>3200</v>
      </c>
      <c r="C929" t="s">
        <v>402</v>
      </c>
      <c r="D929" t="s">
        <v>3450</v>
      </c>
      <c r="E929">
        <v>68</v>
      </c>
      <c r="F929" t="s">
        <v>93</v>
      </c>
      <c r="G929" t="s">
        <v>176</v>
      </c>
      <c r="H929" t="s">
        <v>3447</v>
      </c>
      <c r="I929" t="s">
        <v>402</v>
      </c>
      <c r="J929" t="s">
        <v>93</v>
      </c>
      <c r="L929" t="b">
        <v>0</v>
      </c>
      <c r="M929" t="s">
        <v>29</v>
      </c>
      <c r="N929" t="s">
        <v>8245</v>
      </c>
      <c r="O929" s="1">
        <v>19824</v>
      </c>
      <c r="P929" t="s">
        <v>3448</v>
      </c>
      <c r="Q929" t="s">
        <v>3451</v>
      </c>
      <c r="S929" s="1">
        <v>45020.209027777775</v>
      </c>
      <c r="V929">
        <v>1954</v>
      </c>
      <c r="W929">
        <v>180.44</v>
      </c>
      <c r="X929">
        <v>7.7</v>
      </c>
      <c r="Y929" s="2">
        <v>2611000000000</v>
      </c>
      <c r="Z929">
        <v>28.1</v>
      </c>
      <c r="AA929">
        <v>113</v>
      </c>
      <c r="AB929">
        <v>11.2</v>
      </c>
      <c r="AC929">
        <v>49.7</v>
      </c>
      <c r="AD929">
        <v>1366417754</v>
      </c>
    </row>
    <row r="930" spans="1:30" hidden="1" x14ac:dyDescent="0.45">
      <c r="A930">
        <v>905</v>
      </c>
      <c r="B930">
        <v>3200</v>
      </c>
      <c r="C930" t="s">
        <v>326</v>
      </c>
      <c r="D930" t="s">
        <v>3452</v>
      </c>
      <c r="E930">
        <v>61</v>
      </c>
      <c r="F930" t="s">
        <v>205</v>
      </c>
      <c r="G930" t="s">
        <v>3271</v>
      </c>
      <c r="H930" t="s">
        <v>3453</v>
      </c>
      <c r="I930" t="s">
        <v>326</v>
      </c>
      <c r="J930" t="s">
        <v>1887</v>
      </c>
      <c r="L930" t="b">
        <v>1</v>
      </c>
      <c r="M930" t="s">
        <v>39</v>
      </c>
      <c r="N930" t="s">
        <v>8245</v>
      </c>
      <c r="O930" s="1">
        <v>22606</v>
      </c>
      <c r="P930" t="s">
        <v>3454</v>
      </c>
      <c r="Q930" t="s">
        <v>3455</v>
      </c>
      <c r="S930" s="1">
        <v>45020.209027777775</v>
      </c>
      <c r="V930">
        <v>1961</v>
      </c>
      <c r="W930">
        <v>99.55</v>
      </c>
      <c r="X930">
        <v>0.4</v>
      </c>
      <c r="Y930" s="2">
        <v>703082435360</v>
      </c>
      <c r="Z930">
        <v>59.6</v>
      </c>
      <c r="AA930">
        <v>105.2</v>
      </c>
      <c r="AB930">
        <v>10.1</v>
      </c>
      <c r="AC930">
        <v>28.8</v>
      </c>
      <c r="AD930">
        <v>8574832</v>
      </c>
    </row>
    <row r="931" spans="1:30" hidden="1" x14ac:dyDescent="0.45">
      <c r="A931">
        <v>905</v>
      </c>
      <c r="B931">
        <v>3200</v>
      </c>
      <c r="C931" t="s">
        <v>302</v>
      </c>
      <c r="D931" t="s">
        <v>3456</v>
      </c>
      <c r="E931">
        <v>72</v>
      </c>
      <c r="F931" t="s">
        <v>35</v>
      </c>
      <c r="G931" t="s">
        <v>1026</v>
      </c>
      <c r="H931" t="s">
        <v>304</v>
      </c>
      <c r="I931" t="s">
        <v>302</v>
      </c>
      <c r="J931" t="s">
        <v>35</v>
      </c>
      <c r="L931" t="b">
        <v>0</v>
      </c>
      <c r="M931" t="s">
        <v>258</v>
      </c>
      <c r="N931" t="s">
        <v>8245</v>
      </c>
      <c r="O931" s="1">
        <v>18394</v>
      </c>
      <c r="P931" t="s">
        <v>3457</v>
      </c>
      <c r="Q931" t="s">
        <v>3458</v>
      </c>
      <c r="S931" s="1">
        <v>45020.209027777775</v>
      </c>
      <c r="T931" t="s">
        <v>115</v>
      </c>
      <c r="U931" t="s">
        <v>53</v>
      </c>
      <c r="V931">
        <v>1950</v>
      </c>
      <c r="W931">
        <v>117.24</v>
      </c>
      <c r="X931">
        <v>7.5</v>
      </c>
      <c r="Y931" s="2">
        <v>21427700000000</v>
      </c>
      <c r="Z931">
        <v>88.2</v>
      </c>
      <c r="AA931">
        <v>101.8</v>
      </c>
      <c r="AB931">
        <v>9.6</v>
      </c>
      <c r="AC931">
        <v>36.6</v>
      </c>
      <c r="AD931">
        <v>328239523</v>
      </c>
    </row>
    <row r="932" spans="1:30" hidden="1" x14ac:dyDescent="0.45">
      <c r="A932">
        <v>905</v>
      </c>
      <c r="B932">
        <v>3200</v>
      </c>
      <c r="C932" t="s">
        <v>33</v>
      </c>
      <c r="D932" t="s">
        <v>3459</v>
      </c>
      <c r="E932">
        <v>86</v>
      </c>
      <c r="F932" t="s">
        <v>35</v>
      </c>
      <c r="G932" t="s">
        <v>3460</v>
      </c>
      <c r="H932" t="s">
        <v>3461</v>
      </c>
      <c r="I932" t="s">
        <v>33</v>
      </c>
      <c r="J932" t="s">
        <v>35</v>
      </c>
      <c r="L932" t="b">
        <v>1</v>
      </c>
      <c r="M932" t="s">
        <v>29</v>
      </c>
      <c r="N932" t="s">
        <v>8245</v>
      </c>
      <c r="O932" s="1">
        <v>13566</v>
      </c>
      <c r="P932" t="s">
        <v>3462</v>
      </c>
      <c r="Q932" t="s">
        <v>3463</v>
      </c>
      <c r="S932" s="1">
        <v>45020.209027777775</v>
      </c>
      <c r="T932" t="s">
        <v>521</v>
      </c>
      <c r="U932" t="s">
        <v>69</v>
      </c>
      <c r="V932">
        <v>1937</v>
      </c>
      <c r="W932">
        <v>117.24</v>
      </c>
      <c r="X932">
        <v>7.5</v>
      </c>
      <c r="Y932" s="2">
        <v>21427700000000</v>
      </c>
      <c r="Z932">
        <v>88.2</v>
      </c>
      <c r="AA932">
        <v>101.8</v>
      </c>
      <c r="AB932">
        <v>9.6</v>
      </c>
      <c r="AC932">
        <v>36.6</v>
      </c>
      <c r="AD932">
        <v>328239523</v>
      </c>
    </row>
    <row r="933" spans="1:30" hidden="1" x14ac:dyDescent="0.45">
      <c r="A933">
        <v>905</v>
      </c>
      <c r="B933">
        <v>3200</v>
      </c>
      <c r="C933" t="s">
        <v>689</v>
      </c>
      <c r="D933" t="s">
        <v>3464</v>
      </c>
      <c r="E933">
        <v>69</v>
      </c>
      <c r="F933" t="s">
        <v>360</v>
      </c>
      <c r="G933" t="s">
        <v>767</v>
      </c>
      <c r="H933" t="s">
        <v>2481</v>
      </c>
      <c r="I933" t="s">
        <v>689</v>
      </c>
      <c r="J933" t="s">
        <v>93</v>
      </c>
      <c r="L933" t="b">
        <v>1</v>
      </c>
      <c r="M933" t="s">
        <v>29</v>
      </c>
      <c r="N933" t="s">
        <v>8245</v>
      </c>
      <c r="O933" s="1">
        <v>19604</v>
      </c>
      <c r="P933" t="s">
        <v>3465</v>
      </c>
      <c r="Q933" t="s">
        <v>1101</v>
      </c>
      <c r="S933" s="1">
        <v>45020.209027777775</v>
      </c>
      <c r="V933">
        <v>1953</v>
      </c>
      <c r="W933">
        <v>114.52</v>
      </c>
      <c r="X933">
        <v>-1.9</v>
      </c>
      <c r="Y933" s="2">
        <v>421142267938</v>
      </c>
      <c r="Z933">
        <v>36.799999999999997</v>
      </c>
      <c r="AA933">
        <v>108.4</v>
      </c>
      <c r="AB933">
        <v>0.1</v>
      </c>
      <c r="AC933">
        <v>15.9</v>
      </c>
      <c r="AD933">
        <v>9770529</v>
      </c>
    </row>
    <row r="934" spans="1:30" x14ac:dyDescent="0.45">
      <c r="A934">
        <v>905</v>
      </c>
      <c r="B934" s="6">
        <v>3200</v>
      </c>
      <c r="C934" t="s">
        <v>61</v>
      </c>
      <c r="D934" t="s">
        <v>3466</v>
      </c>
      <c r="E934">
        <v>73</v>
      </c>
      <c r="F934" t="s">
        <v>35</v>
      </c>
      <c r="G934" t="s">
        <v>3467</v>
      </c>
      <c r="H934" t="s">
        <v>930</v>
      </c>
      <c r="I934" t="s">
        <v>61</v>
      </c>
      <c r="J934" t="s">
        <v>35</v>
      </c>
      <c r="K934" t="s">
        <v>3468</v>
      </c>
      <c r="L934" t="b">
        <v>1</v>
      </c>
      <c r="M934" t="s">
        <v>39</v>
      </c>
      <c r="N934" t="s">
        <v>8245</v>
      </c>
      <c r="O934" s="10">
        <v>18121</v>
      </c>
      <c r="P934" t="s">
        <v>3469</v>
      </c>
      <c r="Q934" t="s">
        <v>169</v>
      </c>
      <c r="R934" t="s">
        <v>3470</v>
      </c>
      <c r="S934" s="8">
        <v>45020.209027777775</v>
      </c>
      <c r="T934" t="s">
        <v>1681</v>
      </c>
      <c r="U934" t="s">
        <v>44</v>
      </c>
      <c r="V934">
        <v>1949</v>
      </c>
      <c r="W934" s="12">
        <v>117.24</v>
      </c>
      <c r="X934">
        <v>7.5</v>
      </c>
      <c r="Y934" s="14">
        <v>21427700000000</v>
      </c>
      <c r="Z934">
        <v>88.2</v>
      </c>
      <c r="AA934">
        <v>101.8</v>
      </c>
      <c r="AB934">
        <v>9.6</v>
      </c>
      <c r="AC934">
        <v>36.6</v>
      </c>
      <c r="AD934">
        <v>328239523</v>
      </c>
    </row>
    <row r="935" spans="1:30" hidden="1" x14ac:dyDescent="0.45">
      <c r="A935">
        <v>905</v>
      </c>
      <c r="B935">
        <v>3200</v>
      </c>
      <c r="C935" t="s">
        <v>126</v>
      </c>
      <c r="D935" t="s">
        <v>3471</v>
      </c>
      <c r="E935">
        <v>70</v>
      </c>
      <c r="F935" t="s">
        <v>35</v>
      </c>
      <c r="G935" t="s">
        <v>1629</v>
      </c>
      <c r="H935" t="s">
        <v>2416</v>
      </c>
      <c r="I935" t="s">
        <v>126</v>
      </c>
      <c r="J935" t="s">
        <v>272</v>
      </c>
      <c r="L935" t="b">
        <v>1</v>
      </c>
      <c r="M935" t="s">
        <v>29</v>
      </c>
      <c r="N935" t="s">
        <v>8245</v>
      </c>
      <c r="O935" s="1">
        <v>19360</v>
      </c>
      <c r="P935" t="s">
        <v>3472</v>
      </c>
      <c r="Q935" t="s">
        <v>3473</v>
      </c>
      <c r="S935" s="1">
        <v>45020.209027777775</v>
      </c>
      <c r="T935" t="s">
        <v>115</v>
      </c>
      <c r="U935" t="s">
        <v>53</v>
      </c>
      <c r="V935">
        <v>1953</v>
      </c>
      <c r="W935">
        <v>117.24</v>
      </c>
      <c r="X935">
        <v>7.5</v>
      </c>
      <c r="Y935" s="2">
        <v>21427700000000</v>
      </c>
      <c r="Z935">
        <v>88.2</v>
      </c>
      <c r="AA935">
        <v>101.8</v>
      </c>
      <c r="AB935">
        <v>9.6</v>
      </c>
      <c r="AC935">
        <v>36.6</v>
      </c>
      <c r="AD935">
        <v>328239523</v>
      </c>
    </row>
    <row r="936" spans="1:30" hidden="1" x14ac:dyDescent="0.45">
      <c r="A936">
        <v>905</v>
      </c>
      <c r="B936">
        <v>3200</v>
      </c>
      <c r="C936" t="s">
        <v>436</v>
      </c>
      <c r="D936" t="s">
        <v>3474</v>
      </c>
      <c r="E936">
        <v>71</v>
      </c>
      <c r="F936" t="s">
        <v>194</v>
      </c>
      <c r="G936" t="s">
        <v>3475</v>
      </c>
      <c r="H936" t="s">
        <v>3476</v>
      </c>
      <c r="I936" t="s">
        <v>436</v>
      </c>
      <c r="J936" t="s">
        <v>194</v>
      </c>
      <c r="L936" t="b">
        <v>1</v>
      </c>
      <c r="M936" t="s">
        <v>29</v>
      </c>
      <c r="N936" t="s">
        <v>8245</v>
      </c>
      <c r="O936" s="1">
        <v>18810</v>
      </c>
      <c r="P936" t="s">
        <v>3477</v>
      </c>
      <c r="Q936" t="s">
        <v>3478</v>
      </c>
      <c r="S936" s="1">
        <v>45020.209027777775</v>
      </c>
      <c r="V936">
        <v>1951</v>
      </c>
      <c r="W936">
        <v>112.85</v>
      </c>
      <c r="X936">
        <v>1.4</v>
      </c>
      <c r="Y936" s="2">
        <v>3845630030824</v>
      </c>
      <c r="Z936">
        <v>70.2</v>
      </c>
      <c r="AA936">
        <v>104</v>
      </c>
      <c r="AB936">
        <v>11.5</v>
      </c>
      <c r="AC936">
        <v>48.8</v>
      </c>
      <c r="AD936">
        <v>83132799</v>
      </c>
    </row>
    <row r="937" spans="1:30" hidden="1" x14ac:dyDescent="0.45">
      <c r="A937">
        <v>905</v>
      </c>
      <c r="B937">
        <v>3200</v>
      </c>
      <c r="C937" t="s">
        <v>347</v>
      </c>
      <c r="D937" t="s">
        <v>3479</v>
      </c>
      <c r="E937">
        <v>84</v>
      </c>
      <c r="F937" t="s">
        <v>35</v>
      </c>
      <c r="G937" t="s">
        <v>710</v>
      </c>
      <c r="H937" t="s">
        <v>3480</v>
      </c>
      <c r="I937" t="s">
        <v>347</v>
      </c>
      <c r="J937" t="s">
        <v>35</v>
      </c>
      <c r="L937" t="b">
        <v>0</v>
      </c>
      <c r="M937" t="s">
        <v>39</v>
      </c>
      <c r="N937" t="s">
        <v>8246</v>
      </c>
      <c r="O937" s="1">
        <v>14266</v>
      </c>
      <c r="P937" t="s">
        <v>3481</v>
      </c>
      <c r="Q937" t="s">
        <v>3482</v>
      </c>
      <c r="S937" s="1">
        <v>45020.209027777775</v>
      </c>
      <c r="T937" t="s">
        <v>507</v>
      </c>
      <c r="U937" t="s">
        <v>44</v>
      </c>
      <c r="V937">
        <v>1939</v>
      </c>
      <c r="W937">
        <v>117.24</v>
      </c>
      <c r="X937">
        <v>7.5</v>
      </c>
      <c r="Y937" s="2">
        <v>21427700000000</v>
      </c>
      <c r="Z937">
        <v>88.2</v>
      </c>
      <c r="AA937">
        <v>101.8</v>
      </c>
      <c r="AB937">
        <v>9.6</v>
      </c>
      <c r="AC937">
        <v>36.6</v>
      </c>
      <c r="AD937">
        <v>328239523</v>
      </c>
    </row>
    <row r="938" spans="1:30" hidden="1" x14ac:dyDescent="0.45">
      <c r="A938">
        <v>905</v>
      </c>
      <c r="B938">
        <v>3200</v>
      </c>
      <c r="C938" t="s">
        <v>296</v>
      </c>
      <c r="D938" t="s">
        <v>3483</v>
      </c>
      <c r="E938">
        <v>77</v>
      </c>
      <c r="F938" t="s">
        <v>214</v>
      </c>
      <c r="G938" t="s">
        <v>3484</v>
      </c>
      <c r="H938" t="s">
        <v>1049</v>
      </c>
      <c r="I938" t="s">
        <v>296</v>
      </c>
      <c r="J938" t="s">
        <v>214</v>
      </c>
      <c r="L938" t="b">
        <v>0</v>
      </c>
      <c r="M938" t="s">
        <v>29</v>
      </c>
      <c r="N938" t="s">
        <v>8246</v>
      </c>
      <c r="O938" s="1">
        <v>16794</v>
      </c>
      <c r="P938" t="s">
        <v>3485</v>
      </c>
      <c r="Q938" t="s">
        <v>3486</v>
      </c>
      <c r="S938" s="1">
        <v>45020.209027777775</v>
      </c>
      <c r="V938">
        <v>1945</v>
      </c>
      <c r="W938">
        <v>110.62</v>
      </c>
      <c r="X938">
        <v>0.6</v>
      </c>
      <c r="Y938" s="2">
        <v>2001244392042</v>
      </c>
      <c r="Z938">
        <v>61.9</v>
      </c>
      <c r="AA938">
        <v>101.9</v>
      </c>
      <c r="AB938">
        <v>24.3</v>
      </c>
      <c r="AC938">
        <v>59.1</v>
      </c>
      <c r="AD938">
        <v>60297396</v>
      </c>
    </row>
    <row r="939" spans="1:30" hidden="1" x14ac:dyDescent="0.45">
      <c r="A939">
        <v>905</v>
      </c>
      <c r="B939">
        <v>3200</v>
      </c>
      <c r="C939" t="s">
        <v>23</v>
      </c>
      <c r="D939" t="s">
        <v>3487</v>
      </c>
      <c r="E939">
        <v>60</v>
      </c>
      <c r="F939" t="s">
        <v>128</v>
      </c>
      <c r="G939" t="s">
        <v>187</v>
      </c>
      <c r="H939" t="s">
        <v>196</v>
      </c>
      <c r="I939" t="s">
        <v>23</v>
      </c>
      <c r="J939" t="s">
        <v>128</v>
      </c>
      <c r="L939" t="b">
        <v>1</v>
      </c>
      <c r="M939" t="s">
        <v>39</v>
      </c>
      <c r="N939" t="s">
        <v>8245</v>
      </c>
      <c r="O939" s="1">
        <v>22858</v>
      </c>
      <c r="P939" t="s">
        <v>3350</v>
      </c>
      <c r="Q939" t="s">
        <v>3488</v>
      </c>
      <c r="S939" s="1">
        <v>45020.209027777775</v>
      </c>
      <c r="V939">
        <v>1962</v>
      </c>
      <c r="W939">
        <v>125.08</v>
      </c>
      <c r="X939">
        <v>2.9</v>
      </c>
      <c r="Y939" s="2">
        <v>19910000000000</v>
      </c>
      <c r="Z939">
        <v>50.6</v>
      </c>
      <c r="AA939">
        <v>100.2</v>
      </c>
      <c r="AB939">
        <v>9.4</v>
      </c>
      <c r="AC939">
        <v>59.2</v>
      </c>
      <c r="AD939">
        <v>1397715000</v>
      </c>
    </row>
    <row r="940" spans="1:30" hidden="1" x14ac:dyDescent="0.45">
      <c r="A940">
        <v>905</v>
      </c>
      <c r="B940">
        <v>3200</v>
      </c>
      <c r="C940" t="s">
        <v>61</v>
      </c>
      <c r="D940" t="s">
        <v>3489</v>
      </c>
      <c r="E940">
        <v>66</v>
      </c>
      <c r="F940" t="s">
        <v>35</v>
      </c>
      <c r="G940" t="s">
        <v>3490</v>
      </c>
      <c r="H940" t="s">
        <v>3491</v>
      </c>
      <c r="I940" t="s">
        <v>61</v>
      </c>
      <c r="J940" t="s">
        <v>35</v>
      </c>
      <c r="L940" t="b">
        <v>0</v>
      </c>
      <c r="M940" t="s">
        <v>29</v>
      </c>
      <c r="N940" t="s">
        <v>8245</v>
      </c>
      <c r="O940" s="1">
        <v>20869</v>
      </c>
      <c r="P940" t="s">
        <v>898</v>
      </c>
      <c r="Q940" t="s">
        <v>67</v>
      </c>
      <c r="S940" s="1">
        <v>45020.209027777775</v>
      </c>
      <c r="T940" t="s">
        <v>154</v>
      </c>
      <c r="U940" t="s">
        <v>44</v>
      </c>
      <c r="V940">
        <v>1957</v>
      </c>
      <c r="W940">
        <v>117.24</v>
      </c>
      <c r="X940">
        <v>7.5</v>
      </c>
      <c r="Y940" s="2">
        <v>21427700000000</v>
      </c>
      <c r="Z940">
        <v>88.2</v>
      </c>
      <c r="AA940">
        <v>101.8</v>
      </c>
      <c r="AB940">
        <v>9.6</v>
      </c>
      <c r="AC940">
        <v>36.6</v>
      </c>
      <c r="AD940">
        <v>328239523</v>
      </c>
    </row>
    <row r="941" spans="1:30" hidden="1" x14ac:dyDescent="0.45">
      <c r="A941">
        <v>905</v>
      </c>
      <c r="B941">
        <v>3200</v>
      </c>
      <c r="C941" t="s">
        <v>402</v>
      </c>
      <c r="D941" t="s">
        <v>3492</v>
      </c>
      <c r="E941">
        <v>66</v>
      </c>
      <c r="F941" t="s">
        <v>35</v>
      </c>
      <c r="G941" t="s">
        <v>3493</v>
      </c>
      <c r="H941" t="s">
        <v>1529</v>
      </c>
      <c r="I941" t="s">
        <v>402</v>
      </c>
      <c r="J941" t="s">
        <v>35</v>
      </c>
      <c r="L941" t="b">
        <v>0</v>
      </c>
      <c r="M941" t="s">
        <v>29</v>
      </c>
      <c r="N941" t="s">
        <v>8246</v>
      </c>
      <c r="O941" s="1">
        <v>20551</v>
      </c>
      <c r="P941" t="s">
        <v>1530</v>
      </c>
      <c r="Q941" t="s">
        <v>3494</v>
      </c>
      <c r="S941" s="1">
        <v>45020.209027777775</v>
      </c>
      <c r="T941" t="s">
        <v>820</v>
      </c>
      <c r="U941" t="s">
        <v>53</v>
      </c>
      <c r="V941">
        <v>1956</v>
      </c>
      <c r="W941">
        <v>117.24</v>
      </c>
      <c r="X941">
        <v>7.5</v>
      </c>
      <c r="Y941" s="2">
        <v>21427700000000</v>
      </c>
      <c r="Z941">
        <v>88.2</v>
      </c>
      <c r="AA941">
        <v>101.8</v>
      </c>
      <c r="AB941">
        <v>9.6</v>
      </c>
      <c r="AC941">
        <v>36.6</v>
      </c>
      <c r="AD941">
        <v>328239523</v>
      </c>
    </row>
    <row r="942" spans="1:30" hidden="1" x14ac:dyDescent="0.45">
      <c r="A942">
        <v>905</v>
      </c>
      <c r="B942">
        <v>3200</v>
      </c>
      <c r="C942" t="s">
        <v>203</v>
      </c>
      <c r="D942" t="s">
        <v>3495</v>
      </c>
      <c r="E942">
        <v>52</v>
      </c>
      <c r="F942" t="s">
        <v>363</v>
      </c>
      <c r="G942" t="s">
        <v>381</v>
      </c>
      <c r="H942" t="s">
        <v>3496</v>
      </c>
      <c r="I942" t="s">
        <v>203</v>
      </c>
      <c r="J942" t="s">
        <v>363</v>
      </c>
      <c r="L942" t="b">
        <v>1</v>
      </c>
      <c r="M942" t="s">
        <v>1332</v>
      </c>
      <c r="N942" t="s">
        <v>8245</v>
      </c>
      <c r="O942" s="1">
        <v>25823</v>
      </c>
      <c r="P942" t="s">
        <v>3497</v>
      </c>
      <c r="Q942" t="s">
        <v>1003</v>
      </c>
      <c r="S942" s="1">
        <v>45020.209027777775</v>
      </c>
      <c r="V942">
        <v>1970</v>
      </c>
      <c r="W942">
        <v>180.75</v>
      </c>
      <c r="X942">
        <v>4.5</v>
      </c>
      <c r="Y942" s="2">
        <v>1699876578871</v>
      </c>
      <c r="Z942">
        <v>81.900000000000006</v>
      </c>
      <c r="AA942">
        <v>102.6</v>
      </c>
      <c r="AB942">
        <v>11.4</v>
      </c>
      <c r="AC942">
        <v>46.2</v>
      </c>
      <c r="AD942">
        <v>144373535</v>
      </c>
    </row>
    <row r="943" spans="1:30" hidden="1" x14ac:dyDescent="0.45">
      <c r="A943">
        <v>905</v>
      </c>
      <c r="B943">
        <v>3200</v>
      </c>
      <c r="C943" t="s">
        <v>45</v>
      </c>
      <c r="D943" t="s">
        <v>3498</v>
      </c>
      <c r="E943">
        <v>48</v>
      </c>
      <c r="F943" t="s">
        <v>194</v>
      </c>
      <c r="G943" t="s">
        <v>1103</v>
      </c>
      <c r="H943" t="s">
        <v>856</v>
      </c>
      <c r="I943" t="s">
        <v>45</v>
      </c>
      <c r="J943" t="s">
        <v>194</v>
      </c>
      <c r="L943" t="b">
        <v>0</v>
      </c>
      <c r="M943" t="s">
        <v>285</v>
      </c>
      <c r="N943" t="s">
        <v>8245</v>
      </c>
      <c r="O943" s="1">
        <v>27144</v>
      </c>
      <c r="P943" t="s">
        <v>3499</v>
      </c>
      <c r="Q943" t="s">
        <v>3500</v>
      </c>
      <c r="S943" s="1">
        <v>45020.209027777775</v>
      </c>
      <c r="V943">
        <v>1974</v>
      </c>
      <c r="W943">
        <v>112.85</v>
      </c>
      <c r="X943">
        <v>1.4</v>
      </c>
      <c r="Y943" s="2">
        <v>3845630030824</v>
      </c>
      <c r="Z943">
        <v>70.2</v>
      </c>
      <c r="AA943">
        <v>104</v>
      </c>
      <c r="AB943">
        <v>11.5</v>
      </c>
      <c r="AC943">
        <v>48.8</v>
      </c>
      <c r="AD943">
        <v>83132799</v>
      </c>
    </row>
    <row r="944" spans="1:30" hidden="1" x14ac:dyDescent="0.45">
      <c r="A944">
        <v>905</v>
      </c>
      <c r="B944">
        <v>3200</v>
      </c>
      <c r="C944" t="s">
        <v>45</v>
      </c>
      <c r="D944" t="s">
        <v>3501</v>
      </c>
      <c r="E944">
        <v>53</v>
      </c>
      <c r="F944" t="s">
        <v>194</v>
      </c>
      <c r="G944" t="s">
        <v>3502</v>
      </c>
      <c r="H944" t="s">
        <v>856</v>
      </c>
      <c r="I944" t="s">
        <v>45</v>
      </c>
      <c r="J944" t="s">
        <v>194</v>
      </c>
      <c r="L944" t="b">
        <v>0</v>
      </c>
      <c r="M944" t="s">
        <v>285</v>
      </c>
      <c r="N944" t="s">
        <v>8245</v>
      </c>
      <c r="O944" s="1">
        <v>25463</v>
      </c>
      <c r="P944" t="s">
        <v>3499</v>
      </c>
      <c r="Q944" t="s">
        <v>3503</v>
      </c>
      <c r="S944" s="1">
        <v>45020.209027777775</v>
      </c>
      <c r="V944">
        <v>1969</v>
      </c>
      <c r="W944">
        <v>112.85</v>
      </c>
      <c r="X944">
        <v>1.4</v>
      </c>
      <c r="Y944" s="2">
        <v>3845630030824</v>
      </c>
      <c r="Z944">
        <v>70.2</v>
      </c>
      <c r="AA944">
        <v>104</v>
      </c>
      <c r="AB944">
        <v>11.5</v>
      </c>
      <c r="AC944">
        <v>48.8</v>
      </c>
      <c r="AD944">
        <v>83132799</v>
      </c>
    </row>
    <row r="945" spans="1:30" hidden="1" x14ac:dyDescent="0.45">
      <c r="A945">
        <v>905</v>
      </c>
      <c r="B945">
        <v>3200</v>
      </c>
      <c r="C945" t="s">
        <v>61</v>
      </c>
      <c r="D945" t="s">
        <v>3504</v>
      </c>
      <c r="E945">
        <v>67</v>
      </c>
      <c r="F945" t="s">
        <v>35</v>
      </c>
      <c r="G945" t="s">
        <v>78</v>
      </c>
      <c r="H945" t="s">
        <v>3505</v>
      </c>
      <c r="I945" t="s">
        <v>61</v>
      </c>
      <c r="J945" t="s">
        <v>35</v>
      </c>
      <c r="L945" t="b">
        <v>1</v>
      </c>
      <c r="M945" t="s">
        <v>39</v>
      </c>
      <c r="N945" t="s">
        <v>8245</v>
      </c>
      <c r="O945" s="1">
        <v>20497</v>
      </c>
      <c r="P945" t="s">
        <v>3506</v>
      </c>
      <c r="Q945" t="s">
        <v>976</v>
      </c>
      <c r="S945" s="1">
        <v>45020.209027777775</v>
      </c>
      <c r="T945" t="s">
        <v>78</v>
      </c>
      <c r="U945" t="s">
        <v>82</v>
      </c>
      <c r="V945">
        <v>1956</v>
      </c>
      <c r="W945">
        <v>117.24</v>
      </c>
      <c r="X945">
        <v>7.5</v>
      </c>
      <c r="Y945" s="2">
        <v>21427700000000</v>
      </c>
      <c r="Z945">
        <v>88.2</v>
      </c>
      <c r="AA945">
        <v>101.8</v>
      </c>
      <c r="AB945">
        <v>9.6</v>
      </c>
      <c r="AC945">
        <v>36.6</v>
      </c>
      <c r="AD945">
        <v>328239523</v>
      </c>
    </row>
    <row r="946" spans="1:30" hidden="1" x14ac:dyDescent="0.45">
      <c r="A946">
        <v>905</v>
      </c>
      <c r="B946">
        <v>3200</v>
      </c>
      <c r="C946" t="s">
        <v>126</v>
      </c>
      <c r="D946" t="s">
        <v>3507</v>
      </c>
      <c r="E946">
        <v>67</v>
      </c>
      <c r="F946" t="s">
        <v>128</v>
      </c>
      <c r="G946" t="s">
        <v>3508</v>
      </c>
      <c r="H946" t="s">
        <v>3509</v>
      </c>
      <c r="I946" t="s">
        <v>126</v>
      </c>
      <c r="J946" t="s">
        <v>128</v>
      </c>
      <c r="L946" t="b">
        <v>1</v>
      </c>
      <c r="M946" t="s">
        <v>39</v>
      </c>
      <c r="N946" t="s">
        <v>8245</v>
      </c>
      <c r="O946" s="1">
        <v>20455</v>
      </c>
      <c r="P946" t="s">
        <v>894</v>
      </c>
      <c r="Q946" t="s">
        <v>3510</v>
      </c>
      <c r="S946" s="1">
        <v>45020.209027777775</v>
      </c>
      <c r="V946">
        <v>1956</v>
      </c>
      <c r="W946">
        <v>125.08</v>
      </c>
      <c r="X946">
        <v>2.9</v>
      </c>
      <c r="Y946" s="2">
        <v>19910000000000</v>
      </c>
      <c r="Z946">
        <v>50.6</v>
      </c>
      <c r="AA946">
        <v>100.2</v>
      </c>
      <c r="AB946">
        <v>9.4</v>
      </c>
      <c r="AC946">
        <v>59.2</v>
      </c>
      <c r="AD946">
        <v>1397715000</v>
      </c>
    </row>
    <row r="947" spans="1:30" x14ac:dyDescent="0.45">
      <c r="A947">
        <v>905</v>
      </c>
      <c r="B947" s="6">
        <v>3200</v>
      </c>
      <c r="C947" t="s">
        <v>239</v>
      </c>
      <c r="D947" t="s">
        <v>3511</v>
      </c>
      <c r="E947">
        <v>81</v>
      </c>
      <c r="F947" t="s">
        <v>35</v>
      </c>
      <c r="G947" t="s">
        <v>355</v>
      </c>
      <c r="H947" t="s">
        <v>3512</v>
      </c>
      <c r="I947" t="s">
        <v>239</v>
      </c>
      <c r="J947" t="s">
        <v>35</v>
      </c>
      <c r="K947" t="s">
        <v>3513</v>
      </c>
      <c r="L947" t="b">
        <v>1</v>
      </c>
      <c r="M947" t="s">
        <v>39</v>
      </c>
      <c r="N947" t="s">
        <v>8245</v>
      </c>
      <c r="O947" s="10">
        <v>15368</v>
      </c>
      <c r="P947" t="s">
        <v>3514</v>
      </c>
      <c r="Q947" t="s">
        <v>103</v>
      </c>
      <c r="R947" t="s">
        <v>138</v>
      </c>
      <c r="S947" s="8">
        <v>45020.209027777775</v>
      </c>
      <c r="T947" t="s">
        <v>253</v>
      </c>
      <c r="U947" t="s">
        <v>44</v>
      </c>
      <c r="V947">
        <v>1942</v>
      </c>
      <c r="W947" s="12">
        <v>117.24</v>
      </c>
      <c r="X947">
        <v>7.5</v>
      </c>
      <c r="Y947" s="14">
        <v>21427700000000</v>
      </c>
      <c r="Z947">
        <v>88.2</v>
      </c>
      <c r="AA947">
        <v>101.8</v>
      </c>
      <c r="AB947">
        <v>9.6</v>
      </c>
      <c r="AC947">
        <v>36.6</v>
      </c>
      <c r="AD947">
        <v>328239523</v>
      </c>
    </row>
    <row r="948" spans="1:30" hidden="1" x14ac:dyDescent="0.45">
      <c r="A948">
        <v>905</v>
      </c>
      <c r="B948">
        <v>3200</v>
      </c>
      <c r="C948" t="s">
        <v>239</v>
      </c>
      <c r="D948" t="s">
        <v>3515</v>
      </c>
      <c r="E948">
        <v>65</v>
      </c>
      <c r="F948" t="s">
        <v>35</v>
      </c>
      <c r="G948" t="s">
        <v>517</v>
      </c>
      <c r="H948" t="s">
        <v>2354</v>
      </c>
      <c r="I948" t="s">
        <v>239</v>
      </c>
      <c r="J948" t="s">
        <v>35</v>
      </c>
      <c r="L948" t="b">
        <v>1</v>
      </c>
      <c r="M948" t="s">
        <v>29</v>
      </c>
      <c r="N948" t="s">
        <v>8245</v>
      </c>
      <c r="O948" s="1">
        <v>20950</v>
      </c>
      <c r="P948" t="s">
        <v>3516</v>
      </c>
      <c r="Q948" t="s">
        <v>2567</v>
      </c>
      <c r="S948" s="1">
        <v>45020.209027777775</v>
      </c>
      <c r="T948" t="s">
        <v>469</v>
      </c>
      <c r="U948" t="s">
        <v>44</v>
      </c>
      <c r="V948">
        <v>1957</v>
      </c>
      <c r="W948">
        <v>117.24</v>
      </c>
      <c r="X948">
        <v>7.5</v>
      </c>
      <c r="Y948" s="2">
        <v>21427700000000</v>
      </c>
      <c r="Z948">
        <v>88.2</v>
      </c>
      <c r="AA948">
        <v>101.8</v>
      </c>
      <c r="AB948">
        <v>9.6</v>
      </c>
      <c r="AC948">
        <v>36.6</v>
      </c>
      <c r="AD948">
        <v>328239523</v>
      </c>
    </row>
    <row r="949" spans="1:30" hidden="1" x14ac:dyDescent="0.45">
      <c r="A949">
        <v>905</v>
      </c>
      <c r="B949">
        <v>3200</v>
      </c>
      <c r="C949" t="s">
        <v>296</v>
      </c>
      <c r="D949" t="s">
        <v>3517</v>
      </c>
      <c r="E949">
        <v>87</v>
      </c>
      <c r="F949" t="s">
        <v>128</v>
      </c>
      <c r="G949" t="s">
        <v>1045</v>
      </c>
      <c r="H949" t="s">
        <v>752</v>
      </c>
      <c r="I949" t="s">
        <v>296</v>
      </c>
      <c r="J949" t="s">
        <v>128</v>
      </c>
      <c r="L949" t="b">
        <v>1</v>
      </c>
      <c r="M949" t="s">
        <v>39</v>
      </c>
      <c r="N949" t="s">
        <v>8245</v>
      </c>
      <c r="O949" s="1">
        <v>12905</v>
      </c>
      <c r="P949" t="s">
        <v>1784</v>
      </c>
      <c r="Q949" t="s">
        <v>3518</v>
      </c>
      <c r="S949" s="1">
        <v>45020.209027777775</v>
      </c>
      <c r="V949">
        <v>1935</v>
      </c>
      <c r="W949">
        <v>125.08</v>
      </c>
      <c r="X949">
        <v>2.9</v>
      </c>
      <c r="Y949" s="2">
        <v>19910000000000</v>
      </c>
      <c r="Z949">
        <v>50.6</v>
      </c>
      <c r="AA949">
        <v>100.2</v>
      </c>
      <c r="AB949">
        <v>9.4</v>
      </c>
      <c r="AC949">
        <v>59.2</v>
      </c>
      <c r="AD949">
        <v>1397715000</v>
      </c>
    </row>
    <row r="950" spans="1:30" hidden="1" x14ac:dyDescent="0.45">
      <c r="A950">
        <v>949</v>
      </c>
      <c r="B950">
        <v>3100</v>
      </c>
      <c r="C950" t="s">
        <v>296</v>
      </c>
      <c r="D950" t="s">
        <v>3519</v>
      </c>
      <c r="E950">
        <v>76</v>
      </c>
      <c r="F950" t="s">
        <v>128</v>
      </c>
      <c r="G950" t="s">
        <v>3520</v>
      </c>
      <c r="H950" t="s">
        <v>752</v>
      </c>
      <c r="I950" t="s">
        <v>296</v>
      </c>
      <c r="J950" t="s">
        <v>228</v>
      </c>
      <c r="L950" t="b">
        <v>1</v>
      </c>
      <c r="M950" t="s">
        <v>39</v>
      </c>
      <c r="N950" t="s">
        <v>8245</v>
      </c>
      <c r="O950" s="1">
        <v>16937</v>
      </c>
      <c r="P950" t="s">
        <v>3224</v>
      </c>
      <c r="Q950" t="s">
        <v>3521</v>
      </c>
      <c r="S950" s="1">
        <v>45020.209027777775</v>
      </c>
      <c r="V950">
        <v>1946</v>
      </c>
      <c r="W950">
        <v>125.08</v>
      </c>
      <c r="X950">
        <v>2.9</v>
      </c>
      <c r="Y950" s="2">
        <v>19910000000000</v>
      </c>
      <c r="Z950">
        <v>50.6</v>
      </c>
      <c r="AA950">
        <v>100.2</v>
      </c>
      <c r="AB950">
        <v>9.4</v>
      </c>
      <c r="AC950">
        <v>59.2</v>
      </c>
      <c r="AD950">
        <v>1397715000</v>
      </c>
    </row>
    <row r="951" spans="1:30" hidden="1" x14ac:dyDescent="0.45">
      <c r="A951">
        <v>949</v>
      </c>
      <c r="B951">
        <v>3100</v>
      </c>
      <c r="C951" t="s">
        <v>239</v>
      </c>
      <c r="D951" t="s">
        <v>3522</v>
      </c>
      <c r="E951">
        <v>53</v>
      </c>
      <c r="F951" t="s">
        <v>272</v>
      </c>
      <c r="G951" t="s">
        <v>3523</v>
      </c>
      <c r="H951" t="s">
        <v>1540</v>
      </c>
      <c r="I951" t="s">
        <v>239</v>
      </c>
      <c r="J951" t="s">
        <v>272</v>
      </c>
      <c r="L951" t="b">
        <v>1</v>
      </c>
      <c r="M951" t="s">
        <v>29</v>
      </c>
      <c r="N951" t="s">
        <v>8245</v>
      </c>
      <c r="O951" s="1">
        <v>25575</v>
      </c>
      <c r="P951" t="s">
        <v>1541</v>
      </c>
      <c r="Q951" t="s">
        <v>225</v>
      </c>
      <c r="S951" s="1">
        <v>45020.209027777775</v>
      </c>
      <c r="V951">
        <v>1970</v>
      </c>
      <c r="W951">
        <v>119.62</v>
      </c>
      <c r="X951">
        <v>1.7</v>
      </c>
      <c r="Y951" s="2">
        <v>2827113184696</v>
      </c>
      <c r="Z951">
        <v>60</v>
      </c>
      <c r="AA951">
        <v>101.2</v>
      </c>
      <c r="AB951">
        <v>25.5</v>
      </c>
      <c r="AC951">
        <v>30.6</v>
      </c>
      <c r="AD951">
        <v>66834405</v>
      </c>
    </row>
    <row r="952" spans="1:30" hidden="1" x14ac:dyDescent="0.45">
      <c r="A952">
        <v>949</v>
      </c>
      <c r="B952">
        <v>3100</v>
      </c>
      <c r="C952" t="s">
        <v>61</v>
      </c>
      <c r="D952" t="s">
        <v>3524</v>
      </c>
      <c r="E952">
        <v>37</v>
      </c>
      <c r="F952" t="s">
        <v>35</v>
      </c>
      <c r="G952" t="s">
        <v>1926</v>
      </c>
      <c r="H952" t="s">
        <v>317</v>
      </c>
      <c r="I952" t="s">
        <v>61</v>
      </c>
      <c r="J952" t="s">
        <v>164</v>
      </c>
      <c r="L952" t="b">
        <v>1</v>
      </c>
      <c r="M952" t="s">
        <v>29</v>
      </c>
      <c r="N952" t="s">
        <v>8245</v>
      </c>
      <c r="O952" s="1">
        <v>31263</v>
      </c>
      <c r="P952" t="s">
        <v>529</v>
      </c>
      <c r="Q952" t="s">
        <v>1212</v>
      </c>
      <c r="S952" s="1">
        <v>45020.209027777775</v>
      </c>
      <c r="T952" t="s">
        <v>253</v>
      </c>
      <c r="U952" t="s">
        <v>44</v>
      </c>
      <c r="V952">
        <v>1985</v>
      </c>
      <c r="W952">
        <v>117.24</v>
      </c>
      <c r="X952">
        <v>7.5</v>
      </c>
      <c r="Y952" s="2">
        <v>21427700000000</v>
      </c>
      <c r="Z952">
        <v>88.2</v>
      </c>
      <c r="AA952">
        <v>101.8</v>
      </c>
      <c r="AB952">
        <v>9.6</v>
      </c>
      <c r="AC952">
        <v>36.6</v>
      </c>
      <c r="AD952">
        <v>328239523</v>
      </c>
    </row>
    <row r="953" spans="1:30" hidden="1" x14ac:dyDescent="0.45">
      <c r="A953">
        <v>949</v>
      </c>
      <c r="B953">
        <v>3100</v>
      </c>
      <c r="C953" t="s">
        <v>126</v>
      </c>
      <c r="D953" t="s">
        <v>3525</v>
      </c>
      <c r="E953">
        <v>55</v>
      </c>
      <c r="F953" t="s">
        <v>128</v>
      </c>
      <c r="G953" t="s">
        <v>777</v>
      </c>
      <c r="H953" t="s">
        <v>3272</v>
      </c>
      <c r="I953" t="s">
        <v>126</v>
      </c>
      <c r="J953" t="s">
        <v>128</v>
      </c>
      <c r="L953" t="b">
        <v>1</v>
      </c>
      <c r="M953" t="s">
        <v>29</v>
      </c>
      <c r="N953" t="s">
        <v>8245</v>
      </c>
      <c r="O953" s="1">
        <v>24898</v>
      </c>
      <c r="P953" t="s">
        <v>3526</v>
      </c>
      <c r="Q953" t="s">
        <v>3527</v>
      </c>
      <c r="S953" s="1">
        <v>45020.209027777775</v>
      </c>
      <c r="V953">
        <v>1968</v>
      </c>
      <c r="W953">
        <v>125.08</v>
      </c>
      <c r="X953">
        <v>2.9</v>
      </c>
      <c r="Y953" s="2">
        <v>19910000000000</v>
      </c>
      <c r="Z953">
        <v>50.6</v>
      </c>
      <c r="AA953">
        <v>100.2</v>
      </c>
      <c r="AB953">
        <v>9.4</v>
      </c>
      <c r="AC953">
        <v>59.2</v>
      </c>
      <c r="AD953">
        <v>1397715000</v>
      </c>
    </row>
    <row r="954" spans="1:30" hidden="1" x14ac:dyDescent="0.45">
      <c r="A954">
        <v>949</v>
      </c>
      <c r="B954">
        <v>3100</v>
      </c>
      <c r="C954" t="s">
        <v>296</v>
      </c>
      <c r="D954" t="s">
        <v>3528</v>
      </c>
      <c r="E954">
        <v>72</v>
      </c>
      <c r="F954" t="s">
        <v>93</v>
      </c>
      <c r="G954" t="s">
        <v>343</v>
      </c>
      <c r="H954" t="s">
        <v>659</v>
      </c>
      <c r="I954" t="s">
        <v>296</v>
      </c>
      <c r="J954" t="s">
        <v>93</v>
      </c>
      <c r="L954" t="b">
        <v>1</v>
      </c>
      <c r="M954" t="s">
        <v>39</v>
      </c>
      <c r="N954" t="s">
        <v>8245</v>
      </c>
      <c r="O954" s="1">
        <v>18362</v>
      </c>
      <c r="P954" t="s">
        <v>3529</v>
      </c>
      <c r="Q954" t="s">
        <v>3530</v>
      </c>
      <c r="S954" s="1">
        <v>45020.209027777775</v>
      </c>
      <c r="V954">
        <v>1950</v>
      </c>
      <c r="W954">
        <v>180.44</v>
      </c>
      <c r="X954">
        <v>7.7</v>
      </c>
      <c r="Y954" s="2">
        <v>2611000000000</v>
      </c>
      <c r="Z954">
        <v>28.1</v>
      </c>
      <c r="AA954">
        <v>113</v>
      </c>
      <c r="AB954">
        <v>11.2</v>
      </c>
      <c r="AC954">
        <v>49.7</v>
      </c>
      <c r="AD954">
        <v>1366417754</v>
      </c>
    </row>
    <row r="955" spans="1:30" hidden="1" x14ac:dyDescent="0.45">
      <c r="A955">
        <v>949</v>
      </c>
      <c r="B955">
        <v>3100</v>
      </c>
      <c r="C955" t="s">
        <v>296</v>
      </c>
      <c r="D955" t="s">
        <v>3531</v>
      </c>
      <c r="E955">
        <v>75</v>
      </c>
      <c r="F955" t="s">
        <v>93</v>
      </c>
      <c r="G955" t="s">
        <v>343</v>
      </c>
      <c r="H955" t="s">
        <v>659</v>
      </c>
      <c r="I955" t="s">
        <v>296</v>
      </c>
      <c r="J955" t="s">
        <v>93</v>
      </c>
      <c r="L955" t="b">
        <v>1</v>
      </c>
      <c r="M955" t="s">
        <v>39</v>
      </c>
      <c r="N955" t="s">
        <v>8245</v>
      </c>
      <c r="O955" s="1">
        <v>17412</v>
      </c>
      <c r="P955" t="s">
        <v>3529</v>
      </c>
      <c r="Q955" t="s">
        <v>3532</v>
      </c>
      <c r="S955" s="1">
        <v>45020.209027777775</v>
      </c>
      <c r="V955">
        <v>1947</v>
      </c>
      <c r="W955">
        <v>180.44</v>
      </c>
      <c r="X955">
        <v>7.7</v>
      </c>
      <c r="Y955" s="2">
        <v>2611000000000</v>
      </c>
      <c r="Z955">
        <v>28.1</v>
      </c>
      <c r="AA955">
        <v>113</v>
      </c>
      <c r="AB955">
        <v>11.2</v>
      </c>
      <c r="AC955">
        <v>49.7</v>
      </c>
      <c r="AD955">
        <v>1366417754</v>
      </c>
    </row>
    <row r="956" spans="1:30" hidden="1" x14ac:dyDescent="0.45">
      <c r="A956">
        <v>949</v>
      </c>
      <c r="B956">
        <v>3100</v>
      </c>
      <c r="C956" t="s">
        <v>61</v>
      </c>
      <c r="D956" t="s">
        <v>3533</v>
      </c>
      <c r="E956">
        <v>77</v>
      </c>
      <c r="F956" t="s">
        <v>205</v>
      </c>
      <c r="G956" t="s">
        <v>3534</v>
      </c>
      <c r="H956" t="s">
        <v>317</v>
      </c>
      <c r="I956" t="s">
        <v>61</v>
      </c>
      <c r="J956" t="s">
        <v>205</v>
      </c>
      <c r="L956" t="b">
        <v>1</v>
      </c>
      <c r="M956" t="s">
        <v>39</v>
      </c>
      <c r="N956" t="s">
        <v>8245</v>
      </c>
      <c r="O956" s="1">
        <v>16650</v>
      </c>
      <c r="P956" t="s">
        <v>3535</v>
      </c>
      <c r="Q956" t="s">
        <v>2173</v>
      </c>
      <c r="S956" s="1">
        <v>45020.209027777775</v>
      </c>
      <c r="V956">
        <v>1945</v>
      </c>
      <c r="W956">
        <v>99.55</v>
      </c>
      <c r="X956">
        <v>0.4</v>
      </c>
      <c r="Y956" s="2">
        <v>703082435360</v>
      </c>
      <c r="Z956">
        <v>59.6</v>
      </c>
      <c r="AA956">
        <v>105.2</v>
      </c>
      <c r="AB956">
        <v>10.1</v>
      </c>
      <c r="AC956">
        <v>28.8</v>
      </c>
      <c r="AD956">
        <v>8574832</v>
      </c>
    </row>
    <row r="957" spans="1:30" hidden="1" x14ac:dyDescent="0.45">
      <c r="A957">
        <v>949</v>
      </c>
      <c r="B957">
        <v>3100</v>
      </c>
      <c r="C957" t="s">
        <v>296</v>
      </c>
      <c r="D957" t="s">
        <v>3536</v>
      </c>
      <c r="E957">
        <v>85</v>
      </c>
      <c r="F957" t="s">
        <v>25</v>
      </c>
      <c r="G957" t="s">
        <v>26</v>
      </c>
      <c r="H957" t="s">
        <v>2874</v>
      </c>
      <c r="I957" t="s">
        <v>296</v>
      </c>
      <c r="J957" t="s">
        <v>25</v>
      </c>
      <c r="L957" t="b">
        <v>1</v>
      </c>
      <c r="M957" t="s">
        <v>39</v>
      </c>
      <c r="N957" t="s">
        <v>8245</v>
      </c>
      <c r="O957" s="1">
        <v>13883</v>
      </c>
      <c r="P957" t="s">
        <v>3537</v>
      </c>
      <c r="Q957" t="s">
        <v>144</v>
      </c>
      <c r="S957" s="1">
        <v>45020.209027777775</v>
      </c>
      <c r="V957">
        <v>1938</v>
      </c>
      <c r="W957">
        <v>110.05</v>
      </c>
      <c r="X957">
        <v>1.1000000000000001</v>
      </c>
      <c r="Y957" s="2">
        <v>2715518274227</v>
      </c>
      <c r="Z957">
        <v>65.599999999999994</v>
      </c>
      <c r="AA957">
        <v>102.5</v>
      </c>
      <c r="AB957">
        <v>24.2</v>
      </c>
      <c r="AC957">
        <v>60.7</v>
      </c>
      <c r="AD957">
        <v>67059887</v>
      </c>
    </row>
    <row r="958" spans="1:30" hidden="1" x14ac:dyDescent="0.45">
      <c r="A958">
        <v>949</v>
      </c>
      <c r="B958">
        <v>3100</v>
      </c>
      <c r="C958" t="s">
        <v>302</v>
      </c>
      <c r="D958" t="s">
        <v>3538</v>
      </c>
      <c r="E958">
        <v>50</v>
      </c>
      <c r="F958" t="s">
        <v>363</v>
      </c>
      <c r="G958" t="s">
        <v>381</v>
      </c>
      <c r="H958" t="s">
        <v>304</v>
      </c>
      <c r="I958" t="s">
        <v>302</v>
      </c>
      <c r="J958" t="s">
        <v>363</v>
      </c>
      <c r="L958" t="b">
        <v>1</v>
      </c>
      <c r="M958" t="s">
        <v>29</v>
      </c>
      <c r="N958" t="s">
        <v>8245</v>
      </c>
      <c r="O958" s="1">
        <v>26625</v>
      </c>
      <c r="P958" t="s">
        <v>3539</v>
      </c>
      <c r="Q958" t="s">
        <v>3423</v>
      </c>
      <c r="S958" s="1">
        <v>45020.209027777775</v>
      </c>
      <c r="V958">
        <v>1972</v>
      </c>
      <c r="W958">
        <v>180.75</v>
      </c>
      <c r="X958">
        <v>4.5</v>
      </c>
      <c r="Y958" s="2">
        <v>1699876578871</v>
      </c>
      <c r="Z958">
        <v>81.900000000000006</v>
      </c>
      <c r="AA958">
        <v>102.6</v>
      </c>
      <c r="AB958">
        <v>11.4</v>
      </c>
      <c r="AC958">
        <v>46.2</v>
      </c>
      <c r="AD958">
        <v>144373535</v>
      </c>
    </row>
    <row r="959" spans="1:30" hidden="1" x14ac:dyDescent="0.45">
      <c r="A959">
        <v>949</v>
      </c>
      <c r="B959">
        <v>3100</v>
      </c>
      <c r="C959" t="s">
        <v>76</v>
      </c>
      <c r="D959" t="s">
        <v>3540</v>
      </c>
      <c r="E959">
        <v>46</v>
      </c>
      <c r="F959" t="s">
        <v>35</v>
      </c>
      <c r="G959" t="s">
        <v>3541</v>
      </c>
      <c r="H959" t="s">
        <v>3542</v>
      </c>
      <c r="I959" t="s">
        <v>76</v>
      </c>
      <c r="J959" t="s">
        <v>35</v>
      </c>
      <c r="L959" t="b">
        <v>1</v>
      </c>
      <c r="M959" t="s">
        <v>39</v>
      </c>
      <c r="N959" t="s">
        <v>8245</v>
      </c>
      <c r="O959" s="1">
        <v>28214</v>
      </c>
      <c r="P959" t="s">
        <v>634</v>
      </c>
      <c r="Q959" t="s">
        <v>3543</v>
      </c>
      <c r="S959" s="1">
        <v>45020.209027777775</v>
      </c>
      <c r="T959" t="s">
        <v>115</v>
      </c>
      <c r="U959" t="s">
        <v>53</v>
      </c>
      <c r="V959">
        <v>1977</v>
      </c>
      <c r="W959">
        <v>117.24</v>
      </c>
      <c r="X959">
        <v>7.5</v>
      </c>
      <c r="Y959" s="2">
        <v>21427700000000</v>
      </c>
      <c r="Z959">
        <v>88.2</v>
      </c>
      <c r="AA959">
        <v>101.8</v>
      </c>
      <c r="AB959">
        <v>9.6</v>
      </c>
      <c r="AC959">
        <v>36.6</v>
      </c>
      <c r="AD959">
        <v>328239523</v>
      </c>
    </row>
    <row r="960" spans="1:30" x14ac:dyDescent="0.45">
      <c r="A960">
        <v>949</v>
      </c>
      <c r="B960" s="6">
        <v>3100</v>
      </c>
      <c r="C960" t="s">
        <v>45</v>
      </c>
      <c r="D960" t="s">
        <v>3544</v>
      </c>
      <c r="E960">
        <v>62</v>
      </c>
      <c r="F960" t="s">
        <v>35</v>
      </c>
      <c r="G960" t="s">
        <v>3545</v>
      </c>
      <c r="H960" t="s">
        <v>3546</v>
      </c>
      <c r="I960" t="s">
        <v>45</v>
      </c>
      <c r="J960" t="s">
        <v>35</v>
      </c>
      <c r="K960" t="s">
        <v>3546</v>
      </c>
      <c r="L960" t="b">
        <v>1</v>
      </c>
      <c r="M960" t="s">
        <v>39</v>
      </c>
      <c r="N960" t="s">
        <v>8245</v>
      </c>
      <c r="O960" s="10">
        <v>22197</v>
      </c>
      <c r="P960" t="s">
        <v>3547</v>
      </c>
      <c r="Q960" t="s">
        <v>3548</v>
      </c>
      <c r="R960" t="s">
        <v>42</v>
      </c>
      <c r="S960" s="8">
        <v>45020.209027777775</v>
      </c>
      <c r="T960" t="s">
        <v>115</v>
      </c>
      <c r="U960" t="s">
        <v>53</v>
      </c>
      <c r="V960">
        <v>1960</v>
      </c>
      <c r="W960" s="12">
        <v>117.24</v>
      </c>
      <c r="X960">
        <v>7.5</v>
      </c>
      <c r="Y960" s="14">
        <v>21427700000000</v>
      </c>
      <c r="Z960">
        <v>88.2</v>
      </c>
      <c r="AA960">
        <v>101.8</v>
      </c>
      <c r="AB960">
        <v>9.6</v>
      </c>
      <c r="AC960">
        <v>36.6</v>
      </c>
      <c r="AD960">
        <v>328239523</v>
      </c>
    </row>
    <row r="961" spans="1:30" hidden="1" x14ac:dyDescent="0.45">
      <c r="A961">
        <v>949</v>
      </c>
      <c r="B961">
        <v>3100</v>
      </c>
      <c r="C961" t="s">
        <v>436</v>
      </c>
      <c r="D961" t="s">
        <v>3549</v>
      </c>
      <c r="E961">
        <v>82</v>
      </c>
      <c r="F961" t="s">
        <v>205</v>
      </c>
      <c r="G961" t="s">
        <v>2011</v>
      </c>
      <c r="H961" t="s">
        <v>3550</v>
      </c>
      <c r="I961" t="s">
        <v>436</v>
      </c>
      <c r="J961" t="s">
        <v>577</v>
      </c>
      <c r="L961" t="b">
        <v>1</v>
      </c>
      <c r="M961" t="s">
        <v>39</v>
      </c>
      <c r="N961" t="s">
        <v>8245</v>
      </c>
      <c r="O961" s="1">
        <v>15017</v>
      </c>
      <c r="P961" t="s">
        <v>3551</v>
      </c>
      <c r="Q961" t="s">
        <v>3552</v>
      </c>
      <c r="S961" s="1">
        <v>45020.209027777775</v>
      </c>
      <c r="V961">
        <v>1941</v>
      </c>
      <c r="W961">
        <v>99.55</v>
      </c>
      <c r="X961">
        <v>0.4</v>
      </c>
      <c r="Y961" s="2">
        <v>703082435360</v>
      </c>
      <c r="Z961">
        <v>59.6</v>
      </c>
      <c r="AA961">
        <v>105.2</v>
      </c>
      <c r="AB961">
        <v>10.1</v>
      </c>
      <c r="AC961">
        <v>28.8</v>
      </c>
      <c r="AD961">
        <v>8574832</v>
      </c>
    </row>
    <row r="962" spans="1:30" hidden="1" x14ac:dyDescent="0.45">
      <c r="A962">
        <v>949</v>
      </c>
      <c r="B962">
        <v>3100</v>
      </c>
      <c r="C962" t="s">
        <v>23</v>
      </c>
      <c r="D962" t="s">
        <v>3553</v>
      </c>
      <c r="E962">
        <v>73</v>
      </c>
      <c r="F962" t="s">
        <v>558</v>
      </c>
      <c r="G962" t="s">
        <v>3554</v>
      </c>
      <c r="H962" t="s">
        <v>3555</v>
      </c>
      <c r="I962" t="s">
        <v>23</v>
      </c>
      <c r="J962" t="s">
        <v>558</v>
      </c>
      <c r="L962" t="b">
        <v>1</v>
      </c>
      <c r="M962" t="s">
        <v>39</v>
      </c>
      <c r="N962" t="s">
        <v>8245</v>
      </c>
      <c r="O962" s="1">
        <v>18272</v>
      </c>
      <c r="P962" t="s">
        <v>3556</v>
      </c>
      <c r="Q962" t="s">
        <v>3557</v>
      </c>
      <c r="S962" s="1">
        <v>45020.209027777775</v>
      </c>
      <c r="V962">
        <v>1950</v>
      </c>
      <c r="W962">
        <v>167.4</v>
      </c>
      <c r="X962">
        <v>3.7</v>
      </c>
      <c r="Y962" s="2">
        <v>1839758040766</v>
      </c>
      <c r="Z962">
        <v>51.3</v>
      </c>
      <c r="AA962">
        <v>115.4</v>
      </c>
      <c r="AB962">
        <v>14.2</v>
      </c>
      <c r="AC962">
        <v>65.099999999999994</v>
      </c>
      <c r="AD962">
        <v>212559417</v>
      </c>
    </row>
    <row r="963" spans="1:30" hidden="1" x14ac:dyDescent="0.45">
      <c r="A963">
        <v>949</v>
      </c>
      <c r="B963">
        <v>3100</v>
      </c>
      <c r="C963" t="s">
        <v>296</v>
      </c>
      <c r="D963" t="s">
        <v>3558</v>
      </c>
      <c r="E963">
        <v>73</v>
      </c>
      <c r="F963" t="s">
        <v>574</v>
      </c>
      <c r="G963" t="s">
        <v>574</v>
      </c>
      <c r="H963" t="s">
        <v>3559</v>
      </c>
      <c r="I963" t="s">
        <v>296</v>
      </c>
      <c r="J963" t="s">
        <v>574</v>
      </c>
      <c r="L963" t="b">
        <v>0</v>
      </c>
      <c r="M963" t="s">
        <v>39</v>
      </c>
      <c r="N963" t="s">
        <v>8245</v>
      </c>
      <c r="O963" s="1">
        <v>18264</v>
      </c>
      <c r="P963" t="s">
        <v>763</v>
      </c>
      <c r="Q963" t="s">
        <v>3560</v>
      </c>
      <c r="S963" s="1">
        <v>45020.209027777775</v>
      </c>
      <c r="V963">
        <v>1950</v>
      </c>
      <c r="W963">
        <v>114.41</v>
      </c>
      <c r="X963">
        <v>0.6</v>
      </c>
      <c r="Y963" s="2">
        <v>372062527489</v>
      </c>
      <c r="Z963">
        <v>84.8</v>
      </c>
      <c r="AA963">
        <v>100.6</v>
      </c>
      <c r="AB963">
        <v>13.1</v>
      </c>
      <c r="AC963">
        <v>21</v>
      </c>
      <c r="AD963">
        <v>5703569</v>
      </c>
    </row>
    <row r="964" spans="1:30" hidden="1" x14ac:dyDescent="0.45">
      <c r="A964">
        <v>949</v>
      </c>
      <c r="B964">
        <v>3100</v>
      </c>
      <c r="C964" t="s">
        <v>23</v>
      </c>
      <c r="D964" t="s">
        <v>3561</v>
      </c>
      <c r="E964">
        <v>52</v>
      </c>
      <c r="F964" t="s">
        <v>35</v>
      </c>
      <c r="G964" t="s">
        <v>78</v>
      </c>
      <c r="H964" t="s">
        <v>447</v>
      </c>
      <c r="I964" t="s">
        <v>23</v>
      </c>
      <c r="J964" t="s">
        <v>35</v>
      </c>
      <c r="L964" t="b">
        <v>0</v>
      </c>
      <c r="M964" t="s">
        <v>39</v>
      </c>
      <c r="N964" t="s">
        <v>8246</v>
      </c>
      <c r="O964" s="1">
        <v>25681</v>
      </c>
      <c r="P964" t="s">
        <v>449</v>
      </c>
      <c r="Q964" t="s">
        <v>3562</v>
      </c>
      <c r="S964" s="1">
        <v>45020.209027777775</v>
      </c>
      <c r="T964" t="s">
        <v>78</v>
      </c>
      <c r="U964" t="s">
        <v>82</v>
      </c>
      <c r="V964">
        <v>1970</v>
      </c>
      <c r="W964">
        <v>117.24</v>
      </c>
      <c r="X964">
        <v>7.5</v>
      </c>
      <c r="Y964" s="2">
        <v>21427700000000</v>
      </c>
      <c r="Z964">
        <v>88.2</v>
      </c>
      <c r="AA964">
        <v>101.8</v>
      </c>
      <c r="AB964">
        <v>9.6</v>
      </c>
      <c r="AC964">
        <v>36.6</v>
      </c>
      <c r="AD964">
        <v>328239523</v>
      </c>
    </row>
    <row r="965" spans="1:30" hidden="1" x14ac:dyDescent="0.45">
      <c r="A965">
        <v>949</v>
      </c>
      <c r="B965">
        <v>3100</v>
      </c>
      <c r="C965" t="s">
        <v>126</v>
      </c>
      <c r="D965" t="s">
        <v>3563</v>
      </c>
      <c r="E965">
        <v>90</v>
      </c>
      <c r="F965" t="s">
        <v>35</v>
      </c>
      <c r="G965" t="s">
        <v>3564</v>
      </c>
      <c r="H965" t="s">
        <v>3565</v>
      </c>
      <c r="I965" t="s">
        <v>126</v>
      </c>
      <c r="J965" t="s">
        <v>35</v>
      </c>
      <c r="L965" t="b">
        <v>1</v>
      </c>
      <c r="M965" t="s">
        <v>29</v>
      </c>
      <c r="N965" t="s">
        <v>8245</v>
      </c>
      <c r="O965" s="1">
        <v>11857</v>
      </c>
      <c r="P965" t="s">
        <v>3566</v>
      </c>
      <c r="Q965" t="s">
        <v>3567</v>
      </c>
      <c r="S965" s="1">
        <v>45020.209027777775</v>
      </c>
      <c r="T965" t="s">
        <v>435</v>
      </c>
      <c r="V965">
        <v>1932</v>
      </c>
      <c r="W965">
        <v>117.24</v>
      </c>
      <c r="X965">
        <v>7.5</v>
      </c>
      <c r="Y965" s="2">
        <v>21427700000000</v>
      </c>
      <c r="Z965">
        <v>88.2</v>
      </c>
      <c r="AA965">
        <v>101.8</v>
      </c>
      <c r="AB965">
        <v>9.6</v>
      </c>
      <c r="AC965">
        <v>36.6</v>
      </c>
      <c r="AD965">
        <v>328239523</v>
      </c>
    </row>
    <row r="966" spans="1:30" hidden="1" x14ac:dyDescent="0.45">
      <c r="A966">
        <v>949</v>
      </c>
      <c r="B966">
        <v>3100</v>
      </c>
      <c r="C966" t="s">
        <v>296</v>
      </c>
      <c r="D966" t="s">
        <v>3568</v>
      </c>
      <c r="E966">
        <v>71</v>
      </c>
      <c r="F966" t="s">
        <v>228</v>
      </c>
      <c r="G966" t="s">
        <v>228</v>
      </c>
      <c r="H966" t="s">
        <v>2856</v>
      </c>
      <c r="I966" t="s">
        <v>296</v>
      </c>
      <c r="J966" t="s">
        <v>128</v>
      </c>
      <c r="L966" t="b">
        <v>1</v>
      </c>
      <c r="M966" t="s">
        <v>39</v>
      </c>
      <c r="N966" t="s">
        <v>8245</v>
      </c>
      <c r="O966" s="1">
        <v>18994</v>
      </c>
      <c r="P966" t="s">
        <v>305</v>
      </c>
      <c r="Q966" t="s">
        <v>3569</v>
      </c>
      <c r="S966" s="1">
        <v>45020.209027777775</v>
      </c>
      <c r="V966">
        <v>1952</v>
      </c>
      <c r="W966"/>
      <c r="Y966"/>
    </row>
    <row r="967" spans="1:30" hidden="1" x14ac:dyDescent="0.45">
      <c r="A967">
        <v>949</v>
      </c>
      <c r="B967">
        <v>3100</v>
      </c>
      <c r="C967" t="s">
        <v>296</v>
      </c>
      <c r="D967" t="s">
        <v>3570</v>
      </c>
      <c r="E967">
        <v>67</v>
      </c>
      <c r="F967" t="s">
        <v>363</v>
      </c>
      <c r="G967" t="s">
        <v>2066</v>
      </c>
      <c r="H967" t="s">
        <v>3571</v>
      </c>
      <c r="I967" t="s">
        <v>296</v>
      </c>
      <c r="J967" t="s">
        <v>363</v>
      </c>
      <c r="L967" t="b">
        <v>1</v>
      </c>
      <c r="M967" t="s">
        <v>1332</v>
      </c>
      <c r="N967" t="s">
        <v>8245</v>
      </c>
      <c r="O967" s="1">
        <v>20315</v>
      </c>
      <c r="P967" t="s">
        <v>3572</v>
      </c>
      <c r="Q967" t="s">
        <v>384</v>
      </c>
      <c r="S967" s="1">
        <v>45020.209027777775</v>
      </c>
      <c r="V967">
        <v>1955</v>
      </c>
      <c r="W967">
        <v>180.75</v>
      </c>
      <c r="X967">
        <v>4.5</v>
      </c>
      <c r="Y967" s="2">
        <v>1699876578871</v>
      </c>
      <c r="Z967">
        <v>81.900000000000006</v>
      </c>
      <c r="AA967">
        <v>102.6</v>
      </c>
      <c r="AB967">
        <v>11.4</v>
      </c>
      <c r="AC967">
        <v>46.2</v>
      </c>
      <c r="AD967">
        <v>144373535</v>
      </c>
    </row>
    <row r="968" spans="1:30" hidden="1" x14ac:dyDescent="0.45">
      <c r="A968">
        <v>949</v>
      </c>
      <c r="B968">
        <v>3100</v>
      </c>
      <c r="C968" t="s">
        <v>326</v>
      </c>
      <c r="D968" t="s">
        <v>3573</v>
      </c>
      <c r="E968">
        <v>59</v>
      </c>
      <c r="F968" t="s">
        <v>205</v>
      </c>
      <c r="G968" t="s">
        <v>3574</v>
      </c>
      <c r="H968" t="s">
        <v>3453</v>
      </c>
      <c r="I968" t="s">
        <v>326</v>
      </c>
      <c r="J968" t="s">
        <v>117</v>
      </c>
      <c r="L968" t="b">
        <v>1</v>
      </c>
      <c r="M968" t="s">
        <v>39</v>
      </c>
      <c r="N968" t="s">
        <v>8245</v>
      </c>
      <c r="O968" s="1">
        <v>23164</v>
      </c>
      <c r="P968" t="s">
        <v>3575</v>
      </c>
      <c r="Q968" t="s">
        <v>520</v>
      </c>
      <c r="S968" s="1">
        <v>45020.209027777775</v>
      </c>
      <c r="V968">
        <v>1963</v>
      </c>
      <c r="W968">
        <v>99.55</v>
      </c>
      <c r="X968">
        <v>0.4</v>
      </c>
      <c r="Y968" s="2">
        <v>703082435360</v>
      </c>
      <c r="Z968">
        <v>59.6</v>
      </c>
      <c r="AA968">
        <v>105.2</v>
      </c>
      <c r="AB968">
        <v>10.1</v>
      </c>
      <c r="AC968">
        <v>28.8</v>
      </c>
      <c r="AD968">
        <v>8574832</v>
      </c>
    </row>
    <row r="969" spans="1:30" hidden="1" x14ac:dyDescent="0.45">
      <c r="A969">
        <v>949</v>
      </c>
      <c r="B969">
        <v>3100</v>
      </c>
      <c r="C969" t="s">
        <v>23</v>
      </c>
      <c r="D969" t="s">
        <v>3576</v>
      </c>
      <c r="E969">
        <v>46</v>
      </c>
      <c r="F969" t="s">
        <v>93</v>
      </c>
      <c r="G969" t="s">
        <v>1376</v>
      </c>
      <c r="H969" t="s">
        <v>3577</v>
      </c>
      <c r="I969" t="s">
        <v>23</v>
      </c>
      <c r="J969" t="s">
        <v>93</v>
      </c>
      <c r="L969" t="b">
        <v>1</v>
      </c>
      <c r="M969" t="s">
        <v>29</v>
      </c>
      <c r="N969" t="s">
        <v>8245</v>
      </c>
      <c r="O969" s="1">
        <v>28197</v>
      </c>
      <c r="P969" t="s">
        <v>3578</v>
      </c>
      <c r="Q969" t="s">
        <v>1101</v>
      </c>
      <c r="S969" s="1">
        <v>45020.209027777775</v>
      </c>
      <c r="V969">
        <v>1977</v>
      </c>
      <c r="W969">
        <v>180.44</v>
      </c>
      <c r="X969">
        <v>7.7</v>
      </c>
      <c r="Y969" s="2">
        <v>2611000000000</v>
      </c>
      <c r="Z969">
        <v>28.1</v>
      </c>
      <c r="AA969">
        <v>113</v>
      </c>
      <c r="AB969">
        <v>11.2</v>
      </c>
      <c r="AC969">
        <v>49.7</v>
      </c>
      <c r="AD969">
        <v>1366417754</v>
      </c>
    </row>
    <row r="970" spans="1:30" hidden="1" x14ac:dyDescent="0.45">
      <c r="A970">
        <v>949</v>
      </c>
      <c r="B970">
        <v>3100</v>
      </c>
      <c r="C970" t="s">
        <v>91</v>
      </c>
      <c r="D970" t="s">
        <v>3579</v>
      </c>
      <c r="E970">
        <v>67</v>
      </c>
      <c r="F970" t="s">
        <v>487</v>
      </c>
      <c r="G970" t="s">
        <v>487</v>
      </c>
      <c r="H970" t="s">
        <v>91</v>
      </c>
      <c r="I970" t="s">
        <v>91</v>
      </c>
      <c r="J970" t="s">
        <v>272</v>
      </c>
      <c r="L970" t="b">
        <v>1</v>
      </c>
      <c r="M970" t="s">
        <v>29</v>
      </c>
      <c r="N970" t="s">
        <v>8245</v>
      </c>
      <c r="O970" s="1">
        <v>20227</v>
      </c>
      <c r="P970" t="s">
        <v>3580</v>
      </c>
      <c r="Q970" t="s">
        <v>3581</v>
      </c>
      <c r="S970" s="1">
        <v>45020.209027777775</v>
      </c>
      <c r="V970">
        <v>1955</v>
      </c>
      <c r="W970"/>
      <c r="Y970" s="2">
        <v>7184844193</v>
      </c>
      <c r="AD970">
        <v>38964</v>
      </c>
    </row>
    <row r="971" spans="1:30" x14ac:dyDescent="0.45">
      <c r="A971">
        <v>949</v>
      </c>
      <c r="B971" s="6">
        <v>3100</v>
      </c>
      <c r="C971" t="s">
        <v>61</v>
      </c>
      <c r="D971" t="s">
        <v>3582</v>
      </c>
      <c r="E971">
        <v>66</v>
      </c>
      <c r="F971" t="s">
        <v>35</v>
      </c>
      <c r="G971" t="s">
        <v>3583</v>
      </c>
      <c r="H971" t="s">
        <v>930</v>
      </c>
      <c r="I971" t="s">
        <v>61</v>
      </c>
      <c r="J971" t="s">
        <v>35</v>
      </c>
      <c r="K971" t="s">
        <v>3584</v>
      </c>
      <c r="L971" t="b">
        <v>1</v>
      </c>
      <c r="M971" t="s">
        <v>29</v>
      </c>
      <c r="N971" t="s">
        <v>8245</v>
      </c>
      <c r="O971" s="10">
        <v>20593</v>
      </c>
      <c r="P971" t="s">
        <v>3585</v>
      </c>
      <c r="Q971" t="s">
        <v>2240</v>
      </c>
      <c r="R971" t="s">
        <v>3586</v>
      </c>
      <c r="S971" s="8">
        <v>45020.209027777775</v>
      </c>
      <c r="T971" t="s">
        <v>3587</v>
      </c>
      <c r="U971" t="s">
        <v>82</v>
      </c>
      <c r="V971">
        <v>1956</v>
      </c>
      <c r="W971" s="12">
        <v>117.24</v>
      </c>
      <c r="X971">
        <v>7.5</v>
      </c>
      <c r="Y971" s="14">
        <v>21427700000000</v>
      </c>
      <c r="Z971">
        <v>88.2</v>
      </c>
      <c r="AA971">
        <v>101.8</v>
      </c>
      <c r="AB971">
        <v>9.6</v>
      </c>
      <c r="AC971">
        <v>36.6</v>
      </c>
      <c r="AD971">
        <v>328239523</v>
      </c>
    </row>
    <row r="972" spans="1:30" hidden="1" x14ac:dyDescent="0.45">
      <c r="A972">
        <v>949</v>
      </c>
      <c r="B972">
        <v>3100</v>
      </c>
      <c r="C972" t="s">
        <v>302</v>
      </c>
      <c r="D972" t="s">
        <v>3588</v>
      </c>
      <c r="E972">
        <v>71</v>
      </c>
      <c r="F972" t="s">
        <v>228</v>
      </c>
      <c r="G972" t="s">
        <v>228</v>
      </c>
      <c r="H972" t="s">
        <v>304</v>
      </c>
      <c r="I972" t="s">
        <v>302</v>
      </c>
      <c r="J972" t="s">
        <v>228</v>
      </c>
      <c r="L972" t="b">
        <v>1</v>
      </c>
      <c r="M972" t="s">
        <v>39</v>
      </c>
      <c r="N972" t="s">
        <v>8245</v>
      </c>
      <c r="O972" s="1">
        <v>18780</v>
      </c>
      <c r="P972" t="s">
        <v>3589</v>
      </c>
      <c r="Q972" t="s">
        <v>3590</v>
      </c>
      <c r="S972" s="1">
        <v>45020.209027777775</v>
      </c>
      <c r="V972">
        <v>1951</v>
      </c>
      <c r="W972"/>
      <c r="Y972"/>
    </row>
    <row r="973" spans="1:30" hidden="1" x14ac:dyDescent="0.45">
      <c r="A973">
        <v>949</v>
      </c>
      <c r="B973">
        <v>3100</v>
      </c>
      <c r="C973" t="s">
        <v>302</v>
      </c>
      <c r="D973" t="s">
        <v>3591</v>
      </c>
      <c r="E973">
        <v>59</v>
      </c>
      <c r="F973" t="s">
        <v>35</v>
      </c>
      <c r="G973" t="s">
        <v>78</v>
      </c>
      <c r="H973" t="s">
        <v>304</v>
      </c>
      <c r="I973" t="s">
        <v>302</v>
      </c>
      <c r="J973" t="s">
        <v>194</v>
      </c>
      <c r="L973" t="b">
        <v>0</v>
      </c>
      <c r="M973" t="s">
        <v>39</v>
      </c>
      <c r="N973" t="s">
        <v>8246</v>
      </c>
      <c r="O973" s="1">
        <v>23377</v>
      </c>
      <c r="P973" t="s">
        <v>3592</v>
      </c>
      <c r="Q973" t="s">
        <v>3593</v>
      </c>
      <c r="S973" s="1">
        <v>45020.209027777775</v>
      </c>
      <c r="T973" t="s">
        <v>78</v>
      </c>
      <c r="U973" t="s">
        <v>82</v>
      </c>
      <c r="V973">
        <v>1964</v>
      </c>
      <c r="W973">
        <v>117.24</v>
      </c>
      <c r="X973">
        <v>7.5</v>
      </c>
      <c r="Y973" s="2">
        <v>21427700000000</v>
      </c>
      <c r="Z973">
        <v>88.2</v>
      </c>
      <c r="AA973">
        <v>101.8</v>
      </c>
      <c r="AB973">
        <v>9.6</v>
      </c>
      <c r="AC973">
        <v>36.6</v>
      </c>
      <c r="AD973">
        <v>328239523</v>
      </c>
    </row>
    <row r="974" spans="1:30" hidden="1" x14ac:dyDescent="0.45">
      <c r="A974">
        <v>949</v>
      </c>
      <c r="B974">
        <v>3100</v>
      </c>
      <c r="C974" t="s">
        <v>61</v>
      </c>
      <c r="D974" t="s">
        <v>3594</v>
      </c>
      <c r="E974">
        <v>51</v>
      </c>
      <c r="F974" t="s">
        <v>205</v>
      </c>
      <c r="H974" t="s">
        <v>557</v>
      </c>
      <c r="I974" t="s">
        <v>61</v>
      </c>
      <c r="J974" t="s">
        <v>363</v>
      </c>
      <c r="L974" t="b">
        <v>1</v>
      </c>
      <c r="M974" t="s">
        <v>611</v>
      </c>
      <c r="N974" t="s">
        <v>8245</v>
      </c>
      <c r="O974" s="1">
        <v>26157</v>
      </c>
      <c r="P974" t="s">
        <v>3595</v>
      </c>
      <c r="Q974" t="s">
        <v>3423</v>
      </c>
      <c r="S974" s="1">
        <v>45020.209027777775</v>
      </c>
      <c r="V974">
        <v>1971</v>
      </c>
      <c r="W974">
        <v>99.55</v>
      </c>
      <c r="X974">
        <v>0.4</v>
      </c>
      <c r="Y974" s="2">
        <v>703082435360</v>
      </c>
      <c r="Z974">
        <v>59.6</v>
      </c>
      <c r="AA974">
        <v>105.2</v>
      </c>
      <c r="AB974">
        <v>10.1</v>
      </c>
      <c r="AC974">
        <v>28.8</v>
      </c>
      <c r="AD974">
        <v>8574832</v>
      </c>
    </row>
    <row r="975" spans="1:30" x14ac:dyDescent="0.45">
      <c r="A975">
        <v>949</v>
      </c>
      <c r="B975" s="6">
        <v>3100</v>
      </c>
      <c r="C975" t="s">
        <v>61</v>
      </c>
      <c r="D975" t="s">
        <v>3596</v>
      </c>
      <c r="E975">
        <v>63</v>
      </c>
      <c r="F975" t="s">
        <v>35</v>
      </c>
      <c r="G975" t="s">
        <v>433</v>
      </c>
      <c r="H975" t="s">
        <v>1909</v>
      </c>
      <c r="I975" t="s">
        <v>61</v>
      </c>
      <c r="J975" t="s">
        <v>35</v>
      </c>
      <c r="K975" t="s">
        <v>3597</v>
      </c>
      <c r="L975" t="b">
        <v>0</v>
      </c>
      <c r="M975" t="s">
        <v>39</v>
      </c>
      <c r="N975" t="s">
        <v>8246</v>
      </c>
      <c r="O975" s="10">
        <v>21672</v>
      </c>
      <c r="P975" t="s">
        <v>1910</v>
      </c>
      <c r="Q975" t="s">
        <v>3598</v>
      </c>
      <c r="R975" t="s">
        <v>138</v>
      </c>
      <c r="S975" s="8">
        <v>45020.209027777775</v>
      </c>
      <c r="T975" t="s">
        <v>435</v>
      </c>
      <c r="U975" t="s">
        <v>69</v>
      </c>
      <c r="V975">
        <v>1959</v>
      </c>
      <c r="W975" s="12">
        <v>117.24</v>
      </c>
      <c r="X975">
        <v>7.5</v>
      </c>
      <c r="Y975" s="14">
        <v>21427700000000</v>
      </c>
      <c r="Z975">
        <v>88.2</v>
      </c>
      <c r="AA975">
        <v>101.8</v>
      </c>
      <c r="AB975">
        <v>9.6</v>
      </c>
      <c r="AC975">
        <v>36.6</v>
      </c>
      <c r="AD975">
        <v>328239523</v>
      </c>
    </row>
    <row r="976" spans="1:30" hidden="1" x14ac:dyDescent="0.45">
      <c r="A976">
        <v>949</v>
      </c>
      <c r="B976">
        <v>3100</v>
      </c>
      <c r="C976" t="s">
        <v>91</v>
      </c>
      <c r="D976" t="s">
        <v>3599</v>
      </c>
      <c r="E976">
        <v>79</v>
      </c>
      <c r="F976" t="s">
        <v>349</v>
      </c>
      <c r="G976" t="s">
        <v>350</v>
      </c>
      <c r="H976" t="s">
        <v>91</v>
      </c>
      <c r="I976" t="s">
        <v>91</v>
      </c>
      <c r="J976" t="s">
        <v>349</v>
      </c>
      <c r="L976" t="b">
        <v>0</v>
      </c>
      <c r="M976" t="s">
        <v>39</v>
      </c>
      <c r="N976" t="s">
        <v>8245</v>
      </c>
      <c r="O976" s="1">
        <v>16055</v>
      </c>
      <c r="P976" t="s">
        <v>3600</v>
      </c>
      <c r="Q976" t="s">
        <v>3601</v>
      </c>
      <c r="S976" s="1">
        <v>45020.209027777775</v>
      </c>
      <c r="V976">
        <v>1943</v>
      </c>
      <c r="W976">
        <v>151.18</v>
      </c>
      <c r="X976">
        <v>3</v>
      </c>
      <c r="Y976" s="2">
        <v>1119190780753</v>
      </c>
      <c r="Z976">
        <v>36.299999999999997</v>
      </c>
      <c r="AA976">
        <v>106.4</v>
      </c>
      <c r="AB976">
        <v>10.199999999999999</v>
      </c>
      <c r="AC976">
        <v>30.1</v>
      </c>
      <c r="AD976">
        <v>270203917</v>
      </c>
    </row>
    <row r="977" spans="1:30" hidden="1" x14ac:dyDescent="0.45">
      <c r="A977">
        <v>949</v>
      </c>
      <c r="B977">
        <v>3100</v>
      </c>
      <c r="C977" t="s">
        <v>23</v>
      </c>
      <c r="D977" t="s">
        <v>3602</v>
      </c>
      <c r="E977">
        <v>67</v>
      </c>
      <c r="F977" t="s">
        <v>214</v>
      </c>
      <c r="G977" t="s">
        <v>3603</v>
      </c>
      <c r="H977" t="s">
        <v>3393</v>
      </c>
      <c r="I977" t="s">
        <v>23</v>
      </c>
      <c r="J977" t="s">
        <v>214</v>
      </c>
      <c r="L977" t="b">
        <v>1</v>
      </c>
      <c r="M977" t="s">
        <v>39</v>
      </c>
      <c r="N977" t="s">
        <v>8245</v>
      </c>
      <c r="O977" s="1">
        <v>20347</v>
      </c>
      <c r="P977" t="s">
        <v>3604</v>
      </c>
      <c r="Q977" t="s">
        <v>3605</v>
      </c>
      <c r="S977" s="1">
        <v>45020.209027777775</v>
      </c>
      <c r="V977">
        <v>1955</v>
      </c>
      <c r="W977">
        <v>110.62</v>
      </c>
      <c r="X977">
        <v>0.6</v>
      </c>
      <c r="Y977" s="2">
        <v>2001244392042</v>
      </c>
      <c r="Z977">
        <v>61.9</v>
      </c>
      <c r="AA977">
        <v>101.9</v>
      </c>
      <c r="AB977">
        <v>24.3</v>
      </c>
      <c r="AC977">
        <v>59.1</v>
      </c>
      <c r="AD977">
        <v>60297396</v>
      </c>
    </row>
    <row r="978" spans="1:30" hidden="1" x14ac:dyDescent="0.45">
      <c r="A978">
        <v>949</v>
      </c>
      <c r="B978">
        <v>3100</v>
      </c>
      <c r="C978" t="s">
        <v>76</v>
      </c>
      <c r="D978" t="s">
        <v>3606</v>
      </c>
      <c r="E978">
        <v>80</v>
      </c>
      <c r="F978" t="s">
        <v>194</v>
      </c>
      <c r="G978" t="s">
        <v>3607</v>
      </c>
      <c r="H978" t="s">
        <v>2645</v>
      </c>
      <c r="I978" t="s">
        <v>76</v>
      </c>
      <c r="J978" t="s">
        <v>194</v>
      </c>
      <c r="L978" t="b">
        <v>0</v>
      </c>
      <c r="M978" t="s">
        <v>39</v>
      </c>
      <c r="N978" t="s">
        <v>8246</v>
      </c>
      <c r="O978" s="1">
        <v>15568</v>
      </c>
      <c r="P978" t="s">
        <v>3608</v>
      </c>
      <c r="Q978" t="s">
        <v>3609</v>
      </c>
      <c r="S978" s="1">
        <v>45020.209027777775</v>
      </c>
      <c r="V978">
        <v>1942</v>
      </c>
      <c r="W978">
        <v>112.85</v>
      </c>
      <c r="X978">
        <v>1.4</v>
      </c>
      <c r="Y978" s="2">
        <v>3845630030824</v>
      </c>
      <c r="Z978">
        <v>70.2</v>
      </c>
      <c r="AA978">
        <v>104</v>
      </c>
      <c r="AB978">
        <v>11.5</v>
      </c>
      <c r="AC978">
        <v>48.8</v>
      </c>
      <c r="AD978">
        <v>83132799</v>
      </c>
    </row>
    <row r="979" spans="1:30" hidden="1" x14ac:dyDescent="0.45">
      <c r="A979">
        <v>949</v>
      </c>
      <c r="B979">
        <v>3100</v>
      </c>
      <c r="C979" t="s">
        <v>302</v>
      </c>
      <c r="D979" t="s">
        <v>3610</v>
      </c>
      <c r="E979">
        <v>74</v>
      </c>
      <c r="F979" t="s">
        <v>228</v>
      </c>
      <c r="G979" t="s">
        <v>228</v>
      </c>
      <c r="H979" t="s">
        <v>304</v>
      </c>
      <c r="I979" t="s">
        <v>302</v>
      </c>
      <c r="J979" t="s">
        <v>228</v>
      </c>
      <c r="L979" t="b">
        <v>1</v>
      </c>
      <c r="M979" t="s">
        <v>39</v>
      </c>
      <c r="N979" t="s">
        <v>8246</v>
      </c>
      <c r="O979" s="1">
        <v>17713</v>
      </c>
      <c r="P979" t="s">
        <v>3611</v>
      </c>
      <c r="Q979" t="s">
        <v>3612</v>
      </c>
      <c r="S979" s="1">
        <v>45020.209027777775</v>
      </c>
      <c r="V979">
        <v>1948</v>
      </c>
      <c r="W979"/>
      <c r="Y979"/>
    </row>
    <row r="980" spans="1:30" hidden="1" x14ac:dyDescent="0.45">
      <c r="A980">
        <v>949</v>
      </c>
      <c r="B980">
        <v>3100</v>
      </c>
      <c r="C980" t="s">
        <v>61</v>
      </c>
      <c r="D980" t="s">
        <v>3613</v>
      </c>
      <c r="E980">
        <v>35</v>
      </c>
      <c r="F980" t="s">
        <v>2377</v>
      </c>
      <c r="G980" t="s">
        <v>2378</v>
      </c>
      <c r="H980" t="s">
        <v>3614</v>
      </c>
      <c r="I980" t="s">
        <v>61</v>
      </c>
      <c r="J980" t="s">
        <v>2377</v>
      </c>
      <c r="L980" t="b">
        <v>1</v>
      </c>
      <c r="M980" t="s">
        <v>29</v>
      </c>
      <c r="N980" t="s">
        <v>8245</v>
      </c>
      <c r="O980" s="1">
        <v>32094</v>
      </c>
      <c r="P980" t="s">
        <v>3615</v>
      </c>
      <c r="Q980" t="s">
        <v>2548</v>
      </c>
      <c r="S980" s="1">
        <v>45020.209027777775</v>
      </c>
      <c r="V980">
        <v>1987</v>
      </c>
      <c r="W980">
        <v>182.75</v>
      </c>
      <c r="X980">
        <v>5.2</v>
      </c>
      <c r="Y980" s="2">
        <v>180161741180</v>
      </c>
      <c r="Z980">
        <v>61.7</v>
      </c>
      <c r="AA980">
        <v>104.4</v>
      </c>
      <c r="AB980">
        <v>11.7</v>
      </c>
      <c r="AC980">
        <v>28.4</v>
      </c>
      <c r="AD980">
        <v>18513930</v>
      </c>
    </row>
    <row r="981" spans="1:30" hidden="1" x14ac:dyDescent="0.45">
      <c r="A981">
        <v>949</v>
      </c>
      <c r="B981">
        <v>3100</v>
      </c>
      <c r="C981" t="s">
        <v>23</v>
      </c>
      <c r="D981" t="s">
        <v>3616</v>
      </c>
      <c r="E981">
        <v>74</v>
      </c>
      <c r="F981" t="s">
        <v>35</v>
      </c>
      <c r="G981" t="s">
        <v>3617</v>
      </c>
      <c r="H981" t="s">
        <v>3618</v>
      </c>
      <c r="I981" t="s">
        <v>23</v>
      </c>
      <c r="J981" t="s">
        <v>35</v>
      </c>
      <c r="L981" t="b">
        <v>1</v>
      </c>
      <c r="M981" t="s">
        <v>29</v>
      </c>
      <c r="N981" t="s">
        <v>8245</v>
      </c>
      <c r="O981" s="1">
        <v>17759</v>
      </c>
      <c r="P981" t="s">
        <v>3619</v>
      </c>
      <c r="Q981" t="s">
        <v>1817</v>
      </c>
      <c r="S981" s="1">
        <v>45020.209027777775</v>
      </c>
      <c r="T981" t="s">
        <v>3620</v>
      </c>
      <c r="U981" t="s">
        <v>53</v>
      </c>
      <c r="V981">
        <v>1948</v>
      </c>
      <c r="W981">
        <v>117.24</v>
      </c>
      <c r="X981">
        <v>7.5</v>
      </c>
      <c r="Y981" s="2">
        <v>21427700000000</v>
      </c>
      <c r="Z981">
        <v>88.2</v>
      </c>
      <c r="AA981">
        <v>101.8</v>
      </c>
      <c r="AB981">
        <v>9.6</v>
      </c>
      <c r="AC981">
        <v>36.6</v>
      </c>
      <c r="AD981">
        <v>328239523</v>
      </c>
    </row>
    <row r="982" spans="1:30" hidden="1" x14ac:dyDescent="0.45">
      <c r="A982">
        <v>949</v>
      </c>
      <c r="B982">
        <v>3100</v>
      </c>
      <c r="C982" t="s">
        <v>76</v>
      </c>
      <c r="D982" t="s">
        <v>3621</v>
      </c>
      <c r="E982">
        <v>53</v>
      </c>
      <c r="F982" t="s">
        <v>928</v>
      </c>
      <c r="G982" t="s">
        <v>3622</v>
      </c>
      <c r="H982" t="s">
        <v>336</v>
      </c>
      <c r="I982" t="s">
        <v>76</v>
      </c>
      <c r="J982" t="s">
        <v>928</v>
      </c>
      <c r="L982" t="b">
        <v>1</v>
      </c>
      <c r="M982" t="s">
        <v>29</v>
      </c>
      <c r="N982" t="s">
        <v>8246</v>
      </c>
      <c r="O982" s="1">
        <v>25309</v>
      </c>
      <c r="P982" t="s">
        <v>3623</v>
      </c>
      <c r="Q982" t="s">
        <v>3624</v>
      </c>
      <c r="S982" s="1">
        <v>45020.209027777775</v>
      </c>
      <c r="V982">
        <v>1969</v>
      </c>
      <c r="W982">
        <v>115.16</v>
      </c>
      <c r="X982">
        <v>0.4</v>
      </c>
      <c r="Y982" s="2">
        <v>2029000000000</v>
      </c>
      <c r="Z982">
        <v>94.3</v>
      </c>
      <c r="AA982">
        <v>98.1</v>
      </c>
      <c r="AB982">
        <v>15.6</v>
      </c>
      <c r="AC982">
        <v>33.200000000000003</v>
      </c>
      <c r="AD982">
        <v>51709098</v>
      </c>
    </row>
    <row r="983" spans="1:30" hidden="1" x14ac:dyDescent="0.45">
      <c r="A983">
        <v>982</v>
      </c>
      <c r="B983">
        <v>3000</v>
      </c>
      <c r="C983" t="s">
        <v>91</v>
      </c>
      <c r="D983" t="s">
        <v>3625</v>
      </c>
      <c r="F983" t="s">
        <v>360</v>
      </c>
      <c r="G983" t="s">
        <v>767</v>
      </c>
      <c r="H983" t="s">
        <v>91</v>
      </c>
      <c r="I983" t="s">
        <v>91</v>
      </c>
      <c r="J983" t="s">
        <v>360</v>
      </c>
      <c r="L983" t="b">
        <v>0</v>
      </c>
      <c r="M983" t="s">
        <v>29</v>
      </c>
      <c r="N983" t="s">
        <v>8245</v>
      </c>
      <c r="O983"/>
      <c r="P983" t="s">
        <v>3626</v>
      </c>
      <c r="Q983" t="s">
        <v>3627</v>
      </c>
      <c r="R983" t="s">
        <v>3628</v>
      </c>
      <c r="S983" s="1">
        <v>45020.209027777775</v>
      </c>
      <c r="W983">
        <v>114.52</v>
      </c>
      <c r="X983">
        <v>-1.9</v>
      </c>
      <c r="Y983" s="2">
        <v>421142267938</v>
      </c>
      <c r="Z983">
        <v>36.799999999999997</v>
      </c>
      <c r="AA983">
        <v>108.4</v>
      </c>
      <c r="AB983">
        <v>0.1</v>
      </c>
      <c r="AC983">
        <v>15.9</v>
      </c>
      <c r="AD983">
        <v>9770529</v>
      </c>
    </row>
    <row r="984" spans="1:30" hidden="1" x14ac:dyDescent="0.45">
      <c r="A984">
        <v>982</v>
      </c>
      <c r="B984">
        <v>3000</v>
      </c>
      <c r="C984" t="s">
        <v>91</v>
      </c>
      <c r="D984" t="s">
        <v>3629</v>
      </c>
      <c r="E984">
        <v>94</v>
      </c>
      <c r="F984" t="s">
        <v>2037</v>
      </c>
      <c r="G984" t="s">
        <v>2038</v>
      </c>
      <c r="H984" t="s">
        <v>91</v>
      </c>
      <c r="I984" t="s">
        <v>91</v>
      </c>
      <c r="J984" t="s">
        <v>2037</v>
      </c>
      <c r="L984" t="b">
        <v>0</v>
      </c>
      <c r="M984" t="s">
        <v>29</v>
      </c>
      <c r="N984" t="s">
        <v>8246</v>
      </c>
      <c r="O984" s="1">
        <v>10479</v>
      </c>
      <c r="P984" t="s">
        <v>3630</v>
      </c>
      <c r="Q984" t="s">
        <v>3631</v>
      </c>
      <c r="S984" s="1">
        <v>45020.209027777775</v>
      </c>
      <c r="V984">
        <v>1928</v>
      </c>
      <c r="W984">
        <v>234.44</v>
      </c>
      <c r="X984">
        <v>15.2</v>
      </c>
      <c r="Y984" s="2">
        <v>754411708203</v>
      </c>
      <c r="Z984">
        <v>23.9</v>
      </c>
      <c r="AA984">
        <v>93.2</v>
      </c>
      <c r="AB984">
        <v>17.899999999999999</v>
      </c>
      <c r="AC984">
        <v>42.3</v>
      </c>
      <c r="AD984">
        <v>83429615</v>
      </c>
    </row>
    <row r="985" spans="1:30" hidden="1" x14ac:dyDescent="0.45">
      <c r="A985">
        <v>982</v>
      </c>
      <c r="B985">
        <v>3000</v>
      </c>
      <c r="C985" t="s">
        <v>302</v>
      </c>
      <c r="D985" t="s">
        <v>3632</v>
      </c>
      <c r="E985">
        <v>61</v>
      </c>
      <c r="F985" t="s">
        <v>35</v>
      </c>
      <c r="G985" t="s">
        <v>1026</v>
      </c>
      <c r="H985" t="s">
        <v>1405</v>
      </c>
      <c r="I985" t="s">
        <v>302</v>
      </c>
      <c r="J985" t="s">
        <v>35</v>
      </c>
      <c r="L985" t="b">
        <v>0</v>
      </c>
      <c r="M985" t="s">
        <v>29</v>
      </c>
      <c r="N985" t="s">
        <v>8245</v>
      </c>
      <c r="O985" s="1">
        <v>22503</v>
      </c>
      <c r="P985" t="s">
        <v>3633</v>
      </c>
      <c r="Q985" t="s">
        <v>909</v>
      </c>
      <c r="S985" s="1">
        <v>45020.209027777775</v>
      </c>
      <c r="T985" t="s">
        <v>115</v>
      </c>
      <c r="U985" t="s">
        <v>53</v>
      </c>
      <c r="V985">
        <v>1961</v>
      </c>
      <c r="W985">
        <v>117.24</v>
      </c>
      <c r="X985">
        <v>7.5</v>
      </c>
      <c r="Y985" s="2">
        <v>21427700000000</v>
      </c>
      <c r="Z985">
        <v>88.2</v>
      </c>
      <c r="AA985">
        <v>101.8</v>
      </c>
      <c r="AB985">
        <v>9.6</v>
      </c>
      <c r="AC985">
        <v>36.6</v>
      </c>
      <c r="AD985">
        <v>328239523</v>
      </c>
    </row>
    <row r="986" spans="1:30" hidden="1" x14ac:dyDescent="0.45">
      <c r="A986">
        <v>982</v>
      </c>
      <c r="B986">
        <v>3000</v>
      </c>
      <c r="C986" t="s">
        <v>347</v>
      </c>
      <c r="D986" t="s">
        <v>3634</v>
      </c>
      <c r="E986">
        <v>85</v>
      </c>
      <c r="F986" t="s">
        <v>35</v>
      </c>
      <c r="G986" t="s">
        <v>3635</v>
      </c>
      <c r="H986" t="s">
        <v>503</v>
      </c>
      <c r="I986" t="s">
        <v>347</v>
      </c>
      <c r="J986" t="s">
        <v>35</v>
      </c>
      <c r="L986" t="b">
        <v>1</v>
      </c>
      <c r="M986" t="s">
        <v>29</v>
      </c>
      <c r="N986" t="s">
        <v>8245</v>
      </c>
      <c r="O986" s="1">
        <v>13794</v>
      </c>
      <c r="P986" t="s">
        <v>3636</v>
      </c>
      <c r="Q986" t="s">
        <v>714</v>
      </c>
      <c r="S986" s="1">
        <v>45020.209027777775</v>
      </c>
      <c r="T986" t="s">
        <v>43</v>
      </c>
      <c r="U986" t="s">
        <v>44</v>
      </c>
      <c r="V986">
        <v>1937</v>
      </c>
      <c r="W986">
        <v>117.24</v>
      </c>
      <c r="X986">
        <v>7.5</v>
      </c>
      <c r="Y986" s="2">
        <v>21427700000000</v>
      </c>
      <c r="Z986">
        <v>88.2</v>
      </c>
      <c r="AA986">
        <v>101.8</v>
      </c>
      <c r="AB986">
        <v>9.6</v>
      </c>
      <c r="AC986">
        <v>36.6</v>
      </c>
      <c r="AD986">
        <v>328239523</v>
      </c>
    </row>
    <row r="987" spans="1:30" hidden="1" x14ac:dyDescent="0.45">
      <c r="A987">
        <v>982</v>
      </c>
      <c r="B987">
        <v>3000</v>
      </c>
      <c r="C987" t="s">
        <v>33</v>
      </c>
      <c r="D987" t="s">
        <v>3637</v>
      </c>
      <c r="E987">
        <v>90</v>
      </c>
      <c r="F987" t="s">
        <v>35</v>
      </c>
      <c r="G987" t="s">
        <v>247</v>
      </c>
      <c r="H987" t="s">
        <v>3638</v>
      </c>
      <c r="I987" t="s">
        <v>33</v>
      </c>
      <c r="J987" t="s">
        <v>35</v>
      </c>
      <c r="L987" t="b">
        <v>1</v>
      </c>
      <c r="M987" t="s">
        <v>29</v>
      </c>
      <c r="N987" t="s">
        <v>8245</v>
      </c>
      <c r="O987" s="1">
        <v>11923</v>
      </c>
      <c r="P987" t="s">
        <v>3639</v>
      </c>
      <c r="Q987" t="s">
        <v>3640</v>
      </c>
      <c r="S987" s="1">
        <v>45020.209027777775</v>
      </c>
      <c r="T987" t="s">
        <v>253</v>
      </c>
      <c r="U987" t="s">
        <v>44</v>
      </c>
      <c r="V987">
        <v>1932</v>
      </c>
      <c r="W987">
        <v>117.24</v>
      </c>
      <c r="X987">
        <v>7.5</v>
      </c>
      <c r="Y987" s="2">
        <v>21427700000000</v>
      </c>
      <c r="Z987">
        <v>88.2</v>
      </c>
      <c r="AA987">
        <v>101.8</v>
      </c>
      <c r="AB987">
        <v>9.6</v>
      </c>
      <c r="AC987">
        <v>36.6</v>
      </c>
      <c r="AD987">
        <v>328239523</v>
      </c>
    </row>
    <row r="988" spans="1:30" hidden="1" x14ac:dyDescent="0.45">
      <c r="A988">
        <v>982</v>
      </c>
      <c r="B988">
        <v>3000</v>
      </c>
      <c r="C988" t="s">
        <v>45</v>
      </c>
      <c r="D988" t="s">
        <v>3641</v>
      </c>
      <c r="E988">
        <v>66</v>
      </c>
      <c r="F988" t="s">
        <v>205</v>
      </c>
      <c r="G988" t="s">
        <v>601</v>
      </c>
      <c r="H988" t="s">
        <v>2171</v>
      </c>
      <c r="I988" t="s">
        <v>45</v>
      </c>
      <c r="J988" t="s">
        <v>205</v>
      </c>
      <c r="L988" t="b">
        <v>0</v>
      </c>
      <c r="M988" t="s">
        <v>611</v>
      </c>
      <c r="N988" t="s">
        <v>8246</v>
      </c>
      <c r="O988" s="1">
        <v>20821</v>
      </c>
      <c r="P988" t="s">
        <v>3642</v>
      </c>
      <c r="Q988" t="s">
        <v>3643</v>
      </c>
      <c r="S988" s="1">
        <v>45020.209027777775</v>
      </c>
      <c r="V988">
        <v>1957</v>
      </c>
      <c r="W988">
        <v>99.55</v>
      </c>
      <c r="X988">
        <v>0.4</v>
      </c>
      <c r="Y988" s="2">
        <v>703082435360</v>
      </c>
      <c r="Z988">
        <v>59.6</v>
      </c>
      <c r="AA988">
        <v>105.2</v>
      </c>
      <c r="AB988">
        <v>10.1</v>
      </c>
      <c r="AC988">
        <v>28.8</v>
      </c>
      <c r="AD988">
        <v>8574832</v>
      </c>
    </row>
    <row r="989" spans="1:30" hidden="1" x14ac:dyDescent="0.45">
      <c r="A989">
        <v>982</v>
      </c>
      <c r="B989">
        <v>3000</v>
      </c>
      <c r="C989" t="s">
        <v>402</v>
      </c>
      <c r="D989" t="s">
        <v>3644</v>
      </c>
      <c r="E989">
        <v>70</v>
      </c>
      <c r="F989" t="s">
        <v>128</v>
      </c>
      <c r="G989" t="s">
        <v>3645</v>
      </c>
      <c r="H989" t="s">
        <v>610</v>
      </c>
      <c r="I989" t="s">
        <v>402</v>
      </c>
      <c r="J989" t="s">
        <v>128</v>
      </c>
      <c r="L989" t="b">
        <v>1</v>
      </c>
      <c r="M989" t="s">
        <v>39</v>
      </c>
      <c r="N989" t="s">
        <v>8245</v>
      </c>
      <c r="O989" s="1">
        <v>19391</v>
      </c>
      <c r="P989" t="s">
        <v>1829</v>
      </c>
      <c r="Q989" t="s">
        <v>3646</v>
      </c>
      <c r="S989" s="1">
        <v>45020.209027777775</v>
      </c>
      <c r="V989">
        <v>1953</v>
      </c>
      <c r="W989">
        <v>125.08</v>
      </c>
      <c r="X989">
        <v>2.9</v>
      </c>
      <c r="Y989" s="2">
        <v>19910000000000</v>
      </c>
      <c r="Z989">
        <v>50.6</v>
      </c>
      <c r="AA989">
        <v>100.2</v>
      </c>
      <c r="AB989">
        <v>9.4</v>
      </c>
      <c r="AC989">
        <v>59.2</v>
      </c>
      <c r="AD989">
        <v>1397715000</v>
      </c>
    </row>
    <row r="990" spans="1:30" hidden="1" x14ac:dyDescent="0.45">
      <c r="A990">
        <v>982</v>
      </c>
      <c r="B990">
        <v>3000</v>
      </c>
      <c r="C990" t="s">
        <v>126</v>
      </c>
      <c r="D990" t="s">
        <v>3647</v>
      </c>
      <c r="E990">
        <v>80</v>
      </c>
      <c r="F990" t="s">
        <v>25</v>
      </c>
      <c r="G990" t="s">
        <v>26</v>
      </c>
      <c r="H990" t="s">
        <v>2656</v>
      </c>
      <c r="I990" t="s">
        <v>126</v>
      </c>
      <c r="J990" t="s">
        <v>25</v>
      </c>
      <c r="L990" t="b">
        <v>0</v>
      </c>
      <c r="M990" t="s">
        <v>29</v>
      </c>
      <c r="N990" t="s">
        <v>8245</v>
      </c>
      <c r="O990" s="1">
        <v>15707</v>
      </c>
      <c r="P990" t="s">
        <v>3648</v>
      </c>
      <c r="Q990" t="s">
        <v>3649</v>
      </c>
      <c r="S990" s="1">
        <v>45020.209027777775</v>
      </c>
      <c r="V990">
        <v>1943</v>
      </c>
      <c r="W990">
        <v>110.05</v>
      </c>
      <c r="X990">
        <v>1.1000000000000001</v>
      </c>
      <c r="Y990" s="2">
        <v>2715518274227</v>
      </c>
      <c r="Z990">
        <v>65.599999999999994</v>
      </c>
      <c r="AA990">
        <v>102.5</v>
      </c>
      <c r="AB990">
        <v>24.2</v>
      </c>
      <c r="AC990">
        <v>60.7</v>
      </c>
      <c r="AD990">
        <v>67059887</v>
      </c>
    </row>
    <row r="991" spans="1:30" hidden="1" x14ac:dyDescent="0.45">
      <c r="A991">
        <v>982</v>
      </c>
      <c r="B991">
        <v>3000</v>
      </c>
      <c r="C991" t="s">
        <v>302</v>
      </c>
      <c r="D991" t="s">
        <v>3650</v>
      </c>
      <c r="F991" t="s">
        <v>228</v>
      </c>
      <c r="G991" t="s">
        <v>228</v>
      </c>
      <c r="H991" t="s">
        <v>304</v>
      </c>
      <c r="I991" t="s">
        <v>302</v>
      </c>
      <c r="J991" t="s">
        <v>228</v>
      </c>
      <c r="L991" t="b">
        <v>0</v>
      </c>
      <c r="M991" t="s">
        <v>39</v>
      </c>
      <c r="N991" t="s">
        <v>8246</v>
      </c>
      <c r="O991"/>
      <c r="P991" t="s">
        <v>2589</v>
      </c>
      <c r="Q991" t="s">
        <v>3651</v>
      </c>
      <c r="S991" s="1">
        <v>45020.209027777775</v>
      </c>
      <c r="W991"/>
      <c r="Y991"/>
    </row>
    <row r="992" spans="1:30" hidden="1" x14ac:dyDescent="0.45">
      <c r="A992">
        <v>982</v>
      </c>
      <c r="B992">
        <v>3000</v>
      </c>
      <c r="C992" t="s">
        <v>23</v>
      </c>
      <c r="D992" t="s">
        <v>3652</v>
      </c>
      <c r="E992">
        <v>60</v>
      </c>
      <c r="F992" t="s">
        <v>35</v>
      </c>
      <c r="G992" t="s">
        <v>3653</v>
      </c>
      <c r="H992" t="s">
        <v>3654</v>
      </c>
      <c r="I992" t="s">
        <v>23</v>
      </c>
      <c r="J992" t="s">
        <v>35</v>
      </c>
      <c r="L992" t="b">
        <v>1</v>
      </c>
      <c r="M992" t="s">
        <v>611</v>
      </c>
      <c r="N992" t="s">
        <v>8245</v>
      </c>
      <c r="O992" s="1">
        <v>22927</v>
      </c>
      <c r="P992" t="s">
        <v>1585</v>
      </c>
      <c r="Q992" t="s">
        <v>2033</v>
      </c>
      <c r="S992" s="1">
        <v>45020.209027777775</v>
      </c>
      <c r="T992" t="s">
        <v>253</v>
      </c>
      <c r="U992" t="s">
        <v>44</v>
      </c>
      <c r="V992">
        <v>1962</v>
      </c>
      <c r="W992">
        <v>117.24</v>
      </c>
      <c r="X992">
        <v>7.5</v>
      </c>
      <c r="Y992" s="2">
        <v>21427700000000</v>
      </c>
      <c r="Z992">
        <v>88.2</v>
      </c>
      <c r="AA992">
        <v>101.8</v>
      </c>
      <c r="AB992">
        <v>9.6</v>
      </c>
      <c r="AC992">
        <v>36.6</v>
      </c>
      <c r="AD992">
        <v>328239523</v>
      </c>
    </row>
    <row r="993" spans="1:30" hidden="1" x14ac:dyDescent="0.45">
      <c r="A993">
        <v>982</v>
      </c>
      <c r="B993">
        <v>3000</v>
      </c>
      <c r="C993" t="s">
        <v>302</v>
      </c>
      <c r="D993" t="s">
        <v>3655</v>
      </c>
      <c r="E993">
        <v>63</v>
      </c>
      <c r="F993" t="s">
        <v>128</v>
      </c>
      <c r="G993" t="s">
        <v>719</v>
      </c>
      <c r="H993" t="s">
        <v>304</v>
      </c>
      <c r="I993" t="s">
        <v>302</v>
      </c>
      <c r="J993" t="s">
        <v>128</v>
      </c>
      <c r="L993" t="b">
        <v>1</v>
      </c>
      <c r="M993" t="s">
        <v>39</v>
      </c>
      <c r="N993" t="s">
        <v>8245</v>
      </c>
      <c r="O993" s="1">
        <v>21916</v>
      </c>
      <c r="P993" t="s">
        <v>3656</v>
      </c>
      <c r="Q993" t="s">
        <v>3657</v>
      </c>
      <c r="S993" s="1">
        <v>45020.209027777775</v>
      </c>
      <c r="V993">
        <v>1960</v>
      </c>
      <c r="W993">
        <v>125.08</v>
      </c>
      <c r="X993">
        <v>2.9</v>
      </c>
      <c r="Y993" s="2">
        <v>19910000000000</v>
      </c>
      <c r="Z993">
        <v>50.6</v>
      </c>
      <c r="AA993">
        <v>100.2</v>
      </c>
      <c r="AB993">
        <v>9.4</v>
      </c>
      <c r="AC993">
        <v>59.2</v>
      </c>
      <c r="AD993">
        <v>1397715000</v>
      </c>
    </row>
    <row r="994" spans="1:30" x14ac:dyDescent="0.45">
      <c r="A994">
        <v>982</v>
      </c>
      <c r="B994" s="6">
        <v>3000</v>
      </c>
      <c r="C994" t="s">
        <v>61</v>
      </c>
      <c r="D994" t="s">
        <v>3658</v>
      </c>
      <c r="E994">
        <v>73</v>
      </c>
      <c r="F994" t="s">
        <v>35</v>
      </c>
      <c r="G994" t="s">
        <v>3659</v>
      </c>
      <c r="H994" t="s">
        <v>930</v>
      </c>
      <c r="I994" t="s">
        <v>61</v>
      </c>
      <c r="J994" t="s">
        <v>35</v>
      </c>
      <c r="K994" t="s">
        <v>3468</v>
      </c>
      <c r="L994" t="b">
        <v>1</v>
      </c>
      <c r="M994" t="s">
        <v>39</v>
      </c>
      <c r="N994" t="s">
        <v>8245</v>
      </c>
      <c r="O994" s="10">
        <v>18137</v>
      </c>
      <c r="P994" t="s">
        <v>3660</v>
      </c>
      <c r="Q994" t="s">
        <v>338</v>
      </c>
      <c r="R994" t="s">
        <v>3661</v>
      </c>
      <c r="S994" s="8">
        <v>45020.209027777775</v>
      </c>
      <c r="T994" t="s">
        <v>222</v>
      </c>
      <c r="U994" t="s">
        <v>44</v>
      </c>
      <c r="V994">
        <v>1949</v>
      </c>
      <c r="W994" s="12">
        <v>117.24</v>
      </c>
      <c r="X994">
        <v>7.5</v>
      </c>
      <c r="Y994" s="14">
        <v>21427700000000</v>
      </c>
      <c r="Z994">
        <v>88.2</v>
      </c>
      <c r="AA994">
        <v>101.8</v>
      </c>
      <c r="AB994">
        <v>9.6</v>
      </c>
      <c r="AC994">
        <v>36.6</v>
      </c>
      <c r="AD994">
        <v>328239523</v>
      </c>
    </row>
    <row r="995" spans="1:30" hidden="1" x14ac:dyDescent="0.45">
      <c r="A995">
        <v>982</v>
      </c>
      <c r="B995">
        <v>3000</v>
      </c>
      <c r="C995" t="s">
        <v>23</v>
      </c>
      <c r="D995" t="s">
        <v>3662</v>
      </c>
      <c r="E995">
        <v>95</v>
      </c>
      <c r="F995" t="s">
        <v>164</v>
      </c>
      <c r="G995" t="s">
        <v>1797</v>
      </c>
      <c r="H995" t="s">
        <v>1155</v>
      </c>
      <c r="I995" t="s">
        <v>23</v>
      </c>
      <c r="J995" t="s">
        <v>164</v>
      </c>
      <c r="K995" t="s">
        <v>3663</v>
      </c>
      <c r="L995" t="b">
        <v>1</v>
      </c>
      <c r="M995" t="s">
        <v>39</v>
      </c>
      <c r="N995" t="s">
        <v>8245</v>
      </c>
      <c r="O995" s="1">
        <v>10011</v>
      </c>
      <c r="P995" t="s">
        <v>3664</v>
      </c>
      <c r="Q995" t="s">
        <v>1973</v>
      </c>
      <c r="R995" t="s">
        <v>170</v>
      </c>
      <c r="S995" s="1">
        <v>45020.209027777775</v>
      </c>
      <c r="V995">
        <v>1927</v>
      </c>
      <c r="W995">
        <v>116.76</v>
      </c>
      <c r="X995">
        <v>1.9</v>
      </c>
      <c r="Y995" s="2">
        <v>1736425629520</v>
      </c>
      <c r="Z995">
        <v>68.900000000000006</v>
      </c>
      <c r="AA995">
        <v>100.9</v>
      </c>
      <c r="AB995">
        <v>12.8</v>
      </c>
      <c r="AC995">
        <v>24.5</v>
      </c>
      <c r="AD995">
        <v>36991981</v>
      </c>
    </row>
    <row r="996" spans="1:30" hidden="1" x14ac:dyDescent="0.45">
      <c r="A996">
        <v>982</v>
      </c>
      <c r="B996">
        <v>3000</v>
      </c>
      <c r="C996" t="s">
        <v>33</v>
      </c>
      <c r="D996" t="s">
        <v>3665</v>
      </c>
      <c r="E996">
        <v>78</v>
      </c>
      <c r="H996" t="s">
        <v>3007</v>
      </c>
      <c r="I996" t="s">
        <v>33</v>
      </c>
      <c r="J996" t="s">
        <v>211</v>
      </c>
      <c r="L996" t="b">
        <v>0</v>
      </c>
      <c r="M996" t="s">
        <v>258</v>
      </c>
      <c r="N996" t="s">
        <v>8246</v>
      </c>
      <c r="O996" s="1">
        <v>16258</v>
      </c>
      <c r="P996" t="s">
        <v>3008</v>
      </c>
      <c r="Q996" t="s">
        <v>3666</v>
      </c>
      <c r="S996" s="1">
        <v>45020.209027777775</v>
      </c>
      <c r="V996">
        <v>1944</v>
      </c>
      <c r="W996"/>
      <c r="Y996"/>
    </row>
    <row r="997" spans="1:30" hidden="1" x14ac:dyDescent="0.45">
      <c r="A997">
        <v>982</v>
      </c>
      <c r="B997">
        <v>3000</v>
      </c>
      <c r="C997" t="s">
        <v>302</v>
      </c>
      <c r="D997" t="s">
        <v>3667</v>
      </c>
      <c r="E997">
        <v>76</v>
      </c>
      <c r="F997" t="s">
        <v>35</v>
      </c>
      <c r="G997" t="s">
        <v>3668</v>
      </c>
      <c r="H997" t="s">
        <v>3669</v>
      </c>
      <c r="I997" t="s">
        <v>302</v>
      </c>
      <c r="J997" t="s">
        <v>35</v>
      </c>
      <c r="L997" t="b">
        <v>0</v>
      </c>
      <c r="M997" t="s">
        <v>29</v>
      </c>
      <c r="N997" t="s">
        <v>8245</v>
      </c>
      <c r="O997" s="1">
        <v>17112</v>
      </c>
      <c r="P997" t="s">
        <v>3670</v>
      </c>
      <c r="Q997" t="s">
        <v>1550</v>
      </c>
      <c r="S997" s="1">
        <v>45020.209027777775</v>
      </c>
      <c r="T997" t="s">
        <v>253</v>
      </c>
      <c r="U997" t="s">
        <v>44</v>
      </c>
      <c r="V997">
        <v>1946</v>
      </c>
      <c r="W997">
        <v>117.24</v>
      </c>
      <c r="X997">
        <v>7.5</v>
      </c>
      <c r="Y997" s="2">
        <v>21427700000000</v>
      </c>
      <c r="Z997">
        <v>88.2</v>
      </c>
      <c r="AA997">
        <v>101.8</v>
      </c>
      <c r="AB997">
        <v>9.6</v>
      </c>
      <c r="AC997">
        <v>36.6</v>
      </c>
      <c r="AD997">
        <v>328239523</v>
      </c>
    </row>
    <row r="998" spans="1:30" hidden="1" x14ac:dyDescent="0.45">
      <c r="A998">
        <v>982</v>
      </c>
      <c r="B998">
        <v>3000</v>
      </c>
      <c r="C998" t="s">
        <v>61</v>
      </c>
      <c r="D998" t="s">
        <v>3671</v>
      </c>
      <c r="E998">
        <v>57</v>
      </c>
      <c r="F998" t="s">
        <v>35</v>
      </c>
      <c r="G998" t="s">
        <v>3672</v>
      </c>
      <c r="H998" t="s">
        <v>930</v>
      </c>
      <c r="I998" t="s">
        <v>61</v>
      </c>
      <c r="J998" t="s">
        <v>35</v>
      </c>
      <c r="L998" t="b">
        <v>1</v>
      </c>
      <c r="M998" t="s">
        <v>258</v>
      </c>
      <c r="N998" t="s">
        <v>8245</v>
      </c>
      <c r="O998" s="1">
        <v>24050</v>
      </c>
      <c r="P998" t="s">
        <v>3673</v>
      </c>
      <c r="Q998" t="s">
        <v>320</v>
      </c>
      <c r="S998" s="1">
        <v>45020.209027777775</v>
      </c>
      <c r="T998" t="s">
        <v>3674</v>
      </c>
      <c r="U998" t="s">
        <v>3675</v>
      </c>
      <c r="V998">
        <v>1965</v>
      </c>
      <c r="W998">
        <v>117.24</v>
      </c>
      <c r="X998">
        <v>7.5</v>
      </c>
      <c r="Y998" s="2">
        <v>21427700000000</v>
      </c>
      <c r="Z998">
        <v>88.2</v>
      </c>
      <c r="AA998">
        <v>101.8</v>
      </c>
      <c r="AB998">
        <v>9.6</v>
      </c>
      <c r="AC998">
        <v>36.6</v>
      </c>
      <c r="AD998">
        <v>328239523</v>
      </c>
    </row>
    <row r="999" spans="1:30" hidden="1" x14ac:dyDescent="0.45">
      <c r="A999">
        <v>982</v>
      </c>
      <c r="B999">
        <v>3000</v>
      </c>
      <c r="C999" t="s">
        <v>326</v>
      </c>
      <c r="D999" t="s">
        <v>3676</v>
      </c>
      <c r="E999">
        <v>62</v>
      </c>
      <c r="F999" t="s">
        <v>128</v>
      </c>
      <c r="G999" t="s">
        <v>3677</v>
      </c>
      <c r="H999" t="s">
        <v>3678</v>
      </c>
      <c r="I999" t="s">
        <v>326</v>
      </c>
      <c r="J999" t="s">
        <v>128</v>
      </c>
      <c r="L999" t="b">
        <v>1</v>
      </c>
      <c r="M999" t="s">
        <v>29</v>
      </c>
      <c r="N999" t="s">
        <v>8245</v>
      </c>
      <c r="O999" s="1">
        <v>22190</v>
      </c>
      <c r="P999" t="s">
        <v>3445</v>
      </c>
      <c r="Q999" t="s">
        <v>3679</v>
      </c>
      <c r="S999" s="1">
        <v>45020.209027777775</v>
      </c>
      <c r="V999">
        <v>1960</v>
      </c>
      <c r="W999">
        <v>125.08</v>
      </c>
      <c r="X999">
        <v>2.9</v>
      </c>
      <c r="Y999" s="2">
        <v>19910000000000</v>
      </c>
      <c r="Z999">
        <v>50.6</v>
      </c>
      <c r="AA999">
        <v>100.2</v>
      </c>
      <c r="AB999">
        <v>9.4</v>
      </c>
      <c r="AC999">
        <v>59.2</v>
      </c>
      <c r="AD999">
        <v>1397715000</v>
      </c>
    </row>
    <row r="1000" spans="1:30" hidden="1" x14ac:dyDescent="0.45">
      <c r="A1000">
        <v>982</v>
      </c>
      <c r="B1000">
        <v>3000</v>
      </c>
      <c r="C1000" t="s">
        <v>33</v>
      </c>
      <c r="D1000" t="s">
        <v>3680</v>
      </c>
      <c r="E1000">
        <v>65</v>
      </c>
      <c r="F1000" t="s">
        <v>35</v>
      </c>
      <c r="G1000" t="s">
        <v>3681</v>
      </c>
      <c r="H1000" t="s">
        <v>3682</v>
      </c>
      <c r="I1000" t="s">
        <v>33</v>
      </c>
      <c r="J1000" t="s">
        <v>35</v>
      </c>
      <c r="L1000" t="b">
        <v>1</v>
      </c>
      <c r="M1000" t="s">
        <v>39</v>
      </c>
      <c r="N1000" t="s">
        <v>8245</v>
      </c>
      <c r="O1000" s="1">
        <v>20961</v>
      </c>
      <c r="P1000" t="s">
        <v>3683</v>
      </c>
      <c r="Q1000" t="s">
        <v>3684</v>
      </c>
      <c r="S1000" s="1">
        <v>45020.209027777775</v>
      </c>
      <c r="T1000" t="s">
        <v>2260</v>
      </c>
      <c r="U1000" t="s">
        <v>53</v>
      </c>
      <c r="V1000">
        <v>1957</v>
      </c>
      <c r="W1000">
        <v>117.24</v>
      </c>
      <c r="X1000">
        <v>7.5</v>
      </c>
      <c r="Y1000" s="2">
        <v>21427700000000</v>
      </c>
      <c r="Z1000">
        <v>88.2</v>
      </c>
      <c r="AA1000">
        <v>101.8</v>
      </c>
      <c r="AB1000">
        <v>9.6</v>
      </c>
      <c r="AC1000">
        <v>36.6</v>
      </c>
      <c r="AD1000">
        <v>328239523</v>
      </c>
    </row>
    <row r="1001" spans="1:30" hidden="1" x14ac:dyDescent="0.45">
      <c r="A1001">
        <v>982</v>
      </c>
      <c r="B1001">
        <v>3000</v>
      </c>
      <c r="C1001" t="s">
        <v>126</v>
      </c>
      <c r="D1001" t="s">
        <v>3685</v>
      </c>
      <c r="E1001">
        <v>76</v>
      </c>
      <c r="F1001" t="s">
        <v>574</v>
      </c>
      <c r="G1001" t="s">
        <v>574</v>
      </c>
      <c r="H1001" t="s">
        <v>2103</v>
      </c>
      <c r="I1001" t="s">
        <v>126</v>
      </c>
      <c r="J1001" t="s">
        <v>574</v>
      </c>
      <c r="L1001" t="b">
        <v>1</v>
      </c>
      <c r="M1001" t="s">
        <v>29</v>
      </c>
      <c r="N1001" t="s">
        <v>8245</v>
      </c>
      <c r="O1001" s="1">
        <v>17164</v>
      </c>
      <c r="P1001" t="s">
        <v>3686</v>
      </c>
      <c r="Q1001" t="s">
        <v>2118</v>
      </c>
      <c r="S1001" s="1">
        <v>45020.209027777775</v>
      </c>
      <c r="V1001">
        <v>1946</v>
      </c>
      <c r="W1001">
        <v>114.41</v>
      </c>
      <c r="X1001">
        <v>0.6</v>
      </c>
      <c r="Y1001" s="2">
        <v>372062527489</v>
      </c>
      <c r="Z1001">
        <v>84.8</v>
      </c>
      <c r="AA1001">
        <v>100.6</v>
      </c>
      <c r="AB1001">
        <v>13.1</v>
      </c>
      <c r="AC1001">
        <v>21</v>
      </c>
      <c r="AD1001">
        <v>5703569</v>
      </c>
    </row>
    <row r="1002" spans="1:30" hidden="1" x14ac:dyDescent="0.45">
      <c r="A1002">
        <v>982</v>
      </c>
      <c r="B1002">
        <v>3000</v>
      </c>
      <c r="C1002" t="s">
        <v>91</v>
      </c>
      <c r="D1002" t="s">
        <v>3687</v>
      </c>
      <c r="E1002">
        <v>75</v>
      </c>
      <c r="F1002" t="s">
        <v>85</v>
      </c>
      <c r="G1002" t="s">
        <v>86</v>
      </c>
      <c r="H1002" t="s">
        <v>557</v>
      </c>
      <c r="I1002" t="s">
        <v>91</v>
      </c>
      <c r="J1002" t="s">
        <v>85</v>
      </c>
      <c r="L1002" t="b">
        <v>0</v>
      </c>
      <c r="M1002" t="s">
        <v>29</v>
      </c>
      <c r="N1002" t="s">
        <v>8245</v>
      </c>
      <c r="O1002" s="1">
        <v>17511</v>
      </c>
      <c r="P1002" t="s">
        <v>3688</v>
      </c>
      <c r="Q1002" t="s">
        <v>89</v>
      </c>
      <c r="S1002" s="1">
        <v>45020.209027777775</v>
      </c>
      <c r="V1002">
        <v>1947</v>
      </c>
      <c r="W1002">
        <v>141.54</v>
      </c>
      <c r="X1002">
        <v>3.6</v>
      </c>
      <c r="Y1002" s="2">
        <v>1258286717125</v>
      </c>
      <c r="Z1002">
        <v>40.200000000000003</v>
      </c>
      <c r="AA1002">
        <v>105.8</v>
      </c>
      <c r="AB1002">
        <v>13.1</v>
      </c>
      <c r="AC1002">
        <v>55.1</v>
      </c>
      <c r="AD1002">
        <v>126014024</v>
      </c>
    </row>
    <row r="1003" spans="1:30" hidden="1" x14ac:dyDescent="0.45">
      <c r="A1003">
        <v>982</v>
      </c>
      <c r="B1003">
        <v>3000</v>
      </c>
      <c r="C1003" t="s">
        <v>296</v>
      </c>
      <c r="D1003" t="s">
        <v>3689</v>
      </c>
      <c r="E1003">
        <v>66</v>
      </c>
      <c r="F1003" t="s">
        <v>214</v>
      </c>
      <c r="G1003" t="s">
        <v>802</v>
      </c>
      <c r="H1003" t="s">
        <v>3294</v>
      </c>
      <c r="I1003" t="s">
        <v>296</v>
      </c>
      <c r="J1003" t="s">
        <v>214</v>
      </c>
      <c r="L1003" t="b">
        <v>0</v>
      </c>
      <c r="M1003" t="s">
        <v>39</v>
      </c>
      <c r="N1003" t="s">
        <v>8246</v>
      </c>
      <c r="O1003" s="1">
        <v>20602</v>
      </c>
      <c r="P1003" t="s">
        <v>3690</v>
      </c>
      <c r="Q1003" t="s">
        <v>3691</v>
      </c>
      <c r="S1003" s="1">
        <v>45020.209027777775</v>
      </c>
      <c r="V1003">
        <v>1956</v>
      </c>
      <c r="W1003">
        <v>110.62</v>
      </c>
      <c r="X1003">
        <v>0.6</v>
      </c>
      <c r="Y1003" s="2">
        <v>2001244392042</v>
      </c>
      <c r="Z1003">
        <v>61.9</v>
      </c>
      <c r="AA1003">
        <v>101.9</v>
      </c>
      <c r="AB1003">
        <v>24.3</v>
      </c>
      <c r="AC1003">
        <v>59.1</v>
      </c>
      <c r="AD1003">
        <v>60297396</v>
      </c>
    </row>
    <row r="1004" spans="1:30" hidden="1" x14ac:dyDescent="0.45">
      <c r="A1004">
        <v>982</v>
      </c>
      <c r="B1004">
        <v>3000</v>
      </c>
      <c r="C1004" t="s">
        <v>302</v>
      </c>
      <c r="D1004" t="s">
        <v>3692</v>
      </c>
      <c r="E1004">
        <v>64</v>
      </c>
      <c r="F1004" t="s">
        <v>128</v>
      </c>
      <c r="G1004" t="s">
        <v>234</v>
      </c>
      <c r="H1004" t="s">
        <v>304</v>
      </c>
      <c r="I1004" t="s">
        <v>302</v>
      </c>
      <c r="J1004" t="s">
        <v>128</v>
      </c>
      <c r="L1004" t="b">
        <v>1</v>
      </c>
      <c r="M1004" t="s">
        <v>39</v>
      </c>
      <c r="N1004" t="s">
        <v>8245</v>
      </c>
      <c r="O1004" s="1">
        <v>21459</v>
      </c>
      <c r="P1004" t="s">
        <v>3693</v>
      </c>
      <c r="Q1004" t="s">
        <v>3694</v>
      </c>
      <c r="S1004" s="1">
        <v>45020.209027777775</v>
      </c>
      <c r="V1004">
        <v>1958</v>
      </c>
      <c r="W1004">
        <v>125.08</v>
      </c>
      <c r="X1004">
        <v>2.9</v>
      </c>
      <c r="Y1004" s="2">
        <v>19910000000000</v>
      </c>
      <c r="Z1004">
        <v>50.6</v>
      </c>
      <c r="AA1004">
        <v>100.2</v>
      </c>
      <c r="AB1004">
        <v>9.4</v>
      </c>
      <c r="AC1004">
        <v>59.2</v>
      </c>
      <c r="AD1004">
        <v>1397715000</v>
      </c>
    </row>
    <row r="1005" spans="1:30" hidden="1" x14ac:dyDescent="0.45">
      <c r="A1005">
        <v>982</v>
      </c>
      <c r="B1005">
        <v>3000</v>
      </c>
      <c r="C1005" t="s">
        <v>296</v>
      </c>
      <c r="D1005" t="s">
        <v>3695</v>
      </c>
      <c r="E1005">
        <v>67</v>
      </c>
      <c r="F1005" t="s">
        <v>93</v>
      </c>
      <c r="G1005" t="s">
        <v>343</v>
      </c>
      <c r="H1005" t="s">
        <v>399</v>
      </c>
      <c r="I1005" t="s">
        <v>296</v>
      </c>
      <c r="J1005" t="s">
        <v>93</v>
      </c>
      <c r="L1005" t="b">
        <v>0</v>
      </c>
      <c r="M1005" t="s">
        <v>29</v>
      </c>
      <c r="N1005" t="s">
        <v>8245</v>
      </c>
      <c r="O1005" s="1">
        <v>20331</v>
      </c>
      <c r="P1005" t="s">
        <v>3696</v>
      </c>
      <c r="Q1005" t="s">
        <v>3697</v>
      </c>
      <c r="S1005" s="1">
        <v>45020.209027777775</v>
      </c>
      <c r="V1005">
        <v>1955</v>
      </c>
      <c r="W1005">
        <v>180.44</v>
      </c>
      <c r="X1005">
        <v>7.7</v>
      </c>
      <c r="Y1005" s="2">
        <v>2611000000000</v>
      </c>
      <c r="Z1005">
        <v>28.1</v>
      </c>
      <c r="AA1005">
        <v>113</v>
      </c>
      <c r="AB1005">
        <v>11.2</v>
      </c>
      <c r="AC1005">
        <v>49.7</v>
      </c>
      <c r="AD1005">
        <v>1366417754</v>
      </c>
    </row>
    <row r="1006" spans="1:30" hidden="1" x14ac:dyDescent="0.45">
      <c r="A1006">
        <v>982</v>
      </c>
      <c r="B1006">
        <v>3000</v>
      </c>
      <c r="C1006" t="s">
        <v>23</v>
      </c>
      <c r="D1006" t="s">
        <v>3698</v>
      </c>
      <c r="E1006">
        <v>71</v>
      </c>
      <c r="F1006" t="s">
        <v>194</v>
      </c>
      <c r="G1006" t="s">
        <v>3699</v>
      </c>
      <c r="H1006" t="s">
        <v>268</v>
      </c>
      <c r="I1006" t="s">
        <v>23</v>
      </c>
      <c r="J1006" t="s">
        <v>194</v>
      </c>
      <c r="L1006" t="b">
        <v>1</v>
      </c>
      <c r="M1006" t="s">
        <v>39</v>
      </c>
      <c r="N1006" t="s">
        <v>8245</v>
      </c>
      <c r="O1006" s="1">
        <v>18754</v>
      </c>
      <c r="P1006" t="s">
        <v>3700</v>
      </c>
      <c r="Q1006" t="s">
        <v>3701</v>
      </c>
      <c r="S1006" s="1">
        <v>45020.209027777775</v>
      </c>
      <c r="V1006">
        <v>1951</v>
      </c>
      <c r="W1006">
        <v>112.85</v>
      </c>
      <c r="X1006">
        <v>1.4</v>
      </c>
      <c r="Y1006" s="2">
        <v>3845630030824</v>
      </c>
      <c r="Z1006">
        <v>70.2</v>
      </c>
      <c r="AA1006">
        <v>104</v>
      </c>
      <c r="AB1006">
        <v>11.5</v>
      </c>
      <c r="AC1006">
        <v>48.8</v>
      </c>
      <c r="AD1006">
        <v>83132799</v>
      </c>
    </row>
    <row r="1007" spans="1:30" hidden="1" x14ac:dyDescent="0.45">
      <c r="A1007">
        <v>982</v>
      </c>
      <c r="B1007">
        <v>3000</v>
      </c>
      <c r="C1007" t="s">
        <v>402</v>
      </c>
      <c r="D1007" t="s">
        <v>3702</v>
      </c>
      <c r="E1007">
        <v>51</v>
      </c>
      <c r="F1007" t="s">
        <v>205</v>
      </c>
      <c r="G1007" t="s">
        <v>3703</v>
      </c>
      <c r="H1007" t="s">
        <v>610</v>
      </c>
      <c r="I1007" t="s">
        <v>402</v>
      </c>
      <c r="J1007" t="s">
        <v>363</v>
      </c>
      <c r="L1007" t="b">
        <v>1</v>
      </c>
      <c r="M1007" t="s">
        <v>29</v>
      </c>
      <c r="N1007" t="s">
        <v>8245</v>
      </c>
      <c r="O1007" s="1">
        <v>26274</v>
      </c>
      <c r="P1007" t="s">
        <v>3704</v>
      </c>
      <c r="Q1007" t="s">
        <v>3705</v>
      </c>
      <c r="S1007" s="1">
        <v>45020.209027777775</v>
      </c>
      <c r="V1007">
        <v>1971</v>
      </c>
      <c r="W1007">
        <v>99.55</v>
      </c>
      <c r="X1007">
        <v>0.4</v>
      </c>
      <c r="Y1007" s="2">
        <v>703082435360</v>
      </c>
      <c r="Z1007">
        <v>59.6</v>
      </c>
      <c r="AA1007">
        <v>105.2</v>
      </c>
      <c r="AB1007">
        <v>10.1</v>
      </c>
      <c r="AC1007">
        <v>28.8</v>
      </c>
      <c r="AD1007">
        <v>8574832</v>
      </c>
    </row>
    <row r="1008" spans="1:30" hidden="1" x14ac:dyDescent="0.45">
      <c r="A1008">
        <v>982</v>
      </c>
      <c r="B1008">
        <v>3000</v>
      </c>
      <c r="C1008" t="s">
        <v>23</v>
      </c>
      <c r="D1008" t="s">
        <v>3706</v>
      </c>
      <c r="E1008">
        <v>73</v>
      </c>
      <c r="F1008" t="s">
        <v>1259</v>
      </c>
      <c r="G1008" t="s">
        <v>1260</v>
      </c>
      <c r="H1008" t="s">
        <v>594</v>
      </c>
      <c r="I1008" t="s">
        <v>23</v>
      </c>
      <c r="J1008" t="s">
        <v>1259</v>
      </c>
      <c r="L1008" t="b">
        <v>1</v>
      </c>
      <c r="M1008" t="s">
        <v>39</v>
      </c>
      <c r="N1008" t="s">
        <v>8245</v>
      </c>
      <c r="O1008" s="1">
        <v>18264</v>
      </c>
      <c r="P1008" t="s">
        <v>1261</v>
      </c>
      <c r="Q1008" t="s">
        <v>3707</v>
      </c>
      <c r="S1008" s="1">
        <v>45020.209027777775</v>
      </c>
      <c r="V1008">
        <v>1950</v>
      </c>
      <c r="W1008"/>
      <c r="Y1008"/>
    </row>
    <row r="1009" spans="1:30" hidden="1" x14ac:dyDescent="0.45">
      <c r="A1009">
        <v>982</v>
      </c>
      <c r="B1009">
        <v>3000</v>
      </c>
      <c r="C1009" t="s">
        <v>45</v>
      </c>
      <c r="D1009" t="s">
        <v>3708</v>
      </c>
      <c r="E1009">
        <v>67</v>
      </c>
      <c r="F1009" t="s">
        <v>128</v>
      </c>
      <c r="G1009" t="s">
        <v>2921</v>
      </c>
      <c r="H1009" t="s">
        <v>1400</v>
      </c>
      <c r="I1009" t="s">
        <v>45</v>
      </c>
      <c r="J1009" t="s">
        <v>128</v>
      </c>
      <c r="L1009" t="b">
        <v>1</v>
      </c>
      <c r="M1009" t="s">
        <v>39</v>
      </c>
      <c r="N1009" t="s">
        <v>8245</v>
      </c>
      <c r="O1009" s="1">
        <v>20372</v>
      </c>
      <c r="P1009" t="s">
        <v>1261</v>
      </c>
      <c r="Q1009" t="s">
        <v>3709</v>
      </c>
      <c r="S1009" s="1">
        <v>45020.209027777775</v>
      </c>
      <c r="V1009">
        <v>1955</v>
      </c>
      <c r="W1009">
        <v>125.08</v>
      </c>
      <c r="X1009">
        <v>2.9</v>
      </c>
      <c r="Y1009" s="2">
        <v>19910000000000</v>
      </c>
      <c r="Z1009">
        <v>50.6</v>
      </c>
      <c r="AA1009">
        <v>100.2</v>
      </c>
      <c r="AB1009">
        <v>9.4</v>
      </c>
      <c r="AC1009">
        <v>59.2</v>
      </c>
      <c r="AD1009">
        <v>1397715000</v>
      </c>
    </row>
    <row r="1010" spans="1:30" hidden="1" x14ac:dyDescent="0.45">
      <c r="A1010">
        <v>982</v>
      </c>
      <c r="B1010">
        <v>3000</v>
      </c>
      <c r="C1010" t="s">
        <v>126</v>
      </c>
      <c r="D1010" t="s">
        <v>3710</v>
      </c>
      <c r="E1010">
        <v>71</v>
      </c>
      <c r="F1010" t="s">
        <v>93</v>
      </c>
      <c r="G1010" t="s">
        <v>94</v>
      </c>
      <c r="H1010" t="s">
        <v>2022</v>
      </c>
      <c r="I1010" t="s">
        <v>126</v>
      </c>
      <c r="J1010" t="s">
        <v>93</v>
      </c>
      <c r="L1010" t="b">
        <v>0</v>
      </c>
      <c r="M1010" t="s">
        <v>39</v>
      </c>
      <c r="N1010" t="s">
        <v>8245</v>
      </c>
      <c r="O1010" s="1">
        <v>18762</v>
      </c>
      <c r="P1010" t="s">
        <v>3711</v>
      </c>
      <c r="Q1010" t="s">
        <v>3712</v>
      </c>
      <c r="S1010" s="1">
        <v>45020.209027777775</v>
      </c>
      <c r="V1010">
        <v>1951</v>
      </c>
      <c r="W1010">
        <v>180.44</v>
      </c>
      <c r="X1010">
        <v>7.7</v>
      </c>
      <c r="Y1010" s="2">
        <v>2611000000000</v>
      </c>
      <c r="Z1010">
        <v>28.1</v>
      </c>
      <c r="AA1010">
        <v>113</v>
      </c>
      <c r="AB1010">
        <v>11.2</v>
      </c>
      <c r="AC1010">
        <v>49.7</v>
      </c>
      <c r="AD1010">
        <v>1366417754</v>
      </c>
    </row>
    <row r="1011" spans="1:30" hidden="1" x14ac:dyDescent="0.45">
      <c r="A1011">
        <v>982</v>
      </c>
      <c r="B1011">
        <v>3000</v>
      </c>
      <c r="C1011" t="s">
        <v>402</v>
      </c>
      <c r="D1011" t="s">
        <v>3713</v>
      </c>
      <c r="E1011">
        <v>59</v>
      </c>
      <c r="F1011" t="s">
        <v>25</v>
      </c>
      <c r="G1011" t="s">
        <v>3714</v>
      </c>
      <c r="H1011" t="s">
        <v>3715</v>
      </c>
      <c r="I1011" t="s">
        <v>402</v>
      </c>
      <c r="J1011" t="s">
        <v>25</v>
      </c>
      <c r="L1011" t="b">
        <v>1</v>
      </c>
      <c r="M1011" t="s">
        <v>39</v>
      </c>
      <c r="N1011" t="s">
        <v>8245</v>
      </c>
      <c r="O1011" s="1">
        <v>23304</v>
      </c>
      <c r="P1011" t="s">
        <v>2173</v>
      </c>
      <c r="Q1011" t="s">
        <v>3716</v>
      </c>
      <c r="S1011" s="1">
        <v>45020.209027777775</v>
      </c>
      <c r="V1011">
        <v>1963</v>
      </c>
      <c r="W1011">
        <v>110.05</v>
      </c>
      <c r="X1011">
        <v>1.1000000000000001</v>
      </c>
      <c r="Y1011" s="2">
        <v>2715518274227</v>
      </c>
      <c r="Z1011">
        <v>65.599999999999994</v>
      </c>
      <c r="AA1011">
        <v>102.5</v>
      </c>
      <c r="AB1011">
        <v>24.2</v>
      </c>
      <c r="AC1011">
        <v>60.7</v>
      </c>
      <c r="AD1011">
        <v>67059887</v>
      </c>
    </row>
    <row r="1012" spans="1:30" hidden="1" x14ac:dyDescent="0.45">
      <c r="A1012">
        <v>982</v>
      </c>
      <c r="B1012">
        <v>3000</v>
      </c>
      <c r="C1012" t="s">
        <v>402</v>
      </c>
      <c r="D1012" t="s">
        <v>3717</v>
      </c>
      <c r="E1012">
        <v>68</v>
      </c>
      <c r="F1012" t="s">
        <v>205</v>
      </c>
      <c r="G1012" t="s">
        <v>2206</v>
      </c>
      <c r="H1012" t="s">
        <v>610</v>
      </c>
      <c r="I1012" t="s">
        <v>402</v>
      </c>
      <c r="J1012" t="s">
        <v>205</v>
      </c>
      <c r="L1012" t="b">
        <v>0</v>
      </c>
      <c r="M1012" t="s">
        <v>39</v>
      </c>
      <c r="N1012" t="s">
        <v>8246</v>
      </c>
      <c r="O1012" s="1">
        <v>20090</v>
      </c>
      <c r="P1012" t="s">
        <v>3718</v>
      </c>
      <c r="Q1012" t="s">
        <v>3719</v>
      </c>
      <c r="S1012" s="1">
        <v>45020.209027777775</v>
      </c>
      <c r="V1012">
        <v>1955</v>
      </c>
      <c r="W1012">
        <v>99.55</v>
      </c>
      <c r="X1012">
        <v>0.4</v>
      </c>
      <c r="Y1012" s="2">
        <v>703082435360</v>
      </c>
      <c r="Z1012">
        <v>59.6</v>
      </c>
      <c r="AA1012">
        <v>105.2</v>
      </c>
      <c r="AB1012">
        <v>10.1</v>
      </c>
      <c r="AC1012">
        <v>28.8</v>
      </c>
      <c r="AD1012">
        <v>8574832</v>
      </c>
    </row>
    <row r="1013" spans="1:30" x14ac:dyDescent="0.45">
      <c r="A1013">
        <v>982</v>
      </c>
      <c r="B1013" s="6">
        <v>3000</v>
      </c>
      <c r="C1013" t="s">
        <v>61</v>
      </c>
      <c r="D1013" t="s">
        <v>3720</v>
      </c>
      <c r="E1013">
        <v>67</v>
      </c>
      <c r="F1013" t="s">
        <v>35</v>
      </c>
      <c r="G1013" t="s">
        <v>78</v>
      </c>
      <c r="H1013" t="s">
        <v>248</v>
      </c>
      <c r="I1013" t="s">
        <v>61</v>
      </c>
      <c r="J1013" t="s">
        <v>35</v>
      </c>
      <c r="K1013" t="s">
        <v>3721</v>
      </c>
      <c r="L1013" t="b">
        <v>1</v>
      </c>
      <c r="M1013" t="s">
        <v>39</v>
      </c>
      <c r="N1013" t="s">
        <v>8245</v>
      </c>
      <c r="O1013" s="10">
        <v>20437</v>
      </c>
      <c r="P1013" t="s">
        <v>3722</v>
      </c>
      <c r="Q1013" t="s">
        <v>225</v>
      </c>
      <c r="R1013" t="s">
        <v>192</v>
      </c>
      <c r="S1013" s="8">
        <v>45020.209027777775</v>
      </c>
      <c r="T1013" t="s">
        <v>78</v>
      </c>
      <c r="U1013" t="s">
        <v>82</v>
      </c>
      <c r="V1013">
        <v>1955</v>
      </c>
      <c r="W1013" s="12">
        <v>117.24</v>
      </c>
      <c r="X1013">
        <v>7.5</v>
      </c>
      <c r="Y1013" s="14">
        <v>21427700000000</v>
      </c>
      <c r="Z1013">
        <v>88.2</v>
      </c>
      <c r="AA1013">
        <v>101.8</v>
      </c>
      <c r="AB1013">
        <v>9.6</v>
      </c>
      <c r="AC1013">
        <v>36.6</v>
      </c>
      <c r="AD1013">
        <v>328239523</v>
      </c>
    </row>
    <row r="1014" spans="1:30" hidden="1" x14ac:dyDescent="0.45">
      <c r="A1014">
        <v>982</v>
      </c>
      <c r="B1014">
        <v>3000</v>
      </c>
      <c r="C1014" t="s">
        <v>402</v>
      </c>
      <c r="D1014" t="s">
        <v>3723</v>
      </c>
      <c r="E1014">
        <v>67</v>
      </c>
      <c r="F1014" t="s">
        <v>93</v>
      </c>
      <c r="G1014" t="s">
        <v>94</v>
      </c>
      <c r="H1014" t="s">
        <v>610</v>
      </c>
      <c r="I1014" t="s">
        <v>402</v>
      </c>
      <c r="J1014" t="s">
        <v>93</v>
      </c>
      <c r="L1014" t="b">
        <v>0</v>
      </c>
      <c r="M1014" t="s">
        <v>39</v>
      </c>
      <c r="N1014" t="s">
        <v>8245</v>
      </c>
      <c r="O1014" s="1">
        <v>20304</v>
      </c>
      <c r="P1014" t="s">
        <v>3724</v>
      </c>
      <c r="Q1014" t="s">
        <v>3725</v>
      </c>
      <c r="S1014" s="1">
        <v>45020.209027777775</v>
      </c>
      <c r="V1014">
        <v>1955</v>
      </c>
      <c r="W1014">
        <v>180.44</v>
      </c>
      <c r="X1014">
        <v>7.7</v>
      </c>
      <c r="Y1014" s="2">
        <v>2611000000000</v>
      </c>
      <c r="Z1014">
        <v>28.1</v>
      </c>
      <c r="AA1014">
        <v>113</v>
      </c>
      <c r="AB1014">
        <v>11.2</v>
      </c>
      <c r="AC1014">
        <v>49.7</v>
      </c>
      <c r="AD1014">
        <v>1366417754</v>
      </c>
    </row>
    <row r="1015" spans="1:30" hidden="1" x14ac:dyDescent="0.45">
      <c r="A1015">
        <v>982</v>
      </c>
      <c r="B1015">
        <v>3000</v>
      </c>
      <c r="C1015" t="s">
        <v>23</v>
      </c>
      <c r="D1015" t="s">
        <v>3726</v>
      </c>
      <c r="E1015">
        <v>71</v>
      </c>
      <c r="F1015" t="s">
        <v>128</v>
      </c>
      <c r="G1015" t="s">
        <v>2459</v>
      </c>
      <c r="H1015" t="s">
        <v>268</v>
      </c>
      <c r="I1015" t="s">
        <v>23</v>
      </c>
      <c r="J1015" t="s">
        <v>128</v>
      </c>
      <c r="L1015" t="b">
        <v>1</v>
      </c>
      <c r="M1015" t="s">
        <v>39</v>
      </c>
      <c r="N1015" t="s">
        <v>8245</v>
      </c>
      <c r="O1015" s="1">
        <v>18942</v>
      </c>
      <c r="P1015" t="s">
        <v>3727</v>
      </c>
      <c r="Q1015" t="s">
        <v>3728</v>
      </c>
      <c r="S1015" s="1">
        <v>45020.209027777775</v>
      </c>
      <c r="V1015">
        <v>1951</v>
      </c>
      <c r="W1015">
        <v>125.08</v>
      </c>
      <c r="X1015">
        <v>2.9</v>
      </c>
      <c r="Y1015" s="2">
        <v>19910000000000</v>
      </c>
      <c r="Z1015">
        <v>50.6</v>
      </c>
      <c r="AA1015">
        <v>100.2</v>
      </c>
      <c r="AB1015">
        <v>9.4</v>
      </c>
      <c r="AC1015">
        <v>59.2</v>
      </c>
      <c r="AD1015">
        <v>1397715000</v>
      </c>
    </row>
    <row r="1016" spans="1:30" hidden="1" x14ac:dyDescent="0.45">
      <c r="A1016">
        <v>982</v>
      </c>
      <c r="B1016">
        <v>3000</v>
      </c>
      <c r="C1016" t="s">
        <v>23</v>
      </c>
      <c r="D1016" t="s">
        <v>3729</v>
      </c>
      <c r="E1016">
        <v>86</v>
      </c>
      <c r="F1016" t="s">
        <v>272</v>
      </c>
      <c r="G1016" t="s">
        <v>273</v>
      </c>
      <c r="H1016" t="s">
        <v>1228</v>
      </c>
      <c r="I1016" t="s">
        <v>23</v>
      </c>
      <c r="J1016" t="s">
        <v>272</v>
      </c>
      <c r="L1016" t="b">
        <v>0</v>
      </c>
      <c r="M1016" t="s">
        <v>1332</v>
      </c>
      <c r="N1016" t="s">
        <v>8245</v>
      </c>
      <c r="O1016" s="1">
        <v>13586</v>
      </c>
      <c r="P1016" t="s">
        <v>785</v>
      </c>
      <c r="Q1016" t="s">
        <v>320</v>
      </c>
      <c r="S1016" s="1">
        <v>45020.209027777775</v>
      </c>
      <c r="V1016">
        <v>1937</v>
      </c>
      <c r="W1016">
        <v>119.62</v>
      </c>
      <c r="X1016">
        <v>1.7</v>
      </c>
      <c r="Y1016" s="2">
        <v>2827113184696</v>
      </c>
      <c r="Z1016">
        <v>60</v>
      </c>
      <c r="AA1016">
        <v>101.2</v>
      </c>
      <c r="AB1016">
        <v>25.5</v>
      </c>
      <c r="AC1016">
        <v>30.6</v>
      </c>
      <c r="AD1016">
        <v>66834405</v>
      </c>
    </row>
    <row r="1017" spans="1:30" hidden="1" x14ac:dyDescent="0.45">
      <c r="A1017">
        <v>982</v>
      </c>
      <c r="B1017">
        <v>3000</v>
      </c>
      <c r="C1017" t="s">
        <v>126</v>
      </c>
      <c r="D1017" t="s">
        <v>3730</v>
      </c>
      <c r="E1017">
        <v>64</v>
      </c>
      <c r="F1017" t="s">
        <v>35</v>
      </c>
      <c r="G1017" t="s">
        <v>2415</v>
      </c>
      <c r="H1017" t="s">
        <v>3079</v>
      </c>
      <c r="I1017" t="s">
        <v>126</v>
      </c>
      <c r="J1017" t="s">
        <v>35</v>
      </c>
      <c r="L1017" t="b">
        <v>0</v>
      </c>
      <c r="M1017" t="s">
        <v>285</v>
      </c>
      <c r="N1017" t="s">
        <v>8245</v>
      </c>
      <c r="O1017" s="1">
        <v>21346</v>
      </c>
      <c r="P1017" t="s">
        <v>3731</v>
      </c>
      <c r="Q1017" t="s">
        <v>619</v>
      </c>
      <c r="S1017" s="1">
        <v>45020.209027777775</v>
      </c>
      <c r="T1017" t="s">
        <v>253</v>
      </c>
      <c r="U1017" t="s">
        <v>44</v>
      </c>
      <c r="V1017">
        <v>1958</v>
      </c>
      <c r="W1017">
        <v>117.24</v>
      </c>
      <c r="X1017">
        <v>7.5</v>
      </c>
      <c r="Y1017" s="2">
        <v>21427700000000</v>
      </c>
      <c r="Z1017">
        <v>88.2</v>
      </c>
      <c r="AA1017">
        <v>101.8</v>
      </c>
      <c r="AB1017">
        <v>9.6</v>
      </c>
      <c r="AC1017">
        <v>36.6</v>
      </c>
      <c r="AD1017">
        <v>328239523</v>
      </c>
    </row>
    <row r="1018" spans="1:30" hidden="1" x14ac:dyDescent="0.45">
      <c r="A1018">
        <v>982</v>
      </c>
      <c r="B1018">
        <v>3000</v>
      </c>
      <c r="C1018" t="s">
        <v>302</v>
      </c>
      <c r="D1018" t="s">
        <v>3732</v>
      </c>
      <c r="E1018">
        <v>55</v>
      </c>
      <c r="F1018" t="s">
        <v>577</v>
      </c>
      <c r="G1018" t="s">
        <v>3733</v>
      </c>
      <c r="H1018" t="s">
        <v>304</v>
      </c>
      <c r="I1018" t="s">
        <v>302</v>
      </c>
      <c r="J1018" t="s">
        <v>577</v>
      </c>
      <c r="L1018" t="b">
        <v>1</v>
      </c>
      <c r="M1018" t="s">
        <v>39</v>
      </c>
      <c r="N1018" t="s">
        <v>8245</v>
      </c>
      <c r="O1018" s="1">
        <v>24600</v>
      </c>
      <c r="P1018" t="s">
        <v>3734</v>
      </c>
      <c r="Q1018" t="s">
        <v>3735</v>
      </c>
      <c r="S1018" s="1">
        <v>45020.209027777775</v>
      </c>
      <c r="V1018">
        <v>1967</v>
      </c>
      <c r="W1018">
        <v>110.51</v>
      </c>
      <c r="X1018">
        <v>1.8</v>
      </c>
      <c r="Y1018" s="2">
        <v>530832908738</v>
      </c>
      <c r="Z1018">
        <v>67</v>
      </c>
      <c r="AA1018">
        <v>126.6</v>
      </c>
      <c r="AB1018">
        <v>27.9</v>
      </c>
      <c r="AC1018">
        <v>49.1</v>
      </c>
      <c r="AD1018">
        <v>10285453</v>
      </c>
    </row>
    <row r="1019" spans="1:30" hidden="1" x14ac:dyDescent="0.45">
      <c r="A1019">
        <v>982</v>
      </c>
      <c r="B1019">
        <v>3000</v>
      </c>
      <c r="C1019" t="s">
        <v>126</v>
      </c>
      <c r="D1019" t="s">
        <v>3736</v>
      </c>
      <c r="E1019">
        <v>54</v>
      </c>
      <c r="F1019" t="s">
        <v>128</v>
      </c>
      <c r="G1019" t="s">
        <v>777</v>
      </c>
      <c r="H1019" t="s">
        <v>1344</v>
      </c>
      <c r="I1019" t="s">
        <v>126</v>
      </c>
      <c r="J1019" t="s">
        <v>128</v>
      </c>
      <c r="L1019" t="b">
        <v>1</v>
      </c>
      <c r="M1019" t="s">
        <v>39</v>
      </c>
      <c r="N1019" t="s">
        <v>8245</v>
      </c>
      <c r="O1019" s="1">
        <v>25204</v>
      </c>
      <c r="P1019" t="s">
        <v>1266</v>
      </c>
      <c r="Q1019" t="s">
        <v>3737</v>
      </c>
      <c r="S1019" s="1">
        <v>45020.209027777775</v>
      </c>
      <c r="V1019">
        <v>1969</v>
      </c>
      <c r="W1019">
        <v>125.08</v>
      </c>
      <c r="X1019">
        <v>2.9</v>
      </c>
      <c r="Y1019" s="2">
        <v>19910000000000</v>
      </c>
      <c r="Z1019">
        <v>50.6</v>
      </c>
      <c r="AA1019">
        <v>100.2</v>
      </c>
      <c r="AB1019">
        <v>9.4</v>
      </c>
      <c r="AC1019">
        <v>59.2</v>
      </c>
      <c r="AD1019">
        <v>1397715000</v>
      </c>
    </row>
    <row r="1020" spans="1:30" hidden="1" x14ac:dyDescent="0.45">
      <c r="A1020">
        <v>982</v>
      </c>
      <c r="B1020">
        <v>3000</v>
      </c>
      <c r="C1020" t="s">
        <v>296</v>
      </c>
      <c r="D1020" t="s">
        <v>3738</v>
      </c>
      <c r="E1020">
        <v>63</v>
      </c>
      <c r="F1020" t="s">
        <v>574</v>
      </c>
      <c r="G1020" t="s">
        <v>574</v>
      </c>
      <c r="H1020" t="s">
        <v>3559</v>
      </c>
      <c r="I1020" t="s">
        <v>296</v>
      </c>
      <c r="J1020" t="s">
        <v>349</v>
      </c>
      <c r="L1020" t="b">
        <v>1</v>
      </c>
      <c r="M1020" t="s">
        <v>29</v>
      </c>
      <c r="N1020" t="s">
        <v>8245</v>
      </c>
      <c r="O1020" s="1">
        <v>21964</v>
      </c>
      <c r="P1020" t="s">
        <v>3739</v>
      </c>
      <c r="Q1020" t="s">
        <v>3740</v>
      </c>
      <c r="S1020" s="1">
        <v>45020.209027777775</v>
      </c>
      <c r="V1020">
        <v>1960</v>
      </c>
      <c r="W1020">
        <v>114.41</v>
      </c>
      <c r="X1020">
        <v>0.6</v>
      </c>
      <c r="Y1020" s="2">
        <v>372062527489</v>
      </c>
      <c r="Z1020">
        <v>84.8</v>
      </c>
      <c r="AA1020">
        <v>100.6</v>
      </c>
      <c r="AB1020">
        <v>13.1</v>
      </c>
      <c r="AC1020">
        <v>21</v>
      </c>
      <c r="AD1020">
        <v>5703569</v>
      </c>
    </row>
    <row r="1021" spans="1:30" hidden="1" x14ac:dyDescent="0.45">
      <c r="A1021">
        <v>982</v>
      </c>
      <c r="B1021">
        <v>3000</v>
      </c>
      <c r="C1021" t="s">
        <v>91</v>
      </c>
      <c r="D1021" t="s">
        <v>3741</v>
      </c>
      <c r="E1021">
        <v>60</v>
      </c>
      <c r="F1021" t="s">
        <v>128</v>
      </c>
      <c r="G1021" t="s">
        <v>3742</v>
      </c>
      <c r="H1021" t="s">
        <v>91</v>
      </c>
      <c r="I1021" t="s">
        <v>91</v>
      </c>
      <c r="J1021" t="s">
        <v>128</v>
      </c>
      <c r="L1021" t="b">
        <v>1</v>
      </c>
      <c r="M1021" t="s">
        <v>29</v>
      </c>
      <c r="N1021" t="s">
        <v>8245</v>
      </c>
      <c r="O1021" s="1">
        <v>22981</v>
      </c>
      <c r="P1021" t="s">
        <v>945</v>
      </c>
      <c r="Q1021" t="s">
        <v>3743</v>
      </c>
      <c r="S1021" s="1">
        <v>45020.209027777775</v>
      </c>
      <c r="V1021">
        <v>1962</v>
      </c>
      <c r="W1021">
        <v>125.08</v>
      </c>
      <c r="X1021">
        <v>2.9</v>
      </c>
      <c r="Y1021" s="2">
        <v>19910000000000</v>
      </c>
      <c r="Z1021">
        <v>50.6</v>
      </c>
      <c r="AA1021">
        <v>100.2</v>
      </c>
      <c r="AB1021">
        <v>9.4</v>
      </c>
      <c r="AC1021">
        <v>59.2</v>
      </c>
      <c r="AD1021">
        <v>1397715000</v>
      </c>
    </row>
    <row r="1022" spans="1:30" hidden="1" x14ac:dyDescent="0.45">
      <c r="A1022">
        <v>982</v>
      </c>
      <c r="B1022">
        <v>3000</v>
      </c>
      <c r="C1022" t="s">
        <v>91</v>
      </c>
      <c r="D1022" t="s">
        <v>3744</v>
      </c>
      <c r="E1022">
        <v>73</v>
      </c>
      <c r="F1022" t="s">
        <v>574</v>
      </c>
      <c r="G1022" t="s">
        <v>574</v>
      </c>
      <c r="H1022" t="s">
        <v>91</v>
      </c>
      <c r="I1022" t="s">
        <v>91</v>
      </c>
      <c r="J1022" t="s">
        <v>349</v>
      </c>
      <c r="L1022" t="b">
        <v>1</v>
      </c>
      <c r="M1022" t="s">
        <v>29</v>
      </c>
      <c r="N1022" t="s">
        <v>8245</v>
      </c>
      <c r="O1022" s="1">
        <v>18257</v>
      </c>
      <c r="P1022" t="s">
        <v>3745</v>
      </c>
      <c r="Q1022" t="s">
        <v>3746</v>
      </c>
      <c r="S1022" s="1">
        <v>45020.209027777775</v>
      </c>
      <c r="V1022">
        <v>1949</v>
      </c>
      <c r="W1022">
        <v>114.41</v>
      </c>
      <c r="X1022">
        <v>0.6</v>
      </c>
      <c r="Y1022" s="2">
        <v>372062527489</v>
      </c>
      <c r="Z1022">
        <v>84.8</v>
      </c>
      <c r="AA1022">
        <v>100.6</v>
      </c>
      <c r="AB1022">
        <v>13.1</v>
      </c>
      <c r="AC1022">
        <v>21</v>
      </c>
      <c r="AD1022">
        <v>5703569</v>
      </c>
    </row>
    <row r="1023" spans="1:30" hidden="1" x14ac:dyDescent="0.45">
      <c r="A1023">
        <v>982</v>
      </c>
      <c r="B1023">
        <v>3000</v>
      </c>
      <c r="C1023" t="s">
        <v>436</v>
      </c>
      <c r="D1023" t="s">
        <v>3747</v>
      </c>
      <c r="E1023">
        <v>65</v>
      </c>
      <c r="F1023" t="s">
        <v>360</v>
      </c>
      <c r="G1023" t="s">
        <v>767</v>
      </c>
      <c r="H1023" t="s">
        <v>3550</v>
      </c>
      <c r="I1023" t="s">
        <v>436</v>
      </c>
      <c r="J1023" t="s">
        <v>93</v>
      </c>
      <c r="L1023" t="b">
        <v>0</v>
      </c>
      <c r="M1023" t="s">
        <v>29</v>
      </c>
      <c r="N1023" t="s">
        <v>8245</v>
      </c>
      <c r="O1023" s="1">
        <v>20919</v>
      </c>
      <c r="P1023" t="s">
        <v>3748</v>
      </c>
      <c r="Q1023" t="s">
        <v>3749</v>
      </c>
      <c r="S1023" s="1">
        <v>45020.209027777775</v>
      </c>
      <c r="V1023">
        <v>1957</v>
      </c>
      <c r="W1023">
        <v>114.52</v>
      </c>
      <c r="X1023">
        <v>-1.9</v>
      </c>
      <c r="Y1023" s="2">
        <v>421142267938</v>
      </c>
      <c r="Z1023">
        <v>36.799999999999997</v>
      </c>
      <c r="AA1023">
        <v>108.4</v>
      </c>
      <c r="AB1023">
        <v>0.1</v>
      </c>
      <c r="AC1023">
        <v>15.9</v>
      </c>
      <c r="AD1023">
        <v>9770529</v>
      </c>
    </row>
    <row r="1024" spans="1:30" hidden="1" x14ac:dyDescent="0.45">
      <c r="A1024">
        <v>982</v>
      </c>
      <c r="B1024">
        <v>3000</v>
      </c>
      <c r="C1024" t="s">
        <v>76</v>
      </c>
      <c r="D1024" t="s">
        <v>3750</v>
      </c>
      <c r="E1024">
        <v>42</v>
      </c>
      <c r="F1024" t="s">
        <v>574</v>
      </c>
      <c r="G1024" t="s">
        <v>574</v>
      </c>
      <c r="H1024" t="s">
        <v>2388</v>
      </c>
      <c r="I1024" t="s">
        <v>76</v>
      </c>
      <c r="J1024" t="s">
        <v>574</v>
      </c>
      <c r="L1024" t="b">
        <v>1</v>
      </c>
      <c r="M1024" t="s">
        <v>39</v>
      </c>
      <c r="N1024" t="s">
        <v>8245</v>
      </c>
      <c r="O1024" s="1">
        <v>29373</v>
      </c>
      <c r="P1024" t="s">
        <v>3751</v>
      </c>
      <c r="Q1024" t="s">
        <v>3752</v>
      </c>
      <c r="S1024" s="1">
        <v>45020.209027777775</v>
      </c>
      <c r="V1024">
        <v>1980</v>
      </c>
      <c r="W1024">
        <v>114.41</v>
      </c>
      <c r="X1024">
        <v>0.6</v>
      </c>
      <c r="Y1024" s="2">
        <v>372062527489</v>
      </c>
      <c r="Z1024">
        <v>84.8</v>
      </c>
      <c r="AA1024">
        <v>100.6</v>
      </c>
      <c r="AB1024">
        <v>13.1</v>
      </c>
      <c r="AC1024">
        <v>21</v>
      </c>
      <c r="AD1024">
        <v>5703569</v>
      </c>
    </row>
    <row r="1025" spans="1:30" hidden="1" x14ac:dyDescent="0.45">
      <c r="A1025">
        <v>982</v>
      </c>
      <c r="B1025">
        <v>3000</v>
      </c>
      <c r="C1025" t="s">
        <v>402</v>
      </c>
      <c r="D1025" t="s">
        <v>3753</v>
      </c>
      <c r="E1025">
        <v>60</v>
      </c>
      <c r="F1025" t="s">
        <v>128</v>
      </c>
      <c r="G1025" t="s">
        <v>129</v>
      </c>
      <c r="H1025" t="s">
        <v>610</v>
      </c>
      <c r="I1025" t="s">
        <v>402</v>
      </c>
      <c r="J1025" t="s">
        <v>128</v>
      </c>
      <c r="L1025" t="b">
        <v>1</v>
      </c>
      <c r="M1025" t="s">
        <v>29</v>
      </c>
      <c r="N1025" t="s">
        <v>8245</v>
      </c>
      <c r="O1025" s="1">
        <v>23043</v>
      </c>
      <c r="P1025" t="s">
        <v>3751</v>
      </c>
      <c r="Q1025" t="s">
        <v>2462</v>
      </c>
      <c r="S1025" s="1">
        <v>45020.209027777775</v>
      </c>
      <c r="V1025">
        <v>1963</v>
      </c>
      <c r="W1025">
        <v>125.08</v>
      </c>
      <c r="X1025">
        <v>2.9</v>
      </c>
      <c r="Y1025" s="2">
        <v>19910000000000</v>
      </c>
      <c r="Z1025">
        <v>50.6</v>
      </c>
      <c r="AA1025">
        <v>100.2</v>
      </c>
      <c r="AB1025">
        <v>9.4</v>
      </c>
      <c r="AC1025">
        <v>59.2</v>
      </c>
      <c r="AD1025">
        <v>1397715000</v>
      </c>
    </row>
    <row r="1026" spans="1:30" hidden="1" x14ac:dyDescent="0.45">
      <c r="A1026">
        <v>982</v>
      </c>
      <c r="B1026">
        <v>3000</v>
      </c>
      <c r="C1026" t="s">
        <v>61</v>
      </c>
      <c r="D1026" t="s">
        <v>3754</v>
      </c>
      <c r="E1026">
        <v>50</v>
      </c>
      <c r="F1026" t="s">
        <v>228</v>
      </c>
      <c r="G1026" t="s">
        <v>228</v>
      </c>
      <c r="H1026" t="s">
        <v>317</v>
      </c>
      <c r="I1026" t="s">
        <v>61</v>
      </c>
      <c r="J1026" t="s">
        <v>128</v>
      </c>
      <c r="L1026" t="b">
        <v>1</v>
      </c>
      <c r="M1026" t="s">
        <v>611</v>
      </c>
      <c r="N1026" t="s">
        <v>8245</v>
      </c>
      <c r="O1026" s="1">
        <v>26634</v>
      </c>
      <c r="P1026" t="s">
        <v>190</v>
      </c>
      <c r="Q1026" t="s">
        <v>936</v>
      </c>
      <c r="S1026" s="1">
        <v>45020.209027777775</v>
      </c>
      <c r="V1026">
        <v>1972</v>
      </c>
      <c r="W1026"/>
      <c r="Y1026"/>
    </row>
    <row r="1027" spans="1:30" hidden="1" x14ac:dyDescent="0.45">
      <c r="A1027">
        <v>982</v>
      </c>
      <c r="B1027">
        <v>3000</v>
      </c>
      <c r="C1027" t="s">
        <v>296</v>
      </c>
      <c r="D1027" t="s">
        <v>3755</v>
      </c>
      <c r="E1027">
        <v>65</v>
      </c>
      <c r="F1027" t="s">
        <v>128</v>
      </c>
      <c r="G1027" t="s">
        <v>292</v>
      </c>
      <c r="H1027" t="s">
        <v>3756</v>
      </c>
      <c r="I1027" t="s">
        <v>296</v>
      </c>
      <c r="J1027" t="s">
        <v>128</v>
      </c>
      <c r="L1027" t="b">
        <v>1</v>
      </c>
      <c r="M1027" t="s">
        <v>39</v>
      </c>
      <c r="N1027" t="s">
        <v>8245</v>
      </c>
      <c r="O1027" s="1">
        <v>21186</v>
      </c>
      <c r="P1027" t="s">
        <v>2217</v>
      </c>
      <c r="Q1027" t="s">
        <v>3757</v>
      </c>
      <c r="S1027" s="1">
        <v>45020.209027777775</v>
      </c>
      <c r="V1027">
        <v>1958</v>
      </c>
      <c r="W1027">
        <v>125.08</v>
      </c>
      <c r="X1027">
        <v>2.9</v>
      </c>
      <c r="Y1027" s="2">
        <v>19910000000000</v>
      </c>
      <c r="Z1027">
        <v>50.6</v>
      </c>
      <c r="AA1027">
        <v>100.2</v>
      </c>
      <c r="AB1027">
        <v>9.4</v>
      </c>
      <c r="AC1027">
        <v>59.2</v>
      </c>
      <c r="AD1027">
        <v>1397715000</v>
      </c>
    </row>
    <row r="1028" spans="1:30" hidden="1" x14ac:dyDescent="0.45">
      <c r="A1028">
        <v>1027</v>
      </c>
      <c r="B1028">
        <v>2900</v>
      </c>
      <c r="C1028" t="s">
        <v>23</v>
      </c>
      <c r="D1028" t="s">
        <v>3758</v>
      </c>
      <c r="E1028">
        <v>69</v>
      </c>
      <c r="F1028" t="s">
        <v>117</v>
      </c>
      <c r="G1028" t="s">
        <v>3759</v>
      </c>
      <c r="H1028" t="s">
        <v>268</v>
      </c>
      <c r="I1028" t="s">
        <v>23</v>
      </c>
      <c r="J1028" t="s">
        <v>117</v>
      </c>
      <c r="L1028" t="b">
        <v>1</v>
      </c>
      <c r="M1028" t="s">
        <v>29</v>
      </c>
      <c r="N1028" t="s">
        <v>8245</v>
      </c>
      <c r="O1028" s="1">
        <v>19652</v>
      </c>
      <c r="P1028" t="s">
        <v>3760</v>
      </c>
      <c r="Q1028" t="s">
        <v>3761</v>
      </c>
      <c r="S1028" s="1">
        <v>45020.209027777775</v>
      </c>
      <c r="V1028">
        <v>1953</v>
      </c>
      <c r="W1028">
        <v>110.96</v>
      </c>
      <c r="X1028">
        <v>0.7</v>
      </c>
      <c r="Y1028" s="2">
        <v>1394116310769</v>
      </c>
      <c r="Z1028">
        <v>88.9</v>
      </c>
      <c r="AA1028">
        <v>102.7</v>
      </c>
      <c r="AB1028">
        <v>14.2</v>
      </c>
      <c r="AC1028">
        <v>47</v>
      </c>
      <c r="AD1028">
        <v>47076781</v>
      </c>
    </row>
    <row r="1029" spans="1:30" hidden="1" x14ac:dyDescent="0.45">
      <c r="A1029">
        <v>1027</v>
      </c>
      <c r="B1029">
        <v>2900</v>
      </c>
      <c r="C1029" t="s">
        <v>33</v>
      </c>
      <c r="D1029" t="s">
        <v>3762</v>
      </c>
      <c r="E1029">
        <v>82</v>
      </c>
      <c r="F1029" t="s">
        <v>214</v>
      </c>
      <c r="G1029" t="s">
        <v>3763</v>
      </c>
      <c r="H1029" t="s">
        <v>3764</v>
      </c>
      <c r="I1029" t="s">
        <v>33</v>
      </c>
      <c r="J1029" t="s">
        <v>214</v>
      </c>
      <c r="L1029" t="b">
        <v>0</v>
      </c>
      <c r="M1029" t="s">
        <v>29</v>
      </c>
      <c r="N1029" t="s">
        <v>8245</v>
      </c>
      <c r="O1029" s="1">
        <v>14889</v>
      </c>
      <c r="P1029" t="s">
        <v>3765</v>
      </c>
      <c r="Q1029" t="s">
        <v>3766</v>
      </c>
      <c r="S1029" s="1">
        <v>45020.209027777775</v>
      </c>
      <c r="V1029">
        <v>1940</v>
      </c>
      <c r="W1029">
        <v>110.62</v>
      </c>
      <c r="X1029">
        <v>0.6</v>
      </c>
      <c r="Y1029" s="2">
        <v>2001244392042</v>
      </c>
      <c r="Z1029">
        <v>61.9</v>
      </c>
      <c r="AA1029">
        <v>101.9</v>
      </c>
      <c r="AB1029">
        <v>24.3</v>
      </c>
      <c r="AC1029">
        <v>59.1</v>
      </c>
      <c r="AD1029">
        <v>60297396</v>
      </c>
    </row>
    <row r="1030" spans="1:30" hidden="1" x14ac:dyDescent="0.45">
      <c r="A1030">
        <v>1027</v>
      </c>
      <c r="B1030">
        <v>2900</v>
      </c>
      <c r="C1030" t="s">
        <v>402</v>
      </c>
      <c r="D1030" t="s">
        <v>3767</v>
      </c>
      <c r="E1030">
        <v>65</v>
      </c>
      <c r="F1030" t="s">
        <v>128</v>
      </c>
      <c r="G1030" t="s">
        <v>3768</v>
      </c>
      <c r="H1030" t="s">
        <v>610</v>
      </c>
      <c r="I1030" t="s">
        <v>402</v>
      </c>
      <c r="J1030" t="s">
        <v>128</v>
      </c>
      <c r="L1030" t="b">
        <v>1</v>
      </c>
      <c r="M1030" t="s">
        <v>611</v>
      </c>
      <c r="N1030" t="s">
        <v>8245</v>
      </c>
      <c r="O1030" s="1">
        <v>21068</v>
      </c>
      <c r="P1030" t="s">
        <v>1304</v>
      </c>
      <c r="Q1030" t="s">
        <v>3769</v>
      </c>
      <c r="S1030" s="1">
        <v>45020.209027777775</v>
      </c>
      <c r="V1030">
        <v>1957</v>
      </c>
      <c r="W1030">
        <v>125.08</v>
      </c>
      <c r="X1030">
        <v>2.9</v>
      </c>
      <c r="Y1030" s="2">
        <v>19910000000000</v>
      </c>
      <c r="Z1030">
        <v>50.6</v>
      </c>
      <c r="AA1030">
        <v>100.2</v>
      </c>
      <c r="AB1030">
        <v>9.4</v>
      </c>
      <c r="AC1030">
        <v>59.2</v>
      </c>
      <c r="AD1030">
        <v>1397715000</v>
      </c>
    </row>
    <row r="1031" spans="1:30" hidden="1" x14ac:dyDescent="0.45">
      <c r="A1031">
        <v>1027</v>
      </c>
      <c r="B1031">
        <v>2900</v>
      </c>
      <c r="C1031" t="s">
        <v>302</v>
      </c>
      <c r="D1031" t="s">
        <v>3770</v>
      </c>
      <c r="E1031">
        <v>60</v>
      </c>
      <c r="F1031" t="s">
        <v>35</v>
      </c>
      <c r="G1031" t="s">
        <v>3771</v>
      </c>
      <c r="H1031" t="s">
        <v>304</v>
      </c>
      <c r="I1031" t="s">
        <v>302</v>
      </c>
      <c r="J1031" t="s">
        <v>35</v>
      </c>
      <c r="L1031" t="b">
        <v>1</v>
      </c>
      <c r="M1031" t="s">
        <v>258</v>
      </c>
      <c r="N1031" t="s">
        <v>8245</v>
      </c>
      <c r="O1031" s="1">
        <v>22951</v>
      </c>
      <c r="P1031" t="s">
        <v>3772</v>
      </c>
      <c r="Q1031" t="s">
        <v>3773</v>
      </c>
      <c r="S1031" s="1">
        <v>45020.209027777775</v>
      </c>
      <c r="T1031" t="s">
        <v>1350</v>
      </c>
      <c r="U1031" t="s">
        <v>44</v>
      </c>
      <c r="V1031">
        <v>1962</v>
      </c>
      <c r="W1031">
        <v>117.24</v>
      </c>
      <c r="X1031">
        <v>7.5</v>
      </c>
      <c r="Y1031" s="2">
        <v>21427700000000</v>
      </c>
      <c r="Z1031">
        <v>88.2</v>
      </c>
      <c r="AA1031">
        <v>101.8</v>
      </c>
      <c r="AB1031">
        <v>9.6</v>
      </c>
      <c r="AC1031">
        <v>36.6</v>
      </c>
      <c r="AD1031">
        <v>328239523</v>
      </c>
    </row>
    <row r="1032" spans="1:30" hidden="1" x14ac:dyDescent="0.45">
      <c r="A1032">
        <v>1027</v>
      </c>
      <c r="B1032">
        <v>2900</v>
      </c>
      <c r="C1032" t="s">
        <v>83</v>
      </c>
      <c r="D1032" t="s">
        <v>3774</v>
      </c>
      <c r="E1032">
        <v>70</v>
      </c>
      <c r="F1032" t="s">
        <v>272</v>
      </c>
      <c r="G1032" t="s">
        <v>1539</v>
      </c>
      <c r="H1032" t="s">
        <v>3775</v>
      </c>
      <c r="I1032" t="s">
        <v>83</v>
      </c>
      <c r="J1032" t="s">
        <v>272</v>
      </c>
      <c r="L1032" t="b">
        <v>1</v>
      </c>
      <c r="M1032" t="s">
        <v>39</v>
      </c>
      <c r="N1032" t="s">
        <v>8245</v>
      </c>
      <c r="O1032" s="1">
        <v>19268</v>
      </c>
      <c r="P1032" t="s">
        <v>3776</v>
      </c>
      <c r="Q1032" t="s">
        <v>225</v>
      </c>
      <c r="S1032" s="1">
        <v>45020.209027777775</v>
      </c>
      <c r="V1032">
        <v>1952</v>
      </c>
      <c r="W1032">
        <v>119.62</v>
      </c>
      <c r="X1032">
        <v>1.7</v>
      </c>
      <c r="Y1032" s="2">
        <v>2827113184696</v>
      </c>
      <c r="Z1032">
        <v>60</v>
      </c>
      <c r="AA1032">
        <v>101.2</v>
      </c>
      <c r="AB1032">
        <v>25.5</v>
      </c>
      <c r="AC1032">
        <v>30.6</v>
      </c>
      <c r="AD1032">
        <v>66834405</v>
      </c>
    </row>
    <row r="1033" spans="1:30" x14ac:dyDescent="0.45">
      <c r="A1033">
        <v>1027</v>
      </c>
      <c r="B1033" s="6">
        <v>2900</v>
      </c>
      <c r="C1033" t="s">
        <v>45</v>
      </c>
      <c r="D1033" t="s">
        <v>3777</v>
      </c>
      <c r="E1033">
        <v>79</v>
      </c>
      <c r="F1033" t="s">
        <v>35</v>
      </c>
      <c r="G1033" t="s">
        <v>355</v>
      </c>
      <c r="H1033" t="s">
        <v>3778</v>
      </c>
      <c r="I1033" t="s">
        <v>45</v>
      </c>
      <c r="J1033" t="s">
        <v>35</v>
      </c>
      <c r="K1033" t="s">
        <v>3779</v>
      </c>
      <c r="L1033" t="b">
        <v>1</v>
      </c>
      <c r="M1033" t="s">
        <v>39</v>
      </c>
      <c r="N1033" t="s">
        <v>8245</v>
      </c>
      <c r="O1033" s="10">
        <v>16154</v>
      </c>
      <c r="P1033" t="s">
        <v>3780</v>
      </c>
      <c r="Q1033" t="s">
        <v>401</v>
      </c>
      <c r="R1033" t="s">
        <v>138</v>
      </c>
      <c r="S1033" s="8">
        <v>45020.209027777775</v>
      </c>
      <c r="T1033" t="s">
        <v>253</v>
      </c>
      <c r="U1033" t="s">
        <v>44</v>
      </c>
      <c r="V1033">
        <v>1944</v>
      </c>
      <c r="W1033" s="12">
        <v>117.24</v>
      </c>
      <c r="X1033">
        <v>7.5</v>
      </c>
      <c r="Y1033" s="14">
        <v>21427700000000</v>
      </c>
      <c r="Z1033">
        <v>88.2</v>
      </c>
      <c r="AA1033">
        <v>101.8</v>
      </c>
      <c r="AB1033">
        <v>9.6</v>
      </c>
      <c r="AC1033">
        <v>36.6</v>
      </c>
      <c r="AD1033">
        <v>328239523</v>
      </c>
    </row>
    <row r="1034" spans="1:30" hidden="1" x14ac:dyDescent="0.45">
      <c r="A1034">
        <v>1027</v>
      </c>
      <c r="B1034">
        <v>2900</v>
      </c>
      <c r="C1034" t="s">
        <v>23</v>
      </c>
      <c r="D1034" t="s">
        <v>3781</v>
      </c>
      <c r="E1034">
        <v>66</v>
      </c>
      <c r="F1034" t="s">
        <v>164</v>
      </c>
      <c r="G1034" t="s">
        <v>1797</v>
      </c>
      <c r="H1034" t="s">
        <v>3782</v>
      </c>
      <c r="I1034" t="s">
        <v>23</v>
      </c>
      <c r="J1034" t="s">
        <v>164</v>
      </c>
      <c r="K1034" t="s">
        <v>1799</v>
      </c>
      <c r="L1034" t="b">
        <v>1</v>
      </c>
      <c r="M1034" t="s">
        <v>29</v>
      </c>
      <c r="N1034" t="s">
        <v>8245</v>
      </c>
      <c r="O1034" s="1">
        <v>20797</v>
      </c>
      <c r="P1034" t="s">
        <v>3783</v>
      </c>
      <c r="Q1034" t="s">
        <v>913</v>
      </c>
      <c r="R1034" t="s">
        <v>3784</v>
      </c>
      <c r="S1034" s="1">
        <v>45020.209027777775</v>
      </c>
      <c r="V1034">
        <v>1956</v>
      </c>
      <c r="W1034">
        <v>116.76</v>
      </c>
      <c r="X1034">
        <v>1.9</v>
      </c>
      <c r="Y1034" s="2">
        <v>1736425629520</v>
      </c>
      <c r="Z1034">
        <v>68.900000000000006</v>
      </c>
      <c r="AA1034">
        <v>100.9</v>
      </c>
      <c r="AB1034">
        <v>12.8</v>
      </c>
      <c r="AC1034">
        <v>24.5</v>
      </c>
      <c r="AD1034">
        <v>36991981</v>
      </c>
    </row>
    <row r="1035" spans="1:30" hidden="1" x14ac:dyDescent="0.45">
      <c r="A1035">
        <v>1027</v>
      </c>
      <c r="B1035">
        <v>2900</v>
      </c>
      <c r="C1035" t="s">
        <v>23</v>
      </c>
      <c r="D1035" t="s">
        <v>3785</v>
      </c>
      <c r="E1035">
        <v>78</v>
      </c>
      <c r="F1035" t="s">
        <v>35</v>
      </c>
      <c r="G1035" t="s">
        <v>36</v>
      </c>
      <c r="H1035" t="s">
        <v>3786</v>
      </c>
      <c r="I1035" t="s">
        <v>23</v>
      </c>
      <c r="J1035" t="s">
        <v>35</v>
      </c>
      <c r="L1035" t="b">
        <v>1</v>
      </c>
      <c r="M1035" t="s">
        <v>29</v>
      </c>
      <c r="N1035" t="s">
        <v>8245</v>
      </c>
      <c r="O1035" s="1">
        <v>16175</v>
      </c>
      <c r="P1035" t="s">
        <v>3787</v>
      </c>
      <c r="Q1035" t="s">
        <v>3788</v>
      </c>
      <c r="S1035" s="1">
        <v>45020.209027777775</v>
      </c>
      <c r="T1035" t="s">
        <v>43</v>
      </c>
      <c r="U1035" t="s">
        <v>44</v>
      </c>
      <c r="V1035">
        <v>1944</v>
      </c>
      <c r="W1035">
        <v>117.24</v>
      </c>
      <c r="X1035">
        <v>7.5</v>
      </c>
      <c r="Y1035" s="2">
        <v>21427700000000</v>
      </c>
      <c r="Z1035">
        <v>88.2</v>
      </c>
      <c r="AA1035">
        <v>101.8</v>
      </c>
      <c r="AB1035">
        <v>9.6</v>
      </c>
      <c r="AC1035">
        <v>36.6</v>
      </c>
      <c r="AD1035">
        <v>328239523</v>
      </c>
    </row>
    <row r="1036" spans="1:30" hidden="1" x14ac:dyDescent="0.45">
      <c r="A1036">
        <v>1027</v>
      </c>
      <c r="B1036">
        <v>2900</v>
      </c>
      <c r="C1036" t="s">
        <v>702</v>
      </c>
      <c r="D1036" t="s">
        <v>3789</v>
      </c>
      <c r="E1036">
        <v>92</v>
      </c>
      <c r="F1036" t="s">
        <v>272</v>
      </c>
      <c r="G1036" t="s">
        <v>273</v>
      </c>
      <c r="H1036" t="s">
        <v>3790</v>
      </c>
      <c r="I1036" t="s">
        <v>702</v>
      </c>
      <c r="J1036" t="s">
        <v>272</v>
      </c>
      <c r="L1036" t="b">
        <v>1</v>
      </c>
      <c r="M1036" t="s">
        <v>39</v>
      </c>
      <c r="N1036" t="s">
        <v>8245</v>
      </c>
      <c r="O1036" s="1">
        <v>11259</v>
      </c>
      <c r="P1036" t="s">
        <v>3791</v>
      </c>
      <c r="Q1036" t="s">
        <v>31</v>
      </c>
      <c r="S1036" s="1">
        <v>45020.209027777775</v>
      </c>
      <c r="V1036">
        <v>1930</v>
      </c>
      <c r="W1036">
        <v>119.62</v>
      </c>
      <c r="X1036">
        <v>1.7</v>
      </c>
      <c r="Y1036" s="2">
        <v>2827113184696</v>
      </c>
      <c r="Z1036">
        <v>60</v>
      </c>
      <c r="AA1036">
        <v>101.2</v>
      </c>
      <c r="AB1036">
        <v>25.5</v>
      </c>
      <c r="AC1036">
        <v>30.6</v>
      </c>
      <c r="AD1036">
        <v>66834405</v>
      </c>
    </row>
    <row r="1037" spans="1:30" hidden="1" x14ac:dyDescent="0.45">
      <c r="A1037">
        <v>1027</v>
      </c>
      <c r="B1037">
        <v>2900</v>
      </c>
      <c r="C1037" t="s">
        <v>45</v>
      </c>
      <c r="D1037" t="s">
        <v>3792</v>
      </c>
      <c r="E1037">
        <v>79</v>
      </c>
      <c r="F1037" t="s">
        <v>490</v>
      </c>
      <c r="G1037" t="s">
        <v>1737</v>
      </c>
      <c r="H1037" t="s">
        <v>3793</v>
      </c>
      <c r="I1037" t="s">
        <v>45</v>
      </c>
      <c r="J1037" t="s">
        <v>490</v>
      </c>
      <c r="L1037" t="b">
        <v>1</v>
      </c>
      <c r="M1037" t="s">
        <v>39</v>
      </c>
      <c r="N1037" t="s">
        <v>8245</v>
      </c>
      <c r="O1037" s="1">
        <v>15958</v>
      </c>
      <c r="P1037" t="s">
        <v>3794</v>
      </c>
      <c r="Q1037" t="s">
        <v>81</v>
      </c>
      <c r="S1037" s="1">
        <v>45020.209027777775</v>
      </c>
      <c r="V1037">
        <v>1943</v>
      </c>
      <c r="W1037">
        <v>108.15</v>
      </c>
      <c r="X1037">
        <v>0.8</v>
      </c>
      <c r="Y1037" s="2">
        <v>395098666122</v>
      </c>
      <c r="Z1037">
        <v>63.4</v>
      </c>
      <c r="AA1037">
        <v>104.9</v>
      </c>
      <c r="AB1037">
        <v>23.1</v>
      </c>
      <c r="AC1037">
        <v>25.3</v>
      </c>
      <c r="AD1037">
        <v>9053300</v>
      </c>
    </row>
    <row r="1038" spans="1:30" x14ac:dyDescent="0.45">
      <c r="A1038">
        <v>1027</v>
      </c>
      <c r="B1038" s="6">
        <v>2900</v>
      </c>
      <c r="C1038" t="s">
        <v>76</v>
      </c>
      <c r="D1038" t="s">
        <v>3795</v>
      </c>
      <c r="E1038">
        <v>74</v>
      </c>
      <c r="F1038" t="s">
        <v>35</v>
      </c>
      <c r="G1038" t="s">
        <v>3796</v>
      </c>
      <c r="H1038" t="s">
        <v>3797</v>
      </c>
      <c r="I1038" t="s">
        <v>76</v>
      </c>
      <c r="J1038" t="s">
        <v>35</v>
      </c>
      <c r="K1038" t="s">
        <v>3798</v>
      </c>
      <c r="L1038" t="b">
        <v>0</v>
      </c>
      <c r="M1038" t="s">
        <v>29</v>
      </c>
      <c r="N1038" t="s">
        <v>8245</v>
      </c>
      <c r="O1038" s="10">
        <v>17837</v>
      </c>
      <c r="P1038" t="s">
        <v>3799</v>
      </c>
      <c r="Q1038" t="s">
        <v>2811</v>
      </c>
      <c r="R1038" t="s">
        <v>170</v>
      </c>
      <c r="S1038" s="8">
        <v>45020.209027777775</v>
      </c>
      <c r="T1038" t="s">
        <v>253</v>
      </c>
      <c r="U1038" t="s">
        <v>44</v>
      </c>
      <c r="V1038">
        <v>1948</v>
      </c>
      <c r="W1038" s="12">
        <v>117.24</v>
      </c>
      <c r="X1038">
        <v>7.5</v>
      </c>
      <c r="Y1038" s="14">
        <v>21427700000000</v>
      </c>
      <c r="Z1038">
        <v>88.2</v>
      </c>
      <c r="AA1038">
        <v>101.8</v>
      </c>
      <c r="AB1038">
        <v>9.6</v>
      </c>
      <c r="AC1038">
        <v>36.6</v>
      </c>
      <c r="AD1038">
        <v>328239523</v>
      </c>
    </row>
    <row r="1039" spans="1:30" hidden="1" x14ac:dyDescent="0.45">
      <c r="A1039">
        <v>1027</v>
      </c>
      <c r="B1039">
        <v>2900</v>
      </c>
      <c r="C1039" t="s">
        <v>296</v>
      </c>
      <c r="D1039" t="s">
        <v>3800</v>
      </c>
      <c r="E1039">
        <v>73</v>
      </c>
      <c r="F1039" t="s">
        <v>128</v>
      </c>
      <c r="G1039" t="s">
        <v>129</v>
      </c>
      <c r="H1039" t="s">
        <v>1268</v>
      </c>
      <c r="I1039" t="s">
        <v>296</v>
      </c>
      <c r="J1039" t="s">
        <v>128</v>
      </c>
      <c r="L1039" t="b">
        <v>1</v>
      </c>
      <c r="M1039" t="s">
        <v>39</v>
      </c>
      <c r="N1039" t="s">
        <v>8245</v>
      </c>
      <c r="O1039" s="1">
        <v>18176</v>
      </c>
      <c r="P1039" t="s">
        <v>3801</v>
      </c>
      <c r="Q1039" t="s">
        <v>3802</v>
      </c>
      <c r="S1039" s="1">
        <v>45020.209027777775</v>
      </c>
      <c r="V1039">
        <v>1949</v>
      </c>
      <c r="W1039">
        <v>125.08</v>
      </c>
      <c r="X1039">
        <v>2.9</v>
      </c>
      <c r="Y1039" s="2">
        <v>19910000000000</v>
      </c>
      <c r="Z1039">
        <v>50.6</v>
      </c>
      <c r="AA1039">
        <v>100.2</v>
      </c>
      <c r="AB1039">
        <v>9.4</v>
      </c>
      <c r="AC1039">
        <v>59.2</v>
      </c>
      <c r="AD1039">
        <v>1397715000</v>
      </c>
    </row>
    <row r="1040" spans="1:30" hidden="1" x14ac:dyDescent="0.45">
      <c r="A1040">
        <v>1027</v>
      </c>
      <c r="B1040">
        <v>2900</v>
      </c>
      <c r="C1040" t="s">
        <v>689</v>
      </c>
      <c r="D1040" t="s">
        <v>3803</v>
      </c>
      <c r="E1040">
        <v>75</v>
      </c>
      <c r="F1040" t="s">
        <v>205</v>
      </c>
      <c r="G1040" t="s">
        <v>3804</v>
      </c>
      <c r="H1040" t="s">
        <v>3805</v>
      </c>
      <c r="I1040" t="s">
        <v>689</v>
      </c>
      <c r="J1040" t="s">
        <v>194</v>
      </c>
      <c r="L1040" t="b">
        <v>0</v>
      </c>
      <c r="M1040" t="s">
        <v>39</v>
      </c>
      <c r="N1040" t="s">
        <v>8245</v>
      </c>
      <c r="O1040" s="1">
        <v>17572</v>
      </c>
      <c r="P1040" t="s">
        <v>3806</v>
      </c>
      <c r="Q1040" t="s">
        <v>1039</v>
      </c>
      <c r="S1040" s="1">
        <v>45020.209027777775</v>
      </c>
      <c r="V1040">
        <v>1948</v>
      </c>
      <c r="W1040">
        <v>99.55</v>
      </c>
      <c r="X1040">
        <v>0.4</v>
      </c>
      <c r="Y1040" s="2">
        <v>703082435360</v>
      </c>
      <c r="Z1040">
        <v>59.6</v>
      </c>
      <c r="AA1040">
        <v>105.2</v>
      </c>
      <c r="AB1040">
        <v>10.1</v>
      </c>
      <c r="AC1040">
        <v>28.8</v>
      </c>
      <c r="AD1040">
        <v>8574832</v>
      </c>
    </row>
    <row r="1041" spans="1:30" hidden="1" x14ac:dyDescent="0.45">
      <c r="A1041">
        <v>1027</v>
      </c>
      <c r="B1041">
        <v>2900</v>
      </c>
      <c r="C1041" t="s">
        <v>402</v>
      </c>
      <c r="D1041" t="s">
        <v>3807</v>
      </c>
      <c r="E1041">
        <v>68</v>
      </c>
      <c r="F1041" t="s">
        <v>194</v>
      </c>
      <c r="G1041" t="s">
        <v>3808</v>
      </c>
      <c r="H1041" t="s">
        <v>645</v>
      </c>
      <c r="I1041" t="s">
        <v>402</v>
      </c>
      <c r="J1041" t="s">
        <v>194</v>
      </c>
      <c r="L1041" t="b">
        <v>0</v>
      </c>
      <c r="M1041" t="s">
        <v>39</v>
      </c>
      <c r="N1041" t="s">
        <v>8246</v>
      </c>
      <c r="O1041" s="1">
        <v>20016</v>
      </c>
      <c r="P1041" t="s">
        <v>3809</v>
      </c>
      <c r="Q1041" t="s">
        <v>3810</v>
      </c>
      <c r="S1041" s="1">
        <v>45020.209027777775</v>
      </c>
      <c r="V1041">
        <v>1954</v>
      </c>
      <c r="W1041">
        <v>112.85</v>
      </c>
      <c r="X1041">
        <v>1.4</v>
      </c>
      <c r="Y1041" s="2">
        <v>3845630030824</v>
      </c>
      <c r="Z1041">
        <v>70.2</v>
      </c>
      <c r="AA1041">
        <v>104</v>
      </c>
      <c r="AB1041">
        <v>11.5</v>
      </c>
      <c r="AC1041">
        <v>48.8</v>
      </c>
      <c r="AD1041">
        <v>83132799</v>
      </c>
    </row>
    <row r="1042" spans="1:30" hidden="1" x14ac:dyDescent="0.45">
      <c r="A1042">
        <v>1027</v>
      </c>
      <c r="B1042">
        <v>2900</v>
      </c>
      <c r="C1042" t="s">
        <v>302</v>
      </c>
      <c r="D1042" t="s">
        <v>3811</v>
      </c>
      <c r="E1042">
        <v>73</v>
      </c>
      <c r="F1042" t="s">
        <v>35</v>
      </c>
      <c r="G1042" t="s">
        <v>159</v>
      </c>
      <c r="H1042" t="s">
        <v>3316</v>
      </c>
      <c r="I1042" t="s">
        <v>302</v>
      </c>
      <c r="J1042" t="s">
        <v>35</v>
      </c>
      <c r="L1042" t="b">
        <v>1</v>
      </c>
      <c r="M1042" t="s">
        <v>29</v>
      </c>
      <c r="N1042" t="s">
        <v>8245</v>
      </c>
      <c r="O1042" s="1">
        <v>18327</v>
      </c>
      <c r="P1042" t="s">
        <v>3812</v>
      </c>
      <c r="Q1042" t="s">
        <v>543</v>
      </c>
      <c r="S1042" s="1">
        <v>45020.209027777775</v>
      </c>
      <c r="T1042" t="s">
        <v>43</v>
      </c>
      <c r="U1042" t="s">
        <v>44</v>
      </c>
      <c r="V1042">
        <v>1950</v>
      </c>
      <c r="W1042">
        <v>117.24</v>
      </c>
      <c r="X1042">
        <v>7.5</v>
      </c>
      <c r="Y1042" s="2">
        <v>21427700000000</v>
      </c>
      <c r="Z1042">
        <v>88.2</v>
      </c>
      <c r="AA1042">
        <v>101.8</v>
      </c>
      <c r="AB1042">
        <v>9.6</v>
      </c>
      <c r="AC1042">
        <v>36.6</v>
      </c>
      <c r="AD1042">
        <v>328239523</v>
      </c>
    </row>
    <row r="1043" spans="1:30" hidden="1" x14ac:dyDescent="0.45">
      <c r="A1043">
        <v>1027</v>
      </c>
      <c r="B1043">
        <v>2900</v>
      </c>
      <c r="C1043" t="s">
        <v>302</v>
      </c>
      <c r="D1043" t="s">
        <v>3813</v>
      </c>
      <c r="E1043">
        <v>56</v>
      </c>
      <c r="F1043" t="s">
        <v>363</v>
      </c>
      <c r="G1043" t="s">
        <v>381</v>
      </c>
      <c r="H1043" t="s">
        <v>304</v>
      </c>
      <c r="I1043" t="s">
        <v>302</v>
      </c>
      <c r="J1043" t="s">
        <v>363</v>
      </c>
      <c r="L1043" t="b">
        <v>1</v>
      </c>
      <c r="M1043" t="s">
        <v>29</v>
      </c>
      <c r="N1043" t="s">
        <v>8245</v>
      </c>
      <c r="O1043" s="1">
        <v>24359</v>
      </c>
      <c r="P1043" t="s">
        <v>3814</v>
      </c>
      <c r="Q1043" t="s">
        <v>3815</v>
      </c>
      <c r="S1043" s="1">
        <v>45020.209027777775</v>
      </c>
      <c r="V1043">
        <v>1966</v>
      </c>
      <c r="W1043">
        <v>180.75</v>
      </c>
      <c r="X1043">
        <v>4.5</v>
      </c>
      <c r="Y1043" s="2">
        <v>1699876578871</v>
      </c>
      <c r="Z1043">
        <v>81.900000000000006</v>
      </c>
      <c r="AA1043">
        <v>102.6</v>
      </c>
      <c r="AB1043">
        <v>11.4</v>
      </c>
      <c r="AC1043">
        <v>46.2</v>
      </c>
      <c r="AD1043">
        <v>144373535</v>
      </c>
    </row>
    <row r="1044" spans="1:30" hidden="1" x14ac:dyDescent="0.45">
      <c r="A1044">
        <v>1027</v>
      </c>
      <c r="B1044">
        <v>2900</v>
      </c>
      <c r="C1044" t="s">
        <v>91</v>
      </c>
      <c r="D1044" t="s">
        <v>3816</v>
      </c>
      <c r="E1044">
        <v>38</v>
      </c>
      <c r="F1044" t="s">
        <v>2037</v>
      </c>
      <c r="G1044" t="s">
        <v>2038</v>
      </c>
      <c r="H1044" t="s">
        <v>91</v>
      </c>
      <c r="I1044" t="s">
        <v>91</v>
      </c>
      <c r="J1044" t="s">
        <v>2037</v>
      </c>
      <c r="L1044" t="b">
        <v>0</v>
      </c>
      <c r="M1044" t="s">
        <v>29</v>
      </c>
      <c r="N1044" t="s">
        <v>8246</v>
      </c>
      <c r="O1044" s="1">
        <v>31014</v>
      </c>
      <c r="P1044" t="s">
        <v>3817</v>
      </c>
      <c r="Q1044" t="s">
        <v>3818</v>
      </c>
      <c r="S1044" s="1">
        <v>45020.209027777775</v>
      </c>
      <c r="V1044">
        <v>1984</v>
      </c>
      <c r="W1044">
        <v>234.44</v>
      </c>
      <c r="X1044">
        <v>15.2</v>
      </c>
      <c r="Y1044" s="2">
        <v>754411708203</v>
      </c>
      <c r="Z1044">
        <v>23.9</v>
      </c>
      <c r="AA1044">
        <v>93.2</v>
      </c>
      <c r="AB1044">
        <v>17.899999999999999</v>
      </c>
      <c r="AC1044">
        <v>42.3</v>
      </c>
      <c r="AD1044">
        <v>83429615</v>
      </c>
    </row>
    <row r="1045" spans="1:30" hidden="1" x14ac:dyDescent="0.45">
      <c r="A1045">
        <v>1027</v>
      </c>
      <c r="B1045">
        <v>2900</v>
      </c>
      <c r="C1045" t="s">
        <v>45</v>
      </c>
      <c r="D1045" t="s">
        <v>3819</v>
      </c>
      <c r="E1045">
        <v>49</v>
      </c>
      <c r="F1045" t="s">
        <v>928</v>
      </c>
      <c r="G1045" t="s">
        <v>929</v>
      </c>
      <c r="H1045" t="s">
        <v>1235</v>
      </c>
      <c r="I1045" t="s">
        <v>45</v>
      </c>
      <c r="J1045" t="s">
        <v>928</v>
      </c>
      <c r="L1045" t="b">
        <v>0</v>
      </c>
      <c r="M1045" t="s">
        <v>39</v>
      </c>
      <c r="N1045" t="s">
        <v>8246</v>
      </c>
      <c r="O1045" s="1">
        <v>26927</v>
      </c>
      <c r="P1045" t="s">
        <v>305</v>
      </c>
      <c r="Q1045" t="s">
        <v>3820</v>
      </c>
      <c r="S1045" s="1">
        <v>45020.209027777775</v>
      </c>
      <c r="V1045">
        <v>1973</v>
      </c>
      <c r="W1045">
        <v>115.16</v>
      </c>
      <c r="X1045">
        <v>0.4</v>
      </c>
      <c r="Y1045" s="2">
        <v>2029000000000</v>
      </c>
      <c r="Z1045">
        <v>94.3</v>
      </c>
      <c r="AA1045">
        <v>98.1</v>
      </c>
      <c r="AB1045">
        <v>15.6</v>
      </c>
      <c r="AC1045">
        <v>33.200000000000003</v>
      </c>
      <c r="AD1045">
        <v>51709098</v>
      </c>
    </row>
    <row r="1046" spans="1:30" hidden="1" x14ac:dyDescent="0.45">
      <c r="A1046">
        <v>1027</v>
      </c>
      <c r="B1046">
        <v>2900</v>
      </c>
      <c r="C1046" t="s">
        <v>402</v>
      </c>
      <c r="D1046" t="s">
        <v>3821</v>
      </c>
      <c r="E1046">
        <v>66</v>
      </c>
      <c r="F1046" t="s">
        <v>128</v>
      </c>
      <c r="G1046" t="s">
        <v>234</v>
      </c>
      <c r="H1046" t="s">
        <v>3822</v>
      </c>
      <c r="I1046" t="s">
        <v>402</v>
      </c>
      <c r="J1046" t="s">
        <v>228</v>
      </c>
      <c r="L1046" t="b">
        <v>1</v>
      </c>
      <c r="M1046" t="s">
        <v>39</v>
      </c>
      <c r="N1046" t="s">
        <v>8245</v>
      </c>
      <c r="O1046" s="1">
        <v>20821</v>
      </c>
      <c r="P1046" t="s">
        <v>230</v>
      </c>
      <c r="Q1046" t="s">
        <v>3823</v>
      </c>
      <c r="S1046" s="1">
        <v>45020.209027777775</v>
      </c>
      <c r="V1046">
        <v>1957</v>
      </c>
      <c r="W1046">
        <v>125.08</v>
      </c>
      <c r="X1046">
        <v>2.9</v>
      </c>
      <c r="Y1046" s="2">
        <v>19910000000000</v>
      </c>
      <c r="Z1046">
        <v>50.6</v>
      </c>
      <c r="AA1046">
        <v>100.2</v>
      </c>
      <c r="AB1046">
        <v>9.4</v>
      </c>
      <c r="AC1046">
        <v>59.2</v>
      </c>
      <c r="AD1046">
        <v>1397715000</v>
      </c>
    </row>
    <row r="1047" spans="1:30" hidden="1" x14ac:dyDescent="0.45">
      <c r="A1047">
        <v>1027</v>
      </c>
      <c r="B1047">
        <v>2900</v>
      </c>
      <c r="C1047" t="s">
        <v>402</v>
      </c>
      <c r="D1047" t="s">
        <v>3824</v>
      </c>
      <c r="E1047">
        <v>57</v>
      </c>
      <c r="F1047" t="s">
        <v>128</v>
      </c>
      <c r="G1047" t="s">
        <v>678</v>
      </c>
      <c r="H1047" t="s">
        <v>402</v>
      </c>
      <c r="I1047" t="s">
        <v>402</v>
      </c>
      <c r="J1047" t="s">
        <v>128</v>
      </c>
      <c r="L1047" t="b">
        <v>1</v>
      </c>
      <c r="M1047" t="s">
        <v>29</v>
      </c>
      <c r="N1047" t="s">
        <v>8245</v>
      </c>
      <c r="O1047" s="1">
        <v>23986</v>
      </c>
      <c r="P1047" t="s">
        <v>230</v>
      </c>
      <c r="Q1047" t="s">
        <v>230</v>
      </c>
      <c r="S1047" s="1">
        <v>45020.209027777775</v>
      </c>
      <c r="V1047">
        <v>1965</v>
      </c>
      <c r="W1047">
        <v>125.08</v>
      </c>
      <c r="X1047">
        <v>2.9</v>
      </c>
      <c r="Y1047" s="2">
        <v>19910000000000</v>
      </c>
      <c r="Z1047">
        <v>50.6</v>
      </c>
      <c r="AA1047">
        <v>100.2</v>
      </c>
      <c r="AB1047">
        <v>9.4</v>
      </c>
      <c r="AC1047">
        <v>59.2</v>
      </c>
      <c r="AD1047">
        <v>1397715000</v>
      </c>
    </row>
    <row r="1048" spans="1:30" hidden="1" x14ac:dyDescent="0.45">
      <c r="A1048">
        <v>1027</v>
      </c>
      <c r="B1048">
        <v>2900</v>
      </c>
      <c r="C1048" t="s">
        <v>296</v>
      </c>
      <c r="D1048" t="s">
        <v>3825</v>
      </c>
      <c r="E1048">
        <v>61</v>
      </c>
      <c r="F1048" t="s">
        <v>128</v>
      </c>
      <c r="G1048" t="s">
        <v>2741</v>
      </c>
      <c r="H1048" t="s">
        <v>1049</v>
      </c>
      <c r="I1048" t="s">
        <v>296</v>
      </c>
      <c r="J1048" t="s">
        <v>128</v>
      </c>
      <c r="L1048" t="b">
        <v>1</v>
      </c>
      <c r="M1048" t="s">
        <v>39</v>
      </c>
      <c r="N1048" t="s">
        <v>8245</v>
      </c>
      <c r="O1048" s="1">
        <v>22647</v>
      </c>
      <c r="P1048" t="s">
        <v>230</v>
      </c>
      <c r="Q1048" t="s">
        <v>3826</v>
      </c>
      <c r="S1048" s="1">
        <v>45020.209027777775</v>
      </c>
      <c r="V1048">
        <v>1962</v>
      </c>
      <c r="W1048">
        <v>125.08</v>
      </c>
      <c r="X1048">
        <v>2.9</v>
      </c>
      <c r="Y1048" s="2">
        <v>19910000000000</v>
      </c>
      <c r="Z1048">
        <v>50.6</v>
      </c>
      <c r="AA1048">
        <v>100.2</v>
      </c>
      <c r="AB1048">
        <v>9.4</v>
      </c>
      <c r="AC1048">
        <v>59.2</v>
      </c>
      <c r="AD1048">
        <v>1397715000</v>
      </c>
    </row>
    <row r="1049" spans="1:30" hidden="1" x14ac:dyDescent="0.45">
      <c r="A1049">
        <v>1027</v>
      </c>
      <c r="B1049">
        <v>2900</v>
      </c>
      <c r="C1049" t="s">
        <v>296</v>
      </c>
      <c r="D1049" t="s">
        <v>3827</v>
      </c>
      <c r="E1049">
        <v>55</v>
      </c>
      <c r="F1049" t="s">
        <v>128</v>
      </c>
      <c r="G1049" t="s">
        <v>292</v>
      </c>
      <c r="H1049" t="s">
        <v>3272</v>
      </c>
      <c r="I1049" t="s">
        <v>296</v>
      </c>
      <c r="J1049" t="s">
        <v>128</v>
      </c>
      <c r="L1049" t="b">
        <v>1</v>
      </c>
      <c r="M1049" t="s">
        <v>29</v>
      </c>
      <c r="N1049" t="s">
        <v>8245</v>
      </c>
      <c r="O1049" s="1">
        <v>24656</v>
      </c>
      <c r="P1049" t="s">
        <v>779</v>
      </c>
      <c r="Q1049" t="s">
        <v>3828</v>
      </c>
      <c r="S1049" s="1">
        <v>45020.209027777775</v>
      </c>
      <c r="V1049">
        <v>1967</v>
      </c>
      <c r="W1049">
        <v>125.08</v>
      </c>
      <c r="X1049">
        <v>2.9</v>
      </c>
      <c r="Y1049" s="2">
        <v>19910000000000</v>
      </c>
      <c r="Z1049">
        <v>50.6</v>
      </c>
      <c r="AA1049">
        <v>100.2</v>
      </c>
      <c r="AB1049">
        <v>9.4</v>
      </c>
      <c r="AC1049">
        <v>59.2</v>
      </c>
      <c r="AD1049">
        <v>1397715000</v>
      </c>
    </row>
    <row r="1050" spans="1:30" hidden="1" x14ac:dyDescent="0.45">
      <c r="A1050">
        <v>1027</v>
      </c>
      <c r="B1050">
        <v>2900</v>
      </c>
      <c r="C1050" t="s">
        <v>45</v>
      </c>
      <c r="D1050" t="s">
        <v>3829</v>
      </c>
      <c r="E1050">
        <v>54</v>
      </c>
      <c r="F1050" t="s">
        <v>577</v>
      </c>
      <c r="G1050" t="s">
        <v>578</v>
      </c>
      <c r="H1050" t="s">
        <v>3830</v>
      </c>
      <c r="I1050" t="s">
        <v>45</v>
      </c>
      <c r="J1050" t="s">
        <v>577</v>
      </c>
      <c r="L1050" t="b">
        <v>1</v>
      </c>
      <c r="M1050" t="s">
        <v>611</v>
      </c>
      <c r="N1050" t="s">
        <v>8245</v>
      </c>
      <c r="O1050" s="1">
        <v>25294</v>
      </c>
      <c r="P1050" t="s">
        <v>3831</v>
      </c>
      <c r="Q1050" t="s">
        <v>2173</v>
      </c>
      <c r="S1050" s="1">
        <v>45020.209027777775</v>
      </c>
      <c r="V1050">
        <v>1969</v>
      </c>
      <c r="W1050">
        <v>110.51</v>
      </c>
      <c r="X1050">
        <v>1.8</v>
      </c>
      <c r="Y1050" s="2">
        <v>530832908738</v>
      </c>
      <c r="Z1050">
        <v>67</v>
      </c>
      <c r="AA1050">
        <v>126.6</v>
      </c>
      <c r="AB1050">
        <v>27.9</v>
      </c>
      <c r="AC1050">
        <v>49.1</v>
      </c>
      <c r="AD1050">
        <v>10285453</v>
      </c>
    </row>
    <row r="1051" spans="1:30" hidden="1" x14ac:dyDescent="0.45">
      <c r="A1051">
        <v>1027</v>
      </c>
      <c r="B1051">
        <v>2900</v>
      </c>
      <c r="C1051" t="s">
        <v>347</v>
      </c>
      <c r="D1051" t="s">
        <v>3832</v>
      </c>
      <c r="E1051">
        <v>87</v>
      </c>
      <c r="F1051" t="s">
        <v>228</v>
      </c>
      <c r="G1051" t="s">
        <v>228</v>
      </c>
      <c r="H1051" t="s">
        <v>347</v>
      </c>
      <c r="I1051" t="s">
        <v>347</v>
      </c>
      <c r="J1051" t="s">
        <v>228</v>
      </c>
      <c r="L1051" t="b">
        <v>0</v>
      </c>
      <c r="M1051" t="s">
        <v>39</v>
      </c>
      <c r="N1051" t="s">
        <v>8245</v>
      </c>
      <c r="O1051" s="1">
        <v>13062</v>
      </c>
      <c r="P1051" t="s">
        <v>3833</v>
      </c>
      <c r="Q1051" t="s">
        <v>2068</v>
      </c>
      <c r="S1051" s="1">
        <v>45020.209027777775</v>
      </c>
      <c r="V1051">
        <v>1935</v>
      </c>
      <c r="W1051"/>
      <c r="Y1051"/>
    </row>
    <row r="1052" spans="1:30" hidden="1" x14ac:dyDescent="0.45">
      <c r="A1052">
        <v>1027</v>
      </c>
      <c r="B1052">
        <v>2900</v>
      </c>
      <c r="C1052" t="s">
        <v>23</v>
      </c>
      <c r="D1052" t="s">
        <v>3834</v>
      </c>
      <c r="E1052">
        <v>90</v>
      </c>
      <c r="F1052" t="s">
        <v>194</v>
      </c>
      <c r="G1052" t="s">
        <v>1961</v>
      </c>
      <c r="H1052" t="s">
        <v>1155</v>
      </c>
      <c r="I1052" t="s">
        <v>23</v>
      </c>
      <c r="J1052" t="s">
        <v>194</v>
      </c>
      <c r="L1052" t="b">
        <v>1</v>
      </c>
      <c r="M1052" t="s">
        <v>29</v>
      </c>
      <c r="N1052" t="s">
        <v>8245</v>
      </c>
      <c r="O1052" s="1">
        <v>11910</v>
      </c>
      <c r="P1052" t="s">
        <v>2438</v>
      </c>
      <c r="Q1052" t="s">
        <v>3835</v>
      </c>
      <c r="S1052" s="1">
        <v>45020.209027777775</v>
      </c>
      <c r="V1052">
        <v>1932</v>
      </c>
      <c r="W1052">
        <v>112.85</v>
      </c>
      <c r="X1052">
        <v>1.4</v>
      </c>
      <c r="Y1052" s="2">
        <v>3845630030824</v>
      </c>
      <c r="Z1052">
        <v>70.2</v>
      </c>
      <c r="AA1052">
        <v>104</v>
      </c>
      <c r="AB1052">
        <v>11.5</v>
      </c>
      <c r="AC1052">
        <v>48.8</v>
      </c>
      <c r="AD1052">
        <v>83132799</v>
      </c>
    </row>
    <row r="1053" spans="1:30" hidden="1" x14ac:dyDescent="0.45">
      <c r="A1053">
        <v>1027</v>
      </c>
      <c r="B1053">
        <v>2900</v>
      </c>
      <c r="C1053" t="s">
        <v>45</v>
      </c>
      <c r="D1053" t="s">
        <v>3836</v>
      </c>
      <c r="E1053">
        <v>89</v>
      </c>
      <c r="F1053" t="s">
        <v>194</v>
      </c>
      <c r="G1053" t="s">
        <v>1665</v>
      </c>
      <c r="H1053" t="s">
        <v>856</v>
      </c>
      <c r="I1053" t="s">
        <v>45</v>
      </c>
      <c r="J1053" t="s">
        <v>194</v>
      </c>
      <c r="L1053" t="b">
        <v>1</v>
      </c>
      <c r="M1053" t="s">
        <v>39</v>
      </c>
      <c r="N1053" t="s">
        <v>8245</v>
      </c>
      <c r="O1053" s="1">
        <v>12420</v>
      </c>
      <c r="P1053" t="s">
        <v>3837</v>
      </c>
      <c r="Q1053" t="s">
        <v>883</v>
      </c>
      <c r="S1053" s="1">
        <v>45020.209027777775</v>
      </c>
      <c r="V1053">
        <v>1934</v>
      </c>
      <c r="W1053">
        <v>112.85</v>
      </c>
      <c r="X1053">
        <v>1.4</v>
      </c>
      <c r="Y1053" s="2">
        <v>3845630030824</v>
      </c>
      <c r="Z1053">
        <v>70.2</v>
      </c>
      <c r="AA1053">
        <v>104</v>
      </c>
      <c r="AB1053">
        <v>11.5</v>
      </c>
      <c r="AC1053">
        <v>48.8</v>
      </c>
      <c r="AD1053">
        <v>83132799</v>
      </c>
    </row>
    <row r="1054" spans="1:30" hidden="1" x14ac:dyDescent="0.45">
      <c r="A1054">
        <v>1027</v>
      </c>
      <c r="B1054">
        <v>2900</v>
      </c>
      <c r="C1054" t="s">
        <v>302</v>
      </c>
      <c r="D1054" t="s">
        <v>3838</v>
      </c>
      <c r="E1054">
        <v>50</v>
      </c>
      <c r="F1054" t="s">
        <v>363</v>
      </c>
      <c r="G1054" t="s">
        <v>381</v>
      </c>
      <c r="H1054" t="s">
        <v>304</v>
      </c>
      <c r="I1054" t="s">
        <v>302</v>
      </c>
      <c r="J1054" t="s">
        <v>363</v>
      </c>
      <c r="L1054" t="b">
        <v>1</v>
      </c>
      <c r="M1054" t="s">
        <v>29</v>
      </c>
      <c r="N1054" t="s">
        <v>8245</v>
      </c>
      <c r="O1054" s="1">
        <v>26413</v>
      </c>
      <c r="P1054" t="s">
        <v>3839</v>
      </c>
      <c r="Q1054" t="s">
        <v>3840</v>
      </c>
      <c r="S1054" s="1">
        <v>45020.209027777775</v>
      </c>
      <c r="V1054">
        <v>1972</v>
      </c>
      <c r="W1054">
        <v>180.75</v>
      </c>
      <c r="X1054">
        <v>4.5</v>
      </c>
      <c r="Y1054" s="2">
        <v>1699876578871</v>
      </c>
      <c r="Z1054">
        <v>81.900000000000006</v>
      </c>
      <c r="AA1054">
        <v>102.6</v>
      </c>
      <c r="AB1054">
        <v>11.4</v>
      </c>
      <c r="AC1054">
        <v>46.2</v>
      </c>
      <c r="AD1054">
        <v>144373535</v>
      </c>
    </row>
    <row r="1055" spans="1:30" hidden="1" x14ac:dyDescent="0.45">
      <c r="A1055">
        <v>1027</v>
      </c>
      <c r="B1055">
        <v>2900</v>
      </c>
      <c r="C1055" t="s">
        <v>302</v>
      </c>
      <c r="D1055" t="s">
        <v>3841</v>
      </c>
      <c r="E1055">
        <v>52</v>
      </c>
      <c r="F1055" t="s">
        <v>93</v>
      </c>
      <c r="G1055" t="s">
        <v>94</v>
      </c>
      <c r="H1055" t="s">
        <v>304</v>
      </c>
      <c r="I1055" t="s">
        <v>302</v>
      </c>
      <c r="J1055" t="s">
        <v>93</v>
      </c>
      <c r="L1055" t="b">
        <v>0</v>
      </c>
      <c r="M1055" t="s">
        <v>39</v>
      </c>
      <c r="N1055" t="s">
        <v>8245</v>
      </c>
      <c r="O1055" s="1">
        <v>25819</v>
      </c>
      <c r="P1055" t="s">
        <v>3842</v>
      </c>
      <c r="Q1055" t="s">
        <v>3843</v>
      </c>
      <c r="S1055" s="1">
        <v>45020.209027777775</v>
      </c>
      <c r="V1055">
        <v>1970</v>
      </c>
      <c r="W1055">
        <v>180.44</v>
      </c>
      <c r="X1055">
        <v>7.7</v>
      </c>
      <c r="Y1055" s="2">
        <v>2611000000000</v>
      </c>
      <c r="Z1055">
        <v>28.1</v>
      </c>
      <c r="AA1055">
        <v>113</v>
      </c>
      <c r="AB1055">
        <v>11.2</v>
      </c>
      <c r="AC1055">
        <v>49.7</v>
      </c>
      <c r="AD1055">
        <v>1366417754</v>
      </c>
    </row>
    <row r="1056" spans="1:30" hidden="1" x14ac:dyDescent="0.45">
      <c r="A1056">
        <v>1027</v>
      </c>
      <c r="B1056">
        <v>2900</v>
      </c>
      <c r="C1056" t="s">
        <v>347</v>
      </c>
      <c r="D1056" t="s">
        <v>3844</v>
      </c>
      <c r="E1056">
        <v>87</v>
      </c>
      <c r="F1056" t="s">
        <v>2231</v>
      </c>
      <c r="G1056" t="s">
        <v>2232</v>
      </c>
      <c r="H1056" t="s">
        <v>503</v>
      </c>
      <c r="I1056" t="s">
        <v>347</v>
      </c>
      <c r="J1056" t="s">
        <v>2231</v>
      </c>
      <c r="L1056" t="b">
        <v>1</v>
      </c>
      <c r="M1056" t="s">
        <v>29</v>
      </c>
      <c r="N1056" t="s">
        <v>8245</v>
      </c>
      <c r="O1056" s="1">
        <v>13019</v>
      </c>
      <c r="P1056" t="s">
        <v>3845</v>
      </c>
      <c r="Q1056" t="s">
        <v>3846</v>
      </c>
      <c r="S1056" s="1">
        <v>45020.209027777775</v>
      </c>
      <c r="V1056">
        <v>1935</v>
      </c>
      <c r="W1056">
        <v>232.75</v>
      </c>
      <c r="X1056">
        <v>53.5</v>
      </c>
      <c r="Y1056" s="2">
        <v>449663446954</v>
      </c>
      <c r="Z1056">
        <v>90</v>
      </c>
      <c r="AA1056">
        <v>109.7</v>
      </c>
      <c r="AB1056">
        <v>10.1</v>
      </c>
      <c r="AC1056">
        <v>106.3</v>
      </c>
      <c r="AD1056">
        <v>44938712</v>
      </c>
    </row>
    <row r="1057" spans="1:30" hidden="1" x14ac:dyDescent="0.45">
      <c r="A1057">
        <v>1027</v>
      </c>
      <c r="B1057">
        <v>2900</v>
      </c>
      <c r="C1057" t="s">
        <v>61</v>
      </c>
      <c r="D1057" t="s">
        <v>3847</v>
      </c>
      <c r="E1057">
        <v>73</v>
      </c>
      <c r="F1057" t="s">
        <v>393</v>
      </c>
      <c r="G1057" t="s">
        <v>394</v>
      </c>
      <c r="H1057" t="s">
        <v>317</v>
      </c>
      <c r="I1057" t="s">
        <v>61</v>
      </c>
      <c r="J1057" t="s">
        <v>393</v>
      </c>
      <c r="K1057" t="s">
        <v>393</v>
      </c>
      <c r="L1057" t="b">
        <v>1</v>
      </c>
      <c r="M1057" t="s">
        <v>29</v>
      </c>
      <c r="N1057" t="s">
        <v>8245</v>
      </c>
      <c r="O1057" s="1">
        <v>18233</v>
      </c>
      <c r="P1057" t="s">
        <v>3848</v>
      </c>
      <c r="Q1057" t="s">
        <v>3849</v>
      </c>
      <c r="R1057" t="s">
        <v>1639</v>
      </c>
      <c r="S1057" s="1">
        <v>45020.209027777775</v>
      </c>
      <c r="V1057">
        <v>1949</v>
      </c>
      <c r="W1057">
        <v>131.91</v>
      </c>
      <c r="X1057">
        <v>2.6</v>
      </c>
      <c r="Y1057" s="2">
        <v>282318159745</v>
      </c>
      <c r="Z1057">
        <v>88.5</v>
      </c>
      <c r="AA1057">
        <v>101.4</v>
      </c>
      <c r="AB1057">
        <v>18.2</v>
      </c>
      <c r="AC1057">
        <v>34</v>
      </c>
      <c r="AD1057">
        <v>18952038</v>
      </c>
    </row>
    <row r="1058" spans="1:30" hidden="1" x14ac:dyDescent="0.45">
      <c r="A1058">
        <v>1027</v>
      </c>
      <c r="B1058">
        <v>2900</v>
      </c>
      <c r="C1058" t="s">
        <v>33</v>
      </c>
      <c r="D1058" t="s">
        <v>3850</v>
      </c>
      <c r="E1058">
        <v>65</v>
      </c>
      <c r="F1058" t="s">
        <v>93</v>
      </c>
      <c r="G1058" t="s">
        <v>94</v>
      </c>
      <c r="H1058" t="s">
        <v>3851</v>
      </c>
      <c r="I1058" t="s">
        <v>33</v>
      </c>
      <c r="J1058" t="s">
        <v>93</v>
      </c>
      <c r="L1058" t="b">
        <v>0</v>
      </c>
      <c r="M1058" t="s">
        <v>39</v>
      </c>
      <c r="N1058" t="s">
        <v>8245</v>
      </c>
      <c r="O1058" s="1">
        <v>21131</v>
      </c>
      <c r="P1058" t="s">
        <v>3852</v>
      </c>
      <c r="Q1058" t="s">
        <v>3853</v>
      </c>
      <c r="S1058" s="1">
        <v>45020.209027777775</v>
      </c>
      <c r="V1058">
        <v>1957</v>
      </c>
      <c r="W1058">
        <v>180.44</v>
      </c>
      <c r="X1058">
        <v>7.7</v>
      </c>
      <c r="Y1058" s="2">
        <v>2611000000000</v>
      </c>
      <c r="Z1058">
        <v>28.1</v>
      </c>
      <c r="AA1058">
        <v>113</v>
      </c>
      <c r="AB1058">
        <v>11.2</v>
      </c>
      <c r="AC1058">
        <v>49.7</v>
      </c>
      <c r="AD1058">
        <v>1366417754</v>
      </c>
    </row>
    <row r="1059" spans="1:30" hidden="1" x14ac:dyDescent="0.45">
      <c r="A1059">
        <v>1027</v>
      </c>
      <c r="B1059">
        <v>2900</v>
      </c>
      <c r="C1059" t="s">
        <v>402</v>
      </c>
      <c r="D1059" t="s">
        <v>3854</v>
      </c>
      <c r="E1059">
        <v>43</v>
      </c>
      <c r="F1059" t="s">
        <v>363</v>
      </c>
      <c r="G1059" t="s">
        <v>381</v>
      </c>
      <c r="H1059" t="s">
        <v>610</v>
      </c>
      <c r="I1059" t="s">
        <v>402</v>
      </c>
      <c r="J1059" t="s">
        <v>363</v>
      </c>
      <c r="L1059" t="b">
        <v>1</v>
      </c>
      <c r="M1059" t="s">
        <v>29</v>
      </c>
      <c r="N1059" t="s">
        <v>8245</v>
      </c>
      <c r="O1059" s="1">
        <v>29094</v>
      </c>
      <c r="P1059" t="s">
        <v>3855</v>
      </c>
      <c r="Q1059" t="s">
        <v>460</v>
      </c>
      <c r="S1059" s="1">
        <v>45020.209027777775</v>
      </c>
      <c r="V1059">
        <v>1979</v>
      </c>
      <c r="W1059">
        <v>180.75</v>
      </c>
      <c r="X1059">
        <v>4.5</v>
      </c>
      <c r="Y1059" s="2">
        <v>1699876578871</v>
      </c>
      <c r="Z1059">
        <v>81.900000000000006</v>
      </c>
      <c r="AA1059">
        <v>102.6</v>
      </c>
      <c r="AB1059">
        <v>11.4</v>
      </c>
      <c r="AC1059">
        <v>46.2</v>
      </c>
      <c r="AD1059">
        <v>144373535</v>
      </c>
    </row>
    <row r="1060" spans="1:30" hidden="1" x14ac:dyDescent="0.45">
      <c r="A1060">
        <v>1027</v>
      </c>
      <c r="B1060">
        <v>2900</v>
      </c>
      <c r="C1060" t="s">
        <v>76</v>
      </c>
      <c r="D1060" t="s">
        <v>3856</v>
      </c>
      <c r="E1060">
        <v>78</v>
      </c>
      <c r="F1060" t="s">
        <v>35</v>
      </c>
      <c r="G1060" t="s">
        <v>1026</v>
      </c>
      <c r="H1060" t="s">
        <v>3857</v>
      </c>
      <c r="I1060" t="s">
        <v>76</v>
      </c>
      <c r="J1060" t="s">
        <v>35</v>
      </c>
      <c r="L1060" t="b">
        <v>1</v>
      </c>
      <c r="M1060" t="s">
        <v>39</v>
      </c>
      <c r="N1060" t="s">
        <v>8245</v>
      </c>
      <c r="O1060" s="1">
        <v>16360</v>
      </c>
      <c r="P1060" t="s">
        <v>3858</v>
      </c>
      <c r="Q1060" t="s">
        <v>3859</v>
      </c>
      <c r="S1060" s="1">
        <v>45020.209027777775</v>
      </c>
      <c r="T1060" t="s">
        <v>115</v>
      </c>
      <c r="U1060" t="s">
        <v>53</v>
      </c>
      <c r="V1060">
        <v>1944</v>
      </c>
      <c r="W1060">
        <v>117.24</v>
      </c>
      <c r="X1060">
        <v>7.5</v>
      </c>
      <c r="Y1060" s="2">
        <v>21427700000000</v>
      </c>
      <c r="Z1060">
        <v>88.2</v>
      </c>
      <c r="AA1060">
        <v>101.8</v>
      </c>
      <c r="AB1060">
        <v>9.6</v>
      </c>
      <c r="AC1060">
        <v>36.6</v>
      </c>
      <c r="AD1060">
        <v>328239523</v>
      </c>
    </row>
    <row r="1061" spans="1:30" x14ac:dyDescent="0.45">
      <c r="A1061">
        <v>1027</v>
      </c>
      <c r="B1061" s="6">
        <v>2900</v>
      </c>
      <c r="C1061" t="s">
        <v>126</v>
      </c>
      <c r="D1061" t="s">
        <v>3860</v>
      </c>
      <c r="E1061">
        <v>73</v>
      </c>
      <c r="F1061" t="s">
        <v>35</v>
      </c>
      <c r="G1061" t="s">
        <v>3861</v>
      </c>
      <c r="H1061" t="s">
        <v>2416</v>
      </c>
      <c r="I1061" t="s">
        <v>126</v>
      </c>
      <c r="J1061" t="s">
        <v>35</v>
      </c>
      <c r="K1061" t="s">
        <v>3862</v>
      </c>
      <c r="L1061" t="b">
        <v>1</v>
      </c>
      <c r="M1061" t="s">
        <v>29</v>
      </c>
      <c r="N1061" t="s">
        <v>8245</v>
      </c>
      <c r="O1061" s="10">
        <v>18256</v>
      </c>
      <c r="P1061" t="s">
        <v>3863</v>
      </c>
      <c r="Q1061" t="s">
        <v>3864</v>
      </c>
      <c r="R1061" t="s">
        <v>42</v>
      </c>
      <c r="S1061" s="8">
        <v>45020.209027777775</v>
      </c>
      <c r="T1061" t="s">
        <v>115</v>
      </c>
      <c r="U1061" t="s">
        <v>53</v>
      </c>
      <c r="V1061">
        <v>1949</v>
      </c>
      <c r="W1061" s="12">
        <v>117.24</v>
      </c>
      <c r="X1061">
        <v>7.5</v>
      </c>
      <c r="Y1061" s="14">
        <v>21427700000000</v>
      </c>
      <c r="Z1061">
        <v>88.2</v>
      </c>
      <c r="AA1061">
        <v>101.8</v>
      </c>
      <c r="AB1061">
        <v>9.6</v>
      </c>
      <c r="AC1061">
        <v>36.6</v>
      </c>
      <c r="AD1061">
        <v>328239523</v>
      </c>
    </row>
    <row r="1062" spans="1:30" hidden="1" x14ac:dyDescent="0.45">
      <c r="A1062">
        <v>1027</v>
      </c>
      <c r="B1062">
        <v>2900</v>
      </c>
      <c r="C1062" t="s">
        <v>61</v>
      </c>
      <c r="D1062" t="s">
        <v>3865</v>
      </c>
      <c r="E1062">
        <v>48</v>
      </c>
      <c r="F1062" t="s">
        <v>35</v>
      </c>
      <c r="G1062" t="s">
        <v>78</v>
      </c>
      <c r="H1062" t="s">
        <v>1513</v>
      </c>
      <c r="I1062" t="s">
        <v>61</v>
      </c>
      <c r="J1062" t="s">
        <v>93</v>
      </c>
      <c r="L1062" t="b">
        <v>1</v>
      </c>
      <c r="M1062" t="s">
        <v>39</v>
      </c>
      <c r="N1062" t="s">
        <v>8245</v>
      </c>
      <c r="O1062" s="1">
        <v>27364</v>
      </c>
      <c r="P1062" t="s">
        <v>3866</v>
      </c>
      <c r="Q1062" t="s">
        <v>3867</v>
      </c>
      <c r="S1062" s="1">
        <v>45020.209027777775</v>
      </c>
      <c r="T1062" t="s">
        <v>78</v>
      </c>
      <c r="U1062" t="s">
        <v>82</v>
      </c>
      <c r="V1062">
        <v>1974</v>
      </c>
      <c r="W1062">
        <v>117.24</v>
      </c>
      <c r="X1062">
        <v>7.5</v>
      </c>
      <c r="Y1062" s="2">
        <v>21427700000000</v>
      </c>
      <c r="Z1062">
        <v>88.2</v>
      </c>
      <c r="AA1062">
        <v>101.8</v>
      </c>
      <c r="AB1062">
        <v>9.6</v>
      </c>
      <c r="AC1062">
        <v>36.6</v>
      </c>
      <c r="AD1062">
        <v>328239523</v>
      </c>
    </row>
    <row r="1063" spans="1:30" hidden="1" x14ac:dyDescent="0.45">
      <c r="A1063">
        <v>1027</v>
      </c>
      <c r="B1063">
        <v>2900</v>
      </c>
      <c r="C1063" t="s">
        <v>402</v>
      </c>
      <c r="D1063" t="s">
        <v>3868</v>
      </c>
      <c r="E1063">
        <v>85</v>
      </c>
      <c r="F1063" t="s">
        <v>194</v>
      </c>
      <c r="G1063" t="s">
        <v>3869</v>
      </c>
      <c r="H1063" t="s">
        <v>645</v>
      </c>
      <c r="I1063" t="s">
        <v>402</v>
      </c>
      <c r="J1063" t="s">
        <v>194</v>
      </c>
      <c r="L1063" t="b">
        <v>0</v>
      </c>
      <c r="M1063" t="s">
        <v>39</v>
      </c>
      <c r="N1063" t="s">
        <v>8246</v>
      </c>
      <c r="O1063" s="1">
        <v>13611</v>
      </c>
      <c r="P1063" t="s">
        <v>3870</v>
      </c>
      <c r="Q1063" t="s">
        <v>3871</v>
      </c>
      <c r="S1063" s="1">
        <v>45020.209027777775</v>
      </c>
      <c r="V1063">
        <v>1937</v>
      </c>
      <c r="W1063">
        <v>112.85</v>
      </c>
      <c r="X1063">
        <v>1.4</v>
      </c>
      <c r="Y1063" s="2">
        <v>3845630030824</v>
      </c>
      <c r="Z1063">
        <v>70.2</v>
      </c>
      <c r="AA1063">
        <v>104</v>
      </c>
      <c r="AB1063">
        <v>11.5</v>
      </c>
      <c r="AC1063">
        <v>48.8</v>
      </c>
      <c r="AD1063">
        <v>83132799</v>
      </c>
    </row>
    <row r="1064" spans="1:30" hidden="1" x14ac:dyDescent="0.45">
      <c r="A1064">
        <v>1027</v>
      </c>
      <c r="B1064">
        <v>2900</v>
      </c>
      <c r="C1064" t="s">
        <v>61</v>
      </c>
      <c r="D1064" t="s">
        <v>3872</v>
      </c>
      <c r="E1064">
        <v>46</v>
      </c>
      <c r="F1064" t="s">
        <v>35</v>
      </c>
      <c r="G1064" t="s">
        <v>78</v>
      </c>
      <c r="H1064" t="s">
        <v>248</v>
      </c>
      <c r="I1064" t="s">
        <v>61</v>
      </c>
      <c r="J1064" t="s">
        <v>35</v>
      </c>
      <c r="L1064" t="b">
        <v>1</v>
      </c>
      <c r="M1064" t="s">
        <v>39</v>
      </c>
      <c r="N1064" t="s">
        <v>8245</v>
      </c>
      <c r="O1064" s="1">
        <v>28213</v>
      </c>
      <c r="P1064" t="s">
        <v>3873</v>
      </c>
      <c r="Q1064" t="s">
        <v>520</v>
      </c>
      <c r="R1064" t="s">
        <v>688</v>
      </c>
      <c r="S1064" s="1">
        <v>45020.209027777775</v>
      </c>
      <c r="T1064" t="s">
        <v>78</v>
      </c>
      <c r="U1064" t="s">
        <v>82</v>
      </c>
      <c r="V1064">
        <v>1977</v>
      </c>
      <c r="W1064">
        <v>117.24</v>
      </c>
      <c r="X1064">
        <v>7.5</v>
      </c>
      <c r="Y1064" s="2">
        <v>21427700000000</v>
      </c>
      <c r="Z1064">
        <v>88.2</v>
      </c>
      <c r="AA1064">
        <v>101.8</v>
      </c>
      <c r="AB1064">
        <v>9.6</v>
      </c>
      <c r="AC1064">
        <v>36.6</v>
      </c>
      <c r="AD1064">
        <v>328239523</v>
      </c>
    </row>
    <row r="1065" spans="1:30" x14ac:dyDescent="0.45">
      <c r="A1065">
        <v>1027</v>
      </c>
      <c r="B1065" s="6">
        <v>2900</v>
      </c>
      <c r="C1065" t="s">
        <v>126</v>
      </c>
      <c r="D1065" t="s">
        <v>3874</v>
      </c>
      <c r="E1065">
        <v>59</v>
      </c>
      <c r="F1065" t="s">
        <v>35</v>
      </c>
      <c r="G1065" t="s">
        <v>1883</v>
      </c>
      <c r="H1065" t="s">
        <v>3875</v>
      </c>
      <c r="I1065" t="s">
        <v>126</v>
      </c>
      <c r="J1065" t="s">
        <v>35</v>
      </c>
      <c r="K1065" t="s">
        <v>3876</v>
      </c>
      <c r="L1065" t="b">
        <v>0</v>
      </c>
      <c r="M1065" t="s">
        <v>39</v>
      </c>
      <c r="N1065" t="s">
        <v>8245</v>
      </c>
      <c r="O1065" s="10">
        <v>23316</v>
      </c>
      <c r="P1065" t="s">
        <v>3877</v>
      </c>
      <c r="Q1065" t="s">
        <v>338</v>
      </c>
      <c r="R1065" t="s">
        <v>688</v>
      </c>
      <c r="S1065" s="8">
        <v>45020.209027777775</v>
      </c>
      <c r="T1065" t="s">
        <v>253</v>
      </c>
      <c r="U1065" t="s">
        <v>44</v>
      </c>
      <c r="V1065">
        <v>1963</v>
      </c>
      <c r="W1065" s="12">
        <v>117.24</v>
      </c>
      <c r="X1065">
        <v>7.5</v>
      </c>
      <c r="Y1065" s="14">
        <v>21427700000000</v>
      </c>
      <c r="Z1065">
        <v>88.2</v>
      </c>
      <c r="AA1065">
        <v>101.8</v>
      </c>
      <c r="AB1065">
        <v>9.6</v>
      </c>
      <c r="AC1065">
        <v>36.6</v>
      </c>
      <c r="AD1065">
        <v>328239523</v>
      </c>
    </row>
    <row r="1066" spans="1:30" hidden="1" x14ac:dyDescent="0.45">
      <c r="A1066">
        <v>1027</v>
      </c>
      <c r="B1066">
        <v>2900</v>
      </c>
      <c r="C1066" t="s">
        <v>23</v>
      </c>
      <c r="D1066" t="s">
        <v>3878</v>
      </c>
      <c r="E1066">
        <v>61</v>
      </c>
      <c r="F1066" t="s">
        <v>128</v>
      </c>
      <c r="G1066" t="s">
        <v>187</v>
      </c>
      <c r="H1066" t="s">
        <v>594</v>
      </c>
      <c r="I1066" t="s">
        <v>23</v>
      </c>
      <c r="J1066" t="s">
        <v>128</v>
      </c>
      <c r="L1066" t="b">
        <v>1</v>
      </c>
      <c r="M1066" t="s">
        <v>39</v>
      </c>
      <c r="N1066" t="s">
        <v>8245</v>
      </c>
      <c r="O1066" s="1">
        <v>22647</v>
      </c>
      <c r="P1066" t="s">
        <v>190</v>
      </c>
      <c r="Q1066" t="s">
        <v>3879</v>
      </c>
      <c r="S1066" s="1">
        <v>45020.209027777775</v>
      </c>
      <c r="V1066">
        <v>1962</v>
      </c>
      <c r="W1066">
        <v>125.08</v>
      </c>
      <c r="X1066">
        <v>2.9</v>
      </c>
      <c r="Y1066" s="2">
        <v>19910000000000</v>
      </c>
      <c r="Z1066">
        <v>50.6</v>
      </c>
      <c r="AA1066">
        <v>100.2</v>
      </c>
      <c r="AB1066">
        <v>9.4</v>
      </c>
      <c r="AC1066">
        <v>59.2</v>
      </c>
      <c r="AD1066">
        <v>1397715000</v>
      </c>
    </row>
    <row r="1067" spans="1:30" hidden="1" x14ac:dyDescent="0.45">
      <c r="A1067">
        <v>1027</v>
      </c>
      <c r="B1067">
        <v>2900</v>
      </c>
      <c r="C1067" t="s">
        <v>23</v>
      </c>
      <c r="D1067" t="s">
        <v>3880</v>
      </c>
      <c r="E1067">
        <v>62</v>
      </c>
      <c r="F1067" t="s">
        <v>128</v>
      </c>
      <c r="G1067" t="s">
        <v>3881</v>
      </c>
      <c r="H1067" t="s">
        <v>268</v>
      </c>
      <c r="I1067" t="s">
        <v>23</v>
      </c>
      <c r="J1067" t="s">
        <v>128</v>
      </c>
      <c r="L1067" t="b">
        <v>1</v>
      </c>
      <c r="M1067" t="s">
        <v>611</v>
      </c>
      <c r="N1067" t="s">
        <v>8245</v>
      </c>
      <c r="O1067" s="1">
        <v>22064</v>
      </c>
      <c r="P1067" t="s">
        <v>1784</v>
      </c>
      <c r="Q1067" t="s">
        <v>3882</v>
      </c>
      <c r="S1067" s="1">
        <v>45020.209027777775</v>
      </c>
      <c r="V1067">
        <v>1960</v>
      </c>
      <c r="W1067">
        <v>125.08</v>
      </c>
      <c r="X1067">
        <v>2.9</v>
      </c>
      <c r="Y1067" s="2">
        <v>19910000000000</v>
      </c>
      <c r="Z1067">
        <v>50.6</v>
      </c>
      <c r="AA1067">
        <v>100.2</v>
      </c>
      <c r="AB1067">
        <v>9.4</v>
      </c>
      <c r="AC1067">
        <v>59.2</v>
      </c>
      <c r="AD1067">
        <v>1397715000</v>
      </c>
    </row>
    <row r="1068" spans="1:30" hidden="1" x14ac:dyDescent="0.45">
      <c r="A1068">
        <v>1067</v>
      </c>
      <c r="B1068">
        <v>2800</v>
      </c>
      <c r="C1068" t="s">
        <v>23</v>
      </c>
      <c r="D1068" t="s">
        <v>3883</v>
      </c>
      <c r="E1068">
        <v>66</v>
      </c>
      <c r="F1068" t="s">
        <v>93</v>
      </c>
      <c r="G1068" t="s">
        <v>3884</v>
      </c>
      <c r="H1068" t="s">
        <v>3885</v>
      </c>
      <c r="I1068" t="s">
        <v>23</v>
      </c>
      <c r="J1068" t="s">
        <v>93</v>
      </c>
      <c r="L1068" t="b">
        <v>0</v>
      </c>
      <c r="M1068" t="s">
        <v>29</v>
      </c>
      <c r="N1068" t="s">
        <v>8245</v>
      </c>
      <c r="O1068" s="1">
        <v>20702</v>
      </c>
      <c r="P1068" t="s">
        <v>3886</v>
      </c>
      <c r="Q1068" t="s">
        <v>3887</v>
      </c>
      <c r="S1068" s="1">
        <v>45020.209027777775</v>
      </c>
      <c r="V1068">
        <v>1956</v>
      </c>
      <c r="W1068">
        <v>180.44</v>
      </c>
      <c r="X1068">
        <v>7.7</v>
      </c>
      <c r="Y1068" s="2">
        <v>2611000000000</v>
      </c>
      <c r="Z1068">
        <v>28.1</v>
      </c>
      <c r="AA1068">
        <v>113</v>
      </c>
      <c r="AB1068">
        <v>11.2</v>
      </c>
      <c r="AC1068">
        <v>49.7</v>
      </c>
      <c r="AD1068">
        <v>1366417754</v>
      </c>
    </row>
    <row r="1069" spans="1:30" hidden="1" x14ac:dyDescent="0.45">
      <c r="A1069">
        <v>1067</v>
      </c>
      <c r="B1069">
        <v>2800</v>
      </c>
      <c r="C1069" t="s">
        <v>402</v>
      </c>
      <c r="D1069" t="s">
        <v>3888</v>
      </c>
      <c r="E1069">
        <v>74</v>
      </c>
      <c r="F1069" t="s">
        <v>128</v>
      </c>
      <c r="G1069" t="s">
        <v>3889</v>
      </c>
      <c r="H1069" t="s">
        <v>610</v>
      </c>
      <c r="I1069" t="s">
        <v>402</v>
      </c>
      <c r="J1069" t="s">
        <v>128</v>
      </c>
      <c r="L1069" t="b">
        <v>1</v>
      </c>
      <c r="M1069" t="s">
        <v>39</v>
      </c>
      <c r="N1069" t="s">
        <v>8245</v>
      </c>
      <c r="O1069" s="1">
        <v>17899</v>
      </c>
      <c r="P1069" t="s">
        <v>3890</v>
      </c>
      <c r="Q1069" t="s">
        <v>592</v>
      </c>
      <c r="S1069" s="1">
        <v>45020.209027777775</v>
      </c>
      <c r="V1069">
        <v>1949</v>
      </c>
      <c r="W1069">
        <v>125.08</v>
      </c>
      <c r="X1069">
        <v>2.9</v>
      </c>
      <c r="Y1069" s="2">
        <v>19910000000000</v>
      </c>
      <c r="Z1069">
        <v>50.6</v>
      </c>
      <c r="AA1069">
        <v>100.2</v>
      </c>
      <c r="AB1069">
        <v>9.4</v>
      </c>
      <c r="AC1069">
        <v>59.2</v>
      </c>
      <c r="AD1069">
        <v>1397715000</v>
      </c>
    </row>
    <row r="1070" spans="1:30" x14ac:dyDescent="0.45">
      <c r="A1070">
        <v>1067</v>
      </c>
      <c r="B1070" s="6">
        <v>2800</v>
      </c>
      <c r="C1070" t="s">
        <v>45</v>
      </c>
      <c r="D1070" t="s">
        <v>3891</v>
      </c>
      <c r="E1070">
        <v>44</v>
      </c>
      <c r="F1070" t="s">
        <v>35</v>
      </c>
      <c r="G1070" t="s">
        <v>991</v>
      </c>
      <c r="H1070" t="s">
        <v>2729</v>
      </c>
      <c r="I1070" t="s">
        <v>45</v>
      </c>
      <c r="J1070" t="s">
        <v>164</v>
      </c>
      <c r="K1070" t="s">
        <v>2730</v>
      </c>
      <c r="L1070" t="b">
        <v>1</v>
      </c>
      <c r="M1070" t="s">
        <v>611</v>
      </c>
      <c r="N1070" t="s">
        <v>8245</v>
      </c>
      <c r="O1070" s="10">
        <v>28767</v>
      </c>
      <c r="P1070" t="s">
        <v>3892</v>
      </c>
      <c r="Q1070" t="s">
        <v>3893</v>
      </c>
      <c r="R1070" t="s">
        <v>3894</v>
      </c>
      <c r="S1070" s="8">
        <v>45020.209027777775</v>
      </c>
      <c r="T1070" t="s">
        <v>115</v>
      </c>
      <c r="U1070" t="s">
        <v>53</v>
      </c>
      <c r="V1070">
        <v>1978</v>
      </c>
      <c r="W1070" s="12">
        <v>117.24</v>
      </c>
      <c r="X1070">
        <v>7.5</v>
      </c>
      <c r="Y1070" s="14">
        <v>21427700000000</v>
      </c>
      <c r="Z1070">
        <v>88.2</v>
      </c>
      <c r="AA1070">
        <v>101.8</v>
      </c>
      <c r="AB1070">
        <v>9.6</v>
      </c>
      <c r="AC1070">
        <v>36.6</v>
      </c>
      <c r="AD1070">
        <v>328239523</v>
      </c>
    </row>
    <row r="1071" spans="1:30" hidden="1" x14ac:dyDescent="0.45">
      <c r="A1071">
        <v>1067</v>
      </c>
      <c r="B1071">
        <v>2800</v>
      </c>
      <c r="C1071" t="s">
        <v>239</v>
      </c>
      <c r="D1071" t="s">
        <v>3895</v>
      </c>
      <c r="E1071">
        <v>75</v>
      </c>
      <c r="F1071" t="s">
        <v>3896</v>
      </c>
      <c r="G1071" t="s">
        <v>3897</v>
      </c>
      <c r="H1071" t="s">
        <v>3898</v>
      </c>
      <c r="I1071" t="s">
        <v>239</v>
      </c>
      <c r="J1071" t="s">
        <v>762</v>
      </c>
      <c r="L1071" t="b">
        <v>1</v>
      </c>
      <c r="M1071" t="s">
        <v>29</v>
      </c>
      <c r="N1071" t="s">
        <v>8245</v>
      </c>
      <c r="O1071" s="1">
        <v>17349</v>
      </c>
      <c r="P1071" t="s">
        <v>679</v>
      </c>
      <c r="Q1071" t="s">
        <v>3899</v>
      </c>
      <c r="S1071" s="1">
        <v>45020.209027777775</v>
      </c>
      <c r="V1071">
        <v>1947</v>
      </c>
      <c r="W1071">
        <v>127.63</v>
      </c>
      <c r="X1071">
        <v>2.5</v>
      </c>
      <c r="Y1071" s="2">
        <v>27089389787</v>
      </c>
      <c r="Z1071">
        <v>13.7</v>
      </c>
      <c r="AA1071">
        <v>107.4</v>
      </c>
      <c r="AB1071">
        <v>17.100000000000001</v>
      </c>
      <c r="AC1071">
        <v>23.1</v>
      </c>
      <c r="AD1071">
        <v>16486542</v>
      </c>
    </row>
    <row r="1072" spans="1:30" hidden="1" x14ac:dyDescent="0.45">
      <c r="A1072">
        <v>1067</v>
      </c>
      <c r="B1072">
        <v>2800</v>
      </c>
      <c r="C1072" t="s">
        <v>302</v>
      </c>
      <c r="D1072" t="s">
        <v>3900</v>
      </c>
      <c r="E1072">
        <v>69</v>
      </c>
      <c r="F1072" t="s">
        <v>574</v>
      </c>
      <c r="G1072" t="s">
        <v>574</v>
      </c>
      <c r="H1072" t="s">
        <v>3015</v>
      </c>
      <c r="I1072" t="s">
        <v>302</v>
      </c>
      <c r="J1072" t="s">
        <v>574</v>
      </c>
      <c r="L1072" t="b">
        <v>1</v>
      </c>
      <c r="M1072" t="s">
        <v>29</v>
      </c>
      <c r="N1072" t="s">
        <v>8245</v>
      </c>
      <c r="O1072" s="1">
        <v>19470</v>
      </c>
      <c r="P1072" t="s">
        <v>3901</v>
      </c>
      <c r="Q1072" t="s">
        <v>3902</v>
      </c>
      <c r="S1072" s="1">
        <v>45020.209027777775</v>
      </c>
      <c r="V1072">
        <v>1953</v>
      </c>
      <c r="W1072">
        <v>114.41</v>
      </c>
      <c r="X1072">
        <v>0.6</v>
      </c>
      <c r="Y1072" s="2">
        <v>372062527489</v>
      </c>
      <c r="Z1072">
        <v>84.8</v>
      </c>
      <c r="AA1072">
        <v>100.6</v>
      </c>
      <c r="AB1072">
        <v>13.1</v>
      </c>
      <c r="AC1072">
        <v>21</v>
      </c>
      <c r="AD1072">
        <v>5703569</v>
      </c>
    </row>
    <row r="1073" spans="1:30" hidden="1" x14ac:dyDescent="0.45">
      <c r="A1073">
        <v>1067</v>
      </c>
      <c r="B1073">
        <v>2800</v>
      </c>
      <c r="C1073" t="s">
        <v>33</v>
      </c>
      <c r="D1073" t="s">
        <v>3903</v>
      </c>
      <c r="E1073">
        <v>52</v>
      </c>
      <c r="F1073" t="s">
        <v>928</v>
      </c>
      <c r="G1073" t="s">
        <v>929</v>
      </c>
      <c r="H1073" t="s">
        <v>2804</v>
      </c>
      <c r="I1073" t="s">
        <v>33</v>
      </c>
      <c r="J1073" t="s">
        <v>928</v>
      </c>
      <c r="K1073" t="s">
        <v>3904</v>
      </c>
      <c r="L1073" t="b">
        <v>0</v>
      </c>
      <c r="M1073" t="s">
        <v>39</v>
      </c>
      <c r="N1073" t="s">
        <v>8245</v>
      </c>
      <c r="O1073" s="1">
        <v>25859</v>
      </c>
      <c r="P1073" t="s">
        <v>2805</v>
      </c>
      <c r="Q1073" t="s">
        <v>3905</v>
      </c>
      <c r="S1073" s="1">
        <v>45020.209027777775</v>
      </c>
      <c r="V1073">
        <v>1970</v>
      </c>
      <c r="W1073">
        <v>115.16</v>
      </c>
      <c r="X1073">
        <v>0.4</v>
      </c>
      <c r="Y1073" s="2">
        <v>2029000000000</v>
      </c>
      <c r="Z1073">
        <v>94.3</v>
      </c>
      <c r="AA1073">
        <v>98.1</v>
      </c>
      <c r="AB1073">
        <v>15.6</v>
      </c>
      <c r="AC1073">
        <v>33.200000000000003</v>
      </c>
      <c r="AD1073">
        <v>51709098</v>
      </c>
    </row>
    <row r="1074" spans="1:30" hidden="1" x14ac:dyDescent="0.45">
      <c r="A1074">
        <v>1067</v>
      </c>
      <c r="B1074">
        <v>2800</v>
      </c>
      <c r="C1074" t="s">
        <v>91</v>
      </c>
      <c r="D1074" t="s">
        <v>3906</v>
      </c>
      <c r="E1074">
        <v>72</v>
      </c>
      <c r="F1074" t="s">
        <v>93</v>
      </c>
      <c r="G1074" t="s">
        <v>94</v>
      </c>
      <c r="H1074" t="s">
        <v>2022</v>
      </c>
      <c r="I1074" t="s">
        <v>91</v>
      </c>
      <c r="J1074" t="s">
        <v>93</v>
      </c>
      <c r="L1074" t="b">
        <v>0</v>
      </c>
      <c r="M1074" t="s">
        <v>29</v>
      </c>
      <c r="N1074" t="s">
        <v>8246</v>
      </c>
      <c r="O1074" s="1">
        <v>18627</v>
      </c>
      <c r="P1074" t="s">
        <v>3907</v>
      </c>
      <c r="Q1074" t="s">
        <v>3908</v>
      </c>
      <c r="S1074" s="1">
        <v>45020.209027777775</v>
      </c>
      <c r="V1074">
        <v>1950</v>
      </c>
      <c r="W1074">
        <v>180.44</v>
      </c>
      <c r="X1074">
        <v>7.7</v>
      </c>
      <c r="Y1074" s="2">
        <v>2611000000000</v>
      </c>
      <c r="Z1074">
        <v>28.1</v>
      </c>
      <c r="AA1074">
        <v>113</v>
      </c>
      <c r="AB1074">
        <v>11.2</v>
      </c>
      <c r="AC1074">
        <v>49.7</v>
      </c>
      <c r="AD1074">
        <v>1366417754</v>
      </c>
    </row>
    <row r="1075" spans="1:30" hidden="1" x14ac:dyDescent="0.45">
      <c r="A1075">
        <v>1067</v>
      </c>
      <c r="B1075">
        <v>2800</v>
      </c>
      <c r="C1075" t="s">
        <v>23</v>
      </c>
      <c r="D1075" t="s">
        <v>3909</v>
      </c>
      <c r="E1075">
        <v>90</v>
      </c>
      <c r="F1075" t="s">
        <v>35</v>
      </c>
      <c r="G1075" t="s">
        <v>3910</v>
      </c>
      <c r="H1075" t="s">
        <v>594</v>
      </c>
      <c r="I1075" t="s">
        <v>23</v>
      </c>
      <c r="J1075" t="s">
        <v>35</v>
      </c>
      <c r="L1075" t="b">
        <v>0</v>
      </c>
      <c r="M1075" t="s">
        <v>258</v>
      </c>
      <c r="N1075" t="s">
        <v>8246</v>
      </c>
      <c r="O1075" s="1">
        <v>11891</v>
      </c>
      <c r="P1075" t="s">
        <v>3911</v>
      </c>
      <c r="Q1075" t="s">
        <v>3912</v>
      </c>
      <c r="S1075" s="1">
        <v>45020.209027777775</v>
      </c>
      <c r="T1075" t="s">
        <v>43</v>
      </c>
      <c r="U1075" t="s">
        <v>44</v>
      </c>
      <c r="V1075">
        <v>1932</v>
      </c>
      <c r="W1075">
        <v>117.24</v>
      </c>
      <c r="X1075">
        <v>7.5</v>
      </c>
      <c r="Y1075" s="2">
        <v>21427700000000</v>
      </c>
      <c r="Z1075">
        <v>88.2</v>
      </c>
      <c r="AA1075">
        <v>101.8</v>
      </c>
      <c r="AB1075">
        <v>9.6</v>
      </c>
      <c r="AC1075">
        <v>36.6</v>
      </c>
      <c r="AD1075">
        <v>328239523</v>
      </c>
    </row>
    <row r="1076" spans="1:30" hidden="1" x14ac:dyDescent="0.45">
      <c r="A1076">
        <v>1067</v>
      </c>
      <c r="B1076">
        <v>2800</v>
      </c>
      <c r="C1076" t="s">
        <v>296</v>
      </c>
      <c r="D1076" t="s">
        <v>3913</v>
      </c>
      <c r="E1076">
        <v>53</v>
      </c>
      <c r="F1076" t="s">
        <v>128</v>
      </c>
      <c r="G1076" t="s">
        <v>187</v>
      </c>
      <c r="H1076" t="s">
        <v>399</v>
      </c>
      <c r="I1076" t="s">
        <v>296</v>
      </c>
      <c r="J1076" t="s">
        <v>128</v>
      </c>
      <c r="L1076" t="b">
        <v>1</v>
      </c>
      <c r="M1076" t="s">
        <v>39</v>
      </c>
      <c r="N1076" t="s">
        <v>8245</v>
      </c>
      <c r="O1076" s="1">
        <v>25524</v>
      </c>
      <c r="P1076" t="s">
        <v>3914</v>
      </c>
      <c r="Q1076" t="s">
        <v>3915</v>
      </c>
      <c r="S1076" s="1">
        <v>45020.209027777775</v>
      </c>
      <c r="V1076">
        <v>1969</v>
      </c>
      <c r="W1076">
        <v>125.08</v>
      </c>
      <c r="X1076">
        <v>2.9</v>
      </c>
      <c r="Y1076" s="2">
        <v>19910000000000</v>
      </c>
      <c r="Z1076">
        <v>50.6</v>
      </c>
      <c r="AA1076">
        <v>100.2</v>
      </c>
      <c r="AB1076">
        <v>9.4</v>
      </c>
      <c r="AC1076">
        <v>59.2</v>
      </c>
      <c r="AD1076">
        <v>1397715000</v>
      </c>
    </row>
    <row r="1077" spans="1:30" hidden="1" x14ac:dyDescent="0.45">
      <c r="A1077">
        <v>1067</v>
      </c>
      <c r="B1077">
        <v>2800</v>
      </c>
      <c r="C1077" t="s">
        <v>702</v>
      </c>
      <c r="D1077" t="s">
        <v>3916</v>
      </c>
      <c r="E1077">
        <v>54</v>
      </c>
      <c r="F1077" t="s">
        <v>35</v>
      </c>
      <c r="G1077" t="s">
        <v>241</v>
      </c>
      <c r="H1077" t="s">
        <v>3917</v>
      </c>
      <c r="I1077" t="s">
        <v>702</v>
      </c>
      <c r="J1077" t="s">
        <v>35</v>
      </c>
      <c r="L1077" t="b">
        <v>0</v>
      </c>
      <c r="M1077" t="s">
        <v>29</v>
      </c>
      <c r="N1077" t="s">
        <v>8245</v>
      </c>
      <c r="O1077" s="1">
        <v>25206</v>
      </c>
      <c r="P1077" t="s">
        <v>1189</v>
      </c>
      <c r="Q1077" t="s">
        <v>3918</v>
      </c>
      <c r="S1077" s="1">
        <v>45020.209027777775</v>
      </c>
      <c r="T1077" t="s">
        <v>245</v>
      </c>
      <c r="U1077" t="s">
        <v>53</v>
      </c>
      <c r="V1077">
        <v>1969</v>
      </c>
      <c r="W1077">
        <v>117.24</v>
      </c>
      <c r="X1077">
        <v>7.5</v>
      </c>
      <c r="Y1077" s="2">
        <v>21427700000000</v>
      </c>
      <c r="Z1077">
        <v>88.2</v>
      </c>
      <c r="AA1077">
        <v>101.8</v>
      </c>
      <c r="AB1077">
        <v>9.6</v>
      </c>
      <c r="AC1077">
        <v>36.6</v>
      </c>
      <c r="AD1077">
        <v>328239523</v>
      </c>
    </row>
    <row r="1078" spans="1:30" hidden="1" x14ac:dyDescent="0.45">
      <c r="A1078">
        <v>1067</v>
      </c>
      <c r="B1078">
        <v>2800</v>
      </c>
      <c r="C1078" t="s">
        <v>45</v>
      </c>
      <c r="D1078" t="s">
        <v>3919</v>
      </c>
      <c r="F1078" t="s">
        <v>194</v>
      </c>
      <c r="G1078" t="s">
        <v>1665</v>
      </c>
      <c r="H1078" t="s">
        <v>3920</v>
      </c>
      <c r="I1078" t="s">
        <v>45</v>
      </c>
      <c r="J1078" t="s">
        <v>194</v>
      </c>
      <c r="L1078" t="b">
        <v>0</v>
      </c>
      <c r="M1078" t="s">
        <v>29</v>
      </c>
      <c r="N1078" t="s">
        <v>8245</v>
      </c>
      <c r="O1078"/>
      <c r="P1078" t="s">
        <v>3921</v>
      </c>
      <c r="Q1078" t="s">
        <v>3849</v>
      </c>
      <c r="S1078" s="1">
        <v>45020.209027777775</v>
      </c>
      <c r="W1078">
        <v>112.85</v>
      </c>
      <c r="X1078">
        <v>1.4</v>
      </c>
      <c r="Y1078" s="2">
        <v>3845630030824</v>
      </c>
      <c r="Z1078">
        <v>70.2</v>
      </c>
      <c r="AA1078">
        <v>104</v>
      </c>
      <c r="AB1078">
        <v>11.5</v>
      </c>
      <c r="AC1078">
        <v>48.8</v>
      </c>
      <c r="AD1078">
        <v>83132799</v>
      </c>
    </row>
    <row r="1079" spans="1:30" hidden="1" x14ac:dyDescent="0.45">
      <c r="A1079">
        <v>1067</v>
      </c>
      <c r="B1079">
        <v>2800</v>
      </c>
      <c r="C1079" t="s">
        <v>91</v>
      </c>
      <c r="D1079" t="s">
        <v>3922</v>
      </c>
      <c r="E1079">
        <v>81</v>
      </c>
      <c r="F1079" t="s">
        <v>93</v>
      </c>
      <c r="G1079" t="s">
        <v>94</v>
      </c>
      <c r="H1079" t="s">
        <v>2022</v>
      </c>
      <c r="I1079" t="s">
        <v>91</v>
      </c>
      <c r="J1079" t="s">
        <v>93</v>
      </c>
      <c r="L1079" t="b">
        <v>0</v>
      </c>
      <c r="M1079" t="s">
        <v>29</v>
      </c>
      <c r="N1079" t="s">
        <v>8245</v>
      </c>
      <c r="O1079" s="1">
        <v>15434</v>
      </c>
      <c r="P1079" t="s">
        <v>3923</v>
      </c>
      <c r="Q1079" t="s">
        <v>3924</v>
      </c>
      <c r="S1079" s="1">
        <v>45020.209027777775</v>
      </c>
      <c r="V1079">
        <v>1942</v>
      </c>
      <c r="W1079">
        <v>180.44</v>
      </c>
      <c r="X1079">
        <v>7.7</v>
      </c>
      <c r="Y1079" s="2">
        <v>2611000000000</v>
      </c>
      <c r="Z1079">
        <v>28.1</v>
      </c>
      <c r="AA1079">
        <v>113</v>
      </c>
      <c r="AB1079">
        <v>11.2</v>
      </c>
      <c r="AC1079">
        <v>49.7</v>
      </c>
      <c r="AD1079">
        <v>1366417754</v>
      </c>
    </row>
    <row r="1080" spans="1:30" hidden="1" x14ac:dyDescent="0.45">
      <c r="A1080">
        <v>1067</v>
      </c>
      <c r="B1080">
        <v>2800</v>
      </c>
      <c r="C1080" t="s">
        <v>91</v>
      </c>
      <c r="D1080" t="s">
        <v>3925</v>
      </c>
      <c r="E1080">
        <v>74</v>
      </c>
      <c r="F1080" t="s">
        <v>93</v>
      </c>
      <c r="G1080" t="s">
        <v>94</v>
      </c>
      <c r="H1080" t="s">
        <v>91</v>
      </c>
      <c r="I1080" t="s">
        <v>91</v>
      </c>
      <c r="J1080" t="s">
        <v>93</v>
      </c>
      <c r="L1080" t="b">
        <v>0</v>
      </c>
      <c r="M1080" t="s">
        <v>29</v>
      </c>
      <c r="N1080" t="s">
        <v>8245</v>
      </c>
      <c r="O1080" s="1">
        <v>17922</v>
      </c>
      <c r="P1080" t="s">
        <v>3923</v>
      </c>
      <c r="Q1080" t="s">
        <v>3926</v>
      </c>
      <c r="S1080" s="1">
        <v>45020.209027777775</v>
      </c>
      <c r="V1080">
        <v>1949</v>
      </c>
      <c r="W1080">
        <v>180.44</v>
      </c>
      <c r="X1080">
        <v>7.7</v>
      </c>
      <c r="Y1080" s="2">
        <v>2611000000000</v>
      </c>
      <c r="Z1080">
        <v>28.1</v>
      </c>
      <c r="AA1080">
        <v>113</v>
      </c>
      <c r="AB1080">
        <v>11.2</v>
      </c>
      <c r="AC1080">
        <v>49.7</v>
      </c>
      <c r="AD1080">
        <v>1366417754</v>
      </c>
    </row>
    <row r="1081" spans="1:30" hidden="1" x14ac:dyDescent="0.45">
      <c r="A1081">
        <v>1067</v>
      </c>
      <c r="B1081">
        <v>2800</v>
      </c>
      <c r="C1081" t="s">
        <v>302</v>
      </c>
      <c r="D1081" t="s">
        <v>3927</v>
      </c>
      <c r="E1081">
        <v>56</v>
      </c>
      <c r="F1081" t="s">
        <v>762</v>
      </c>
      <c r="H1081" t="s">
        <v>3928</v>
      </c>
      <c r="I1081" t="s">
        <v>302</v>
      </c>
      <c r="J1081" t="s">
        <v>762</v>
      </c>
      <c r="L1081" t="b">
        <v>0</v>
      </c>
      <c r="M1081" t="s">
        <v>285</v>
      </c>
      <c r="N1081" t="s">
        <v>8245</v>
      </c>
      <c r="O1081" s="1">
        <v>24473</v>
      </c>
      <c r="P1081" t="s">
        <v>305</v>
      </c>
      <c r="Q1081" t="s">
        <v>3929</v>
      </c>
      <c r="S1081" s="1">
        <v>45020.209027777775</v>
      </c>
      <c r="V1081">
        <v>1967</v>
      </c>
      <c r="W1081">
        <v>121.46</v>
      </c>
      <c r="X1081">
        <v>0.7</v>
      </c>
      <c r="Y1081" s="2">
        <v>364701517788</v>
      </c>
      <c r="Z1081">
        <v>45.1</v>
      </c>
      <c r="AA1081">
        <v>105.3</v>
      </c>
      <c r="AB1081">
        <v>12</v>
      </c>
      <c r="AC1081">
        <v>38.700000000000003</v>
      </c>
      <c r="AD1081">
        <v>32447385</v>
      </c>
    </row>
    <row r="1082" spans="1:30" hidden="1" x14ac:dyDescent="0.45">
      <c r="A1082">
        <v>1067</v>
      </c>
      <c r="B1082">
        <v>2800</v>
      </c>
      <c r="C1082" t="s">
        <v>296</v>
      </c>
      <c r="D1082" t="s">
        <v>3930</v>
      </c>
      <c r="E1082">
        <v>58</v>
      </c>
      <c r="F1082" t="s">
        <v>128</v>
      </c>
      <c r="G1082" t="s">
        <v>187</v>
      </c>
      <c r="H1082" t="s">
        <v>3931</v>
      </c>
      <c r="I1082" t="s">
        <v>296</v>
      </c>
      <c r="J1082" t="s">
        <v>128</v>
      </c>
      <c r="L1082" t="b">
        <v>1</v>
      </c>
      <c r="M1082" t="s">
        <v>39</v>
      </c>
      <c r="N1082" t="s">
        <v>8245</v>
      </c>
      <c r="O1082" s="1">
        <v>23743</v>
      </c>
      <c r="P1082" t="s">
        <v>230</v>
      </c>
      <c r="Q1082" t="s">
        <v>3932</v>
      </c>
      <c r="S1082" s="1">
        <v>45020.209027777775</v>
      </c>
      <c r="V1082">
        <v>1965</v>
      </c>
      <c r="W1082">
        <v>125.08</v>
      </c>
      <c r="X1082">
        <v>2.9</v>
      </c>
      <c r="Y1082" s="2">
        <v>19910000000000</v>
      </c>
      <c r="Z1082">
        <v>50.6</v>
      </c>
      <c r="AA1082">
        <v>100.2</v>
      </c>
      <c r="AB1082">
        <v>9.4</v>
      </c>
      <c r="AC1082">
        <v>59.2</v>
      </c>
      <c r="AD1082">
        <v>1397715000</v>
      </c>
    </row>
    <row r="1083" spans="1:30" hidden="1" x14ac:dyDescent="0.45">
      <c r="A1083">
        <v>1067</v>
      </c>
      <c r="B1083">
        <v>2800</v>
      </c>
      <c r="C1083" t="s">
        <v>296</v>
      </c>
      <c r="D1083" t="s">
        <v>3933</v>
      </c>
      <c r="E1083">
        <v>54</v>
      </c>
      <c r="F1083" t="s">
        <v>363</v>
      </c>
      <c r="G1083" t="s">
        <v>381</v>
      </c>
      <c r="H1083" t="s">
        <v>399</v>
      </c>
      <c r="I1083" t="s">
        <v>296</v>
      </c>
      <c r="J1083" t="s">
        <v>363</v>
      </c>
      <c r="L1083" t="b">
        <v>1</v>
      </c>
      <c r="M1083" t="s">
        <v>1332</v>
      </c>
      <c r="N1083" t="s">
        <v>8245</v>
      </c>
      <c r="O1083" s="1">
        <v>24946</v>
      </c>
      <c r="P1083" t="s">
        <v>3934</v>
      </c>
      <c r="Q1083" t="s">
        <v>1710</v>
      </c>
      <c r="S1083" s="1">
        <v>45020.209027777775</v>
      </c>
      <c r="V1083">
        <v>1968</v>
      </c>
      <c r="W1083">
        <v>180.75</v>
      </c>
      <c r="X1083">
        <v>4.5</v>
      </c>
      <c r="Y1083" s="2">
        <v>1699876578871</v>
      </c>
      <c r="Z1083">
        <v>81.900000000000006</v>
      </c>
      <c r="AA1083">
        <v>102.6</v>
      </c>
      <c r="AB1083">
        <v>11.4</v>
      </c>
      <c r="AC1083">
        <v>46.2</v>
      </c>
      <c r="AD1083">
        <v>144373535</v>
      </c>
    </row>
    <row r="1084" spans="1:30" hidden="1" x14ac:dyDescent="0.45">
      <c r="A1084">
        <v>1067</v>
      </c>
      <c r="B1084">
        <v>2800</v>
      </c>
      <c r="C1084" t="s">
        <v>23</v>
      </c>
      <c r="D1084" t="s">
        <v>3935</v>
      </c>
      <c r="E1084">
        <v>86</v>
      </c>
      <c r="F1084" t="s">
        <v>35</v>
      </c>
      <c r="G1084" t="s">
        <v>3936</v>
      </c>
      <c r="H1084" t="s">
        <v>3937</v>
      </c>
      <c r="I1084" t="s">
        <v>23</v>
      </c>
      <c r="J1084" t="s">
        <v>35</v>
      </c>
      <c r="L1084" t="b">
        <v>0</v>
      </c>
      <c r="M1084" t="s">
        <v>39</v>
      </c>
      <c r="N1084" t="s">
        <v>8245</v>
      </c>
      <c r="O1084" s="1">
        <v>13353</v>
      </c>
      <c r="P1084" t="s">
        <v>3938</v>
      </c>
      <c r="Q1084" t="s">
        <v>3939</v>
      </c>
      <c r="S1084" s="1">
        <v>45020.209027777775</v>
      </c>
      <c r="T1084" t="s">
        <v>43</v>
      </c>
      <c r="U1084" t="s">
        <v>44</v>
      </c>
      <c r="V1084">
        <v>1936</v>
      </c>
      <c r="W1084">
        <v>117.24</v>
      </c>
      <c r="X1084">
        <v>7.5</v>
      </c>
      <c r="Y1084" s="2">
        <v>21427700000000</v>
      </c>
      <c r="Z1084">
        <v>88.2</v>
      </c>
      <c r="AA1084">
        <v>101.8</v>
      </c>
      <c r="AB1084">
        <v>9.6</v>
      </c>
      <c r="AC1084">
        <v>36.6</v>
      </c>
      <c r="AD1084">
        <v>328239523</v>
      </c>
    </row>
    <row r="1085" spans="1:30" hidden="1" x14ac:dyDescent="0.45">
      <c r="A1085">
        <v>1067</v>
      </c>
      <c r="B1085">
        <v>2800</v>
      </c>
      <c r="C1085" t="s">
        <v>83</v>
      </c>
      <c r="D1085" t="s">
        <v>3940</v>
      </c>
      <c r="E1085">
        <v>67</v>
      </c>
      <c r="F1085" t="s">
        <v>3941</v>
      </c>
      <c r="G1085" t="s">
        <v>3942</v>
      </c>
      <c r="H1085" t="s">
        <v>83</v>
      </c>
      <c r="I1085" t="s">
        <v>83</v>
      </c>
      <c r="J1085" t="s">
        <v>3941</v>
      </c>
      <c r="L1085" t="b">
        <v>1</v>
      </c>
      <c r="M1085" t="s">
        <v>39</v>
      </c>
      <c r="N1085" t="s">
        <v>8245</v>
      </c>
      <c r="O1085" s="1">
        <v>20417</v>
      </c>
      <c r="P1085" t="s">
        <v>3943</v>
      </c>
      <c r="Q1085" t="s">
        <v>3944</v>
      </c>
      <c r="S1085" s="1">
        <v>45020.209027777775</v>
      </c>
      <c r="V1085">
        <v>1955</v>
      </c>
      <c r="W1085">
        <v>130.02000000000001</v>
      </c>
      <c r="X1085">
        <v>3</v>
      </c>
      <c r="Y1085" s="2">
        <v>53367042272</v>
      </c>
      <c r="Z1085">
        <v>26.3</v>
      </c>
      <c r="AA1085">
        <v>95.1</v>
      </c>
      <c r="AB1085">
        <v>15.3</v>
      </c>
      <c r="AC1085">
        <v>32.200000000000003</v>
      </c>
      <c r="AD1085">
        <v>6855713</v>
      </c>
    </row>
    <row r="1086" spans="1:30" hidden="1" x14ac:dyDescent="0.45">
      <c r="A1086">
        <v>1067</v>
      </c>
      <c r="B1086">
        <v>2800</v>
      </c>
      <c r="C1086" t="s">
        <v>83</v>
      </c>
      <c r="D1086" t="s">
        <v>3945</v>
      </c>
      <c r="E1086">
        <v>78</v>
      </c>
      <c r="F1086" t="s">
        <v>3941</v>
      </c>
      <c r="G1086" t="s">
        <v>3942</v>
      </c>
      <c r="H1086" t="s">
        <v>83</v>
      </c>
      <c r="I1086" t="s">
        <v>83</v>
      </c>
      <c r="J1086" t="s">
        <v>3941</v>
      </c>
      <c r="L1086" t="b">
        <v>1</v>
      </c>
      <c r="M1086" t="s">
        <v>39</v>
      </c>
      <c r="N1086" t="s">
        <v>8245</v>
      </c>
      <c r="O1086" s="1">
        <v>16438</v>
      </c>
      <c r="P1086" t="s">
        <v>3943</v>
      </c>
      <c r="Q1086" t="s">
        <v>3946</v>
      </c>
      <c r="S1086" s="1">
        <v>45020.209027777775</v>
      </c>
      <c r="V1086">
        <v>1945</v>
      </c>
      <c r="W1086">
        <v>130.02000000000001</v>
      </c>
      <c r="X1086">
        <v>3</v>
      </c>
      <c r="Y1086" s="2">
        <v>53367042272</v>
      </c>
      <c r="Z1086">
        <v>26.3</v>
      </c>
      <c r="AA1086">
        <v>95.1</v>
      </c>
      <c r="AB1086">
        <v>15.3</v>
      </c>
      <c r="AC1086">
        <v>32.200000000000003</v>
      </c>
      <c r="AD1086">
        <v>6855713</v>
      </c>
    </row>
    <row r="1087" spans="1:30" hidden="1" x14ac:dyDescent="0.45">
      <c r="A1087">
        <v>1067</v>
      </c>
      <c r="B1087">
        <v>2800</v>
      </c>
      <c r="C1087" t="s">
        <v>302</v>
      </c>
      <c r="D1087" t="s">
        <v>3947</v>
      </c>
      <c r="E1087">
        <v>86</v>
      </c>
      <c r="F1087" t="s">
        <v>266</v>
      </c>
      <c r="G1087" t="s">
        <v>267</v>
      </c>
      <c r="H1087" t="s">
        <v>304</v>
      </c>
      <c r="I1087" t="s">
        <v>302</v>
      </c>
      <c r="J1087" t="s">
        <v>266</v>
      </c>
      <c r="L1087" t="b">
        <v>0</v>
      </c>
      <c r="M1087" t="s">
        <v>39</v>
      </c>
      <c r="N1087" t="s">
        <v>8245</v>
      </c>
      <c r="O1087" s="1">
        <v>13343</v>
      </c>
      <c r="P1087" t="s">
        <v>3948</v>
      </c>
      <c r="Q1087" t="s">
        <v>3949</v>
      </c>
      <c r="S1087" s="1">
        <v>45020.209027777775</v>
      </c>
      <c r="V1087">
        <v>1936</v>
      </c>
      <c r="W1087">
        <v>105.48</v>
      </c>
      <c r="X1087">
        <v>0.5</v>
      </c>
      <c r="Y1087" s="2">
        <v>5081769542380</v>
      </c>
      <c r="Z1087">
        <v>63.2</v>
      </c>
      <c r="AA1087">
        <v>98.8</v>
      </c>
      <c r="AB1087">
        <v>11.9</v>
      </c>
      <c r="AC1087">
        <v>46.7</v>
      </c>
      <c r="AD1087">
        <v>126226568</v>
      </c>
    </row>
    <row r="1088" spans="1:30" hidden="1" x14ac:dyDescent="0.45">
      <c r="A1088">
        <v>1067</v>
      </c>
      <c r="B1088">
        <v>2800</v>
      </c>
      <c r="C1088" t="s">
        <v>91</v>
      </c>
      <c r="D1088" t="s">
        <v>3950</v>
      </c>
      <c r="E1088">
        <v>71</v>
      </c>
      <c r="F1088" t="s">
        <v>93</v>
      </c>
      <c r="G1088" t="s">
        <v>94</v>
      </c>
      <c r="H1088" t="s">
        <v>2022</v>
      </c>
      <c r="I1088" t="s">
        <v>91</v>
      </c>
      <c r="J1088" t="s">
        <v>93</v>
      </c>
      <c r="L1088" t="b">
        <v>0</v>
      </c>
      <c r="M1088" t="s">
        <v>29</v>
      </c>
      <c r="N1088" t="s">
        <v>8245</v>
      </c>
      <c r="O1088" s="1">
        <v>18870</v>
      </c>
      <c r="P1088" t="s">
        <v>3951</v>
      </c>
      <c r="Q1088" t="s">
        <v>3952</v>
      </c>
      <c r="S1088" s="1">
        <v>45020.209027777775</v>
      </c>
      <c r="V1088">
        <v>1951</v>
      </c>
      <c r="W1088">
        <v>180.44</v>
      </c>
      <c r="X1088">
        <v>7.7</v>
      </c>
      <c r="Y1088" s="2">
        <v>2611000000000</v>
      </c>
      <c r="Z1088">
        <v>28.1</v>
      </c>
      <c r="AA1088">
        <v>113</v>
      </c>
      <c r="AB1088">
        <v>11.2</v>
      </c>
      <c r="AC1088">
        <v>49.7</v>
      </c>
      <c r="AD1088">
        <v>1366417754</v>
      </c>
    </row>
    <row r="1089" spans="1:30" hidden="1" x14ac:dyDescent="0.45">
      <c r="A1089">
        <v>1067</v>
      </c>
      <c r="B1089">
        <v>2800</v>
      </c>
      <c r="C1089" t="s">
        <v>91</v>
      </c>
      <c r="D1089" t="s">
        <v>3953</v>
      </c>
      <c r="E1089">
        <v>69</v>
      </c>
      <c r="F1089" t="s">
        <v>25</v>
      </c>
      <c r="G1089" t="s">
        <v>26</v>
      </c>
      <c r="H1089" t="s">
        <v>3954</v>
      </c>
      <c r="I1089" t="s">
        <v>91</v>
      </c>
      <c r="J1089" t="s">
        <v>1887</v>
      </c>
      <c r="L1089" t="b">
        <v>0</v>
      </c>
      <c r="M1089" t="s">
        <v>611</v>
      </c>
      <c r="N1089" t="s">
        <v>8245</v>
      </c>
      <c r="O1089" s="1">
        <v>19725</v>
      </c>
      <c r="P1089" t="s">
        <v>3955</v>
      </c>
      <c r="Q1089" t="s">
        <v>819</v>
      </c>
      <c r="S1089" s="1">
        <v>45020.209027777775</v>
      </c>
      <c r="V1089">
        <v>1954</v>
      </c>
      <c r="W1089">
        <v>110.05</v>
      </c>
      <c r="X1089">
        <v>1.1000000000000001</v>
      </c>
      <c r="Y1089" s="2">
        <v>2715518274227</v>
      </c>
      <c r="Z1089">
        <v>65.599999999999994</v>
      </c>
      <c r="AA1089">
        <v>102.5</v>
      </c>
      <c r="AB1089">
        <v>24.2</v>
      </c>
      <c r="AC1089">
        <v>60.7</v>
      </c>
      <c r="AD1089">
        <v>67059887</v>
      </c>
    </row>
    <row r="1090" spans="1:30" hidden="1" x14ac:dyDescent="0.45">
      <c r="A1090">
        <v>1067</v>
      </c>
      <c r="B1090">
        <v>2800</v>
      </c>
      <c r="C1090" t="s">
        <v>45</v>
      </c>
      <c r="D1090" t="s">
        <v>3956</v>
      </c>
      <c r="E1090">
        <v>67</v>
      </c>
      <c r="F1090" t="s">
        <v>93</v>
      </c>
      <c r="G1090" t="s">
        <v>1015</v>
      </c>
      <c r="H1090" t="s">
        <v>1016</v>
      </c>
      <c r="I1090" t="s">
        <v>45</v>
      </c>
      <c r="J1090" t="s">
        <v>93</v>
      </c>
      <c r="L1090" t="b">
        <v>1</v>
      </c>
      <c r="M1090" t="s">
        <v>39</v>
      </c>
      <c r="N1090" t="s">
        <v>8245</v>
      </c>
      <c r="O1090" s="1">
        <v>20242</v>
      </c>
      <c r="P1090" t="s">
        <v>3957</v>
      </c>
      <c r="Q1090" t="s">
        <v>3958</v>
      </c>
      <c r="S1090" s="1">
        <v>45020.209027777775</v>
      </c>
      <c r="V1090">
        <v>1955</v>
      </c>
      <c r="W1090">
        <v>180.44</v>
      </c>
      <c r="X1090">
        <v>7.7</v>
      </c>
      <c r="Y1090" s="2">
        <v>2611000000000</v>
      </c>
      <c r="Z1090">
        <v>28.1</v>
      </c>
      <c r="AA1090">
        <v>113</v>
      </c>
      <c r="AB1090">
        <v>11.2</v>
      </c>
      <c r="AC1090">
        <v>49.7</v>
      </c>
      <c r="AD1090">
        <v>1366417754</v>
      </c>
    </row>
    <row r="1091" spans="1:30" hidden="1" x14ac:dyDescent="0.45">
      <c r="A1091">
        <v>1067</v>
      </c>
      <c r="B1091">
        <v>2800</v>
      </c>
      <c r="C1091" t="s">
        <v>23</v>
      </c>
      <c r="D1091" t="s">
        <v>3959</v>
      </c>
      <c r="F1091" t="s">
        <v>194</v>
      </c>
      <c r="G1091" t="s">
        <v>1038</v>
      </c>
      <c r="H1091" t="s">
        <v>196</v>
      </c>
      <c r="I1091" t="s">
        <v>23</v>
      </c>
      <c r="J1091" t="s">
        <v>194</v>
      </c>
      <c r="L1091" t="b">
        <v>0</v>
      </c>
      <c r="M1091" t="s">
        <v>39</v>
      </c>
      <c r="N1091" t="s">
        <v>8245</v>
      </c>
      <c r="O1091"/>
      <c r="P1091" t="s">
        <v>1039</v>
      </c>
      <c r="Q1091" t="s">
        <v>3960</v>
      </c>
      <c r="S1091" s="1">
        <v>45020.209027777775</v>
      </c>
      <c r="W1091">
        <v>112.85</v>
      </c>
      <c r="X1091">
        <v>1.4</v>
      </c>
      <c r="Y1091" s="2">
        <v>3845630030824</v>
      </c>
      <c r="Z1091">
        <v>70.2</v>
      </c>
      <c r="AA1091">
        <v>104</v>
      </c>
      <c r="AB1091">
        <v>11.5</v>
      </c>
      <c r="AC1091">
        <v>48.8</v>
      </c>
      <c r="AD1091">
        <v>83132799</v>
      </c>
    </row>
    <row r="1092" spans="1:30" hidden="1" x14ac:dyDescent="0.45">
      <c r="A1092">
        <v>1067</v>
      </c>
      <c r="B1092">
        <v>2800</v>
      </c>
      <c r="C1092" t="s">
        <v>91</v>
      </c>
      <c r="D1092" t="s">
        <v>3961</v>
      </c>
      <c r="F1092" t="s">
        <v>194</v>
      </c>
      <c r="G1092" t="s">
        <v>3607</v>
      </c>
      <c r="H1092" t="s">
        <v>1089</v>
      </c>
      <c r="I1092" t="s">
        <v>91</v>
      </c>
      <c r="J1092" t="s">
        <v>194</v>
      </c>
      <c r="L1092" t="b">
        <v>0</v>
      </c>
      <c r="M1092" t="s">
        <v>39</v>
      </c>
      <c r="N1092" t="s">
        <v>8246</v>
      </c>
      <c r="O1092"/>
      <c r="P1092" t="s">
        <v>1039</v>
      </c>
      <c r="Q1092" t="s">
        <v>3962</v>
      </c>
      <c r="S1092" s="1">
        <v>45020.209027777775</v>
      </c>
      <c r="W1092">
        <v>112.85</v>
      </c>
      <c r="X1092">
        <v>1.4</v>
      </c>
      <c r="Y1092" s="2">
        <v>3845630030824</v>
      </c>
      <c r="Z1092">
        <v>70.2</v>
      </c>
      <c r="AA1092">
        <v>104</v>
      </c>
      <c r="AB1092">
        <v>11.5</v>
      </c>
      <c r="AC1092">
        <v>48.8</v>
      </c>
      <c r="AD1092">
        <v>83132799</v>
      </c>
    </row>
    <row r="1093" spans="1:30" hidden="1" x14ac:dyDescent="0.45">
      <c r="A1093">
        <v>1067</v>
      </c>
      <c r="B1093">
        <v>2800</v>
      </c>
      <c r="C1093" t="s">
        <v>436</v>
      </c>
      <c r="D1093" t="s">
        <v>3963</v>
      </c>
      <c r="E1093">
        <v>50</v>
      </c>
      <c r="F1093" t="s">
        <v>93</v>
      </c>
      <c r="G1093" t="s">
        <v>1015</v>
      </c>
      <c r="H1093" t="s">
        <v>3550</v>
      </c>
      <c r="I1093" t="s">
        <v>436</v>
      </c>
      <c r="J1093" t="s">
        <v>93</v>
      </c>
      <c r="L1093" t="b">
        <v>0</v>
      </c>
      <c r="M1093" t="s">
        <v>29</v>
      </c>
      <c r="N1093" t="s">
        <v>8245</v>
      </c>
      <c r="O1093" s="1">
        <v>26614</v>
      </c>
      <c r="P1093" t="s">
        <v>3964</v>
      </c>
      <c r="Q1093" t="s">
        <v>3965</v>
      </c>
      <c r="S1093" s="1">
        <v>45020.209027777775</v>
      </c>
      <c r="V1093">
        <v>1972</v>
      </c>
      <c r="W1093">
        <v>180.44</v>
      </c>
      <c r="X1093">
        <v>7.7</v>
      </c>
      <c r="Y1093" s="2">
        <v>2611000000000</v>
      </c>
      <c r="Z1093">
        <v>28.1</v>
      </c>
      <c r="AA1093">
        <v>113</v>
      </c>
      <c r="AB1093">
        <v>11.2</v>
      </c>
      <c r="AC1093">
        <v>49.7</v>
      </c>
      <c r="AD1093">
        <v>1366417754</v>
      </c>
    </row>
    <row r="1094" spans="1:30" hidden="1" x14ac:dyDescent="0.45">
      <c r="A1094">
        <v>1067</v>
      </c>
      <c r="B1094">
        <v>2800</v>
      </c>
      <c r="C1094" t="s">
        <v>296</v>
      </c>
      <c r="D1094" t="s">
        <v>3966</v>
      </c>
      <c r="E1094">
        <v>76</v>
      </c>
      <c r="F1094" t="s">
        <v>93</v>
      </c>
      <c r="G1094" t="s">
        <v>94</v>
      </c>
      <c r="H1094" t="s">
        <v>3967</v>
      </c>
      <c r="I1094" t="s">
        <v>296</v>
      </c>
      <c r="J1094" t="s">
        <v>93</v>
      </c>
      <c r="L1094" t="b">
        <v>0</v>
      </c>
      <c r="M1094" t="s">
        <v>39</v>
      </c>
      <c r="N1094" t="s">
        <v>8245</v>
      </c>
      <c r="O1094" s="1">
        <v>17168</v>
      </c>
      <c r="P1094" t="s">
        <v>3968</v>
      </c>
      <c r="Q1094" t="s">
        <v>3969</v>
      </c>
      <c r="S1094" s="1">
        <v>45020.209027777775</v>
      </c>
      <c r="V1094">
        <v>1947</v>
      </c>
      <c r="W1094">
        <v>180.44</v>
      </c>
      <c r="X1094">
        <v>7.7</v>
      </c>
      <c r="Y1094" s="2">
        <v>2611000000000</v>
      </c>
      <c r="Z1094">
        <v>28.1</v>
      </c>
      <c r="AA1094">
        <v>113</v>
      </c>
      <c r="AB1094">
        <v>11.2</v>
      </c>
      <c r="AC1094">
        <v>49.7</v>
      </c>
      <c r="AD1094">
        <v>1366417754</v>
      </c>
    </row>
    <row r="1095" spans="1:30" hidden="1" x14ac:dyDescent="0.45">
      <c r="A1095">
        <v>1067</v>
      </c>
      <c r="B1095">
        <v>2800</v>
      </c>
      <c r="C1095" t="s">
        <v>45</v>
      </c>
      <c r="D1095" t="s">
        <v>3970</v>
      </c>
      <c r="E1095">
        <v>43</v>
      </c>
      <c r="F1095" t="s">
        <v>35</v>
      </c>
      <c r="G1095" t="s">
        <v>964</v>
      </c>
      <c r="H1095" t="s">
        <v>134</v>
      </c>
      <c r="I1095" t="s">
        <v>45</v>
      </c>
      <c r="J1095" t="s">
        <v>35</v>
      </c>
      <c r="L1095" t="b">
        <v>1</v>
      </c>
      <c r="M1095" t="s">
        <v>611</v>
      </c>
      <c r="N1095" t="s">
        <v>8245</v>
      </c>
      <c r="O1095" s="1">
        <v>29192</v>
      </c>
      <c r="P1095" t="s">
        <v>3971</v>
      </c>
      <c r="Q1095" t="s">
        <v>3972</v>
      </c>
      <c r="S1095" s="1">
        <v>45020.209027777775</v>
      </c>
      <c r="T1095" t="s">
        <v>115</v>
      </c>
      <c r="U1095" t="s">
        <v>53</v>
      </c>
      <c r="V1095">
        <v>1979</v>
      </c>
      <c r="W1095">
        <v>117.24</v>
      </c>
      <c r="X1095">
        <v>7.5</v>
      </c>
      <c r="Y1095" s="2">
        <v>21427700000000</v>
      </c>
      <c r="Z1095">
        <v>88.2</v>
      </c>
      <c r="AA1095">
        <v>101.8</v>
      </c>
      <c r="AB1095">
        <v>9.6</v>
      </c>
      <c r="AC1095">
        <v>36.6</v>
      </c>
      <c r="AD1095">
        <v>328239523</v>
      </c>
    </row>
    <row r="1096" spans="1:30" hidden="1" x14ac:dyDescent="0.45">
      <c r="A1096">
        <v>1067</v>
      </c>
      <c r="B1096">
        <v>2800</v>
      </c>
      <c r="C1096" t="s">
        <v>402</v>
      </c>
      <c r="D1096" t="s">
        <v>3973</v>
      </c>
      <c r="E1096">
        <v>77</v>
      </c>
      <c r="F1096" t="s">
        <v>35</v>
      </c>
      <c r="G1096" t="s">
        <v>78</v>
      </c>
      <c r="H1096" t="s">
        <v>3974</v>
      </c>
      <c r="I1096" t="s">
        <v>402</v>
      </c>
      <c r="J1096" t="s">
        <v>35</v>
      </c>
      <c r="L1096" t="b">
        <v>0</v>
      </c>
      <c r="M1096" t="s">
        <v>29</v>
      </c>
      <c r="N1096" t="s">
        <v>8245</v>
      </c>
      <c r="O1096" s="1">
        <v>16851</v>
      </c>
      <c r="P1096" t="s">
        <v>3975</v>
      </c>
      <c r="Q1096" t="s">
        <v>2056</v>
      </c>
      <c r="S1096" s="1">
        <v>45020.209027777775</v>
      </c>
      <c r="T1096" t="s">
        <v>78</v>
      </c>
      <c r="U1096" t="s">
        <v>82</v>
      </c>
      <c r="V1096">
        <v>1946</v>
      </c>
      <c r="W1096">
        <v>117.24</v>
      </c>
      <c r="X1096">
        <v>7.5</v>
      </c>
      <c r="Y1096" s="2">
        <v>21427700000000</v>
      </c>
      <c r="Z1096">
        <v>88.2</v>
      </c>
      <c r="AA1096">
        <v>101.8</v>
      </c>
      <c r="AB1096">
        <v>9.6</v>
      </c>
      <c r="AC1096">
        <v>36.6</v>
      </c>
      <c r="AD1096">
        <v>328239523</v>
      </c>
    </row>
    <row r="1097" spans="1:30" hidden="1" x14ac:dyDescent="0.45">
      <c r="A1097">
        <v>1067</v>
      </c>
      <c r="B1097">
        <v>2800</v>
      </c>
      <c r="C1097" t="s">
        <v>76</v>
      </c>
      <c r="D1097" t="s">
        <v>3976</v>
      </c>
      <c r="E1097">
        <v>41</v>
      </c>
      <c r="F1097" t="s">
        <v>128</v>
      </c>
      <c r="G1097" t="s">
        <v>187</v>
      </c>
      <c r="H1097" t="s">
        <v>3977</v>
      </c>
      <c r="I1097" t="s">
        <v>76</v>
      </c>
      <c r="J1097" t="s">
        <v>128</v>
      </c>
      <c r="L1097" t="b">
        <v>1</v>
      </c>
      <c r="M1097" t="s">
        <v>39</v>
      </c>
      <c r="N1097" t="s">
        <v>8245</v>
      </c>
      <c r="O1097" s="1">
        <v>29952</v>
      </c>
      <c r="P1097" t="s">
        <v>2922</v>
      </c>
      <c r="Q1097" t="s">
        <v>2592</v>
      </c>
      <c r="S1097" s="1">
        <v>45020.209027777775</v>
      </c>
      <c r="V1097">
        <v>1982</v>
      </c>
      <c r="W1097">
        <v>125.08</v>
      </c>
      <c r="X1097">
        <v>2.9</v>
      </c>
      <c r="Y1097" s="2">
        <v>19910000000000</v>
      </c>
      <c r="Z1097">
        <v>50.6</v>
      </c>
      <c r="AA1097">
        <v>100.2</v>
      </c>
      <c r="AB1097">
        <v>9.4</v>
      </c>
      <c r="AC1097">
        <v>59.2</v>
      </c>
      <c r="AD1097">
        <v>1397715000</v>
      </c>
    </row>
    <row r="1098" spans="1:30" hidden="1" x14ac:dyDescent="0.45">
      <c r="A1098">
        <v>1067</v>
      </c>
      <c r="B1098">
        <v>2800</v>
      </c>
      <c r="C1098" t="s">
        <v>296</v>
      </c>
      <c r="D1098" t="s">
        <v>3978</v>
      </c>
      <c r="E1098">
        <v>73</v>
      </c>
      <c r="F1098" t="s">
        <v>128</v>
      </c>
      <c r="G1098" t="s">
        <v>3979</v>
      </c>
      <c r="H1098" t="s">
        <v>3980</v>
      </c>
      <c r="I1098" t="s">
        <v>296</v>
      </c>
      <c r="J1098" t="s">
        <v>128</v>
      </c>
      <c r="L1098" t="b">
        <v>1</v>
      </c>
      <c r="M1098" t="s">
        <v>611</v>
      </c>
      <c r="N1098" t="s">
        <v>8245</v>
      </c>
      <c r="O1098" s="1">
        <v>18172</v>
      </c>
      <c r="P1098" t="s">
        <v>945</v>
      </c>
      <c r="Q1098" t="s">
        <v>3981</v>
      </c>
      <c r="S1098" s="1">
        <v>45020.209027777775</v>
      </c>
      <c r="V1098">
        <v>1949</v>
      </c>
      <c r="W1098">
        <v>125.08</v>
      </c>
      <c r="X1098">
        <v>2.9</v>
      </c>
      <c r="Y1098" s="2">
        <v>19910000000000</v>
      </c>
      <c r="Z1098">
        <v>50.6</v>
      </c>
      <c r="AA1098">
        <v>100.2</v>
      </c>
      <c r="AB1098">
        <v>9.4</v>
      </c>
      <c r="AC1098">
        <v>59.2</v>
      </c>
      <c r="AD1098">
        <v>1397715000</v>
      </c>
    </row>
    <row r="1099" spans="1:30" hidden="1" x14ac:dyDescent="0.45">
      <c r="A1099">
        <v>1067</v>
      </c>
      <c r="B1099">
        <v>2800</v>
      </c>
      <c r="C1099" t="s">
        <v>296</v>
      </c>
      <c r="D1099" t="s">
        <v>3982</v>
      </c>
      <c r="E1099">
        <v>61</v>
      </c>
      <c r="F1099" t="s">
        <v>1259</v>
      </c>
      <c r="H1099" t="s">
        <v>1256</v>
      </c>
      <c r="I1099" t="s">
        <v>296</v>
      </c>
      <c r="J1099" t="s">
        <v>1259</v>
      </c>
      <c r="L1099" t="b">
        <v>0</v>
      </c>
      <c r="M1099" t="s">
        <v>29</v>
      </c>
      <c r="N1099" t="s">
        <v>8245</v>
      </c>
      <c r="O1099" s="1">
        <v>22616</v>
      </c>
      <c r="P1099" t="s">
        <v>3983</v>
      </c>
      <c r="Q1099" t="s">
        <v>2082</v>
      </c>
      <c r="S1099" s="1">
        <v>45020.209027777775</v>
      </c>
      <c r="V1099">
        <v>1961</v>
      </c>
      <c r="W1099"/>
      <c r="Y1099"/>
    </row>
    <row r="1100" spans="1:30" hidden="1" x14ac:dyDescent="0.45">
      <c r="A1100">
        <v>1067</v>
      </c>
      <c r="B1100">
        <v>2800</v>
      </c>
      <c r="C1100" t="s">
        <v>203</v>
      </c>
      <c r="D1100" t="s">
        <v>3984</v>
      </c>
      <c r="E1100">
        <v>85</v>
      </c>
      <c r="F1100" t="s">
        <v>228</v>
      </c>
      <c r="G1100" t="s">
        <v>228</v>
      </c>
      <c r="H1100" t="s">
        <v>207</v>
      </c>
      <c r="I1100" t="s">
        <v>203</v>
      </c>
      <c r="J1100" t="s">
        <v>228</v>
      </c>
      <c r="L1100" t="b">
        <v>0</v>
      </c>
      <c r="M1100" t="s">
        <v>611</v>
      </c>
      <c r="N1100" t="s">
        <v>8245</v>
      </c>
      <c r="O1100" s="1">
        <v>13703</v>
      </c>
      <c r="P1100" t="s">
        <v>3076</v>
      </c>
      <c r="Q1100" t="s">
        <v>3985</v>
      </c>
      <c r="S1100" s="1">
        <v>45020.209027777775</v>
      </c>
      <c r="V1100">
        <v>1937</v>
      </c>
      <c r="W1100"/>
      <c r="Y1100"/>
    </row>
    <row r="1101" spans="1:30" x14ac:dyDescent="0.45">
      <c r="A1101">
        <v>1067</v>
      </c>
      <c r="B1101" s="6">
        <v>2800</v>
      </c>
      <c r="C1101" t="s">
        <v>45</v>
      </c>
      <c r="D1101" t="s">
        <v>3986</v>
      </c>
      <c r="E1101">
        <v>66</v>
      </c>
      <c r="F1101" t="s">
        <v>35</v>
      </c>
      <c r="G1101" t="s">
        <v>964</v>
      </c>
      <c r="H1101" t="s">
        <v>2622</v>
      </c>
      <c r="I1101" t="s">
        <v>45</v>
      </c>
      <c r="J1101" t="s">
        <v>35</v>
      </c>
      <c r="K1101" t="s">
        <v>3987</v>
      </c>
      <c r="L1101" t="b">
        <v>1</v>
      </c>
      <c r="M1101" t="s">
        <v>39</v>
      </c>
      <c r="N1101" t="s">
        <v>8246</v>
      </c>
      <c r="O1101" s="10">
        <v>20671</v>
      </c>
      <c r="P1101" t="s">
        <v>3988</v>
      </c>
      <c r="Q1101" t="s">
        <v>3989</v>
      </c>
      <c r="R1101" t="s">
        <v>42</v>
      </c>
      <c r="S1101" s="8">
        <v>45020.209027777775</v>
      </c>
      <c r="T1101" t="s">
        <v>115</v>
      </c>
      <c r="U1101" t="s">
        <v>53</v>
      </c>
      <c r="V1101">
        <v>1956</v>
      </c>
      <c r="W1101" s="12">
        <v>117.24</v>
      </c>
      <c r="X1101">
        <v>7.5</v>
      </c>
      <c r="Y1101" s="14">
        <v>21427700000000</v>
      </c>
      <c r="Z1101">
        <v>88.2</v>
      </c>
      <c r="AA1101">
        <v>101.8</v>
      </c>
      <c r="AB1101">
        <v>9.6</v>
      </c>
      <c r="AC1101">
        <v>36.6</v>
      </c>
      <c r="AD1101">
        <v>328239523</v>
      </c>
    </row>
    <row r="1102" spans="1:30" hidden="1" x14ac:dyDescent="0.45">
      <c r="A1102">
        <v>1067</v>
      </c>
      <c r="B1102">
        <v>2800</v>
      </c>
      <c r="C1102" t="s">
        <v>296</v>
      </c>
      <c r="D1102" t="s">
        <v>3990</v>
      </c>
      <c r="E1102">
        <v>61</v>
      </c>
      <c r="F1102" t="s">
        <v>228</v>
      </c>
      <c r="G1102" t="s">
        <v>228</v>
      </c>
      <c r="H1102" t="s">
        <v>3991</v>
      </c>
      <c r="I1102" t="s">
        <v>296</v>
      </c>
      <c r="J1102" t="s">
        <v>128</v>
      </c>
      <c r="L1102" t="b">
        <v>1</v>
      </c>
      <c r="M1102" t="s">
        <v>39</v>
      </c>
      <c r="N1102" t="s">
        <v>8245</v>
      </c>
      <c r="O1102" s="1">
        <v>22647</v>
      </c>
      <c r="P1102" t="s">
        <v>3992</v>
      </c>
      <c r="Q1102" t="s">
        <v>3993</v>
      </c>
      <c r="S1102" s="1">
        <v>45020.209027777775</v>
      </c>
      <c r="V1102">
        <v>1962</v>
      </c>
      <c r="W1102"/>
      <c r="Y1102"/>
    </row>
    <row r="1103" spans="1:30" hidden="1" x14ac:dyDescent="0.45">
      <c r="A1103">
        <v>1067</v>
      </c>
      <c r="B1103">
        <v>2800</v>
      </c>
      <c r="C1103" t="s">
        <v>402</v>
      </c>
      <c r="D1103" t="s">
        <v>3994</v>
      </c>
      <c r="E1103">
        <v>79</v>
      </c>
      <c r="F1103" t="s">
        <v>228</v>
      </c>
      <c r="G1103" t="s">
        <v>228</v>
      </c>
      <c r="H1103" t="s">
        <v>610</v>
      </c>
      <c r="I1103" t="s">
        <v>402</v>
      </c>
      <c r="J1103" t="s">
        <v>228</v>
      </c>
      <c r="L1103" t="b">
        <v>1</v>
      </c>
      <c r="M1103" t="s">
        <v>39</v>
      </c>
      <c r="N1103" t="s">
        <v>8245</v>
      </c>
      <c r="O1103" s="1">
        <v>15933</v>
      </c>
      <c r="P1103" t="s">
        <v>3751</v>
      </c>
      <c r="Q1103" t="s">
        <v>3995</v>
      </c>
      <c r="S1103" s="1">
        <v>45020.209027777775</v>
      </c>
      <c r="V1103">
        <v>1943</v>
      </c>
      <c r="W1103"/>
      <c r="Y1103"/>
    </row>
    <row r="1104" spans="1:30" hidden="1" x14ac:dyDescent="0.45">
      <c r="A1104">
        <v>1067</v>
      </c>
      <c r="B1104">
        <v>2800</v>
      </c>
      <c r="C1104" t="s">
        <v>296</v>
      </c>
      <c r="D1104" t="s">
        <v>3996</v>
      </c>
      <c r="E1104">
        <v>56</v>
      </c>
      <c r="F1104" t="s">
        <v>128</v>
      </c>
      <c r="G1104" t="s">
        <v>234</v>
      </c>
      <c r="H1104" t="s">
        <v>2724</v>
      </c>
      <c r="I1104" t="s">
        <v>296</v>
      </c>
      <c r="J1104" t="s">
        <v>128</v>
      </c>
      <c r="L1104" t="b">
        <v>1</v>
      </c>
      <c r="M1104" t="s">
        <v>29</v>
      </c>
      <c r="N1104" t="s">
        <v>8245</v>
      </c>
      <c r="O1104" s="1">
        <v>24532</v>
      </c>
      <c r="P1104" t="s">
        <v>2217</v>
      </c>
      <c r="Q1104" t="s">
        <v>3997</v>
      </c>
      <c r="S1104" s="1">
        <v>45020.209027777775</v>
      </c>
      <c r="V1104">
        <v>1967</v>
      </c>
      <c r="W1104">
        <v>125.08</v>
      </c>
      <c r="X1104">
        <v>2.9</v>
      </c>
      <c r="Y1104" s="2">
        <v>19910000000000</v>
      </c>
      <c r="Z1104">
        <v>50.6</v>
      </c>
      <c r="AA1104">
        <v>100.2</v>
      </c>
      <c r="AB1104">
        <v>9.4</v>
      </c>
      <c r="AC1104">
        <v>59.2</v>
      </c>
      <c r="AD1104">
        <v>1397715000</v>
      </c>
    </row>
    <row r="1105" spans="1:30" hidden="1" x14ac:dyDescent="0.45">
      <c r="A1105">
        <v>1104</v>
      </c>
      <c r="B1105">
        <v>2700</v>
      </c>
      <c r="C1105" t="s">
        <v>61</v>
      </c>
      <c r="D1105" t="s">
        <v>3998</v>
      </c>
      <c r="E1105">
        <v>77</v>
      </c>
      <c r="F1105" t="s">
        <v>558</v>
      </c>
      <c r="G1105" t="s">
        <v>2682</v>
      </c>
      <c r="H1105" t="s">
        <v>317</v>
      </c>
      <c r="I1105" t="s">
        <v>61</v>
      </c>
      <c r="J1105" t="s">
        <v>558</v>
      </c>
      <c r="L1105" t="b">
        <v>0</v>
      </c>
      <c r="M1105" t="s">
        <v>39</v>
      </c>
      <c r="N1105" t="s">
        <v>8245</v>
      </c>
      <c r="O1105" s="1">
        <v>16587</v>
      </c>
      <c r="P1105" t="s">
        <v>3999</v>
      </c>
      <c r="Q1105" t="s">
        <v>4000</v>
      </c>
      <c r="S1105" s="1">
        <v>45020.209027777775</v>
      </c>
      <c r="V1105">
        <v>1945</v>
      </c>
      <c r="W1105">
        <v>167.4</v>
      </c>
      <c r="X1105">
        <v>3.7</v>
      </c>
      <c r="Y1105" s="2">
        <v>1839758040766</v>
      </c>
      <c r="Z1105">
        <v>51.3</v>
      </c>
      <c r="AA1105">
        <v>115.4</v>
      </c>
      <c r="AB1105">
        <v>14.2</v>
      </c>
      <c r="AC1105">
        <v>65.099999999999994</v>
      </c>
      <c r="AD1105">
        <v>212559417</v>
      </c>
    </row>
    <row r="1106" spans="1:30" hidden="1" x14ac:dyDescent="0.45">
      <c r="A1106">
        <v>1104</v>
      </c>
      <c r="B1106">
        <v>2700</v>
      </c>
      <c r="C1106" t="s">
        <v>61</v>
      </c>
      <c r="D1106" t="s">
        <v>4001</v>
      </c>
      <c r="E1106">
        <v>81</v>
      </c>
      <c r="F1106" t="s">
        <v>117</v>
      </c>
      <c r="G1106" t="s">
        <v>2480</v>
      </c>
      <c r="H1106" t="s">
        <v>317</v>
      </c>
      <c r="I1106" t="s">
        <v>61</v>
      </c>
      <c r="J1106" t="s">
        <v>117</v>
      </c>
      <c r="L1106" t="b">
        <v>0</v>
      </c>
      <c r="M1106" t="s">
        <v>39</v>
      </c>
      <c r="N1106" t="s">
        <v>8245</v>
      </c>
      <c r="O1106" s="1">
        <v>15326</v>
      </c>
      <c r="P1106" t="s">
        <v>4002</v>
      </c>
      <c r="Q1106" t="s">
        <v>3068</v>
      </c>
      <c r="S1106" s="1">
        <v>45020.209027777775</v>
      </c>
      <c r="V1106">
        <v>1941</v>
      </c>
      <c r="W1106">
        <v>110.96</v>
      </c>
      <c r="X1106">
        <v>0.7</v>
      </c>
      <c r="Y1106" s="2">
        <v>1394116310769</v>
      </c>
      <c r="Z1106">
        <v>88.9</v>
      </c>
      <c r="AA1106">
        <v>102.7</v>
      </c>
      <c r="AB1106">
        <v>14.2</v>
      </c>
      <c r="AC1106">
        <v>47</v>
      </c>
      <c r="AD1106">
        <v>47076781</v>
      </c>
    </row>
    <row r="1107" spans="1:30" hidden="1" x14ac:dyDescent="0.45">
      <c r="A1107">
        <v>1104</v>
      </c>
      <c r="B1107">
        <v>2700</v>
      </c>
      <c r="C1107" t="s">
        <v>91</v>
      </c>
      <c r="D1107" t="s">
        <v>4003</v>
      </c>
      <c r="E1107">
        <v>84</v>
      </c>
      <c r="F1107" t="s">
        <v>4004</v>
      </c>
      <c r="G1107" t="s">
        <v>4005</v>
      </c>
      <c r="H1107" t="s">
        <v>91</v>
      </c>
      <c r="I1107" t="s">
        <v>91</v>
      </c>
      <c r="J1107" t="s">
        <v>4004</v>
      </c>
      <c r="L1107" t="b">
        <v>1</v>
      </c>
      <c r="M1107" t="s">
        <v>29</v>
      </c>
      <c r="N1107" t="s">
        <v>8245</v>
      </c>
      <c r="O1107" s="1">
        <v>14246</v>
      </c>
      <c r="P1107" t="s">
        <v>4006</v>
      </c>
      <c r="Q1107" t="s">
        <v>4007</v>
      </c>
      <c r="S1107" s="1">
        <v>45020.209027777775</v>
      </c>
      <c r="V1107">
        <v>1939</v>
      </c>
      <c r="W1107">
        <v>113.53</v>
      </c>
      <c r="X1107">
        <v>0.1</v>
      </c>
      <c r="Y1107" s="2">
        <v>76983094928</v>
      </c>
      <c r="Z1107">
        <v>38</v>
      </c>
      <c r="AA1107">
        <v>103.4</v>
      </c>
      <c r="AB1107">
        <v>2.5</v>
      </c>
      <c r="AC1107">
        <v>27.4</v>
      </c>
      <c r="AD1107">
        <v>5266535</v>
      </c>
    </row>
    <row r="1108" spans="1:30" hidden="1" x14ac:dyDescent="0.45">
      <c r="A1108">
        <v>1104</v>
      </c>
      <c r="B1108">
        <v>2700</v>
      </c>
      <c r="C1108" t="s">
        <v>91</v>
      </c>
      <c r="D1108" t="s">
        <v>4008</v>
      </c>
      <c r="E1108">
        <v>70</v>
      </c>
      <c r="F1108" t="s">
        <v>93</v>
      </c>
      <c r="G1108" t="s">
        <v>94</v>
      </c>
      <c r="H1108" t="s">
        <v>91</v>
      </c>
      <c r="I1108" t="s">
        <v>91</v>
      </c>
      <c r="J1108" t="s">
        <v>93</v>
      </c>
      <c r="L1108" t="b">
        <v>0</v>
      </c>
      <c r="M1108" t="s">
        <v>285</v>
      </c>
      <c r="N1108" t="s">
        <v>8245</v>
      </c>
      <c r="O1108" s="1">
        <v>19225</v>
      </c>
      <c r="P1108" t="s">
        <v>2996</v>
      </c>
      <c r="Q1108" t="s">
        <v>4009</v>
      </c>
      <c r="S1108" s="1">
        <v>45020.209027777775</v>
      </c>
      <c r="V1108">
        <v>1952</v>
      </c>
      <c r="W1108">
        <v>180.44</v>
      </c>
      <c r="X1108">
        <v>7.7</v>
      </c>
      <c r="Y1108" s="2">
        <v>2611000000000</v>
      </c>
      <c r="Z1108">
        <v>28.1</v>
      </c>
      <c r="AA1108">
        <v>113</v>
      </c>
      <c r="AB1108">
        <v>11.2</v>
      </c>
      <c r="AC1108">
        <v>49.7</v>
      </c>
      <c r="AD1108">
        <v>1366417754</v>
      </c>
    </row>
    <row r="1109" spans="1:30" hidden="1" x14ac:dyDescent="0.45">
      <c r="A1109">
        <v>1104</v>
      </c>
      <c r="B1109">
        <v>2700</v>
      </c>
      <c r="C1109" t="s">
        <v>91</v>
      </c>
      <c r="D1109" t="s">
        <v>4010</v>
      </c>
      <c r="E1109">
        <v>68</v>
      </c>
      <c r="F1109" t="s">
        <v>93</v>
      </c>
      <c r="G1109" t="s">
        <v>94</v>
      </c>
      <c r="H1109" t="s">
        <v>91</v>
      </c>
      <c r="I1109" t="s">
        <v>91</v>
      </c>
      <c r="J1109" t="s">
        <v>93</v>
      </c>
      <c r="L1109" t="b">
        <v>0</v>
      </c>
      <c r="M1109" t="s">
        <v>285</v>
      </c>
      <c r="N1109" t="s">
        <v>8245</v>
      </c>
      <c r="O1109" s="1">
        <v>20007</v>
      </c>
      <c r="P1109" t="s">
        <v>2996</v>
      </c>
      <c r="Q1109" t="s">
        <v>4011</v>
      </c>
      <c r="S1109" s="1">
        <v>45020.209027777775</v>
      </c>
      <c r="V1109">
        <v>1954</v>
      </c>
      <c r="W1109">
        <v>180.44</v>
      </c>
      <c r="X1109">
        <v>7.7</v>
      </c>
      <c r="Y1109" s="2">
        <v>2611000000000</v>
      </c>
      <c r="Z1109">
        <v>28.1</v>
      </c>
      <c r="AA1109">
        <v>113</v>
      </c>
      <c r="AB1109">
        <v>11.2</v>
      </c>
      <c r="AC1109">
        <v>49.7</v>
      </c>
      <c r="AD1109">
        <v>1366417754</v>
      </c>
    </row>
    <row r="1110" spans="1:30" hidden="1" x14ac:dyDescent="0.45">
      <c r="A1110">
        <v>1104</v>
      </c>
      <c r="B1110">
        <v>2700</v>
      </c>
      <c r="C1110" t="s">
        <v>91</v>
      </c>
      <c r="D1110" t="s">
        <v>4012</v>
      </c>
      <c r="E1110">
        <v>74</v>
      </c>
      <c r="F1110" t="s">
        <v>93</v>
      </c>
      <c r="G1110" t="s">
        <v>94</v>
      </c>
      <c r="H1110" t="s">
        <v>91</v>
      </c>
      <c r="I1110" t="s">
        <v>91</v>
      </c>
      <c r="J1110" t="s">
        <v>93</v>
      </c>
      <c r="L1110" t="b">
        <v>0</v>
      </c>
      <c r="M1110" t="s">
        <v>285</v>
      </c>
      <c r="N1110" t="s">
        <v>8245</v>
      </c>
      <c r="O1110" s="1">
        <v>17692</v>
      </c>
      <c r="P1110" t="s">
        <v>2996</v>
      </c>
      <c r="Q1110" t="s">
        <v>4013</v>
      </c>
      <c r="S1110" s="1">
        <v>45020.209027777775</v>
      </c>
      <c r="V1110">
        <v>1948</v>
      </c>
      <c r="W1110">
        <v>180.44</v>
      </c>
      <c r="X1110">
        <v>7.7</v>
      </c>
      <c r="Y1110" s="2">
        <v>2611000000000</v>
      </c>
      <c r="Z1110">
        <v>28.1</v>
      </c>
      <c r="AA1110">
        <v>113</v>
      </c>
      <c r="AB1110">
        <v>11.2</v>
      </c>
      <c r="AC1110">
        <v>49.7</v>
      </c>
      <c r="AD1110">
        <v>1366417754</v>
      </c>
    </row>
    <row r="1111" spans="1:30" hidden="1" x14ac:dyDescent="0.45">
      <c r="A1111">
        <v>1104</v>
      </c>
      <c r="B1111">
        <v>2700</v>
      </c>
      <c r="C1111" t="s">
        <v>61</v>
      </c>
      <c r="D1111" t="s">
        <v>4014</v>
      </c>
      <c r="E1111">
        <v>72</v>
      </c>
      <c r="F1111" t="s">
        <v>228</v>
      </c>
      <c r="G1111" t="s">
        <v>228</v>
      </c>
      <c r="H1111" t="s">
        <v>663</v>
      </c>
      <c r="I1111" t="s">
        <v>61</v>
      </c>
      <c r="J1111" t="s">
        <v>93</v>
      </c>
      <c r="L1111" t="b">
        <v>1</v>
      </c>
      <c r="M1111" t="s">
        <v>29</v>
      </c>
      <c r="N1111" t="s">
        <v>8245</v>
      </c>
      <c r="O1111" s="1">
        <v>18485</v>
      </c>
      <c r="P1111" t="s">
        <v>4015</v>
      </c>
      <c r="Q1111" t="s">
        <v>4016</v>
      </c>
      <c r="S1111" s="1">
        <v>45020.209027777775</v>
      </c>
      <c r="V1111">
        <v>1950</v>
      </c>
      <c r="W1111"/>
      <c r="Y1111"/>
    </row>
    <row r="1112" spans="1:30" hidden="1" x14ac:dyDescent="0.45">
      <c r="A1112">
        <v>1104</v>
      </c>
      <c r="B1112">
        <v>2700</v>
      </c>
      <c r="C1112" t="s">
        <v>402</v>
      </c>
      <c r="D1112" t="s">
        <v>4017</v>
      </c>
      <c r="F1112" t="s">
        <v>194</v>
      </c>
      <c r="G1112" t="s">
        <v>1665</v>
      </c>
      <c r="H1112" t="s">
        <v>3171</v>
      </c>
      <c r="I1112" t="s">
        <v>402</v>
      </c>
      <c r="J1112" t="s">
        <v>194</v>
      </c>
      <c r="L1112" t="b">
        <v>0</v>
      </c>
      <c r="M1112" t="s">
        <v>29</v>
      </c>
      <c r="N1112" t="s">
        <v>8246</v>
      </c>
      <c r="O1112"/>
      <c r="P1112" t="s">
        <v>4018</v>
      </c>
      <c r="Q1112" t="s">
        <v>4019</v>
      </c>
      <c r="S1112" s="1">
        <v>45020.209027777775</v>
      </c>
      <c r="W1112">
        <v>112.85</v>
      </c>
      <c r="X1112">
        <v>1.4</v>
      </c>
      <c r="Y1112" s="2">
        <v>3845630030824</v>
      </c>
      <c r="Z1112">
        <v>70.2</v>
      </c>
      <c r="AA1112">
        <v>104</v>
      </c>
      <c r="AB1112">
        <v>11.5</v>
      </c>
      <c r="AC1112">
        <v>48.8</v>
      </c>
      <c r="AD1112">
        <v>83132799</v>
      </c>
    </row>
    <row r="1113" spans="1:30" hidden="1" x14ac:dyDescent="0.45">
      <c r="A1113">
        <v>1104</v>
      </c>
      <c r="B1113">
        <v>2700</v>
      </c>
      <c r="C1113" t="s">
        <v>402</v>
      </c>
      <c r="D1113" t="s">
        <v>4020</v>
      </c>
      <c r="E1113">
        <v>59</v>
      </c>
      <c r="F1113" t="s">
        <v>272</v>
      </c>
      <c r="H1113" t="s">
        <v>610</v>
      </c>
      <c r="I1113" t="s">
        <v>402</v>
      </c>
      <c r="J1113" t="s">
        <v>25</v>
      </c>
      <c r="L1113" t="b">
        <v>0</v>
      </c>
      <c r="M1113" t="s">
        <v>29</v>
      </c>
      <c r="N1113" t="s">
        <v>8246</v>
      </c>
      <c r="O1113" s="1">
        <v>23231</v>
      </c>
      <c r="P1113" t="s">
        <v>4021</v>
      </c>
      <c r="Q1113" t="s">
        <v>4022</v>
      </c>
      <c r="S1113" s="1">
        <v>45020.209027777775</v>
      </c>
      <c r="V1113">
        <v>1963</v>
      </c>
      <c r="W1113">
        <v>119.62</v>
      </c>
      <c r="X1113">
        <v>1.7</v>
      </c>
      <c r="Y1113" s="2">
        <v>2827113184696</v>
      </c>
      <c r="Z1113">
        <v>60</v>
      </c>
      <c r="AA1113">
        <v>101.2</v>
      </c>
      <c r="AB1113">
        <v>25.5</v>
      </c>
      <c r="AC1113">
        <v>30.6</v>
      </c>
      <c r="AD1113">
        <v>66834405</v>
      </c>
    </row>
    <row r="1114" spans="1:30" hidden="1" x14ac:dyDescent="0.45">
      <c r="A1114">
        <v>1104</v>
      </c>
      <c r="B1114">
        <v>2700</v>
      </c>
      <c r="C1114" t="s">
        <v>402</v>
      </c>
      <c r="D1114" t="s">
        <v>4023</v>
      </c>
      <c r="E1114">
        <v>57</v>
      </c>
      <c r="F1114" t="s">
        <v>272</v>
      </c>
      <c r="G1114" t="s">
        <v>273</v>
      </c>
      <c r="H1114" t="s">
        <v>610</v>
      </c>
      <c r="I1114" t="s">
        <v>402</v>
      </c>
      <c r="J1114" t="s">
        <v>25</v>
      </c>
      <c r="L1114" t="b">
        <v>0</v>
      </c>
      <c r="M1114" t="s">
        <v>29</v>
      </c>
      <c r="N1114" t="s">
        <v>8245</v>
      </c>
      <c r="O1114" s="1">
        <v>23894</v>
      </c>
      <c r="P1114" t="s">
        <v>4021</v>
      </c>
      <c r="Q1114" t="s">
        <v>4024</v>
      </c>
      <c r="S1114" s="1">
        <v>45020.209027777775</v>
      </c>
      <c r="V1114">
        <v>1965</v>
      </c>
      <c r="W1114">
        <v>119.62</v>
      </c>
      <c r="X1114">
        <v>1.7</v>
      </c>
      <c r="Y1114" s="2">
        <v>2827113184696</v>
      </c>
      <c r="Z1114">
        <v>60</v>
      </c>
      <c r="AA1114">
        <v>101.2</v>
      </c>
      <c r="AB1114">
        <v>25.5</v>
      </c>
      <c r="AC1114">
        <v>30.6</v>
      </c>
      <c r="AD1114">
        <v>66834405</v>
      </c>
    </row>
    <row r="1115" spans="1:30" hidden="1" x14ac:dyDescent="0.45">
      <c r="A1115">
        <v>1104</v>
      </c>
      <c r="B1115">
        <v>2700</v>
      </c>
      <c r="C1115" t="s">
        <v>296</v>
      </c>
      <c r="D1115" t="s">
        <v>4025</v>
      </c>
      <c r="E1115">
        <v>56</v>
      </c>
      <c r="F1115" t="s">
        <v>363</v>
      </c>
      <c r="G1115" t="s">
        <v>381</v>
      </c>
      <c r="H1115" t="s">
        <v>4026</v>
      </c>
      <c r="I1115" t="s">
        <v>296</v>
      </c>
      <c r="J1115" t="s">
        <v>363</v>
      </c>
      <c r="L1115" t="b">
        <v>1</v>
      </c>
      <c r="M1115" t="s">
        <v>29</v>
      </c>
      <c r="N1115" t="s">
        <v>8245</v>
      </c>
      <c r="O1115" s="1">
        <v>24403</v>
      </c>
      <c r="P1115" t="s">
        <v>4027</v>
      </c>
      <c r="Q1115" t="s">
        <v>926</v>
      </c>
      <c r="S1115" s="1">
        <v>45020.209027777775</v>
      </c>
      <c r="V1115">
        <v>1966</v>
      </c>
      <c r="W1115">
        <v>180.75</v>
      </c>
      <c r="X1115">
        <v>4.5</v>
      </c>
      <c r="Y1115" s="2">
        <v>1699876578871</v>
      </c>
      <c r="Z1115">
        <v>81.900000000000006</v>
      </c>
      <c r="AA1115">
        <v>102.6</v>
      </c>
      <c r="AB1115">
        <v>11.4</v>
      </c>
      <c r="AC1115">
        <v>46.2</v>
      </c>
      <c r="AD1115">
        <v>144373535</v>
      </c>
    </row>
    <row r="1116" spans="1:30" hidden="1" x14ac:dyDescent="0.45">
      <c r="A1116">
        <v>1104</v>
      </c>
      <c r="B1116">
        <v>2700</v>
      </c>
      <c r="C1116" t="s">
        <v>126</v>
      </c>
      <c r="D1116" t="s">
        <v>4028</v>
      </c>
      <c r="E1116">
        <v>80</v>
      </c>
      <c r="F1116" t="s">
        <v>328</v>
      </c>
      <c r="G1116" t="s">
        <v>724</v>
      </c>
      <c r="H1116" t="s">
        <v>4029</v>
      </c>
      <c r="I1116" t="s">
        <v>126</v>
      </c>
      <c r="J1116" t="s">
        <v>328</v>
      </c>
      <c r="L1116" t="b">
        <v>1</v>
      </c>
      <c r="M1116" t="s">
        <v>39</v>
      </c>
      <c r="N1116" t="s">
        <v>8245</v>
      </c>
      <c r="O1116" s="1">
        <v>15535</v>
      </c>
      <c r="P1116" t="s">
        <v>4030</v>
      </c>
      <c r="Q1116" t="s">
        <v>386</v>
      </c>
      <c r="S1116" s="1">
        <v>45020.209027777775</v>
      </c>
      <c r="V1116">
        <v>1942</v>
      </c>
      <c r="W1116">
        <v>119.8</v>
      </c>
      <c r="X1116">
        <v>1.6</v>
      </c>
      <c r="Y1116" s="2">
        <v>1392680589329</v>
      </c>
      <c r="Z1116">
        <v>113.1</v>
      </c>
      <c r="AA1116">
        <v>100.3</v>
      </c>
      <c r="AB1116">
        <v>23</v>
      </c>
      <c r="AC1116">
        <v>47.4</v>
      </c>
      <c r="AD1116">
        <v>25766605</v>
      </c>
    </row>
    <row r="1117" spans="1:30" hidden="1" x14ac:dyDescent="0.45">
      <c r="A1117">
        <v>1104</v>
      </c>
      <c r="B1117">
        <v>2700</v>
      </c>
      <c r="C1117" t="s">
        <v>61</v>
      </c>
      <c r="D1117" t="s">
        <v>4031</v>
      </c>
      <c r="E1117">
        <v>65</v>
      </c>
      <c r="F1117" t="s">
        <v>35</v>
      </c>
      <c r="G1117" t="s">
        <v>78</v>
      </c>
      <c r="H1117" t="s">
        <v>248</v>
      </c>
      <c r="I1117" t="s">
        <v>61</v>
      </c>
      <c r="J1117" t="s">
        <v>35</v>
      </c>
      <c r="L1117" t="b">
        <v>1</v>
      </c>
      <c r="M1117" t="s">
        <v>29</v>
      </c>
      <c r="N1117" t="s">
        <v>8245</v>
      </c>
      <c r="O1117" s="1">
        <v>20923</v>
      </c>
      <c r="P1117" t="s">
        <v>4032</v>
      </c>
      <c r="Q1117" t="s">
        <v>4033</v>
      </c>
      <c r="S1117" s="1">
        <v>45020.209027777775</v>
      </c>
      <c r="T1117" t="s">
        <v>78</v>
      </c>
      <c r="U1117" t="s">
        <v>82</v>
      </c>
      <c r="V1117">
        <v>1957</v>
      </c>
      <c r="W1117">
        <v>117.24</v>
      </c>
      <c r="X1117">
        <v>7.5</v>
      </c>
      <c r="Y1117" s="2">
        <v>21427700000000</v>
      </c>
      <c r="Z1117">
        <v>88.2</v>
      </c>
      <c r="AA1117">
        <v>101.8</v>
      </c>
      <c r="AB1117">
        <v>9.6</v>
      </c>
      <c r="AC1117">
        <v>36.6</v>
      </c>
      <c r="AD1117">
        <v>328239523</v>
      </c>
    </row>
    <row r="1118" spans="1:30" hidden="1" x14ac:dyDescent="0.45">
      <c r="A1118">
        <v>1104</v>
      </c>
      <c r="B1118">
        <v>2700</v>
      </c>
      <c r="C1118" t="s">
        <v>347</v>
      </c>
      <c r="D1118" t="s">
        <v>4034</v>
      </c>
      <c r="E1118">
        <v>63</v>
      </c>
      <c r="F1118" t="s">
        <v>272</v>
      </c>
      <c r="G1118" t="s">
        <v>273</v>
      </c>
      <c r="H1118" t="s">
        <v>503</v>
      </c>
      <c r="I1118" t="s">
        <v>347</v>
      </c>
      <c r="J1118" t="s">
        <v>164</v>
      </c>
      <c r="L1118" t="b">
        <v>1</v>
      </c>
      <c r="M1118" t="s">
        <v>39</v>
      </c>
      <c r="N1118" t="s">
        <v>8245</v>
      </c>
      <c r="O1118" s="1">
        <v>21894</v>
      </c>
      <c r="P1118" t="s">
        <v>4035</v>
      </c>
      <c r="Q1118" t="s">
        <v>4036</v>
      </c>
      <c r="S1118" s="1">
        <v>45020.209027777775</v>
      </c>
      <c r="V1118">
        <v>1959</v>
      </c>
      <c r="W1118">
        <v>119.62</v>
      </c>
      <c r="X1118">
        <v>1.7</v>
      </c>
      <c r="Y1118" s="2">
        <v>2827113184696</v>
      </c>
      <c r="Z1118">
        <v>60</v>
      </c>
      <c r="AA1118">
        <v>101.2</v>
      </c>
      <c r="AB1118">
        <v>25.5</v>
      </c>
      <c r="AC1118">
        <v>30.6</v>
      </c>
      <c r="AD1118">
        <v>66834405</v>
      </c>
    </row>
    <row r="1119" spans="1:30" hidden="1" x14ac:dyDescent="0.45">
      <c r="A1119">
        <v>1104</v>
      </c>
      <c r="B1119">
        <v>2700</v>
      </c>
      <c r="C1119" t="s">
        <v>702</v>
      </c>
      <c r="D1119" t="s">
        <v>4037</v>
      </c>
      <c r="E1119">
        <v>61</v>
      </c>
      <c r="F1119" t="s">
        <v>35</v>
      </c>
      <c r="G1119" t="s">
        <v>241</v>
      </c>
      <c r="H1119" t="s">
        <v>3917</v>
      </c>
      <c r="I1119" t="s">
        <v>702</v>
      </c>
      <c r="J1119" t="s">
        <v>35</v>
      </c>
      <c r="L1119" t="b">
        <v>0</v>
      </c>
      <c r="M1119" t="s">
        <v>29</v>
      </c>
      <c r="N1119" t="s">
        <v>8245</v>
      </c>
      <c r="O1119" s="1">
        <v>22701</v>
      </c>
      <c r="P1119" t="s">
        <v>1189</v>
      </c>
      <c r="Q1119" t="s">
        <v>1817</v>
      </c>
      <c r="S1119" s="1">
        <v>45020.209027777775</v>
      </c>
      <c r="T1119" t="s">
        <v>245</v>
      </c>
      <c r="U1119" t="s">
        <v>53</v>
      </c>
      <c r="V1119">
        <v>1962</v>
      </c>
      <c r="W1119">
        <v>117.24</v>
      </c>
      <c r="X1119">
        <v>7.5</v>
      </c>
      <c r="Y1119" s="2">
        <v>21427700000000</v>
      </c>
      <c r="Z1119">
        <v>88.2</v>
      </c>
      <c r="AA1119">
        <v>101.8</v>
      </c>
      <c r="AB1119">
        <v>9.6</v>
      </c>
      <c r="AC1119">
        <v>36.6</v>
      </c>
      <c r="AD1119">
        <v>328239523</v>
      </c>
    </row>
    <row r="1120" spans="1:30" hidden="1" x14ac:dyDescent="0.45">
      <c r="A1120">
        <v>1104</v>
      </c>
      <c r="B1120">
        <v>2700</v>
      </c>
      <c r="C1120" t="s">
        <v>33</v>
      </c>
      <c r="D1120" t="s">
        <v>4038</v>
      </c>
      <c r="E1120">
        <v>78</v>
      </c>
      <c r="F1120" t="s">
        <v>93</v>
      </c>
      <c r="G1120" t="s">
        <v>404</v>
      </c>
      <c r="H1120" t="s">
        <v>481</v>
      </c>
      <c r="I1120" t="s">
        <v>33</v>
      </c>
      <c r="J1120" t="s">
        <v>93</v>
      </c>
      <c r="L1120" t="b">
        <v>0</v>
      </c>
      <c r="M1120" t="s">
        <v>39</v>
      </c>
      <c r="N1120" t="s">
        <v>8245</v>
      </c>
      <c r="O1120" s="1">
        <v>16381</v>
      </c>
      <c r="P1120" t="s">
        <v>4039</v>
      </c>
      <c r="Q1120" t="s">
        <v>4040</v>
      </c>
      <c r="S1120" s="1">
        <v>45020.209027777775</v>
      </c>
      <c r="V1120">
        <v>1944</v>
      </c>
      <c r="W1120">
        <v>180.44</v>
      </c>
      <c r="X1120">
        <v>7.7</v>
      </c>
      <c r="Y1120" s="2">
        <v>2611000000000</v>
      </c>
      <c r="Z1120">
        <v>28.1</v>
      </c>
      <c r="AA1120">
        <v>113</v>
      </c>
      <c r="AB1120">
        <v>11.2</v>
      </c>
      <c r="AC1120">
        <v>49.7</v>
      </c>
      <c r="AD1120">
        <v>1366417754</v>
      </c>
    </row>
    <row r="1121" spans="1:30" hidden="1" x14ac:dyDescent="0.45">
      <c r="A1121">
        <v>1104</v>
      </c>
      <c r="B1121">
        <v>2700</v>
      </c>
      <c r="C1121" t="s">
        <v>61</v>
      </c>
      <c r="D1121" t="s">
        <v>4041</v>
      </c>
      <c r="E1121">
        <v>57</v>
      </c>
      <c r="F1121" t="s">
        <v>272</v>
      </c>
      <c r="G1121" t="s">
        <v>273</v>
      </c>
      <c r="H1121" t="s">
        <v>1580</v>
      </c>
      <c r="I1121" t="s">
        <v>61</v>
      </c>
      <c r="J1121" t="s">
        <v>164</v>
      </c>
      <c r="L1121" t="b">
        <v>1</v>
      </c>
      <c r="M1121" t="s">
        <v>39</v>
      </c>
      <c r="N1121" t="s">
        <v>8245</v>
      </c>
      <c r="O1121" s="1">
        <v>23894</v>
      </c>
      <c r="P1121" t="s">
        <v>4042</v>
      </c>
      <c r="Q1121" t="s">
        <v>1660</v>
      </c>
      <c r="R1121" t="s">
        <v>688</v>
      </c>
      <c r="S1121" s="1">
        <v>45020.209027777775</v>
      </c>
      <c r="V1121">
        <v>1965</v>
      </c>
      <c r="W1121">
        <v>119.62</v>
      </c>
      <c r="X1121">
        <v>1.7</v>
      </c>
      <c r="Y1121" s="2">
        <v>2827113184696</v>
      </c>
      <c r="Z1121">
        <v>60</v>
      </c>
      <c r="AA1121">
        <v>101.2</v>
      </c>
      <c r="AB1121">
        <v>25.5</v>
      </c>
      <c r="AC1121">
        <v>30.6</v>
      </c>
      <c r="AD1121">
        <v>66834405</v>
      </c>
    </row>
    <row r="1122" spans="1:30" hidden="1" x14ac:dyDescent="0.45">
      <c r="A1122">
        <v>1104</v>
      </c>
      <c r="B1122">
        <v>2700</v>
      </c>
      <c r="C1122" t="s">
        <v>436</v>
      </c>
      <c r="D1122" t="s">
        <v>4043</v>
      </c>
      <c r="E1122">
        <v>84</v>
      </c>
      <c r="F1122" t="s">
        <v>117</v>
      </c>
      <c r="G1122" t="s">
        <v>4044</v>
      </c>
      <c r="H1122" t="s">
        <v>3015</v>
      </c>
      <c r="I1122" t="s">
        <v>436</v>
      </c>
      <c r="J1122" t="s">
        <v>117</v>
      </c>
      <c r="L1122" t="b">
        <v>0</v>
      </c>
      <c r="M1122" t="s">
        <v>39</v>
      </c>
      <c r="N1122" t="s">
        <v>8245</v>
      </c>
      <c r="O1122" s="1">
        <v>14088</v>
      </c>
      <c r="P1122" t="s">
        <v>4045</v>
      </c>
      <c r="Q1122" t="s">
        <v>3557</v>
      </c>
      <c r="S1122" s="1">
        <v>45020.209027777775</v>
      </c>
      <c r="V1122">
        <v>1938</v>
      </c>
      <c r="W1122">
        <v>110.96</v>
      </c>
      <c r="X1122">
        <v>0.7</v>
      </c>
      <c r="Y1122" s="2">
        <v>1394116310769</v>
      </c>
      <c r="Z1122">
        <v>88.9</v>
      </c>
      <c r="AA1122">
        <v>102.7</v>
      </c>
      <c r="AB1122">
        <v>14.2</v>
      </c>
      <c r="AC1122">
        <v>47</v>
      </c>
      <c r="AD1122">
        <v>47076781</v>
      </c>
    </row>
    <row r="1123" spans="1:30" hidden="1" x14ac:dyDescent="0.45">
      <c r="A1123">
        <v>1104</v>
      </c>
      <c r="B1123">
        <v>2700</v>
      </c>
      <c r="C1123" t="s">
        <v>326</v>
      </c>
      <c r="D1123" t="s">
        <v>4046</v>
      </c>
      <c r="E1123">
        <v>72</v>
      </c>
      <c r="F1123" t="s">
        <v>574</v>
      </c>
      <c r="G1123" t="s">
        <v>574</v>
      </c>
      <c r="H1123" t="s">
        <v>330</v>
      </c>
      <c r="I1123" t="s">
        <v>326</v>
      </c>
      <c r="J1123" t="s">
        <v>35</v>
      </c>
      <c r="K1123" t="s">
        <v>4047</v>
      </c>
      <c r="L1123" t="b">
        <v>1</v>
      </c>
      <c r="M1123" t="s">
        <v>29</v>
      </c>
      <c r="N1123" t="s">
        <v>8245</v>
      </c>
      <c r="O1123" s="1">
        <v>18493</v>
      </c>
      <c r="P1123" t="s">
        <v>4048</v>
      </c>
      <c r="Q1123" t="s">
        <v>619</v>
      </c>
      <c r="R1123" t="s">
        <v>4049</v>
      </c>
      <c r="S1123" s="1">
        <v>45020.209027777775</v>
      </c>
      <c r="V1123">
        <v>1950</v>
      </c>
      <c r="W1123">
        <v>114.41</v>
      </c>
      <c r="X1123">
        <v>0.6</v>
      </c>
      <c r="Y1123" s="2">
        <v>372062527489</v>
      </c>
      <c r="Z1123">
        <v>84.8</v>
      </c>
      <c r="AA1123">
        <v>100.6</v>
      </c>
      <c r="AB1123">
        <v>13.1</v>
      </c>
      <c r="AC1123">
        <v>21</v>
      </c>
      <c r="AD1123">
        <v>5703569</v>
      </c>
    </row>
    <row r="1124" spans="1:30" hidden="1" x14ac:dyDescent="0.45">
      <c r="A1124">
        <v>1104</v>
      </c>
      <c r="B1124">
        <v>2700</v>
      </c>
      <c r="C1124" t="s">
        <v>326</v>
      </c>
      <c r="D1124" t="s">
        <v>4050</v>
      </c>
      <c r="E1124">
        <v>58</v>
      </c>
      <c r="F1124" t="s">
        <v>363</v>
      </c>
      <c r="G1124" t="s">
        <v>381</v>
      </c>
      <c r="H1124" t="s">
        <v>4051</v>
      </c>
      <c r="I1124" t="s">
        <v>326</v>
      </c>
      <c r="J1124" t="s">
        <v>363</v>
      </c>
      <c r="L1124" t="b">
        <v>1</v>
      </c>
      <c r="M1124" t="s">
        <v>29</v>
      </c>
      <c r="N1124" t="s">
        <v>8245</v>
      </c>
      <c r="O1124" s="1">
        <v>23514</v>
      </c>
      <c r="P1124" t="s">
        <v>4052</v>
      </c>
      <c r="Q1124" t="s">
        <v>1040</v>
      </c>
      <c r="S1124" s="1">
        <v>45020.209027777775</v>
      </c>
      <c r="V1124">
        <v>1964</v>
      </c>
      <c r="W1124">
        <v>180.75</v>
      </c>
      <c r="X1124">
        <v>4.5</v>
      </c>
      <c r="Y1124" s="2">
        <v>1699876578871</v>
      </c>
      <c r="Z1124">
        <v>81.900000000000006</v>
      </c>
      <c r="AA1124">
        <v>102.6</v>
      </c>
      <c r="AB1124">
        <v>11.4</v>
      </c>
      <c r="AC1124">
        <v>46.2</v>
      </c>
      <c r="AD1124">
        <v>144373535</v>
      </c>
    </row>
    <row r="1125" spans="1:30" hidden="1" x14ac:dyDescent="0.45">
      <c r="A1125">
        <v>1104</v>
      </c>
      <c r="B1125">
        <v>2700</v>
      </c>
      <c r="C1125" t="s">
        <v>91</v>
      </c>
      <c r="D1125" t="s">
        <v>4053</v>
      </c>
      <c r="E1125">
        <v>72</v>
      </c>
      <c r="F1125" t="s">
        <v>93</v>
      </c>
      <c r="G1125" t="s">
        <v>94</v>
      </c>
      <c r="H1125" t="s">
        <v>2022</v>
      </c>
      <c r="I1125" t="s">
        <v>91</v>
      </c>
      <c r="J1125" t="s">
        <v>93</v>
      </c>
      <c r="L1125" t="b">
        <v>0</v>
      </c>
      <c r="M1125" t="s">
        <v>29</v>
      </c>
      <c r="N1125" t="s">
        <v>8245</v>
      </c>
      <c r="O1125" s="1">
        <v>18629</v>
      </c>
      <c r="P1125" t="s">
        <v>3923</v>
      </c>
      <c r="Q1125" t="s">
        <v>4054</v>
      </c>
      <c r="S1125" s="1">
        <v>45020.209027777775</v>
      </c>
      <c r="V1125">
        <v>1951</v>
      </c>
      <c r="W1125">
        <v>180.44</v>
      </c>
      <c r="X1125">
        <v>7.7</v>
      </c>
      <c r="Y1125" s="2">
        <v>2611000000000</v>
      </c>
      <c r="Z1125">
        <v>28.1</v>
      </c>
      <c r="AA1125">
        <v>113</v>
      </c>
      <c r="AB1125">
        <v>11.2</v>
      </c>
      <c r="AC1125">
        <v>49.7</v>
      </c>
      <c r="AD1125">
        <v>1366417754</v>
      </c>
    </row>
    <row r="1126" spans="1:30" hidden="1" x14ac:dyDescent="0.45">
      <c r="A1126">
        <v>1104</v>
      </c>
      <c r="B1126">
        <v>2700</v>
      </c>
      <c r="C1126" t="s">
        <v>436</v>
      </c>
      <c r="D1126" t="s">
        <v>4055</v>
      </c>
      <c r="E1126">
        <v>57</v>
      </c>
      <c r="F1126" t="s">
        <v>35</v>
      </c>
      <c r="G1126" t="s">
        <v>4056</v>
      </c>
      <c r="H1126" t="s">
        <v>3991</v>
      </c>
      <c r="I1126" t="s">
        <v>436</v>
      </c>
      <c r="J1126" t="s">
        <v>35</v>
      </c>
      <c r="L1126" t="b">
        <v>0</v>
      </c>
      <c r="M1126" t="s">
        <v>29</v>
      </c>
      <c r="N1126" t="s">
        <v>8246</v>
      </c>
      <c r="O1126" s="1">
        <v>24083</v>
      </c>
      <c r="P1126" t="s">
        <v>4057</v>
      </c>
      <c r="Q1126" t="s">
        <v>4058</v>
      </c>
      <c r="S1126" s="1">
        <v>45020.209027777775</v>
      </c>
      <c r="T1126" t="s">
        <v>311</v>
      </c>
      <c r="U1126" t="s">
        <v>82</v>
      </c>
      <c r="V1126">
        <v>1965</v>
      </c>
      <c r="W1126">
        <v>117.24</v>
      </c>
      <c r="X1126">
        <v>7.5</v>
      </c>
      <c r="Y1126" s="2">
        <v>21427700000000</v>
      </c>
      <c r="Z1126">
        <v>88.2</v>
      </c>
      <c r="AA1126">
        <v>101.8</v>
      </c>
      <c r="AB1126">
        <v>9.6</v>
      </c>
      <c r="AC1126">
        <v>36.6</v>
      </c>
      <c r="AD1126">
        <v>328239523</v>
      </c>
    </row>
    <row r="1127" spans="1:30" hidden="1" x14ac:dyDescent="0.45">
      <c r="A1127">
        <v>1104</v>
      </c>
      <c r="B1127">
        <v>2700</v>
      </c>
      <c r="C1127" t="s">
        <v>61</v>
      </c>
      <c r="D1127" t="s">
        <v>4059</v>
      </c>
      <c r="E1127">
        <v>43</v>
      </c>
      <c r="F1127" t="s">
        <v>93</v>
      </c>
      <c r="G1127" t="s">
        <v>1015</v>
      </c>
      <c r="H1127" t="s">
        <v>2380</v>
      </c>
      <c r="I1127" t="s">
        <v>61</v>
      </c>
      <c r="J1127" t="s">
        <v>93</v>
      </c>
      <c r="L1127" t="b">
        <v>1</v>
      </c>
      <c r="M1127" t="s">
        <v>258</v>
      </c>
      <c r="N1127" t="s">
        <v>8245</v>
      </c>
      <c r="O1127" s="1">
        <v>29133</v>
      </c>
      <c r="P1127" t="s">
        <v>4060</v>
      </c>
      <c r="Q1127" t="s">
        <v>4061</v>
      </c>
      <c r="S1127" s="1">
        <v>45020.209027777775</v>
      </c>
      <c r="V1127">
        <v>1979</v>
      </c>
      <c r="W1127">
        <v>180.44</v>
      </c>
      <c r="X1127">
        <v>7.7</v>
      </c>
      <c r="Y1127" s="2">
        <v>2611000000000</v>
      </c>
      <c r="Z1127">
        <v>28.1</v>
      </c>
      <c r="AA1127">
        <v>113</v>
      </c>
      <c r="AB1127">
        <v>11.2</v>
      </c>
      <c r="AC1127">
        <v>49.7</v>
      </c>
      <c r="AD1127">
        <v>1366417754</v>
      </c>
    </row>
    <row r="1128" spans="1:30" hidden="1" x14ac:dyDescent="0.45">
      <c r="A1128">
        <v>1104</v>
      </c>
      <c r="B1128">
        <v>2700</v>
      </c>
      <c r="C1128" t="s">
        <v>689</v>
      </c>
      <c r="D1128" t="s">
        <v>4062</v>
      </c>
      <c r="E1128">
        <v>57</v>
      </c>
      <c r="F1128" t="s">
        <v>363</v>
      </c>
      <c r="G1128" t="s">
        <v>381</v>
      </c>
      <c r="H1128" t="s">
        <v>304</v>
      </c>
      <c r="I1128" t="s">
        <v>689</v>
      </c>
      <c r="J1128" t="s">
        <v>363</v>
      </c>
      <c r="L1128" t="b">
        <v>1</v>
      </c>
      <c r="M1128" t="s">
        <v>29</v>
      </c>
      <c r="N1128" t="s">
        <v>8245</v>
      </c>
      <c r="O1128" s="1">
        <v>23972</v>
      </c>
      <c r="P1128" t="s">
        <v>4063</v>
      </c>
      <c r="Q1128" t="s">
        <v>4064</v>
      </c>
      <c r="S1128" s="1">
        <v>45020.209027777775</v>
      </c>
      <c r="V1128">
        <v>1965</v>
      </c>
      <c r="W1128">
        <v>180.75</v>
      </c>
      <c r="X1128">
        <v>4.5</v>
      </c>
      <c r="Y1128" s="2">
        <v>1699876578871</v>
      </c>
      <c r="Z1128">
        <v>81.900000000000006</v>
      </c>
      <c r="AA1128">
        <v>102.6</v>
      </c>
      <c r="AB1128">
        <v>11.4</v>
      </c>
      <c r="AC1128">
        <v>46.2</v>
      </c>
      <c r="AD1128">
        <v>144373535</v>
      </c>
    </row>
    <row r="1129" spans="1:30" hidden="1" x14ac:dyDescent="0.45">
      <c r="A1129">
        <v>1104</v>
      </c>
      <c r="B1129">
        <v>2700</v>
      </c>
      <c r="C1129" t="s">
        <v>302</v>
      </c>
      <c r="D1129" t="s">
        <v>4065</v>
      </c>
      <c r="E1129">
        <v>57</v>
      </c>
      <c r="F1129" t="s">
        <v>228</v>
      </c>
      <c r="G1129" t="s">
        <v>228</v>
      </c>
      <c r="H1129" t="s">
        <v>304</v>
      </c>
      <c r="I1129" t="s">
        <v>302</v>
      </c>
      <c r="J1129" t="s">
        <v>128</v>
      </c>
      <c r="L1129" t="b">
        <v>1</v>
      </c>
      <c r="M1129" t="s">
        <v>39</v>
      </c>
      <c r="N1129" t="s">
        <v>8245</v>
      </c>
      <c r="O1129" s="1">
        <v>24108</v>
      </c>
      <c r="P1129" t="s">
        <v>4066</v>
      </c>
      <c r="Q1129" t="s">
        <v>4067</v>
      </c>
      <c r="S1129" s="1">
        <v>45020.209027777775</v>
      </c>
      <c r="V1129">
        <v>1966</v>
      </c>
      <c r="W1129"/>
      <c r="Y1129"/>
    </row>
    <row r="1130" spans="1:30" hidden="1" x14ac:dyDescent="0.45">
      <c r="A1130">
        <v>1104</v>
      </c>
      <c r="B1130">
        <v>2700</v>
      </c>
      <c r="C1130" t="s">
        <v>91</v>
      </c>
      <c r="D1130" t="s">
        <v>4068</v>
      </c>
      <c r="E1130">
        <v>92</v>
      </c>
      <c r="F1130" t="s">
        <v>2037</v>
      </c>
      <c r="G1130" t="s">
        <v>2038</v>
      </c>
      <c r="H1130" t="s">
        <v>91</v>
      </c>
      <c r="I1130" t="s">
        <v>91</v>
      </c>
      <c r="J1130" t="s">
        <v>2037</v>
      </c>
      <c r="L1130" t="b">
        <v>0</v>
      </c>
      <c r="M1130" t="s">
        <v>29</v>
      </c>
      <c r="N1130" t="s">
        <v>8245</v>
      </c>
      <c r="O1130" s="1">
        <v>11240</v>
      </c>
      <c r="P1130" t="s">
        <v>4069</v>
      </c>
      <c r="Q1130" t="s">
        <v>4070</v>
      </c>
      <c r="S1130" s="1">
        <v>45020.209027777775</v>
      </c>
      <c r="V1130">
        <v>1930</v>
      </c>
      <c r="W1130">
        <v>234.44</v>
      </c>
      <c r="X1130">
        <v>15.2</v>
      </c>
      <c r="Y1130" s="2">
        <v>754411708203</v>
      </c>
      <c r="Z1130">
        <v>23.9</v>
      </c>
      <c r="AA1130">
        <v>93.2</v>
      </c>
      <c r="AB1130">
        <v>17.899999999999999</v>
      </c>
      <c r="AC1130">
        <v>42.3</v>
      </c>
      <c r="AD1130">
        <v>83429615</v>
      </c>
    </row>
    <row r="1131" spans="1:30" hidden="1" x14ac:dyDescent="0.45">
      <c r="A1131">
        <v>1104</v>
      </c>
      <c r="B1131">
        <v>2700</v>
      </c>
      <c r="C1131" t="s">
        <v>61</v>
      </c>
      <c r="D1131" t="s">
        <v>4071</v>
      </c>
      <c r="E1131">
        <v>71</v>
      </c>
      <c r="F1131" t="s">
        <v>363</v>
      </c>
      <c r="G1131" t="s">
        <v>3366</v>
      </c>
      <c r="H1131" t="s">
        <v>4072</v>
      </c>
      <c r="I1131" t="s">
        <v>61</v>
      </c>
      <c r="J1131" t="s">
        <v>363</v>
      </c>
      <c r="L1131" t="b">
        <v>1</v>
      </c>
      <c r="M1131" t="s">
        <v>29</v>
      </c>
      <c r="N1131" t="s">
        <v>8245</v>
      </c>
      <c r="O1131" s="1">
        <v>18834</v>
      </c>
      <c r="P1131" t="s">
        <v>4073</v>
      </c>
      <c r="Q1131" t="s">
        <v>1555</v>
      </c>
      <c r="S1131" s="1">
        <v>45020.209027777775</v>
      </c>
      <c r="V1131">
        <v>1951</v>
      </c>
      <c r="W1131">
        <v>180.75</v>
      </c>
      <c r="X1131">
        <v>4.5</v>
      </c>
      <c r="Y1131" s="2">
        <v>1699876578871</v>
      </c>
      <c r="Z1131">
        <v>81.900000000000006</v>
      </c>
      <c r="AA1131">
        <v>102.6</v>
      </c>
      <c r="AB1131">
        <v>11.4</v>
      </c>
      <c r="AC1131">
        <v>46.2</v>
      </c>
      <c r="AD1131">
        <v>144373535</v>
      </c>
    </row>
    <row r="1132" spans="1:30" hidden="1" x14ac:dyDescent="0.45">
      <c r="A1132">
        <v>1104</v>
      </c>
      <c r="B1132">
        <v>2700</v>
      </c>
      <c r="C1132" t="s">
        <v>302</v>
      </c>
      <c r="D1132" t="s">
        <v>4074</v>
      </c>
      <c r="E1132">
        <v>37</v>
      </c>
      <c r="F1132" t="s">
        <v>228</v>
      </c>
      <c r="G1132" t="s">
        <v>228</v>
      </c>
      <c r="H1132" t="s">
        <v>304</v>
      </c>
      <c r="I1132" t="s">
        <v>302</v>
      </c>
      <c r="J1132" t="s">
        <v>228</v>
      </c>
      <c r="L1132" t="b">
        <v>0</v>
      </c>
      <c r="M1132" t="s">
        <v>39</v>
      </c>
      <c r="N1132" t="s">
        <v>8245</v>
      </c>
      <c r="O1132" s="1">
        <v>31168</v>
      </c>
      <c r="P1132" t="s">
        <v>4075</v>
      </c>
      <c r="Q1132" t="s">
        <v>3458</v>
      </c>
      <c r="S1132" s="1">
        <v>45020.209027777775</v>
      </c>
      <c r="V1132">
        <v>1985</v>
      </c>
      <c r="W1132"/>
      <c r="Y1132"/>
    </row>
    <row r="1133" spans="1:30" hidden="1" x14ac:dyDescent="0.45">
      <c r="A1133">
        <v>1104</v>
      </c>
      <c r="B1133">
        <v>2700</v>
      </c>
      <c r="C1133" t="s">
        <v>302</v>
      </c>
      <c r="D1133" t="s">
        <v>4076</v>
      </c>
      <c r="E1133">
        <v>31</v>
      </c>
      <c r="F1133" t="s">
        <v>228</v>
      </c>
      <c r="G1133" t="s">
        <v>228</v>
      </c>
      <c r="H1133" t="s">
        <v>302</v>
      </c>
      <c r="I1133" t="s">
        <v>302</v>
      </c>
      <c r="J1133" t="s">
        <v>228</v>
      </c>
      <c r="L1133" t="b">
        <v>0</v>
      </c>
      <c r="M1133" t="s">
        <v>29</v>
      </c>
      <c r="N1133" t="s">
        <v>8245</v>
      </c>
      <c r="O1133" s="1">
        <v>33664</v>
      </c>
      <c r="P1133" t="s">
        <v>4075</v>
      </c>
      <c r="Q1133" t="s">
        <v>2240</v>
      </c>
      <c r="S1133" s="1">
        <v>45020.209027777775</v>
      </c>
      <c r="V1133">
        <v>1992</v>
      </c>
      <c r="W1133"/>
      <c r="Y1133"/>
    </row>
    <row r="1134" spans="1:30" hidden="1" x14ac:dyDescent="0.45">
      <c r="A1134">
        <v>1104</v>
      </c>
      <c r="B1134">
        <v>2700</v>
      </c>
      <c r="C1134" t="s">
        <v>296</v>
      </c>
      <c r="D1134" t="s">
        <v>4077</v>
      </c>
      <c r="E1134">
        <v>71</v>
      </c>
      <c r="F1134" t="s">
        <v>194</v>
      </c>
      <c r="G1134" t="s">
        <v>4078</v>
      </c>
      <c r="H1134" t="s">
        <v>4079</v>
      </c>
      <c r="I1134" t="s">
        <v>296</v>
      </c>
      <c r="J1134" t="s">
        <v>194</v>
      </c>
      <c r="L1134" t="b">
        <v>1</v>
      </c>
      <c r="M1134" t="s">
        <v>29</v>
      </c>
      <c r="N1134" t="s">
        <v>8245</v>
      </c>
      <c r="O1134" s="1">
        <v>19011</v>
      </c>
      <c r="P1134" t="s">
        <v>4080</v>
      </c>
      <c r="Q1134" t="s">
        <v>4081</v>
      </c>
      <c r="S1134" s="1">
        <v>45020.209027777775</v>
      </c>
      <c r="V1134">
        <v>1952</v>
      </c>
      <c r="W1134">
        <v>112.85</v>
      </c>
      <c r="X1134">
        <v>1.4</v>
      </c>
      <c r="Y1134" s="2">
        <v>3845630030824</v>
      </c>
      <c r="Z1134">
        <v>70.2</v>
      </c>
      <c r="AA1134">
        <v>104</v>
      </c>
      <c r="AB1134">
        <v>11.5</v>
      </c>
      <c r="AC1134">
        <v>48.8</v>
      </c>
      <c r="AD1134">
        <v>83132799</v>
      </c>
    </row>
    <row r="1135" spans="1:30" hidden="1" x14ac:dyDescent="0.45">
      <c r="A1135">
        <v>1104</v>
      </c>
      <c r="B1135">
        <v>2700</v>
      </c>
      <c r="C1135" t="s">
        <v>296</v>
      </c>
      <c r="D1135" t="s">
        <v>4082</v>
      </c>
      <c r="E1135">
        <v>63</v>
      </c>
      <c r="F1135" t="s">
        <v>35</v>
      </c>
      <c r="G1135" t="s">
        <v>1549</v>
      </c>
      <c r="H1135" t="s">
        <v>4083</v>
      </c>
      <c r="I1135" t="s">
        <v>296</v>
      </c>
      <c r="J1135" t="s">
        <v>35</v>
      </c>
      <c r="L1135" t="b">
        <v>0</v>
      </c>
      <c r="M1135" t="s">
        <v>29</v>
      </c>
      <c r="N1135" t="s">
        <v>8245</v>
      </c>
      <c r="O1135" s="1">
        <v>21950</v>
      </c>
      <c r="P1135" t="s">
        <v>4084</v>
      </c>
      <c r="Q1135" t="s">
        <v>1817</v>
      </c>
      <c r="S1135" s="1">
        <v>45020.209027777775</v>
      </c>
      <c r="T1135" t="s">
        <v>427</v>
      </c>
      <c r="U1135" t="s">
        <v>82</v>
      </c>
      <c r="V1135">
        <v>1960</v>
      </c>
      <c r="W1135">
        <v>117.24</v>
      </c>
      <c r="X1135">
        <v>7.5</v>
      </c>
      <c r="Y1135" s="2">
        <v>21427700000000</v>
      </c>
      <c r="Z1135">
        <v>88.2</v>
      </c>
      <c r="AA1135">
        <v>101.8</v>
      </c>
      <c r="AB1135">
        <v>9.6</v>
      </c>
      <c r="AC1135">
        <v>36.6</v>
      </c>
      <c r="AD1135">
        <v>328239523</v>
      </c>
    </row>
    <row r="1136" spans="1:30" hidden="1" x14ac:dyDescent="0.45">
      <c r="A1136">
        <v>1104</v>
      </c>
      <c r="B1136">
        <v>2700</v>
      </c>
      <c r="C1136" t="s">
        <v>302</v>
      </c>
      <c r="D1136" t="s">
        <v>4085</v>
      </c>
      <c r="E1136">
        <v>78</v>
      </c>
      <c r="F1136" t="s">
        <v>272</v>
      </c>
      <c r="G1136" t="s">
        <v>273</v>
      </c>
      <c r="H1136" t="s">
        <v>304</v>
      </c>
      <c r="I1136" t="s">
        <v>302</v>
      </c>
      <c r="J1136" t="s">
        <v>272</v>
      </c>
      <c r="L1136" t="b">
        <v>1</v>
      </c>
      <c r="M1136" t="s">
        <v>39</v>
      </c>
      <c r="N1136" t="s">
        <v>8246</v>
      </c>
      <c r="O1136" s="1">
        <v>16359</v>
      </c>
      <c r="P1136" t="s">
        <v>4086</v>
      </c>
      <c r="Q1136" t="s">
        <v>4087</v>
      </c>
      <c r="S1136" s="1">
        <v>45020.209027777775</v>
      </c>
      <c r="V1136">
        <v>1944</v>
      </c>
      <c r="W1136">
        <v>119.62</v>
      </c>
      <c r="X1136">
        <v>1.7</v>
      </c>
      <c r="Y1136" s="2">
        <v>2827113184696</v>
      </c>
      <c r="Z1136">
        <v>60</v>
      </c>
      <c r="AA1136">
        <v>101.2</v>
      </c>
      <c r="AB1136">
        <v>25.5</v>
      </c>
      <c r="AC1136">
        <v>30.6</v>
      </c>
      <c r="AD1136">
        <v>66834405</v>
      </c>
    </row>
    <row r="1137" spans="1:30" hidden="1" x14ac:dyDescent="0.45">
      <c r="A1137">
        <v>1104</v>
      </c>
      <c r="B1137">
        <v>2700</v>
      </c>
      <c r="C1137" t="s">
        <v>302</v>
      </c>
      <c r="D1137" t="s">
        <v>4088</v>
      </c>
      <c r="E1137">
        <v>62</v>
      </c>
      <c r="F1137" t="s">
        <v>228</v>
      </c>
      <c r="G1137" t="s">
        <v>228</v>
      </c>
      <c r="H1137" t="s">
        <v>242</v>
      </c>
      <c r="I1137" t="s">
        <v>302</v>
      </c>
      <c r="J1137" t="s">
        <v>228</v>
      </c>
      <c r="L1137" t="b">
        <v>0</v>
      </c>
      <c r="M1137" t="s">
        <v>39</v>
      </c>
      <c r="N1137" t="s">
        <v>8246</v>
      </c>
      <c r="O1137" s="1">
        <v>22363</v>
      </c>
      <c r="P1137" t="s">
        <v>3042</v>
      </c>
      <c r="Q1137" t="s">
        <v>4089</v>
      </c>
      <c r="S1137" s="1">
        <v>45020.209027777775</v>
      </c>
      <c r="V1137">
        <v>1961</v>
      </c>
      <c r="W1137"/>
      <c r="Y1137"/>
    </row>
    <row r="1138" spans="1:30" hidden="1" x14ac:dyDescent="0.45">
      <c r="A1138">
        <v>1104</v>
      </c>
      <c r="B1138">
        <v>2700</v>
      </c>
      <c r="C1138" t="s">
        <v>45</v>
      </c>
      <c r="D1138" t="s">
        <v>4090</v>
      </c>
      <c r="E1138">
        <v>59</v>
      </c>
      <c r="F1138" t="s">
        <v>128</v>
      </c>
      <c r="G1138" t="s">
        <v>187</v>
      </c>
      <c r="H1138" t="s">
        <v>856</v>
      </c>
      <c r="I1138" t="s">
        <v>45</v>
      </c>
      <c r="J1138" t="s">
        <v>128</v>
      </c>
      <c r="L1138" t="b">
        <v>1</v>
      </c>
      <c r="M1138" t="s">
        <v>39</v>
      </c>
      <c r="N1138" t="s">
        <v>8245</v>
      </c>
      <c r="O1138" s="1">
        <v>23249</v>
      </c>
      <c r="P1138" t="s">
        <v>230</v>
      </c>
      <c r="Q1138" t="s">
        <v>4091</v>
      </c>
      <c r="S1138" s="1">
        <v>45020.209027777775</v>
      </c>
      <c r="V1138">
        <v>1963</v>
      </c>
      <c r="W1138">
        <v>125.08</v>
      </c>
      <c r="X1138">
        <v>2.9</v>
      </c>
      <c r="Y1138" s="2">
        <v>19910000000000</v>
      </c>
      <c r="Z1138">
        <v>50.6</v>
      </c>
      <c r="AA1138">
        <v>100.2</v>
      </c>
      <c r="AB1138">
        <v>9.4</v>
      </c>
      <c r="AC1138">
        <v>59.2</v>
      </c>
      <c r="AD1138">
        <v>1397715000</v>
      </c>
    </row>
    <row r="1139" spans="1:30" hidden="1" x14ac:dyDescent="0.45">
      <c r="A1139">
        <v>1104</v>
      </c>
      <c r="B1139">
        <v>2700</v>
      </c>
      <c r="C1139" t="s">
        <v>126</v>
      </c>
      <c r="D1139" t="s">
        <v>4092</v>
      </c>
      <c r="E1139">
        <v>54</v>
      </c>
      <c r="F1139" t="s">
        <v>128</v>
      </c>
      <c r="G1139" t="s">
        <v>719</v>
      </c>
      <c r="H1139" t="s">
        <v>4093</v>
      </c>
      <c r="I1139" t="s">
        <v>126</v>
      </c>
      <c r="J1139" t="s">
        <v>128</v>
      </c>
      <c r="L1139" t="b">
        <v>1</v>
      </c>
      <c r="M1139" t="s">
        <v>39</v>
      </c>
      <c r="N1139" t="s">
        <v>8245</v>
      </c>
      <c r="O1139" s="1">
        <v>25206</v>
      </c>
      <c r="P1139" t="s">
        <v>1446</v>
      </c>
      <c r="Q1139" t="s">
        <v>4094</v>
      </c>
      <c r="S1139" s="1">
        <v>45020.209027777775</v>
      </c>
      <c r="V1139">
        <v>1969</v>
      </c>
      <c r="W1139">
        <v>125.08</v>
      </c>
      <c r="X1139">
        <v>2.9</v>
      </c>
      <c r="Y1139" s="2">
        <v>19910000000000</v>
      </c>
      <c r="Z1139">
        <v>50.6</v>
      </c>
      <c r="AA1139">
        <v>100.2</v>
      </c>
      <c r="AB1139">
        <v>9.4</v>
      </c>
      <c r="AC1139">
        <v>59.2</v>
      </c>
      <c r="AD1139">
        <v>1397715000</v>
      </c>
    </row>
    <row r="1140" spans="1:30" hidden="1" x14ac:dyDescent="0.45">
      <c r="A1140">
        <v>1104</v>
      </c>
      <c r="B1140">
        <v>2700</v>
      </c>
      <c r="C1140" t="s">
        <v>702</v>
      </c>
      <c r="D1140" t="s">
        <v>4095</v>
      </c>
      <c r="E1140">
        <v>77</v>
      </c>
      <c r="F1140" t="s">
        <v>35</v>
      </c>
      <c r="G1140" t="s">
        <v>474</v>
      </c>
      <c r="H1140" t="s">
        <v>4096</v>
      </c>
      <c r="I1140" t="s">
        <v>702</v>
      </c>
      <c r="J1140" t="s">
        <v>35</v>
      </c>
      <c r="L1140" t="b">
        <v>1</v>
      </c>
      <c r="M1140" t="s">
        <v>29</v>
      </c>
      <c r="N1140" t="s">
        <v>8245</v>
      </c>
      <c r="O1140" s="1">
        <v>16673</v>
      </c>
      <c r="P1140" t="s">
        <v>4097</v>
      </c>
      <c r="Q1140" t="s">
        <v>976</v>
      </c>
      <c r="S1140" s="1">
        <v>45020.209027777775</v>
      </c>
      <c r="T1140" t="s">
        <v>479</v>
      </c>
      <c r="U1140" t="s">
        <v>82</v>
      </c>
      <c r="V1140">
        <v>1945</v>
      </c>
      <c r="W1140">
        <v>117.24</v>
      </c>
      <c r="X1140">
        <v>7.5</v>
      </c>
      <c r="Y1140" s="2">
        <v>21427700000000</v>
      </c>
      <c r="Z1140">
        <v>88.2</v>
      </c>
      <c r="AA1140">
        <v>101.8</v>
      </c>
      <c r="AB1140">
        <v>9.6</v>
      </c>
      <c r="AC1140">
        <v>36.6</v>
      </c>
      <c r="AD1140">
        <v>328239523</v>
      </c>
    </row>
    <row r="1141" spans="1:30" hidden="1" x14ac:dyDescent="0.45">
      <c r="A1141">
        <v>1104</v>
      </c>
      <c r="B1141">
        <v>2700</v>
      </c>
      <c r="C1141" t="s">
        <v>326</v>
      </c>
      <c r="D1141" t="s">
        <v>4098</v>
      </c>
      <c r="E1141">
        <v>61</v>
      </c>
      <c r="F1141" t="s">
        <v>806</v>
      </c>
      <c r="G1141" t="s">
        <v>1136</v>
      </c>
      <c r="H1141" t="s">
        <v>330</v>
      </c>
      <c r="I1141" t="s">
        <v>326</v>
      </c>
      <c r="J1141" t="s">
        <v>806</v>
      </c>
      <c r="L1141" t="b">
        <v>1</v>
      </c>
      <c r="M1141" t="s">
        <v>39</v>
      </c>
      <c r="N1141" t="s">
        <v>8245</v>
      </c>
      <c r="O1141" s="1">
        <v>22674</v>
      </c>
      <c r="P1141" t="s">
        <v>4099</v>
      </c>
      <c r="Q1141" t="s">
        <v>4100</v>
      </c>
      <c r="S1141" s="1">
        <v>45020.209027777775</v>
      </c>
      <c r="V1141">
        <v>1962</v>
      </c>
      <c r="W1141">
        <v>158.93</v>
      </c>
      <c r="X1141">
        <v>4.0999999999999996</v>
      </c>
      <c r="Y1141" s="2">
        <v>351431649241</v>
      </c>
      <c r="Z1141">
        <v>22.4</v>
      </c>
      <c r="AA1141">
        <v>100.9</v>
      </c>
      <c r="AB1141">
        <v>27.5</v>
      </c>
      <c r="AC1141">
        <v>29.2</v>
      </c>
      <c r="AD1141">
        <v>58558270</v>
      </c>
    </row>
    <row r="1142" spans="1:30" hidden="1" x14ac:dyDescent="0.45">
      <c r="A1142">
        <v>1104</v>
      </c>
      <c r="B1142">
        <v>2700</v>
      </c>
      <c r="C1142" t="s">
        <v>83</v>
      </c>
      <c r="D1142" t="s">
        <v>4101</v>
      </c>
      <c r="E1142">
        <v>64</v>
      </c>
      <c r="F1142" t="s">
        <v>1486</v>
      </c>
      <c r="G1142" t="s">
        <v>4102</v>
      </c>
      <c r="H1142" t="s">
        <v>83</v>
      </c>
      <c r="I1142" t="s">
        <v>83</v>
      </c>
      <c r="J1142" t="s">
        <v>1486</v>
      </c>
      <c r="L1142" t="b">
        <v>1</v>
      </c>
      <c r="M1142" t="s">
        <v>39</v>
      </c>
      <c r="N1142" t="s">
        <v>8245</v>
      </c>
      <c r="O1142" s="1">
        <v>21292</v>
      </c>
      <c r="P1142" t="s">
        <v>4103</v>
      </c>
      <c r="Q1142" t="s">
        <v>4104</v>
      </c>
      <c r="S1142" s="1">
        <v>45020.209027777775</v>
      </c>
      <c r="V1142">
        <v>1958</v>
      </c>
      <c r="W1142"/>
      <c r="Y1142"/>
    </row>
    <row r="1143" spans="1:30" hidden="1" x14ac:dyDescent="0.45">
      <c r="A1143">
        <v>1104</v>
      </c>
      <c r="B1143">
        <v>2700</v>
      </c>
      <c r="C1143" t="s">
        <v>126</v>
      </c>
      <c r="D1143" t="s">
        <v>4105</v>
      </c>
      <c r="H1143" t="s">
        <v>4106</v>
      </c>
      <c r="I1143" t="s">
        <v>126</v>
      </c>
      <c r="J1143" t="s">
        <v>194</v>
      </c>
      <c r="L1143" t="b">
        <v>0</v>
      </c>
      <c r="M1143" t="s">
        <v>285</v>
      </c>
      <c r="N1143" t="s">
        <v>8245</v>
      </c>
      <c r="O1143"/>
      <c r="P1143" t="s">
        <v>4107</v>
      </c>
      <c r="Q1143" t="s">
        <v>4108</v>
      </c>
      <c r="S1143" s="1">
        <v>45020.209027777775</v>
      </c>
      <c r="W1143"/>
      <c r="Y1143"/>
    </row>
    <row r="1144" spans="1:30" hidden="1" x14ac:dyDescent="0.45">
      <c r="A1144">
        <v>1104</v>
      </c>
      <c r="B1144">
        <v>2700</v>
      </c>
      <c r="C1144" t="s">
        <v>91</v>
      </c>
      <c r="D1144" t="s">
        <v>4109</v>
      </c>
      <c r="E1144">
        <v>76</v>
      </c>
      <c r="F1144" t="s">
        <v>577</v>
      </c>
      <c r="G1144" t="s">
        <v>4110</v>
      </c>
      <c r="H1144" t="s">
        <v>91</v>
      </c>
      <c r="I1144" t="s">
        <v>91</v>
      </c>
      <c r="J1144" t="s">
        <v>577</v>
      </c>
      <c r="L1144" t="b">
        <v>0</v>
      </c>
      <c r="M1144" t="s">
        <v>611</v>
      </c>
      <c r="N1144" t="s">
        <v>8245</v>
      </c>
      <c r="O1144" s="1">
        <v>17168</v>
      </c>
      <c r="P1144" t="s">
        <v>4111</v>
      </c>
      <c r="Q1144" t="s">
        <v>1652</v>
      </c>
      <c r="S1144" s="1">
        <v>45020.209027777775</v>
      </c>
      <c r="V1144">
        <v>1947</v>
      </c>
      <c r="W1144">
        <v>110.51</v>
      </c>
      <c r="X1144">
        <v>1.8</v>
      </c>
      <c r="Y1144" s="2">
        <v>530832908738</v>
      </c>
      <c r="Z1144">
        <v>67</v>
      </c>
      <c r="AA1144">
        <v>126.6</v>
      </c>
      <c r="AB1144">
        <v>27.9</v>
      </c>
      <c r="AC1144">
        <v>49.1</v>
      </c>
      <c r="AD1144">
        <v>10285453</v>
      </c>
    </row>
    <row r="1145" spans="1:30" hidden="1" x14ac:dyDescent="0.45">
      <c r="A1145">
        <v>1104</v>
      </c>
      <c r="B1145">
        <v>2700</v>
      </c>
      <c r="C1145" t="s">
        <v>45</v>
      </c>
      <c r="D1145" t="s">
        <v>4112</v>
      </c>
      <c r="E1145">
        <v>69</v>
      </c>
      <c r="F1145" t="s">
        <v>266</v>
      </c>
      <c r="G1145" t="s">
        <v>267</v>
      </c>
      <c r="H1145" t="s">
        <v>4113</v>
      </c>
      <c r="I1145" t="s">
        <v>45</v>
      </c>
      <c r="J1145" t="s">
        <v>266</v>
      </c>
      <c r="L1145" t="b">
        <v>0</v>
      </c>
      <c r="M1145" t="s">
        <v>29</v>
      </c>
      <c r="N1145" t="s">
        <v>8245</v>
      </c>
      <c r="O1145" s="1">
        <v>19768</v>
      </c>
      <c r="P1145" t="s">
        <v>4114</v>
      </c>
      <c r="Q1145" t="s">
        <v>4115</v>
      </c>
      <c r="S1145" s="1">
        <v>45020.209027777775</v>
      </c>
      <c r="V1145">
        <v>1954</v>
      </c>
      <c r="W1145">
        <v>105.48</v>
      </c>
      <c r="X1145">
        <v>0.5</v>
      </c>
      <c r="Y1145" s="2">
        <v>5081769542380</v>
      </c>
      <c r="Z1145">
        <v>63.2</v>
      </c>
      <c r="AA1145">
        <v>98.8</v>
      </c>
      <c r="AB1145">
        <v>11.9</v>
      </c>
      <c r="AC1145">
        <v>46.7</v>
      </c>
      <c r="AD1145">
        <v>126226568</v>
      </c>
    </row>
    <row r="1146" spans="1:30" hidden="1" x14ac:dyDescent="0.45">
      <c r="A1146">
        <v>1104</v>
      </c>
      <c r="B1146">
        <v>2700</v>
      </c>
      <c r="C1146" t="s">
        <v>23</v>
      </c>
      <c r="D1146" t="s">
        <v>4116</v>
      </c>
      <c r="E1146">
        <v>58</v>
      </c>
      <c r="F1146" t="s">
        <v>228</v>
      </c>
      <c r="G1146" t="s">
        <v>228</v>
      </c>
      <c r="H1146" t="s">
        <v>2022</v>
      </c>
      <c r="I1146" t="s">
        <v>23</v>
      </c>
      <c r="J1146" t="s">
        <v>164</v>
      </c>
      <c r="L1146" t="b">
        <v>1</v>
      </c>
      <c r="M1146" t="s">
        <v>39</v>
      </c>
      <c r="N1146" t="s">
        <v>8246</v>
      </c>
      <c r="O1146" s="1">
        <v>23743</v>
      </c>
      <c r="P1146" t="s">
        <v>4117</v>
      </c>
      <c r="Q1146" t="s">
        <v>3405</v>
      </c>
      <c r="S1146" s="1">
        <v>45020.209027777775</v>
      </c>
      <c r="V1146">
        <v>1965</v>
      </c>
      <c r="W1146"/>
      <c r="Y1146"/>
    </row>
    <row r="1147" spans="1:30" hidden="1" x14ac:dyDescent="0.45">
      <c r="A1147">
        <v>1104</v>
      </c>
      <c r="B1147">
        <v>2700</v>
      </c>
      <c r="C1147" t="s">
        <v>91</v>
      </c>
      <c r="D1147" t="s">
        <v>4118</v>
      </c>
      <c r="E1147">
        <v>79</v>
      </c>
      <c r="F1147" t="s">
        <v>93</v>
      </c>
      <c r="G1147" t="s">
        <v>176</v>
      </c>
      <c r="H1147" t="s">
        <v>2022</v>
      </c>
      <c r="I1147" t="s">
        <v>91</v>
      </c>
      <c r="J1147" t="s">
        <v>93</v>
      </c>
      <c r="L1147" t="b">
        <v>1</v>
      </c>
      <c r="M1147" t="s">
        <v>39</v>
      </c>
      <c r="N1147" t="s">
        <v>8245</v>
      </c>
      <c r="O1147" s="1">
        <v>16078</v>
      </c>
      <c r="P1147" t="s">
        <v>2308</v>
      </c>
      <c r="Q1147" t="s">
        <v>4119</v>
      </c>
      <c r="S1147" s="1">
        <v>45020.209027777775</v>
      </c>
      <c r="V1147">
        <v>1944</v>
      </c>
      <c r="W1147">
        <v>180.44</v>
      </c>
      <c r="X1147">
        <v>7.7</v>
      </c>
      <c r="Y1147" s="2">
        <v>2611000000000</v>
      </c>
      <c r="Z1147">
        <v>28.1</v>
      </c>
      <c r="AA1147">
        <v>113</v>
      </c>
      <c r="AB1147">
        <v>11.2</v>
      </c>
      <c r="AC1147">
        <v>49.7</v>
      </c>
      <c r="AD1147">
        <v>1366417754</v>
      </c>
    </row>
    <row r="1148" spans="1:30" hidden="1" x14ac:dyDescent="0.45">
      <c r="A1148">
        <v>1104</v>
      </c>
      <c r="B1148">
        <v>2700</v>
      </c>
      <c r="C1148" t="s">
        <v>302</v>
      </c>
      <c r="D1148" t="s">
        <v>4120</v>
      </c>
      <c r="E1148">
        <v>84</v>
      </c>
      <c r="F1148" t="s">
        <v>35</v>
      </c>
      <c r="G1148" t="s">
        <v>110</v>
      </c>
      <c r="H1148" t="s">
        <v>304</v>
      </c>
      <c r="I1148" t="s">
        <v>302</v>
      </c>
      <c r="J1148" t="s">
        <v>35</v>
      </c>
      <c r="L1148" t="b">
        <v>1</v>
      </c>
      <c r="M1148" t="s">
        <v>39</v>
      </c>
      <c r="N1148" t="s">
        <v>8245</v>
      </c>
      <c r="O1148" s="1">
        <v>14154</v>
      </c>
      <c r="P1148" t="s">
        <v>4121</v>
      </c>
      <c r="Q1148" t="s">
        <v>1068</v>
      </c>
      <c r="S1148" s="1">
        <v>45020.209027777775</v>
      </c>
      <c r="T1148" t="s">
        <v>115</v>
      </c>
      <c r="U1148" t="s">
        <v>53</v>
      </c>
      <c r="V1148">
        <v>1938</v>
      </c>
      <c r="W1148">
        <v>117.24</v>
      </c>
      <c r="X1148">
        <v>7.5</v>
      </c>
      <c r="Y1148" s="2">
        <v>21427700000000</v>
      </c>
      <c r="Z1148">
        <v>88.2</v>
      </c>
      <c r="AA1148">
        <v>101.8</v>
      </c>
      <c r="AB1148">
        <v>9.6</v>
      </c>
      <c r="AC1148">
        <v>36.6</v>
      </c>
      <c r="AD1148">
        <v>328239523</v>
      </c>
    </row>
    <row r="1149" spans="1:30" hidden="1" x14ac:dyDescent="0.45">
      <c r="A1149">
        <v>1104</v>
      </c>
      <c r="B1149">
        <v>2700</v>
      </c>
      <c r="C1149" t="s">
        <v>326</v>
      </c>
      <c r="D1149" t="s">
        <v>4122</v>
      </c>
      <c r="E1149">
        <v>75</v>
      </c>
      <c r="H1149" t="s">
        <v>4123</v>
      </c>
      <c r="I1149" t="s">
        <v>326</v>
      </c>
      <c r="J1149" t="s">
        <v>214</v>
      </c>
      <c r="L1149" t="b">
        <v>0</v>
      </c>
      <c r="M1149" t="s">
        <v>285</v>
      </c>
      <c r="N1149" t="s">
        <v>8245</v>
      </c>
      <c r="O1149" s="1">
        <v>17594</v>
      </c>
      <c r="P1149" t="s">
        <v>4124</v>
      </c>
      <c r="Q1149" t="s">
        <v>4125</v>
      </c>
      <c r="S1149" s="1">
        <v>45020.209027777775</v>
      </c>
      <c r="V1149">
        <v>1948</v>
      </c>
      <c r="W1149"/>
      <c r="Y1149"/>
    </row>
    <row r="1150" spans="1:30" hidden="1" x14ac:dyDescent="0.45">
      <c r="A1150">
        <v>1104</v>
      </c>
      <c r="B1150">
        <v>2700</v>
      </c>
      <c r="C1150" t="s">
        <v>326</v>
      </c>
      <c r="D1150" t="s">
        <v>4126</v>
      </c>
      <c r="E1150">
        <v>70</v>
      </c>
      <c r="H1150" t="s">
        <v>4123</v>
      </c>
      <c r="I1150" t="s">
        <v>326</v>
      </c>
      <c r="J1150" t="s">
        <v>214</v>
      </c>
      <c r="L1150" t="b">
        <v>0</v>
      </c>
      <c r="M1150" t="s">
        <v>285</v>
      </c>
      <c r="N1150" t="s">
        <v>8245</v>
      </c>
      <c r="O1150" s="1">
        <v>19281</v>
      </c>
      <c r="P1150" t="s">
        <v>4124</v>
      </c>
      <c r="Q1150" t="s">
        <v>4127</v>
      </c>
      <c r="S1150" s="1">
        <v>45020.209027777775</v>
      </c>
      <c r="V1150">
        <v>1952</v>
      </c>
      <c r="W1150"/>
      <c r="Y1150"/>
    </row>
    <row r="1151" spans="1:30" hidden="1" x14ac:dyDescent="0.45">
      <c r="A1151">
        <v>1104</v>
      </c>
      <c r="B1151">
        <v>2700</v>
      </c>
      <c r="C1151" t="s">
        <v>402</v>
      </c>
      <c r="D1151" t="s">
        <v>4128</v>
      </c>
      <c r="E1151">
        <v>55</v>
      </c>
      <c r="F1151" t="s">
        <v>35</v>
      </c>
      <c r="G1151" t="s">
        <v>2415</v>
      </c>
      <c r="H1151" t="s">
        <v>4129</v>
      </c>
      <c r="I1151" t="s">
        <v>402</v>
      </c>
      <c r="J1151" t="s">
        <v>35</v>
      </c>
      <c r="L1151" t="b">
        <v>1</v>
      </c>
      <c r="M1151" t="s">
        <v>258</v>
      </c>
      <c r="N1151" t="s">
        <v>8245</v>
      </c>
      <c r="O1151" s="1">
        <v>24885</v>
      </c>
      <c r="P1151" t="s">
        <v>4130</v>
      </c>
      <c r="Q1151" t="s">
        <v>4131</v>
      </c>
      <c r="R1151" t="s">
        <v>688</v>
      </c>
      <c r="S1151" s="1">
        <v>45020.209027777775</v>
      </c>
      <c r="T1151" t="s">
        <v>253</v>
      </c>
      <c r="U1151" t="s">
        <v>44</v>
      </c>
      <c r="V1151">
        <v>1968</v>
      </c>
      <c r="W1151">
        <v>117.24</v>
      </c>
      <c r="X1151">
        <v>7.5</v>
      </c>
      <c r="Y1151" s="2">
        <v>21427700000000</v>
      </c>
      <c r="Z1151">
        <v>88.2</v>
      </c>
      <c r="AA1151">
        <v>101.8</v>
      </c>
      <c r="AB1151">
        <v>9.6</v>
      </c>
      <c r="AC1151">
        <v>36.6</v>
      </c>
      <c r="AD1151">
        <v>328239523</v>
      </c>
    </row>
    <row r="1152" spans="1:30" x14ac:dyDescent="0.45">
      <c r="A1152">
        <v>1104</v>
      </c>
      <c r="B1152" s="6">
        <v>2700</v>
      </c>
      <c r="C1152" t="s">
        <v>45</v>
      </c>
      <c r="D1152" t="s">
        <v>4132</v>
      </c>
      <c r="E1152">
        <v>68</v>
      </c>
      <c r="F1152" t="s">
        <v>35</v>
      </c>
      <c r="G1152" t="s">
        <v>110</v>
      </c>
      <c r="H1152" t="s">
        <v>134</v>
      </c>
      <c r="I1152" t="s">
        <v>45</v>
      </c>
      <c r="J1152" t="s">
        <v>35</v>
      </c>
      <c r="K1152" t="s">
        <v>135</v>
      </c>
      <c r="L1152" t="b">
        <v>1</v>
      </c>
      <c r="M1152" t="s">
        <v>39</v>
      </c>
      <c r="N1152" t="s">
        <v>8245</v>
      </c>
      <c r="O1152" s="10">
        <v>20091</v>
      </c>
      <c r="P1152" t="s">
        <v>4133</v>
      </c>
      <c r="Q1152" t="s">
        <v>50</v>
      </c>
      <c r="R1152" t="s">
        <v>4134</v>
      </c>
      <c r="S1152" s="8">
        <v>45020.209027777775</v>
      </c>
      <c r="T1152" t="s">
        <v>115</v>
      </c>
      <c r="U1152" t="s">
        <v>53</v>
      </c>
      <c r="V1152">
        <v>1955</v>
      </c>
      <c r="W1152" s="12">
        <v>117.24</v>
      </c>
      <c r="X1152">
        <v>7.5</v>
      </c>
      <c r="Y1152" s="14">
        <v>21427700000000</v>
      </c>
      <c r="Z1152">
        <v>88.2</v>
      </c>
      <c r="AA1152">
        <v>101.8</v>
      </c>
      <c r="AB1152">
        <v>9.6</v>
      </c>
      <c r="AC1152">
        <v>36.6</v>
      </c>
      <c r="AD1152">
        <v>328239523</v>
      </c>
    </row>
    <row r="1153" spans="1:30" hidden="1" x14ac:dyDescent="0.45">
      <c r="A1153">
        <v>1104</v>
      </c>
      <c r="B1153">
        <v>2700</v>
      </c>
      <c r="C1153" t="s">
        <v>45</v>
      </c>
      <c r="D1153" t="s">
        <v>4135</v>
      </c>
      <c r="E1153">
        <v>63</v>
      </c>
      <c r="F1153" t="s">
        <v>35</v>
      </c>
      <c r="G1153" t="s">
        <v>1130</v>
      </c>
      <c r="H1153" t="s">
        <v>4136</v>
      </c>
      <c r="I1153" t="s">
        <v>45</v>
      </c>
      <c r="J1153" t="s">
        <v>35</v>
      </c>
      <c r="L1153" t="b">
        <v>1</v>
      </c>
      <c r="M1153" t="s">
        <v>258</v>
      </c>
      <c r="N1153" t="s">
        <v>8245</v>
      </c>
      <c r="O1153" s="1">
        <v>21983</v>
      </c>
      <c r="P1153" t="s">
        <v>4137</v>
      </c>
      <c r="Q1153" t="s">
        <v>4138</v>
      </c>
      <c r="S1153" s="1">
        <v>45020.209027777775</v>
      </c>
      <c r="T1153" t="s">
        <v>1134</v>
      </c>
      <c r="U1153" t="s">
        <v>44</v>
      </c>
      <c r="V1153">
        <v>1960</v>
      </c>
      <c r="W1153">
        <v>117.24</v>
      </c>
      <c r="X1153">
        <v>7.5</v>
      </c>
      <c r="Y1153" s="2">
        <v>21427700000000</v>
      </c>
      <c r="Z1153">
        <v>88.2</v>
      </c>
      <c r="AA1153">
        <v>101.8</v>
      </c>
      <c r="AB1153">
        <v>9.6</v>
      </c>
      <c r="AC1153">
        <v>36.6</v>
      </c>
      <c r="AD1153">
        <v>328239523</v>
      </c>
    </row>
    <row r="1154" spans="1:30" hidden="1" x14ac:dyDescent="0.45">
      <c r="A1154">
        <v>1104</v>
      </c>
      <c r="B1154">
        <v>2700</v>
      </c>
      <c r="C1154" t="s">
        <v>76</v>
      </c>
      <c r="D1154" t="s">
        <v>4139</v>
      </c>
      <c r="H1154" t="s">
        <v>2645</v>
      </c>
      <c r="I1154" t="s">
        <v>76</v>
      </c>
      <c r="J1154" t="s">
        <v>194</v>
      </c>
      <c r="L1154" t="b">
        <v>0</v>
      </c>
      <c r="M1154" t="s">
        <v>29</v>
      </c>
      <c r="N1154" t="s">
        <v>8246</v>
      </c>
      <c r="O1154"/>
      <c r="P1154" t="s">
        <v>4140</v>
      </c>
      <c r="Q1154" t="s">
        <v>4141</v>
      </c>
      <c r="S1154" s="1">
        <v>45020.209027777775</v>
      </c>
      <c r="W1154"/>
      <c r="Y1154"/>
    </row>
    <row r="1155" spans="1:30" hidden="1" x14ac:dyDescent="0.45">
      <c r="A1155">
        <v>1104</v>
      </c>
      <c r="B1155">
        <v>2700</v>
      </c>
      <c r="C1155" t="s">
        <v>296</v>
      </c>
      <c r="D1155" t="s">
        <v>4142</v>
      </c>
      <c r="E1155">
        <v>75</v>
      </c>
      <c r="F1155" t="s">
        <v>93</v>
      </c>
      <c r="G1155" t="s">
        <v>343</v>
      </c>
      <c r="H1155" t="s">
        <v>4143</v>
      </c>
      <c r="I1155" t="s">
        <v>296</v>
      </c>
      <c r="J1155" t="s">
        <v>93</v>
      </c>
      <c r="L1155" t="b">
        <v>0</v>
      </c>
      <c r="M1155" t="s">
        <v>29</v>
      </c>
      <c r="N1155" t="s">
        <v>8245</v>
      </c>
      <c r="O1155" s="1">
        <v>17369</v>
      </c>
      <c r="P1155" t="s">
        <v>4144</v>
      </c>
      <c r="Q1155" t="s">
        <v>4145</v>
      </c>
      <c r="S1155" s="1">
        <v>45020.209027777775</v>
      </c>
      <c r="V1155">
        <v>1947</v>
      </c>
      <c r="W1155">
        <v>180.44</v>
      </c>
      <c r="X1155">
        <v>7.7</v>
      </c>
      <c r="Y1155" s="2">
        <v>2611000000000</v>
      </c>
      <c r="Z1155">
        <v>28.1</v>
      </c>
      <c r="AA1155">
        <v>113</v>
      </c>
      <c r="AB1155">
        <v>11.2</v>
      </c>
      <c r="AC1155">
        <v>49.7</v>
      </c>
      <c r="AD1155">
        <v>1366417754</v>
      </c>
    </row>
    <row r="1156" spans="1:30" hidden="1" x14ac:dyDescent="0.45">
      <c r="A1156">
        <v>1104</v>
      </c>
      <c r="B1156">
        <v>2700</v>
      </c>
      <c r="C1156" t="s">
        <v>203</v>
      </c>
      <c r="D1156" t="s">
        <v>4146</v>
      </c>
      <c r="E1156">
        <v>55</v>
      </c>
      <c r="F1156" t="s">
        <v>363</v>
      </c>
      <c r="G1156" t="s">
        <v>381</v>
      </c>
      <c r="H1156" t="s">
        <v>4147</v>
      </c>
      <c r="I1156" t="s">
        <v>203</v>
      </c>
      <c r="J1156" t="s">
        <v>363</v>
      </c>
      <c r="L1156" t="b">
        <v>1</v>
      </c>
      <c r="M1156" t="s">
        <v>29</v>
      </c>
      <c r="N1156" t="s">
        <v>8245</v>
      </c>
      <c r="O1156" s="1">
        <v>24740</v>
      </c>
      <c r="P1156" t="s">
        <v>4148</v>
      </c>
      <c r="Q1156" t="s">
        <v>1040</v>
      </c>
      <c r="S1156" s="1">
        <v>45020.209027777775</v>
      </c>
      <c r="V1156">
        <v>1967</v>
      </c>
      <c r="W1156">
        <v>180.75</v>
      </c>
      <c r="X1156">
        <v>4.5</v>
      </c>
      <c r="Y1156" s="2">
        <v>1699876578871</v>
      </c>
      <c r="Z1156">
        <v>81.900000000000006</v>
      </c>
      <c r="AA1156">
        <v>102.6</v>
      </c>
      <c r="AB1156">
        <v>11.4</v>
      </c>
      <c r="AC1156">
        <v>46.2</v>
      </c>
      <c r="AD1156">
        <v>144373535</v>
      </c>
    </row>
    <row r="1157" spans="1:30" x14ac:dyDescent="0.45">
      <c r="A1157">
        <v>1104</v>
      </c>
      <c r="B1157" s="6">
        <v>2700</v>
      </c>
      <c r="C1157" t="s">
        <v>45</v>
      </c>
      <c r="D1157" t="s">
        <v>4149</v>
      </c>
      <c r="E1157">
        <v>32</v>
      </c>
      <c r="F1157" t="s">
        <v>35</v>
      </c>
      <c r="G1157" t="s">
        <v>964</v>
      </c>
      <c r="H1157" t="s">
        <v>4150</v>
      </c>
      <c r="I1157" t="s">
        <v>45</v>
      </c>
      <c r="J1157" t="s">
        <v>35</v>
      </c>
      <c r="K1157" t="s">
        <v>4151</v>
      </c>
      <c r="L1157" t="b">
        <v>1</v>
      </c>
      <c r="M1157" t="s">
        <v>39</v>
      </c>
      <c r="N1157" t="s">
        <v>8245</v>
      </c>
      <c r="O1157" s="10">
        <v>33028</v>
      </c>
      <c r="P1157" t="s">
        <v>4152</v>
      </c>
      <c r="Q1157" t="s">
        <v>4153</v>
      </c>
      <c r="R1157" t="s">
        <v>138</v>
      </c>
      <c r="S1157" s="8">
        <v>45020.209027777775</v>
      </c>
      <c r="T1157" t="s">
        <v>115</v>
      </c>
      <c r="U1157" t="s">
        <v>53</v>
      </c>
      <c r="V1157">
        <v>1990</v>
      </c>
      <c r="W1157" s="12">
        <v>117.24</v>
      </c>
      <c r="X1157">
        <v>7.5</v>
      </c>
      <c r="Y1157" s="14">
        <v>21427700000000</v>
      </c>
      <c r="Z1157">
        <v>88.2</v>
      </c>
      <c r="AA1157">
        <v>101.8</v>
      </c>
      <c r="AB1157">
        <v>9.6</v>
      </c>
      <c r="AC1157">
        <v>36.6</v>
      </c>
      <c r="AD1157">
        <v>328239523</v>
      </c>
    </row>
    <row r="1158" spans="1:30" hidden="1" x14ac:dyDescent="0.45">
      <c r="A1158">
        <v>1104</v>
      </c>
      <c r="B1158">
        <v>2700</v>
      </c>
      <c r="C1158" t="s">
        <v>436</v>
      </c>
      <c r="D1158" t="s">
        <v>4154</v>
      </c>
      <c r="E1158">
        <v>81</v>
      </c>
      <c r="F1158" t="s">
        <v>35</v>
      </c>
      <c r="G1158" t="s">
        <v>4155</v>
      </c>
      <c r="H1158" t="s">
        <v>4156</v>
      </c>
      <c r="I1158" t="s">
        <v>436</v>
      </c>
      <c r="J1158" t="s">
        <v>35</v>
      </c>
      <c r="L1158" t="b">
        <v>1</v>
      </c>
      <c r="M1158" t="s">
        <v>29</v>
      </c>
      <c r="N1158" t="s">
        <v>8245</v>
      </c>
      <c r="O1158" s="1">
        <v>15086</v>
      </c>
      <c r="P1158" t="s">
        <v>1985</v>
      </c>
      <c r="Q1158" t="s">
        <v>4157</v>
      </c>
      <c r="S1158" s="1">
        <v>45020.209027777775</v>
      </c>
      <c r="T1158" t="s">
        <v>4158</v>
      </c>
      <c r="U1158" t="s">
        <v>69</v>
      </c>
      <c r="V1158">
        <v>1941</v>
      </c>
      <c r="W1158">
        <v>117.24</v>
      </c>
      <c r="X1158">
        <v>7.5</v>
      </c>
      <c r="Y1158" s="2">
        <v>21427700000000</v>
      </c>
      <c r="Z1158">
        <v>88.2</v>
      </c>
      <c r="AA1158">
        <v>101.8</v>
      </c>
      <c r="AB1158">
        <v>9.6</v>
      </c>
      <c r="AC1158">
        <v>36.6</v>
      </c>
      <c r="AD1158">
        <v>328239523</v>
      </c>
    </row>
    <row r="1159" spans="1:30" hidden="1" x14ac:dyDescent="0.45">
      <c r="A1159">
        <v>1104</v>
      </c>
      <c r="B1159">
        <v>2700</v>
      </c>
      <c r="C1159" t="s">
        <v>76</v>
      </c>
      <c r="D1159" t="s">
        <v>4159</v>
      </c>
      <c r="E1159">
        <v>52</v>
      </c>
      <c r="F1159" t="s">
        <v>35</v>
      </c>
      <c r="G1159" t="s">
        <v>4160</v>
      </c>
      <c r="H1159" t="s">
        <v>4161</v>
      </c>
      <c r="I1159" t="s">
        <v>76</v>
      </c>
      <c r="J1159" t="s">
        <v>35</v>
      </c>
      <c r="L1159" t="b">
        <v>1</v>
      </c>
      <c r="M1159" t="s">
        <v>29</v>
      </c>
      <c r="N1159" t="s">
        <v>8245</v>
      </c>
      <c r="O1159" s="1">
        <v>25730</v>
      </c>
      <c r="P1159" t="s">
        <v>4162</v>
      </c>
      <c r="Q1159" t="s">
        <v>358</v>
      </c>
      <c r="S1159" s="1">
        <v>45020.209027777775</v>
      </c>
      <c r="T1159" t="s">
        <v>311</v>
      </c>
      <c r="U1159" t="s">
        <v>82</v>
      </c>
      <c r="V1159">
        <v>1970</v>
      </c>
      <c r="W1159">
        <v>117.24</v>
      </c>
      <c r="X1159">
        <v>7.5</v>
      </c>
      <c r="Y1159" s="2">
        <v>21427700000000</v>
      </c>
      <c r="Z1159">
        <v>88.2</v>
      </c>
      <c r="AA1159">
        <v>101.8</v>
      </c>
      <c r="AB1159">
        <v>9.6</v>
      </c>
      <c r="AC1159">
        <v>36.6</v>
      </c>
      <c r="AD1159">
        <v>328239523</v>
      </c>
    </row>
    <row r="1160" spans="1:30" hidden="1" x14ac:dyDescent="0.45">
      <c r="A1160">
        <v>1104</v>
      </c>
      <c r="B1160">
        <v>2700</v>
      </c>
      <c r="C1160" t="s">
        <v>326</v>
      </c>
      <c r="D1160" t="s">
        <v>4163</v>
      </c>
      <c r="E1160">
        <v>65</v>
      </c>
      <c r="F1160" t="s">
        <v>2377</v>
      </c>
      <c r="G1160" t="s">
        <v>4164</v>
      </c>
      <c r="H1160" t="s">
        <v>4165</v>
      </c>
      <c r="I1160" t="s">
        <v>326</v>
      </c>
      <c r="J1160" t="s">
        <v>2377</v>
      </c>
      <c r="L1160" t="b">
        <v>1</v>
      </c>
      <c r="M1160" t="s">
        <v>39</v>
      </c>
      <c r="N1160" t="s">
        <v>8245</v>
      </c>
      <c r="O1160" s="1">
        <v>21186</v>
      </c>
      <c r="P1160" t="s">
        <v>4166</v>
      </c>
      <c r="Q1160" t="s">
        <v>4167</v>
      </c>
      <c r="S1160" s="1">
        <v>45020.209027777775</v>
      </c>
      <c r="V1160">
        <v>1958</v>
      </c>
      <c r="W1160">
        <v>182.75</v>
      </c>
      <c r="X1160">
        <v>5.2</v>
      </c>
      <c r="Y1160" s="2">
        <v>180161741180</v>
      </c>
      <c r="Z1160">
        <v>61.7</v>
      </c>
      <c r="AA1160">
        <v>104.4</v>
      </c>
      <c r="AB1160">
        <v>11.7</v>
      </c>
      <c r="AC1160">
        <v>28.4</v>
      </c>
      <c r="AD1160">
        <v>18513930</v>
      </c>
    </row>
    <row r="1161" spans="1:30" hidden="1" x14ac:dyDescent="0.45">
      <c r="A1161">
        <v>1104</v>
      </c>
      <c r="B1161">
        <v>2700</v>
      </c>
      <c r="C1161" t="s">
        <v>126</v>
      </c>
      <c r="D1161" t="s">
        <v>4168</v>
      </c>
      <c r="E1161">
        <v>29</v>
      </c>
      <c r="F1161" t="s">
        <v>1297</v>
      </c>
      <c r="G1161" t="s">
        <v>4169</v>
      </c>
      <c r="H1161" t="s">
        <v>4170</v>
      </c>
      <c r="I1161" t="s">
        <v>126</v>
      </c>
      <c r="J1161" t="s">
        <v>1297</v>
      </c>
      <c r="L1161" t="b">
        <v>0</v>
      </c>
      <c r="M1161" t="s">
        <v>39</v>
      </c>
      <c r="N1161" t="s">
        <v>8245</v>
      </c>
      <c r="O1161" s="1">
        <v>34081</v>
      </c>
      <c r="P1161" t="s">
        <v>4171</v>
      </c>
      <c r="Q1161" t="s">
        <v>4172</v>
      </c>
      <c r="S1161" s="1">
        <v>45020.209027777775</v>
      </c>
      <c r="V1161">
        <v>1993</v>
      </c>
      <c r="W1161">
        <v>120.27</v>
      </c>
      <c r="X1161">
        <v>2.2000000000000002</v>
      </c>
      <c r="Y1161" s="2">
        <v>403336363636</v>
      </c>
      <c r="Z1161">
        <v>82</v>
      </c>
      <c r="AA1161">
        <v>100.3</v>
      </c>
      <c r="AB1161">
        <v>23.9</v>
      </c>
      <c r="AC1161">
        <v>36.200000000000003</v>
      </c>
      <c r="AD1161">
        <v>5347896</v>
      </c>
    </row>
    <row r="1162" spans="1:30" hidden="1" x14ac:dyDescent="0.45">
      <c r="A1162">
        <v>1104</v>
      </c>
      <c r="B1162">
        <v>2700</v>
      </c>
      <c r="C1162" t="s">
        <v>296</v>
      </c>
      <c r="D1162" t="s">
        <v>4173</v>
      </c>
      <c r="E1162">
        <v>58</v>
      </c>
      <c r="F1162" t="s">
        <v>228</v>
      </c>
      <c r="G1162" t="s">
        <v>228</v>
      </c>
      <c r="H1162" t="s">
        <v>1268</v>
      </c>
      <c r="I1162" t="s">
        <v>296</v>
      </c>
      <c r="J1162" t="s">
        <v>228</v>
      </c>
      <c r="L1162" t="b">
        <v>1</v>
      </c>
      <c r="M1162" t="s">
        <v>39</v>
      </c>
      <c r="N1162" t="s">
        <v>8245</v>
      </c>
      <c r="O1162" s="1">
        <v>23785</v>
      </c>
      <c r="P1162" t="s">
        <v>3992</v>
      </c>
      <c r="Q1162" t="s">
        <v>4174</v>
      </c>
      <c r="S1162" s="1">
        <v>45020.209027777775</v>
      </c>
      <c r="V1162">
        <v>1965</v>
      </c>
      <c r="W1162"/>
      <c r="Y1162"/>
    </row>
    <row r="1163" spans="1:30" hidden="1" x14ac:dyDescent="0.45">
      <c r="A1163">
        <v>1104</v>
      </c>
      <c r="B1163">
        <v>2700</v>
      </c>
      <c r="C1163" t="s">
        <v>402</v>
      </c>
      <c r="D1163" t="s">
        <v>4175</v>
      </c>
      <c r="E1163">
        <v>61</v>
      </c>
      <c r="F1163" t="s">
        <v>128</v>
      </c>
      <c r="G1163" t="s">
        <v>4176</v>
      </c>
      <c r="H1163" t="s">
        <v>1529</v>
      </c>
      <c r="I1163" t="s">
        <v>402</v>
      </c>
      <c r="J1163" t="s">
        <v>128</v>
      </c>
      <c r="L1163" t="b">
        <v>1</v>
      </c>
      <c r="M1163" t="s">
        <v>39</v>
      </c>
      <c r="N1163" t="s">
        <v>8245</v>
      </c>
      <c r="O1163" s="1">
        <v>22704</v>
      </c>
      <c r="P1163" t="s">
        <v>894</v>
      </c>
      <c r="Q1163" t="s">
        <v>4177</v>
      </c>
      <c r="S1163" s="1">
        <v>45020.209027777775</v>
      </c>
      <c r="V1163">
        <v>1962</v>
      </c>
      <c r="W1163">
        <v>125.08</v>
      </c>
      <c r="X1163">
        <v>2.9</v>
      </c>
      <c r="Y1163" s="2">
        <v>19910000000000</v>
      </c>
      <c r="Z1163">
        <v>50.6</v>
      </c>
      <c r="AA1163">
        <v>100.2</v>
      </c>
      <c r="AB1163">
        <v>9.4</v>
      </c>
      <c r="AC1163">
        <v>59.2</v>
      </c>
      <c r="AD1163">
        <v>1397715000</v>
      </c>
    </row>
    <row r="1164" spans="1:30" hidden="1" x14ac:dyDescent="0.45">
      <c r="A1164">
        <v>1104</v>
      </c>
      <c r="B1164">
        <v>2700</v>
      </c>
      <c r="C1164" t="s">
        <v>402</v>
      </c>
      <c r="D1164" t="s">
        <v>4178</v>
      </c>
      <c r="E1164">
        <v>59</v>
      </c>
      <c r="F1164" t="s">
        <v>128</v>
      </c>
      <c r="G1164" t="s">
        <v>777</v>
      </c>
      <c r="H1164" t="s">
        <v>610</v>
      </c>
      <c r="I1164" t="s">
        <v>402</v>
      </c>
      <c r="J1164" t="s">
        <v>128</v>
      </c>
      <c r="L1164" t="b">
        <v>1</v>
      </c>
      <c r="M1164" t="s">
        <v>258</v>
      </c>
      <c r="N1164" t="s">
        <v>8245</v>
      </c>
      <c r="O1164" s="1">
        <v>23346</v>
      </c>
      <c r="P1164" t="s">
        <v>4179</v>
      </c>
      <c r="Q1164" t="s">
        <v>4180</v>
      </c>
      <c r="S1164" s="1">
        <v>45020.209027777775</v>
      </c>
      <c r="V1164">
        <v>1963</v>
      </c>
      <c r="W1164">
        <v>125.08</v>
      </c>
      <c r="X1164">
        <v>2.9</v>
      </c>
      <c r="Y1164" s="2">
        <v>19910000000000</v>
      </c>
      <c r="Z1164">
        <v>50.6</v>
      </c>
      <c r="AA1164">
        <v>100.2</v>
      </c>
      <c r="AB1164">
        <v>9.4</v>
      </c>
      <c r="AC1164">
        <v>59.2</v>
      </c>
      <c r="AD1164">
        <v>1397715000</v>
      </c>
    </row>
    <row r="1165" spans="1:30" hidden="1" x14ac:dyDescent="0.45">
      <c r="A1165">
        <v>1164</v>
      </c>
      <c r="B1165">
        <v>2600</v>
      </c>
      <c r="C1165" t="s">
        <v>302</v>
      </c>
      <c r="D1165" t="s">
        <v>4181</v>
      </c>
      <c r="E1165">
        <v>53</v>
      </c>
      <c r="F1165" t="s">
        <v>35</v>
      </c>
      <c r="G1165" t="s">
        <v>78</v>
      </c>
      <c r="H1165" t="s">
        <v>304</v>
      </c>
      <c r="I1165" t="s">
        <v>302</v>
      </c>
      <c r="J1165" t="s">
        <v>35</v>
      </c>
      <c r="L1165" t="b">
        <v>1</v>
      </c>
      <c r="M1165" t="s">
        <v>39</v>
      </c>
      <c r="N1165" t="s">
        <v>8245</v>
      </c>
      <c r="O1165" s="1">
        <v>25469</v>
      </c>
      <c r="P1165" t="s">
        <v>4182</v>
      </c>
      <c r="Q1165" t="s">
        <v>2714</v>
      </c>
      <c r="S1165" s="1">
        <v>45020.209027777775</v>
      </c>
      <c r="T1165" t="s">
        <v>78</v>
      </c>
      <c r="U1165" t="s">
        <v>82</v>
      </c>
      <c r="V1165">
        <v>1969</v>
      </c>
      <c r="W1165">
        <v>117.24</v>
      </c>
      <c r="X1165">
        <v>7.5</v>
      </c>
      <c r="Y1165" s="2">
        <v>21427700000000</v>
      </c>
      <c r="Z1165">
        <v>88.2</v>
      </c>
      <c r="AA1165">
        <v>101.8</v>
      </c>
      <c r="AB1165">
        <v>9.6</v>
      </c>
      <c r="AC1165">
        <v>36.6</v>
      </c>
      <c r="AD1165">
        <v>328239523</v>
      </c>
    </row>
    <row r="1166" spans="1:30" hidden="1" x14ac:dyDescent="0.45">
      <c r="A1166">
        <v>1164</v>
      </c>
      <c r="B1166">
        <v>2600</v>
      </c>
      <c r="C1166" t="s">
        <v>61</v>
      </c>
      <c r="D1166" t="s">
        <v>4183</v>
      </c>
      <c r="E1166">
        <v>54</v>
      </c>
      <c r="F1166" t="s">
        <v>35</v>
      </c>
      <c r="G1166" t="s">
        <v>78</v>
      </c>
      <c r="H1166" t="s">
        <v>4129</v>
      </c>
      <c r="I1166" t="s">
        <v>61</v>
      </c>
      <c r="J1166" t="s">
        <v>35</v>
      </c>
      <c r="L1166" t="b">
        <v>1</v>
      </c>
      <c r="M1166" t="s">
        <v>39</v>
      </c>
      <c r="N1166" t="s">
        <v>8245</v>
      </c>
      <c r="O1166" s="1">
        <v>25291</v>
      </c>
      <c r="P1166" t="s">
        <v>4184</v>
      </c>
      <c r="Q1166" t="s">
        <v>4185</v>
      </c>
      <c r="S1166" s="1">
        <v>45020.209027777775</v>
      </c>
      <c r="T1166" t="s">
        <v>78</v>
      </c>
      <c r="U1166" t="s">
        <v>82</v>
      </c>
      <c r="V1166">
        <v>1969</v>
      </c>
      <c r="W1166">
        <v>117.24</v>
      </c>
      <c r="X1166">
        <v>7.5</v>
      </c>
      <c r="Y1166" s="2">
        <v>21427700000000</v>
      </c>
      <c r="Z1166">
        <v>88.2</v>
      </c>
      <c r="AA1166">
        <v>101.8</v>
      </c>
      <c r="AB1166">
        <v>9.6</v>
      </c>
      <c r="AC1166">
        <v>36.6</v>
      </c>
      <c r="AD1166">
        <v>328239523</v>
      </c>
    </row>
    <row r="1167" spans="1:30" hidden="1" x14ac:dyDescent="0.45">
      <c r="A1167">
        <v>1164</v>
      </c>
      <c r="B1167">
        <v>2600</v>
      </c>
      <c r="C1167" t="s">
        <v>61</v>
      </c>
      <c r="D1167" t="s">
        <v>4186</v>
      </c>
      <c r="E1167">
        <v>56</v>
      </c>
      <c r="F1167" t="s">
        <v>35</v>
      </c>
      <c r="G1167" t="s">
        <v>78</v>
      </c>
      <c r="H1167" t="s">
        <v>3123</v>
      </c>
      <c r="I1167" t="s">
        <v>61</v>
      </c>
      <c r="J1167" t="s">
        <v>35</v>
      </c>
      <c r="L1167" t="b">
        <v>1</v>
      </c>
      <c r="M1167" t="s">
        <v>39</v>
      </c>
      <c r="N1167" t="s">
        <v>8245</v>
      </c>
      <c r="O1167" s="1">
        <v>24248</v>
      </c>
      <c r="P1167" t="s">
        <v>4184</v>
      </c>
      <c r="Q1167" t="s">
        <v>4187</v>
      </c>
      <c r="S1167" s="1">
        <v>45020.209027777775</v>
      </c>
      <c r="T1167" t="s">
        <v>78</v>
      </c>
      <c r="U1167" t="s">
        <v>82</v>
      </c>
      <c r="V1167">
        <v>1966</v>
      </c>
      <c r="W1167">
        <v>117.24</v>
      </c>
      <c r="X1167">
        <v>7.5</v>
      </c>
      <c r="Y1167" s="2">
        <v>21427700000000</v>
      </c>
      <c r="Z1167">
        <v>88.2</v>
      </c>
      <c r="AA1167">
        <v>101.8</v>
      </c>
      <c r="AB1167">
        <v>9.6</v>
      </c>
      <c r="AC1167">
        <v>36.6</v>
      </c>
      <c r="AD1167">
        <v>328239523</v>
      </c>
    </row>
    <row r="1168" spans="1:30" hidden="1" x14ac:dyDescent="0.45">
      <c r="A1168">
        <v>1164</v>
      </c>
      <c r="B1168">
        <v>2600</v>
      </c>
      <c r="C1168" t="s">
        <v>76</v>
      </c>
      <c r="D1168" t="s">
        <v>4188</v>
      </c>
      <c r="E1168">
        <v>60</v>
      </c>
      <c r="F1168" t="s">
        <v>35</v>
      </c>
      <c r="G1168" t="s">
        <v>991</v>
      </c>
      <c r="H1168" t="s">
        <v>336</v>
      </c>
      <c r="I1168" t="s">
        <v>76</v>
      </c>
      <c r="J1168" t="s">
        <v>35</v>
      </c>
      <c r="L1168" t="b">
        <v>1</v>
      </c>
      <c r="M1168" t="s">
        <v>29</v>
      </c>
      <c r="N1168" t="s">
        <v>8245</v>
      </c>
      <c r="O1168" s="1">
        <v>23031</v>
      </c>
      <c r="P1168" t="s">
        <v>4189</v>
      </c>
      <c r="Q1168" t="s">
        <v>169</v>
      </c>
      <c r="S1168" s="1">
        <v>45020.209027777775</v>
      </c>
      <c r="T1168" t="s">
        <v>115</v>
      </c>
      <c r="U1168" t="s">
        <v>53</v>
      </c>
      <c r="V1168">
        <v>1963</v>
      </c>
      <c r="W1168">
        <v>117.24</v>
      </c>
      <c r="X1168">
        <v>7.5</v>
      </c>
      <c r="Y1168" s="2">
        <v>21427700000000</v>
      </c>
      <c r="Z1168">
        <v>88.2</v>
      </c>
      <c r="AA1168">
        <v>101.8</v>
      </c>
      <c r="AB1168">
        <v>9.6</v>
      </c>
      <c r="AC1168">
        <v>36.6</v>
      </c>
      <c r="AD1168">
        <v>328239523</v>
      </c>
    </row>
    <row r="1169" spans="1:30" hidden="1" x14ac:dyDescent="0.45">
      <c r="A1169">
        <v>1164</v>
      </c>
      <c r="B1169">
        <v>2600</v>
      </c>
      <c r="C1169" t="s">
        <v>126</v>
      </c>
      <c r="D1169" t="s">
        <v>4190</v>
      </c>
      <c r="E1169">
        <v>51</v>
      </c>
      <c r="F1169" t="s">
        <v>558</v>
      </c>
      <c r="G1169" t="s">
        <v>839</v>
      </c>
      <c r="H1169" t="s">
        <v>4191</v>
      </c>
      <c r="I1169" t="s">
        <v>126</v>
      </c>
      <c r="J1169" t="s">
        <v>558</v>
      </c>
      <c r="L1169" t="b">
        <v>0</v>
      </c>
      <c r="M1169" t="s">
        <v>39</v>
      </c>
      <c r="N1169" t="s">
        <v>8245</v>
      </c>
      <c r="O1169" s="1">
        <v>26334</v>
      </c>
      <c r="P1169" t="s">
        <v>4192</v>
      </c>
      <c r="Q1169" t="s">
        <v>4193</v>
      </c>
      <c r="S1169" s="1">
        <v>45020.209027777775</v>
      </c>
      <c r="V1169">
        <v>1972</v>
      </c>
      <c r="W1169">
        <v>167.4</v>
      </c>
      <c r="X1169">
        <v>3.7</v>
      </c>
      <c r="Y1169" s="2">
        <v>1839758040766</v>
      </c>
      <c r="Z1169">
        <v>51.3</v>
      </c>
      <c r="AA1169">
        <v>115.4</v>
      </c>
      <c r="AB1169">
        <v>14.2</v>
      </c>
      <c r="AC1169">
        <v>65.099999999999994</v>
      </c>
      <c r="AD1169">
        <v>212559417</v>
      </c>
    </row>
    <row r="1170" spans="1:30" hidden="1" x14ac:dyDescent="0.45">
      <c r="A1170">
        <v>1164</v>
      </c>
      <c r="B1170">
        <v>2600</v>
      </c>
      <c r="C1170" t="s">
        <v>126</v>
      </c>
      <c r="D1170" t="s">
        <v>4194</v>
      </c>
      <c r="E1170">
        <v>50</v>
      </c>
      <c r="F1170" t="s">
        <v>558</v>
      </c>
      <c r="G1170" t="s">
        <v>839</v>
      </c>
      <c r="H1170" t="s">
        <v>4195</v>
      </c>
      <c r="I1170" t="s">
        <v>126</v>
      </c>
      <c r="J1170" t="s">
        <v>558</v>
      </c>
      <c r="L1170" t="b">
        <v>0</v>
      </c>
      <c r="M1170" t="s">
        <v>39</v>
      </c>
      <c r="N1170" t="s">
        <v>8245</v>
      </c>
      <c r="O1170" s="1">
        <v>26641</v>
      </c>
      <c r="P1170" t="s">
        <v>4192</v>
      </c>
      <c r="Q1170" t="s">
        <v>2887</v>
      </c>
      <c r="S1170" s="1">
        <v>45020.209027777775</v>
      </c>
      <c r="V1170">
        <v>1972</v>
      </c>
      <c r="W1170">
        <v>167.4</v>
      </c>
      <c r="X1170">
        <v>3.7</v>
      </c>
      <c r="Y1170" s="2">
        <v>1839758040766</v>
      </c>
      <c r="Z1170">
        <v>51.3</v>
      </c>
      <c r="AA1170">
        <v>115.4</v>
      </c>
      <c r="AB1170">
        <v>14.2</v>
      </c>
      <c r="AC1170">
        <v>65.099999999999994</v>
      </c>
      <c r="AD1170">
        <v>212559417</v>
      </c>
    </row>
    <row r="1171" spans="1:30" hidden="1" x14ac:dyDescent="0.45">
      <c r="A1171">
        <v>1164</v>
      </c>
      <c r="B1171">
        <v>2600</v>
      </c>
      <c r="C1171" t="s">
        <v>76</v>
      </c>
      <c r="D1171" t="s">
        <v>4196</v>
      </c>
      <c r="E1171">
        <v>46</v>
      </c>
      <c r="F1171" t="s">
        <v>194</v>
      </c>
      <c r="G1171" t="s">
        <v>1038</v>
      </c>
      <c r="H1171" t="s">
        <v>4197</v>
      </c>
      <c r="I1171" t="s">
        <v>76</v>
      </c>
      <c r="J1171" t="s">
        <v>194</v>
      </c>
      <c r="L1171" t="b">
        <v>0</v>
      </c>
      <c r="M1171" t="s">
        <v>39</v>
      </c>
      <c r="N1171" t="s">
        <v>8246</v>
      </c>
      <c r="O1171" s="1">
        <v>28213</v>
      </c>
      <c r="P1171" t="s">
        <v>4198</v>
      </c>
      <c r="Q1171" t="s">
        <v>4199</v>
      </c>
      <c r="S1171" s="1">
        <v>45020.209027777775</v>
      </c>
      <c r="V1171">
        <v>1977</v>
      </c>
      <c r="W1171">
        <v>112.85</v>
      </c>
      <c r="X1171">
        <v>1.4</v>
      </c>
      <c r="Y1171" s="2">
        <v>3845630030824</v>
      </c>
      <c r="Z1171">
        <v>70.2</v>
      </c>
      <c r="AA1171">
        <v>104</v>
      </c>
      <c r="AB1171">
        <v>11.5</v>
      </c>
      <c r="AC1171">
        <v>48.8</v>
      </c>
      <c r="AD1171">
        <v>83132799</v>
      </c>
    </row>
    <row r="1172" spans="1:30" hidden="1" x14ac:dyDescent="0.45">
      <c r="A1172">
        <v>1164</v>
      </c>
      <c r="B1172">
        <v>2600</v>
      </c>
      <c r="C1172" t="s">
        <v>296</v>
      </c>
      <c r="D1172" t="s">
        <v>4200</v>
      </c>
      <c r="E1172">
        <v>48</v>
      </c>
      <c r="F1172" t="s">
        <v>205</v>
      </c>
      <c r="G1172" t="s">
        <v>4201</v>
      </c>
      <c r="H1172" t="s">
        <v>399</v>
      </c>
      <c r="I1172" t="s">
        <v>296</v>
      </c>
      <c r="J1172" t="s">
        <v>205</v>
      </c>
      <c r="L1172" t="b">
        <v>0</v>
      </c>
      <c r="M1172" t="s">
        <v>39</v>
      </c>
      <c r="N1172" t="s">
        <v>8246</v>
      </c>
      <c r="O1172" s="1">
        <v>27395</v>
      </c>
      <c r="P1172" t="s">
        <v>4202</v>
      </c>
      <c r="Q1172" t="s">
        <v>244</v>
      </c>
      <c r="S1172" s="1">
        <v>45020.209027777775</v>
      </c>
      <c r="V1172">
        <v>1975</v>
      </c>
      <c r="W1172">
        <v>99.55</v>
      </c>
      <c r="X1172">
        <v>0.4</v>
      </c>
      <c r="Y1172" s="2">
        <v>703082435360</v>
      </c>
      <c r="Z1172">
        <v>59.6</v>
      </c>
      <c r="AA1172">
        <v>105.2</v>
      </c>
      <c r="AB1172">
        <v>10.1</v>
      </c>
      <c r="AC1172">
        <v>28.8</v>
      </c>
      <c r="AD1172">
        <v>8574832</v>
      </c>
    </row>
    <row r="1173" spans="1:30" hidden="1" x14ac:dyDescent="0.45">
      <c r="A1173">
        <v>1164</v>
      </c>
      <c r="B1173">
        <v>2600</v>
      </c>
      <c r="C1173" t="s">
        <v>402</v>
      </c>
      <c r="D1173" t="s">
        <v>4203</v>
      </c>
      <c r="E1173">
        <v>58</v>
      </c>
      <c r="F1173" t="s">
        <v>128</v>
      </c>
      <c r="G1173" t="s">
        <v>944</v>
      </c>
      <c r="H1173" t="s">
        <v>610</v>
      </c>
      <c r="I1173" t="s">
        <v>402</v>
      </c>
      <c r="J1173" t="s">
        <v>128</v>
      </c>
      <c r="L1173" t="b">
        <v>1</v>
      </c>
      <c r="M1173" t="s">
        <v>29</v>
      </c>
      <c r="N1173" t="s">
        <v>8245</v>
      </c>
      <c r="O1173" s="1">
        <v>23546</v>
      </c>
      <c r="P1173" t="s">
        <v>4204</v>
      </c>
      <c r="Q1173" t="s">
        <v>4205</v>
      </c>
      <c r="S1173" s="1">
        <v>45020.209027777775</v>
      </c>
      <c r="V1173">
        <v>1964</v>
      </c>
      <c r="W1173">
        <v>125.08</v>
      </c>
      <c r="X1173">
        <v>2.9</v>
      </c>
      <c r="Y1173" s="2">
        <v>19910000000000</v>
      </c>
      <c r="Z1173">
        <v>50.6</v>
      </c>
      <c r="AA1173">
        <v>100.2</v>
      </c>
      <c r="AB1173">
        <v>9.4</v>
      </c>
      <c r="AC1173">
        <v>59.2</v>
      </c>
      <c r="AD1173">
        <v>1397715000</v>
      </c>
    </row>
    <row r="1174" spans="1:30" hidden="1" x14ac:dyDescent="0.45">
      <c r="A1174">
        <v>1164</v>
      </c>
      <c r="B1174">
        <v>2600</v>
      </c>
      <c r="C1174" t="s">
        <v>61</v>
      </c>
      <c r="D1174" t="s">
        <v>4206</v>
      </c>
      <c r="E1174">
        <v>64</v>
      </c>
      <c r="F1174" t="s">
        <v>574</v>
      </c>
      <c r="G1174" t="s">
        <v>574</v>
      </c>
      <c r="H1174" t="s">
        <v>317</v>
      </c>
      <c r="I1174" t="s">
        <v>61</v>
      </c>
      <c r="J1174" t="s">
        <v>1094</v>
      </c>
      <c r="L1174" t="b">
        <v>0</v>
      </c>
      <c r="M1174" t="s">
        <v>29</v>
      </c>
      <c r="N1174" t="s">
        <v>8245</v>
      </c>
      <c r="O1174" s="1">
        <v>21551</v>
      </c>
      <c r="P1174" t="s">
        <v>4207</v>
      </c>
      <c r="Q1174" t="s">
        <v>1068</v>
      </c>
      <c r="S1174" s="1">
        <v>45020.209027777775</v>
      </c>
      <c r="V1174">
        <v>1959</v>
      </c>
      <c r="W1174">
        <v>114.41</v>
      </c>
      <c r="X1174">
        <v>0.6</v>
      </c>
      <c r="Y1174" s="2">
        <v>372062527489</v>
      </c>
      <c r="Z1174">
        <v>84.8</v>
      </c>
      <c r="AA1174">
        <v>100.6</v>
      </c>
      <c r="AB1174">
        <v>13.1</v>
      </c>
      <c r="AC1174">
        <v>21</v>
      </c>
      <c r="AD1174">
        <v>5703569</v>
      </c>
    </row>
    <row r="1175" spans="1:30" hidden="1" x14ac:dyDescent="0.45">
      <c r="A1175">
        <v>1164</v>
      </c>
      <c r="B1175">
        <v>2600</v>
      </c>
      <c r="C1175" t="s">
        <v>296</v>
      </c>
      <c r="D1175" t="s">
        <v>4208</v>
      </c>
      <c r="E1175">
        <v>47</v>
      </c>
      <c r="F1175" t="s">
        <v>128</v>
      </c>
      <c r="G1175" t="s">
        <v>234</v>
      </c>
      <c r="H1175" t="s">
        <v>4209</v>
      </c>
      <c r="I1175" t="s">
        <v>296</v>
      </c>
      <c r="J1175" t="s">
        <v>128</v>
      </c>
      <c r="L1175" t="b">
        <v>1</v>
      </c>
      <c r="M1175" t="s">
        <v>39</v>
      </c>
      <c r="N1175" t="s">
        <v>8245</v>
      </c>
      <c r="O1175" s="1">
        <v>27760</v>
      </c>
      <c r="P1175" t="s">
        <v>679</v>
      </c>
      <c r="Q1175" t="s">
        <v>4210</v>
      </c>
      <c r="S1175" s="1">
        <v>45020.209027777775</v>
      </c>
      <c r="V1175">
        <v>1976</v>
      </c>
      <c r="W1175">
        <v>125.08</v>
      </c>
      <c r="X1175">
        <v>2.9</v>
      </c>
      <c r="Y1175" s="2">
        <v>19910000000000</v>
      </c>
      <c r="Z1175">
        <v>50.6</v>
      </c>
      <c r="AA1175">
        <v>100.2</v>
      </c>
      <c r="AB1175">
        <v>9.4</v>
      </c>
      <c r="AC1175">
        <v>59.2</v>
      </c>
      <c r="AD1175">
        <v>1397715000</v>
      </c>
    </row>
    <row r="1176" spans="1:30" hidden="1" x14ac:dyDescent="0.45">
      <c r="A1176">
        <v>1164</v>
      </c>
      <c r="B1176">
        <v>2600</v>
      </c>
      <c r="C1176" t="s">
        <v>436</v>
      </c>
      <c r="D1176" t="s">
        <v>4211</v>
      </c>
      <c r="E1176">
        <v>71</v>
      </c>
      <c r="F1176" t="s">
        <v>85</v>
      </c>
      <c r="G1176" t="s">
        <v>86</v>
      </c>
      <c r="H1176" t="s">
        <v>4212</v>
      </c>
      <c r="I1176" t="s">
        <v>436</v>
      </c>
      <c r="J1176" t="s">
        <v>85</v>
      </c>
      <c r="L1176" t="b">
        <v>1</v>
      </c>
      <c r="M1176" t="s">
        <v>29</v>
      </c>
      <c r="N1176" t="s">
        <v>8245</v>
      </c>
      <c r="O1176" s="1">
        <v>19039</v>
      </c>
      <c r="P1176" t="s">
        <v>4213</v>
      </c>
      <c r="Q1176" t="s">
        <v>4214</v>
      </c>
      <c r="S1176" s="1">
        <v>45020.209027777775</v>
      </c>
      <c r="V1176">
        <v>1952</v>
      </c>
      <c r="W1176">
        <v>141.54</v>
      </c>
      <c r="X1176">
        <v>3.6</v>
      </c>
      <c r="Y1176" s="2">
        <v>1258286717125</v>
      </c>
      <c r="Z1176">
        <v>40.200000000000003</v>
      </c>
      <c r="AA1176">
        <v>105.8</v>
      </c>
      <c r="AB1176">
        <v>13.1</v>
      </c>
      <c r="AC1176">
        <v>55.1</v>
      </c>
      <c r="AD1176">
        <v>126014024</v>
      </c>
    </row>
    <row r="1177" spans="1:30" hidden="1" x14ac:dyDescent="0.45">
      <c r="A1177">
        <v>1164</v>
      </c>
      <c r="B1177">
        <v>2600</v>
      </c>
      <c r="C1177" t="s">
        <v>347</v>
      </c>
      <c r="D1177" t="s">
        <v>4215</v>
      </c>
      <c r="E1177">
        <v>81</v>
      </c>
      <c r="F1177" t="s">
        <v>35</v>
      </c>
      <c r="G1177" t="s">
        <v>704</v>
      </c>
      <c r="H1177" t="s">
        <v>1414</v>
      </c>
      <c r="I1177" t="s">
        <v>347</v>
      </c>
      <c r="J1177" t="s">
        <v>35</v>
      </c>
      <c r="L1177" t="b">
        <v>1</v>
      </c>
      <c r="M1177" t="s">
        <v>29</v>
      </c>
      <c r="N1177" t="s">
        <v>8245</v>
      </c>
      <c r="O1177" s="1">
        <v>15328</v>
      </c>
      <c r="P1177" t="s">
        <v>2221</v>
      </c>
      <c r="Q1177" t="s">
        <v>477</v>
      </c>
      <c r="S1177" s="1">
        <v>45020.209027777775</v>
      </c>
      <c r="T1177" t="s">
        <v>43</v>
      </c>
      <c r="U1177" t="s">
        <v>44</v>
      </c>
      <c r="V1177">
        <v>1941</v>
      </c>
      <c r="W1177">
        <v>117.24</v>
      </c>
      <c r="X1177">
        <v>7.5</v>
      </c>
      <c r="Y1177" s="2">
        <v>21427700000000</v>
      </c>
      <c r="Z1177">
        <v>88.2</v>
      </c>
      <c r="AA1177">
        <v>101.8</v>
      </c>
      <c r="AB1177">
        <v>9.6</v>
      </c>
      <c r="AC1177">
        <v>36.6</v>
      </c>
      <c r="AD1177">
        <v>328239523</v>
      </c>
    </row>
    <row r="1178" spans="1:30" hidden="1" x14ac:dyDescent="0.45">
      <c r="A1178">
        <v>1164</v>
      </c>
      <c r="B1178">
        <v>2600</v>
      </c>
      <c r="C1178" t="s">
        <v>689</v>
      </c>
      <c r="D1178" t="s">
        <v>4216</v>
      </c>
      <c r="E1178">
        <v>67</v>
      </c>
      <c r="F1178" t="s">
        <v>117</v>
      </c>
      <c r="G1178" t="s">
        <v>2480</v>
      </c>
      <c r="H1178" t="s">
        <v>2481</v>
      </c>
      <c r="I1178" t="s">
        <v>689</v>
      </c>
      <c r="J1178" t="s">
        <v>117</v>
      </c>
      <c r="L1178" t="b">
        <v>0</v>
      </c>
      <c r="M1178" t="s">
        <v>29</v>
      </c>
      <c r="N1178" t="s">
        <v>8246</v>
      </c>
      <c r="O1178" s="1">
        <v>20533</v>
      </c>
      <c r="P1178" t="s">
        <v>2482</v>
      </c>
      <c r="Q1178" t="s">
        <v>1889</v>
      </c>
      <c r="S1178" s="1">
        <v>45020.209027777775</v>
      </c>
      <c r="V1178">
        <v>1956</v>
      </c>
      <c r="W1178">
        <v>110.96</v>
      </c>
      <c r="X1178">
        <v>0.7</v>
      </c>
      <c r="Y1178" s="2">
        <v>1394116310769</v>
      </c>
      <c r="Z1178">
        <v>88.9</v>
      </c>
      <c r="AA1178">
        <v>102.7</v>
      </c>
      <c r="AB1178">
        <v>14.2</v>
      </c>
      <c r="AC1178">
        <v>47</v>
      </c>
      <c r="AD1178">
        <v>47076781</v>
      </c>
    </row>
    <row r="1179" spans="1:30" hidden="1" x14ac:dyDescent="0.45">
      <c r="A1179">
        <v>1164</v>
      </c>
      <c r="B1179">
        <v>2600</v>
      </c>
      <c r="C1179" t="s">
        <v>296</v>
      </c>
      <c r="D1179" t="s">
        <v>4217</v>
      </c>
      <c r="E1179">
        <v>54</v>
      </c>
      <c r="F1179" t="s">
        <v>128</v>
      </c>
      <c r="G1179" t="s">
        <v>678</v>
      </c>
      <c r="H1179" t="s">
        <v>4218</v>
      </c>
      <c r="I1179" t="s">
        <v>296</v>
      </c>
      <c r="J1179" t="s">
        <v>128</v>
      </c>
      <c r="L1179" t="b">
        <v>1</v>
      </c>
      <c r="M1179" t="s">
        <v>39</v>
      </c>
      <c r="N1179" t="s">
        <v>8245</v>
      </c>
      <c r="O1179" s="1">
        <v>25082</v>
      </c>
      <c r="P1179" t="s">
        <v>3526</v>
      </c>
      <c r="Q1179" t="s">
        <v>4219</v>
      </c>
      <c r="S1179" s="1">
        <v>45020.209027777775</v>
      </c>
      <c r="V1179">
        <v>1968</v>
      </c>
      <c r="W1179">
        <v>125.08</v>
      </c>
      <c r="X1179">
        <v>2.9</v>
      </c>
      <c r="Y1179" s="2">
        <v>19910000000000</v>
      </c>
      <c r="Z1179">
        <v>50.6</v>
      </c>
      <c r="AA1179">
        <v>100.2</v>
      </c>
      <c r="AB1179">
        <v>9.4</v>
      </c>
      <c r="AC1179">
        <v>59.2</v>
      </c>
      <c r="AD1179">
        <v>1397715000</v>
      </c>
    </row>
    <row r="1180" spans="1:30" hidden="1" x14ac:dyDescent="0.45">
      <c r="A1180">
        <v>1164</v>
      </c>
      <c r="B1180">
        <v>2600</v>
      </c>
      <c r="C1180" t="s">
        <v>126</v>
      </c>
      <c r="D1180" t="s">
        <v>4220</v>
      </c>
      <c r="E1180">
        <v>79</v>
      </c>
      <c r="F1180" t="s">
        <v>1486</v>
      </c>
      <c r="G1180" t="s">
        <v>4102</v>
      </c>
      <c r="H1180" t="s">
        <v>2679</v>
      </c>
      <c r="I1180" t="s">
        <v>126</v>
      </c>
      <c r="J1180" t="s">
        <v>1486</v>
      </c>
      <c r="L1180" t="b">
        <v>0</v>
      </c>
      <c r="M1180" t="s">
        <v>39</v>
      </c>
      <c r="N1180" t="s">
        <v>8245</v>
      </c>
      <c r="O1180" s="1">
        <v>16072</v>
      </c>
      <c r="P1180" t="s">
        <v>3300</v>
      </c>
      <c r="Q1180" t="s">
        <v>225</v>
      </c>
      <c r="S1180" s="1">
        <v>45020.209027777775</v>
      </c>
      <c r="V1180">
        <v>1944</v>
      </c>
      <c r="W1180"/>
      <c r="Y1180"/>
    </row>
    <row r="1181" spans="1:30" hidden="1" x14ac:dyDescent="0.45">
      <c r="A1181">
        <v>1164</v>
      </c>
      <c r="B1181">
        <v>2600</v>
      </c>
      <c r="C1181" t="s">
        <v>91</v>
      </c>
      <c r="D1181" t="s">
        <v>4221</v>
      </c>
      <c r="E1181">
        <v>61</v>
      </c>
      <c r="F1181" t="s">
        <v>577</v>
      </c>
      <c r="G1181" t="s">
        <v>578</v>
      </c>
      <c r="H1181" t="s">
        <v>317</v>
      </c>
      <c r="I1181" t="s">
        <v>91</v>
      </c>
      <c r="J1181" t="s">
        <v>577</v>
      </c>
      <c r="L1181" t="b">
        <v>0</v>
      </c>
      <c r="M1181" t="s">
        <v>39</v>
      </c>
      <c r="N1181" t="s">
        <v>8245</v>
      </c>
      <c r="O1181" s="1">
        <v>22406</v>
      </c>
      <c r="P1181" t="s">
        <v>1745</v>
      </c>
      <c r="Q1181" t="s">
        <v>534</v>
      </c>
      <c r="S1181" s="1">
        <v>45020.209027777775</v>
      </c>
      <c r="V1181">
        <v>1961</v>
      </c>
      <c r="W1181">
        <v>110.51</v>
      </c>
      <c r="X1181">
        <v>1.8</v>
      </c>
      <c r="Y1181" s="2">
        <v>530832908738</v>
      </c>
      <c r="Z1181">
        <v>67</v>
      </c>
      <c r="AA1181">
        <v>126.6</v>
      </c>
      <c r="AB1181">
        <v>27.9</v>
      </c>
      <c r="AC1181">
        <v>49.1</v>
      </c>
      <c r="AD1181">
        <v>10285453</v>
      </c>
    </row>
    <row r="1182" spans="1:30" hidden="1" x14ac:dyDescent="0.45">
      <c r="A1182">
        <v>1164</v>
      </c>
      <c r="B1182">
        <v>2600</v>
      </c>
      <c r="C1182" t="s">
        <v>91</v>
      </c>
      <c r="D1182" t="s">
        <v>4222</v>
      </c>
      <c r="E1182">
        <v>54</v>
      </c>
      <c r="F1182" t="s">
        <v>577</v>
      </c>
      <c r="G1182" t="s">
        <v>578</v>
      </c>
      <c r="H1182" t="s">
        <v>317</v>
      </c>
      <c r="I1182" t="s">
        <v>91</v>
      </c>
      <c r="J1182" t="s">
        <v>577</v>
      </c>
      <c r="L1182" t="b">
        <v>0</v>
      </c>
      <c r="M1182" t="s">
        <v>39</v>
      </c>
      <c r="N1182" t="s">
        <v>8245</v>
      </c>
      <c r="O1182" s="1">
        <v>24959</v>
      </c>
      <c r="P1182" t="s">
        <v>1745</v>
      </c>
      <c r="Q1182" t="s">
        <v>482</v>
      </c>
      <c r="S1182" s="1">
        <v>45020.209027777775</v>
      </c>
      <c r="V1182">
        <v>1968</v>
      </c>
      <c r="W1182">
        <v>110.51</v>
      </c>
      <c r="X1182">
        <v>1.8</v>
      </c>
      <c r="Y1182" s="2">
        <v>530832908738</v>
      </c>
      <c r="Z1182">
        <v>67</v>
      </c>
      <c r="AA1182">
        <v>126.6</v>
      </c>
      <c r="AB1182">
        <v>27.9</v>
      </c>
      <c r="AC1182">
        <v>49.1</v>
      </c>
      <c r="AD1182">
        <v>10285453</v>
      </c>
    </row>
    <row r="1183" spans="1:30" hidden="1" x14ac:dyDescent="0.45">
      <c r="A1183">
        <v>1164</v>
      </c>
      <c r="B1183">
        <v>2600</v>
      </c>
      <c r="C1183" t="s">
        <v>296</v>
      </c>
      <c r="D1183" t="s">
        <v>4223</v>
      </c>
      <c r="E1183">
        <v>58</v>
      </c>
      <c r="F1183" t="s">
        <v>328</v>
      </c>
      <c r="G1183" t="s">
        <v>795</v>
      </c>
      <c r="H1183" t="s">
        <v>296</v>
      </c>
      <c r="I1183" t="s">
        <v>296</v>
      </c>
      <c r="J1183" t="s">
        <v>328</v>
      </c>
      <c r="L1183" t="b">
        <v>0</v>
      </c>
      <c r="M1183" t="s">
        <v>39</v>
      </c>
      <c r="N1183" t="s">
        <v>8246</v>
      </c>
      <c r="O1183" s="1">
        <v>23712</v>
      </c>
      <c r="P1183" t="s">
        <v>4224</v>
      </c>
      <c r="Q1183" t="s">
        <v>4225</v>
      </c>
      <c r="S1183" s="1">
        <v>45020.209027777775</v>
      </c>
      <c r="V1183">
        <v>1964</v>
      </c>
      <c r="W1183">
        <v>119.8</v>
      </c>
      <c r="X1183">
        <v>1.6</v>
      </c>
      <c r="Y1183" s="2">
        <v>1392680589329</v>
      </c>
      <c r="Z1183">
        <v>113.1</v>
      </c>
      <c r="AA1183">
        <v>100.3</v>
      </c>
      <c r="AB1183">
        <v>23</v>
      </c>
      <c r="AC1183">
        <v>47.4</v>
      </c>
      <c r="AD1183">
        <v>25766605</v>
      </c>
    </row>
    <row r="1184" spans="1:30" hidden="1" x14ac:dyDescent="0.45">
      <c r="A1184">
        <v>1164</v>
      </c>
      <c r="B1184">
        <v>2600</v>
      </c>
      <c r="C1184" t="s">
        <v>61</v>
      </c>
      <c r="D1184" t="s">
        <v>4226</v>
      </c>
      <c r="E1184">
        <v>85</v>
      </c>
      <c r="F1184" t="s">
        <v>35</v>
      </c>
      <c r="G1184" t="s">
        <v>2257</v>
      </c>
      <c r="H1184" t="s">
        <v>64</v>
      </c>
      <c r="I1184" t="s">
        <v>61</v>
      </c>
      <c r="J1184" t="s">
        <v>35</v>
      </c>
      <c r="L1184" t="b">
        <v>1</v>
      </c>
      <c r="M1184" t="s">
        <v>39</v>
      </c>
      <c r="N1184" t="s">
        <v>8245</v>
      </c>
      <c r="O1184" s="1">
        <v>13777</v>
      </c>
      <c r="P1184" t="s">
        <v>4227</v>
      </c>
      <c r="Q1184" t="s">
        <v>2056</v>
      </c>
      <c r="S1184" s="1">
        <v>45020.209027777775</v>
      </c>
      <c r="T1184" t="s">
        <v>2260</v>
      </c>
      <c r="U1184" t="s">
        <v>53</v>
      </c>
      <c r="V1184">
        <v>1937</v>
      </c>
      <c r="W1184">
        <v>117.24</v>
      </c>
      <c r="X1184">
        <v>7.5</v>
      </c>
      <c r="Y1184" s="2">
        <v>21427700000000</v>
      </c>
      <c r="Z1184">
        <v>88.2</v>
      </c>
      <c r="AA1184">
        <v>101.8</v>
      </c>
      <c r="AB1184">
        <v>9.6</v>
      </c>
      <c r="AC1184">
        <v>36.6</v>
      </c>
      <c r="AD1184">
        <v>328239523</v>
      </c>
    </row>
    <row r="1185" spans="1:30" hidden="1" x14ac:dyDescent="0.45">
      <c r="A1185">
        <v>1164</v>
      </c>
      <c r="B1185">
        <v>2600</v>
      </c>
      <c r="C1185" t="s">
        <v>402</v>
      </c>
      <c r="D1185" t="s">
        <v>4228</v>
      </c>
      <c r="E1185">
        <v>58</v>
      </c>
      <c r="F1185" t="s">
        <v>128</v>
      </c>
      <c r="G1185" t="s">
        <v>129</v>
      </c>
      <c r="H1185" t="s">
        <v>3555</v>
      </c>
      <c r="I1185" t="s">
        <v>402</v>
      </c>
      <c r="J1185" t="s">
        <v>128</v>
      </c>
      <c r="L1185" t="b">
        <v>1</v>
      </c>
      <c r="M1185" t="s">
        <v>29</v>
      </c>
      <c r="N1185" t="s">
        <v>8245</v>
      </c>
      <c r="O1185" s="1">
        <v>23728</v>
      </c>
      <c r="P1185" t="s">
        <v>4229</v>
      </c>
      <c r="Q1185" t="s">
        <v>4230</v>
      </c>
      <c r="S1185" s="1">
        <v>45020.209027777775</v>
      </c>
      <c r="V1185">
        <v>1964</v>
      </c>
      <c r="W1185">
        <v>125.08</v>
      </c>
      <c r="X1185">
        <v>2.9</v>
      </c>
      <c r="Y1185" s="2">
        <v>19910000000000</v>
      </c>
      <c r="Z1185">
        <v>50.6</v>
      </c>
      <c r="AA1185">
        <v>100.2</v>
      </c>
      <c r="AB1185">
        <v>9.4</v>
      </c>
      <c r="AC1185">
        <v>59.2</v>
      </c>
      <c r="AD1185">
        <v>1397715000</v>
      </c>
    </row>
    <row r="1186" spans="1:30" hidden="1" x14ac:dyDescent="0.45">
      <c r="A1186">
        <v>1164</v>
      </c>
      <c r="B1186">
        <v>2600</v>
      </c>
      <c r="C1186" t="s">
        <v>689</v>
      </c>
      <c r="D1186" t="s">
        <v>4231</v>
      </c>
      <c r="E1186">
        <v>75</v>
      </c>
      <c r="F1186" t="s">
        <v>128</v>
      </c>
      <c r="G1186" t="s">
        <v>4232</v>
      </c>
      <c r="H1186" t="s">
        <v>2481</v>
      </c>
      <c r="I1186" t="s">
        <v>689</v>
      </c>
      <c r="J1186" t="s">
        <v>128</v>
      </c>
      <c r="L1186" t="b">
        <v>1</v>
      </c>
      <c r="M1186" t="s">
        <v>39</v>
      </c>
      <c r="N1186" t="s">
        <v>8245</v>
      </c>
      <c r="O1186" s="1">
        <v>17411</v>
      </c>
      <c r="P1186" t="s">
        <v>294</v>
      </c>
      <c r="Q1186" t="s">
        <v>4233</v>
      </c>
      <c r="S1186" s="1">
        <v>45020.209027777775</v>
      </c>
      <c r="V1186">
        <v>1947</v>
      </c>
      <c r="W1186">
        <v>125.08</v>
      </c>
      <c r="X1186">
        <v>2.9</v>
      </c>
      <c r="Y1186" s="2">
        <v>19910000000000</v>
      </c>
      <c r="Z1186">
        <v>50.6</v>
      </c>
      <c r="AA1186">
        <v>100.2</v>
      </c>
      <c r="AB1186">
        <v>9.4</v>
      </c>
      <c r="AC1186">
        <v>59.2</v>
      </c>
      <c r="AD1186">
        <v>1397715000</v>
      </c>
    </row>
    <row r="1187" spans="1:30" hidden="1" x14ac:dyDescent="0.45">
      <c r="A1187">
        <v>1164</v>
      </c>
      <c r="B1187">
        <v>2600</v>
      </c>
      <c r="C1187" t="s">
        <v>436</v>
      </c>
      <c r="D1187" t="s">
        <v>4234</v>
      </c>
      <c r="E1187">
        <v>54</v>
      </c>
      <c r="F1187" t="s">
        <v>363</v>
      </c>
      <c r="G1187" t="s">
        <v>381</v>
      </c>
      <c r="H1187" t="s">
        <v>4235</v>
      </c>
      <c r="I1187" t="s">
        <v>436</v>
      </c>
      <c r="J1187" t="s">
        <v>363</v>
      </c>
      <c r="L1187" t="b">
        <v>1</v>
      </c>
      <c r="M1187" t="s">
        <v>29</v>
      </c>
      <c r="N1187" t="s">
        <v>8245</v>
      </c>
      <c r="O1187" s="1">
        <v>24954</v>
      </c>
      <c r="P1187" t="s">
        <v>4236</v>
      </c>
      <c r="Q1187" t="s">
        <v>1710</v>
      </c>
      <c r="S1187" s="1">
        <v>45020.209027777775</v>
      </c>
      <c r="V1187">
        <v>1968</v>
      </c>
      <c r="W1187">
        <v>180.75</v>
      </c>
      <c r="X1187">
        <v>4.5</v>
      </c>
      <c r="Y1187" s="2">
        <v>1699876578871</v>
      </c>
      <c r="Z1187">
        <v>81.900000000000006</v>
      </c>
      <c r="AA1187">
        <v>102.6</v>
      </c>
      <c r="AB1187">
        <v>11.4</v>
      </c>
      <c r="AC1187">
        <v>46.2</v>
      </c>
      <c r="AD1187">
        <v>144373535</v>
      </c>
    </row>
    <row r="1188" spans="1:30" hidden="1" x14ac:dyDescent="0.45">
      <c r="A1188">
        <v>1164</v>
      </c>
      <c r="B1188">
        <v>2600</v>
      </c>
      <c r="C1188" t="s">
        <v>61</v>
      </c>
      <c r="D1188" t="s">
        <v>4237</v>
      </c>
      <c r="E1188">
        <v>69</v>
      </c>
      <c r="F1188" t="s">
        <v>117</v>
      </c>
      <c r="G1188" t="s">
        <v>2480</v>
      </c>
      <c r="H1188" t="s">
        <v>1367</v>
      </c>
      <c r="I1188" t="s">
        <v>61</v>
      </c>
      <c r="J1188" t="s">
        <v>117</v>
      </c>
      <c r="L1188" t="b">
        <v>0</v>
      </c>
      <c r="M1188" t="s">
        <v>39</v>
      </c>
      <c r="N1188" t="s">
        <v>8246</v>
      </c>
      <c r="O1188" s="1">
        <v>19614</v>
      </c>
      <c r="P1188" t="s">
        <v>4238</v>
      </c>
      <c r="Q1188" t="s">
        <v>4239</v>
      </c>
      <c r="S1188" s="1">
        <v>45020.209027777775</v>
      </c>
      <c r="V1188">
        <v>1953</v>
      </c>
      <c r="W1188">
        <v>110.96</v>
      </c>
      <c r="X1188">
        <v>0.7</v>
      </c>
      <c r="Y1188" s="2">
        <v>1394116310769</v>
      </c>
      <c r="Z1188">
        <v>88.9</v>
      </c>
      <c r="AA1188">
        <v>102.7</v>
      </c>
      <c r="AB1188">
        <v>14.2</v>
      </c>
      <c r="AC1188">
        <v>47</v>
      </c>
      <c r="AD1188">
        <v>47076781</v>
      </c>
    </row>
    <row r="1189" spans="1:30" hidden="1" x14ac:dyDescent="0.45">
      <c r="A1189">
        <v>1164</v>
      </c>
      <c r="B1189">
        <v>2600</v>
      </c>
      <c r="C1189" t="s">
        <v>302</v>
      </c>
      <c r="D1189" t="s">
        <v>4240</v>
      </c>
      <c r="E1189">
        <v>40</v>
      </c>
      <c r="F1189" t="s">
        <v>228</v>
      </c>
      <c r="G1189" t="s">
        <v>228</v>
      </c>
      <c r="H1189" t="s">
        <v>304</v>
      </c>
      <c r="I1189" t="s">
        <v>302</v>
      </c>
      <c r="J1189" t="s">
        <v>228</v>
      </c>
      <c r="L1189" t="b">
        <v>0</v>
      </c>
      <c r="M1189" t="s">
        <v>29</v>
      </c>
      <c r="N1189" t="s">
        <v>8245</v>
      </c>
      <c r="O1189" s="1">
        <v>30407</v>
      </c>
      <c r="P1189" t="s">
        <v>4075</v>
      </c>
      <c r="Q1189" t="s">
        <v>4241</v>
      </c>
      <c r="S1189" s="1">
        <v>45020.209027777775</v>
      </c>
      <c r="V1189">
        <v>1983</v>
      </c>
      <c r="W1189"/>
      <c r="Y1189"/>
    </row>
    <row r="1190" spans="1:30" hidden="1" x14ac:dyDescent="0.45">
      <c r="A1190">
        <v>1164</v>
      </c>
      <c r="B1190">
        <v>2600</v>
      </c>
      <c r="C1190" t="s">
        <v>61</v>
      </c>
      <c r="D1190" t="s">
        <v>4242</v>
      </c>
      <c r="E1190">
        <v>77</v>
      </c>
      <c r="F1190" t="s">
        <v>35</v>
      </c>
      <c r="G1190" t="s">
        <v>4243</v>
      </c>
      <c r="H1190" t="s">
        <v>248</v>
      </c>
      <c r="I1190" t="s">
        <v>61</v>
      </c>
      <c r="J1190" t="s">
        <v>35</v>
      </c>
      <c r="L1190" t="b">
        <v>1</v>
      </c>
      <c r="M1190" t="s">
        <v>29</v>
      </c>
      <c r="N1190" t="s">
        <v>8245</v>
      </c>
      <c r="O1190" s="1">
        <v>16662</v>
      </c>
      <c r="P1190" t="s">
        <v>4244</v>
      </c>
      <c r="Q1190" t="s">
        <v>1292</v>
      </c>
      <c r="R1190" t="s">
        <v>688</v>
      </c>
      <c r="S1190" s="1">
        <v>45020.209027777775</v>
      </c>
      <c r="T1190" t="s">
        <v>253</v>
      </c>
      <c r="U1190" t="s">
        <v>44</v>
      </c>
      <c r="V1190">
        <v>1945</v>
      </c>
      <c r="W1190">
        <v>117.24</v>
      </c>
      <c r="X1190">
        <v>7.5</v>
      </c>
      <c r="Y1190" s="2">
        <v>21427700000000</v>
      </c>
      <c r="Z1190">
        <v>88.2</v>
      </c>
      <c r="AA1190">
        <v>101.8</v>
      </c>
      <c r="AB1190">
        <v>9.6</v>
      </c>
      <c r="AC1190">
        <v>36.6</v>
      </c>
      <c r="AD1190">
        <v>328239523</v>
      </c>
    </row>
    <row r="1191" spans="1:30" hidden="1" x14ac:dyDescent="0.45">
      <c r="A1191">
        <v>1164</v>
      </c>
      <c r="B1191">
        <v>2600</v>
      </c>
      <c r="C1191" t="s">
        <v>126</v>
      </c>
      <c r="D1191" t="s">
        <v>4245</v>
      </c>
      <c r="E1191">
        <v>76</v>
      </c>
      <c r="F1191" t="s">
        <v>25</v>
      </c>
      <c r="G1191" t="s">
        <v>26</v>
      </c>
      <c r="H1191" t="s">
        <v>4246</v>
      </c>
      <c r="I1191" t="s">
        <v>126</v>
      </c>
      <c r="J1191" t="s">
        <v>25</v>
      </c>
      <c r="L1191" t="b">
        <v>1</v>
      </c>
      <c r="M1191" t="s">
        <v>29</v>
      </c>
      <c r="N1191" t="s">
        <v>8245</v>
      </c>
      <c r="O1191" s="1">
        <v>17015</v>
      </c>
      <c r="P1191" t="s">
        <v>4247</v>
      </c>
      <c r="Q1191" t="s">
        <v>4248</v>
      </c>
      <c r="S1191" s="1">
        <v>45020.209027777775</v>
      </c>
      <c r="V1191">
        <v>1946</v>
      </c>
      <c r="W1191">
        <v>110.05</v>
      </c>
      <c r="X1191">
        <v>1.1000000000000001</v>
      </c>
      <c r="Y1191" s="2">
        <v>2715518274227</v>
      </c>
      <c r="Z1191">
        <v>65.599999999999994</v>
      </c>
      <c r="AA1191">
        <v>102.5</v>
      </c>
      <c r="AB1191">
        <v>24.2</v>
      </c>
      <c r="AC1191">
        <v>60.7</v>
      </c>
      <c r="AD1191">
        <v>67059887</v>
      </c>
    </row>
    <row r="1192" spans="1:30" hidden="1" x14ac:dyDescent="0.45">
      <c r="A1192">
        <v>1164</v>
      </c>
      <c r="B1192">
        <v>2600</v>
      </c>
      <c r="C1192" t="s">
        <v>45</v>
      </c>
      <c r="D1192" t="s">
        <v>4249</v>
      </c>
      <c r="E1192">
        <v>66</v>
      </c>
      <c r="F1192" t="s">
        <v>164</v>
      </c>
      <c r="G1192" t="s">
        <v>165</v>
      </c>
      <c r="H1192" t="s">
        <v>856</v>
      </c>
      <c r="I1192" t="s">
        <v>45</v>
      </c>
      <c r="J1192" t="s">
        <v>164</v>
      </c>
      <c r="L1192" t="b">
        <v>1</v>
      </c>
      <c r="M1192" t="s">
        <v>29</v>
      </c>
      <c r="N1192" t="s">
        <v>8245</v>
      </c>
      <c r="O1192" s="1">
        <v>20581</v>
      </c>
      <c r="P1192" t="s">
        <v>450</v>
      </c>
      <c r="Q1192" t="s">
        <v>137</v>
      </c>
      <c r="S1192" s="1">
        <v>45020.209027777775</v>
      </c>
      <c r="V1192">
        <v>1956</v>
      </c>
      <c r="W1192">
        <v>116.76</v>
      </c>
      <c r="X1192">
        <v>1.9</v>
      </c>
      <c r="Y1192" s="2">
        <v>1736425629520</v>
      </c>
      <c r="Z1192">
        <v>68.900000000000006</v>
      </c>
      <c r="AA1192">
        <v>100.9</v>
      </c>
      <c r="AB1192">
        <v>12.8</v>
      </c>
      <c r="AC1192">
        <v>24.5</v>
      </c>
      <c r="AD1192">
        <v>36991981</v>
      </c>
    </row>
    <row r="1193" spans="1:30" hidden="1" x14ac:dyDescent="0.45">
      <c r="A1193">
        <v>1164</v>
      </c>
      <c r="B1193">
        <v>2600</v>
      </c>
      <c r="C1193" t="s">
        <v>33</v>
      </c>
      <c r="D1193" t="s">
        <v>4250</v>
      </c>
      <c r="E1193">
        <v>59</v>
      </c>
      <c r="F1193" t="s">
        <v>128</v>
      </c>
      <c r="G1193" t="s">
        <v>187</v>
      </c>
      <c r="H1193" t="s">
        <v>4251</v>
      </c>
      <c r="I1193" t="s">
        <v>33</v>
      </c>
      <c r="J1193" t="s">
        <v>128</v>
      </c>
      <c r="L1193" t="b">
        <v>1</v>
      </c>
      <c r="M1193" t="s">
        <v>39</v>
      </c>
      <c r="N1193" t="s">
        <v>8245</v>
      </c>
      <c r="O1193" s="1">
        <v>23377</v>
      </c>
      <c r="P1193" t="s">
        <v>230</v>
      </c>
      <c r="Q1193" t="s">
        <v>4252</v>
      </c>
      <c r="S1193" s="1">
        <v>45020.209027777775</v>
      </c>
      <c r="V1193">
        <v>1964</v>
      </c>
      <c r="W1193">
        <v>125.08</v>
      </c>
      <c r="X1193">
        <v>2.9</v>
      </c>
      <c r="Y1193" s="2">
        <v>19910000000000</v>
      </c>
      <c r="Z1193">
        <v>50.6</v>
      </c>
      <c r="AA1193">
        <v>100.2</v>
      </c>
      <c r="AB1193">
        <v>9.4</v>
      </c>
      <c r="AC1193">
        <v>59.2</v>
      </c>
      <c r="AD1193">
        <v>1397715000</v>
      </c>
    </row>
    <row r="1194" spans="1:30" hidden="1" x14ac:dyDescent="0.45">
      <c r="A1194">
        <v>1164</v>
      </c>
      <c r="B1194">
        <v>2600</v>
      </c>
      <c r="C1194" t="s">
        <v>436</v>
      </c>
      <c r="D1194" t="s">
        <v>4253</v>
      </c>
      <c r="E1194">
        <v>47</v>
      </c>
      <c r="F1194" t="s">
        <v>128</v>
      </c>
      <c r="G1194" t="s">
        <v>187</v>
      </c>
      <c r="H1194" t="s">
        <v>3550</v>
      </c>
      <c r="I1194" t="s">
        <v>436</v>
      </c>
      <c r="J1194" t="s">
        <v>128</v>
      </c>
      <c r="L1194" t="b">
        <v>1</v>
      </c>
      <c r="M1194" t="s">
        <v>39</v>
      </c>
      <c r="N1194" t="s">
        <v>8245</v>
      </c>
      <c r="O1194" s="1">
        <v>27828</v>
      </c>
      <c r="P1194" t="s">
        <v>230</v>
      </c>
      <c r="Q1194" t="s">
        <v>4254</v>
      </c>
      <c r="S1194" s="1">
        <v>45020.209027777775</v>
      </c>
      <c r="V1194">
        <v>1976</v>
      </c>
      <c r="W1194">
        <v>125.08</v>
      </c>
      <c r="X1194">
        <v>2.9</v>
      </c>
      <c r="Y1194" s="2">
        <v>19910000000000</v>
      </c>
      <c r="Z1194">
        <v>50.6</v>
      </c>
      <c r="AA1194">
        <v>100.2</v>
      </c>
      <c r="AB1194">
        <v>9.4</v>
      </c>
      <c r="AC1194">
        <v>59.2</v>
      </c>
      <c r="AD1194">
        <v>1397715000</v>
      </c>
    </row>
    <row r="1195" spans="1:30" hidden="1" x14ac:dyDescent="0.45">
      <c r="A1195">
        <v>1164</v>
      </c>
      <c r="B1195">
        <v>2600</v>
      </c>
      <c r="C1195" t="s">
        <v>61</v>
      </c>
      <c r="D1195" t="s">
        <v>4255</v>
      </c>
      <c r="E1195">
        <v>69</v>
      </c>
      <c r="F1195" t="s">
        <v>574</v>
      </c>
      <c r="G1195" t="s">
        <v>574</v>
      </c>
      <c r="H1195" t="s">
        <v>317</v>
      </c>
      <c r="I1195" t="s">
        <v>61</v>
      </c>
      <c r="J1195" t="s">
        <v>574</v>
      </c>
      <c r="L1195" t="b">
        <v>1</v>
      </c>
      <c r="M1195" t="s">
        <v>29</v>
      </c>
      <c r="N1195" t="s">
        <v>8245</v>
      </c>
      <c r="O1195" s="1">
        <v>19511</v>
      </c>
      <c r="P1195" t="s">
        <v>2247</v>
      </c>
      <c r="Q1195" t="s">
        <v>608</v>
      </c>
      <c r="S1195" s="1">
        <v>45020.209027777775</v>
      </c>
      <c r="V1195">
        <v>1953</v>
      </c>
      <c r="W1195">
        <v>114.41</v>
      </c>
      <c r="X1195">
        <v>0.6</v>
      </c>
      <c r="Y1195" s="2">
        <v>372062527489</v>
      </c>
      <c r="Z1195">
        <v>84.8</v>
      </c>
      <c r="AA1195">
        <v>100.6</v>
      </c>
      <c r="AB1195">
        <v>13.1</v>
      </c>
      <c r="AC1195">
        <v>21</v>
      </c>
      <c r="AD1195">
        <v>5703569</v>
      </c>
    </row>
    <row r="1196" spans="1:30" hidden="1" x14ac:dyDescent="0.45">
      <c r="A1196">
        <v>1164</v>
      </c>
      <c r="B1196">
        <v>2600</v>
      </c>
      <c r="C1196" t="s">
        <v>91</v>
      </c>
      <c r="D1196" t="s">
        <v>4256</v>
      </c>
      <c r="E1196">
        <v>52</v>
      </c>
      <c r="F1196" t="s">
        <v>128</v>
      </c>
      <c r="G1196" t="s">
        <v>129</v>
      </c>
      <c r="H1196" t="s">
        <v>91</v>
      </c>
      <c r="I1196" t="s">
        <v>91</v>
      </c>
      <c r="J1196" t="s">
        <v>128</v>
      </c>
      <c r="L1196" t="b">
        <v>0</v>
      </c>
      <c r="M1196" t="s">
        <v>39</v>
      </c>
      <c r="N1196" t="s">
        <v>8245</v>
      </c>
      <c r="O1196" s="1">
        <v>25993</v>
      </c>
      <c r="P1196" t="s">
        <v>721</v>
      </c>
      <c r="Q1196" t="s">
        <v>4257</v>
      </c>
      <c r="S1196" s="1">
        <v>45020.209027777775</v>
      </c>
      <c r="V1196">
        <v>1971</v>
      </c>
      <c r="W1196">
        <v>125.08</v>
      </c>
      <c r="X1196">
        <v>2.9</v>
      </c>
      <c r="Y1196" s="2">
        <v>19910000000000</v>
      </c>
      <c r="Z1196">
        <v>50.6</v>
      </c>
      <c r="AA1196">
        <v>100.2</v>
      </c>
      <c r="AB1196">
        <v>9.4</v>
      </c>
      <c r="AC1196">
        <v>59.2</v>
      </c>
      <c r="AD1196">
        <v>1397715000</v>
      </c>
    </row>
    <row r="1197" spans="1:30" hidden="1" x14ac:dyDescent="0.45">
      <c r="A1197">
        <v>1164</v>
      </c>
      <c r="B1197">
        <v>2600</v>
      </c>
      <c r="C1197" t="s">
        <v>436</v>
      </c>
      <c r="D1197" t="s">
        <v>4258</v>
      </c>
      <c r="E1197">
        <v>95</v>
      </c>
      <c r="F1197" t="s">
        <v>205</v>
      </c>
      <c r="G1197" t="s">
        <v>4259</v>
      </c>
      <c r="H1197" t="s">
        <v>4260</v>
      </c>
      <c r="I1197" t="s">
        <v>436</v>
      </c>
      <c r="J1197" t="s">
        <v>205</v>
      </c>
      <c r="L1197" t="b">
        <v>1</v>
      </c>
      <c r="M1197" t="s">
        <v>39</v>
      </c>
      <c r="N1197" t="s">
        <v>8245</v>
      </c>
      <c r="O1197" s="1">
        <v>10166</v>
      </c>
      <c r="P1197" t="s">
        <v>4261</v>
      </c>
      <c r="Q1197" t="s">
        <v>1982</v>
      </c>
      <c r="S1197" s="1">
        <v>45020.209027777775</v>
      </c>
      <c r="V1197">
        <v>1927</v>
      </c>
      <c r="W1197">
        <v>99.55</v>
      </c>
      <c r="X1197">
        <v>0.4</v>
      </c>
      <c r="Y1197" s="2">
        <v>703082435360</v>
      </c>
      <c r="Z1197">
        <v>59.6</v>
      </c>
      <c r="AA1197">
        <v>105.2</v>
      </c>
      <c r="AB1197">
        <v>10.1</v>
      </c>
      <c r="AC1197">
        <v>28.8</v>
      </c>
      <c r="AD1197">
        <v>8574832</v>
      </c>
    </row>
    <row r="1198" spans="1:30" hidden="1" x14ac:dyDescent="0.45">
      <c r="A1198">
        <v>1164</v>
      </c>
      <c r="B1198">
        <v>2600</v>
      </c>
      <c r="C1198" t="s">
        <v>61</v>
      </c>
      <c r="D1198" t="s">
        <v>4262</v>
      </c>
      <c r="E1198">
        <v>84</v>
      </c>
      <c r="F1198" t="s">
        <v>641</v>
      </c>
      <c r="G1198" t="s">
        <v>4263</v>
      </c>
      <c r="H1198" t="s">
        <v>4264</v>
      </c>
      <c r="I1198" t="s">
        <v>61</v>
      </c>
      <c r="J1198" t="s">
        <v>641</v>
      </c>
      <c r="L1198" t="b">
        <v>1</v>
      </c>
      <c r="M1198" t="s">
        <v>39</v>
      </c>
      <c r="N1198" t="s">
        <v>8245</v>
      </c>
      <c r="O1198" s="1">
        <v>13998</v>
      </c>
      <c r="P1198" t="s">
        <v>4265</v>
      </c>
      <c r="Q1198" t="s">
        <v>4081</v>
      </c>
      <c r="S1198" s="1">
        <v>45020.209027777775</v>
      </c>
      <c r="V1198">
        <v>1938</v>
      </c>
      <c r="W1198">
        <v>115.91</v>
      </c>
      <c r="X1198">
        <v>2.6</v>
      </c>
      <c r="Y1198" s="2">
        <v>909070395161</v>
      </c>
      <c r="Z1198">
        <v>85</v>
      </c>
      <c r="AA1198">
        <v>104.2</v>
      </c>
      <c r="AB1198">
        <v>23</v>
      </c>
      <c r="AC1198">
        <v>41.2</v>
      </c>
      <c r="AD1198">
        <v>17332850</v>
      </c>
    </row>
    <row r="1199" spans="1:30" hidden="1" x14ac:dyDescent="0.45">
      <c r="A1199">
        <v>1164</v>
      </c>
      <c r="B1199">
        <v>2600</v>
      </c>
      <c r="C1199" t="s">
        <v>126</v>
      </c>
      <c r="D1199" t="s">
        <v>4266</v>
      </c>
      <c r="E1199">
        <v>76</v>
      </c>
      <c r="F1199" t="s">
        <v>35</v>
      </c>
      <c r="G1199" t="s">
        <v>355</v>
      </c>
      <c r="H1199" t="s">
        <v>317</v>
      </c>
      <c r="I1199" t="s">
        <v>126</v>
      </c>
      <c r="J1199" t="s">
        <v>35</v>
      </c>
      <c r="L1199" t="b">
        <v>1</v>
      </c>
      <c r="M1199" t="s">
        <v>39</v>
      </c>
      <c r="N1199" t="s">
        <v>8245</v>
      </c>
      <c r="O1199" s="1">
        <v>16927</v>
      </c>
      <c r="P1199" t="s">
        <v>4267</v>
      </c>
      <c r="Q1199" t="s">
        <v>4268</v>
      </c>
      <c r="S1199" s="1">
        <v>45020.209027777775</v>
      </c>
      <c r="T1199" t="s">
        <v>253</v>
      </c>
      <c r="U1199" t="s">
        <v>44</v>
      </c>
      <c r="V1199">
        <v>1946</v>
      </c>
      <c r="W1199">
        <v>117.24</v>
      </c>
      <c r="X1199">
        <v>7.5</v>
      </c>
      <c r="Y1199" s="2">
        <v>21427700000000</v>
      </c>
      <c r="Z1199">
        <v>88.2</v>
      </c>
      <c r="AA1199">
        <v>101.8</v>
      </c>
      <c r="AB1199">
        <v>9.6</v>
      </c>
      <c r="AC1199">
        <v>36.6</v>
      </c>
      <c r="AD1199">
        <v>328239523</v>
      </c>
    </row>
    <row r="1200" spans="1:30" hidden="1" x14ac:dyDescent="0.45">
      <c r="A1200">
        <v>1164</v>
      </c>
      <c r="B1200">
        <v>2600</v>
      </c>
      <c r="C1200" t="s">
        <v>296</v>
      </c>
      <c r="D1200" t="s">
        <v>4269</v>
      </c>
      <c r="E1200">
        <v>61</v>
      </c>
      <c r="F1200" t="s">
        <v>194</v>
      </c>
      <c r="G1200" t="s">
        <v>4270</v>
      </c>
      <c r="H1200" t="s">
        <v>4271</v>
      </c>
      <c r="I1200" t="s">
        <v>296</v>
      </c>
      <c r="J1200" t="s">
        <v>194</v>
      </c>
      <c r="L1200" t="b">
        <v>0</v>
      </c>
      <c r="M1200" t="s">
        <v>611</v>
      </c>
      <c r="N1200" t="s">
        <v>8245</v>
      </c>
      <c r="O1200" s="1">
        <v>22528</v>
      </c>
      <c r="P1200" t="s">
        <v>4272</v>
      </c>
      <c r="Q1200" t="s">
        <v>4273</v>
      </c>
      <c r="S1200" s="1">
        <v>45020.209027777775</v>
      </c>
      <c r="V1200">
        <v>1961</v>
      </c>
      <c r="W1200">
        <v>112.85</v>
      </c>
      <c r="X1200">
        <v>1.4</v>
      </c>
      <c r="Y1200" s="2">
        <v>3845630030824</v>
      </c>
      <c r="Z1200">
        <v>70.2</v>
      </c>
      <c r="AA1200">
        <v>104</v>
      </c>
      <c r="AB1200">
        <v>11.5</v>
      </c>
      <c r="AC1200">
        <v>48.8</v>
      </c>
      <c r="AD1200">
        <v>83132799</v>
      </c>
    </row>
    <row r="1201" spans="1:30" hidden="1" x14ac:dyDescent="0.45">
      <c r="A1201">
        <v>1164</v>
      </c>
      <c r="B1201">
        <v>2600</v>
      </c>
      <c r="C1201" t="s">
        <v>23</v>
      </c>
      <c r="D1201" t="s">
        <v>4274</v>
      </c>
      <c r="E1201">
        <v>60</v>
      </c>
      <c r="F1201" t="s">
        <v>93</v>
      </c>
      <c r="G1201" t="s">
        <v>94</v>
      </c>
      <c r="H1201" t="s">
        <v>4275</v>
      </c>
      <c r="I1201" t="s">
        <v>23</v>
      </c>
      <c r="J1201" t="s">
        <v>93</v>
      </c>
      <c r="K1201" t="s">
        <v>4276</v>
      </c>
      <c r="L1201" t="b">
        <v>1</v>
      </c>
      <c r="M1201" t="s">
        <v>39</v>
      </c>
      <c r="N1201" t="s">
        <v>8246</v>
      </c>
      <c r="O1201" s="1">
        <v>23061</v>
      </c>
      <c r="P1201" t="s">
        <v>4277</v>
      </c>
      <c r="Q1201" t="s">
        <v>4278</v>
      </c>
      <c r="R1201" t="s">
        <v>252</v>
      </c>
      <c r="S1201" s="1">
        <v>45020.209027777775</v>
      </c>
      <c r="V1201">
        <v>1963</v>
      </c>
      <c r="W1201">
        <v>180.44</v>
      </c>
      <c r="X1201">
        <v>7.7</v>
      </c>
      <c r="Y1201" s="2">
        <v>2611000000000</v>
      </c>
      <c r="Z1201">
        <v>28.1</v>
      </c>
      <c r="AA1201">
        <v>113</v>
      </c>
      <c r="AB1201">
        <v>11.2</v>
      </c>
      <c r="AC1201">
        <v>49.7</v>
      </c>
      <c r="AD1201">
        <v>1366417754</v>
      </c>
    </row>
    <row r="1202" spans="1:30" hidden="1" x14ac:dyDescent="0.45">
      <c r="A1202">
        <v>1164</v>
      </c>
      <c r="B1202">
        <v>2600</v>
      </c>
      <c r="C1202" t="s">
        <v>61</v>
      </c>
      <c r="D1202" t="s">
        <v>4279</v>
      </c>
      <c r="E1202">
        <v>55</v>
      </c>
      <c r="F1202" t="s">
        <v>35</v>
      </c>
      <c r="G1202" t="s">
        <v>964</v>
      </c>
      <c r="H1202" t="s">
        <v>317</v>
      </c>
      <c r="I1202" t="s">
        <v>61</v>
      </c>
      <c r="J1202" t="s">
        <v>328</v>
      </c>
      <c r="L1202" t="b">
        <v>0</v>
      </c>
      <c r="M1202" t="s">
        <v>39</v>
      </c>
      <c r="N1202" t="s">
        <v>8245</v>
      </c>
      <c r="O1202" s="1">
        <v>24723</v>
      </c>
      <c r="P1202" t="s">
        <v>4280</v>
      </c>
      <c r="Q1202" t="s">
        <v>401</v>
      </c>
      <c r="S1202" s="1">
        <v>45020.209027777775</v>
      </c>
      <c r="T1202" t="s">
        <v>115</v>
      </c>
      <c r="U1202" t="s">
        <v>53</v>
      </c>
      <c r="V1202">
        <v>1967</v>
      </c>
      <c r="W1202">
        <v>117.24</v>
      </c>
      <c r="X1202">
        <v>7.5</v>
      </c>
      <c r="Y1202" s="2">
        <v>21427700000000</v>
      </c>
      <c r="Z1202">
        <v>88.2</v>
      </c>
      <c r="AA1202">
        <v>101.8</v>
      </c>
      <c r="AB1202">
        <v>9.6</v>
      </c>
      <c r="AC1202">
        <v>36.6</v>
      </c>
      <c r="AD1202">
        <v>328239523</v>
      </c>
    </row>
    <row r="1203" spans="1:30" hidden="1" x14ac:dyDescent="0.45">
      <c r="A1203">
        <v>1164</v>
      </c>
      <c r="B1203">
        <v>2600</v>
      </c>
      <c r="C1203" t="s">
        <v>203</v>
      </c>
      <c r="D1203" t="s">
        <v>4281</v>
      </c>
      <c r="E1203">
        <v>58</v>
      </c>
      <c r="F1203" t="s">
        <v>363</v>
      </c>
      <c r="G1203" t="s">
        <v>381</v>
      </c>
      <c r="H1203" t="s">
        <v>4147</v>
      </c>
      <c r="I1203" t="s">
        <v>203</v>
      </c>
      <c r="J1203" t="s">
        <v>363</v>
      </c>
      <c r="L1203" t="b">
        <v>1</v>
      </c>
      <c r="M1203" t="s">
        <v>29</v>
      </c>
      <c r="N1203" t="s">
        <v>8245</v>
      </c>
      <c r="O1203" s="1">
        <v>23677</v>
      </c>
      <c r="P1203" t="s">
        <v>4282</v>
      </c>
      <c r="Q1203" t="s">
        <v>1040</v>
      </c>
      <c r="S1203" s="1">
        <v>45020.209027777775</v>
      </c>
      <c r="V1203">
        <v>1964</v>
      </c>
      <c r="W1203">
        <v>180.75</v>
      </c>
      <c r="X1203">
        <v>4.5</v>
      </c>
      <c r="Y1203" s="2">
        <v>1699876578871</v>
      </c>
      <c r="Z1203">
        <v>81.900000000000006</v>
      </c>
      <c r="AA1203">
        <v>102.6</v>
      </c>
      <c r="AB1203">
        <v>11.4</v>
      </c>
      <c r="AC1203">
        <v>46.2</v>
      </c>
      <c r="AD1203">
        <v>144373535</v>
      </c>
    </row>
    <row r="1204" spans="1:30" hidden="1" x14ac:dyDescent="0.45">
      <c r="A1204">
        <v>1164</v>
      </c>
      <c r="B1204">
        <v>2600</v>
      </c>
      <c r="C1204" t="s">
        <v>61</v>
      </c>
      <c r="D1204" t="s">
        <v>4283</v>
      </c>
      <c r="E1204">
        <v>79</v>
      </c>
      <c r="F1204" t="s">
        <v>35</v>
      </c>
      <c r="G1204" t="s">
        <v>4284</v>
      </c>
      <c r="H1204" t="s">
        <v>1909</v>
      </c>
      <c r="I1204" t="s">
        <v>61</v>
      </c>
      <c r="J1204" t="s">
        <v>35</v>
      </c>
      <c r="L1204" t="b">
        <v>0</v>
      </c>
      <c r="M1204" t="s">
        <v>39</v>
      </c>
      <c r="N1204" t="s">
        <v>8245</v>
      </c>
      <c r="O1204" s="1">
        <v>16072</v>
      </c>
      <c r="P1204" t="s">
        <v>1910</v>
      </c>
      <c r="Q1204" t="s">
        <v>1663</v>
      </c>
      <c r="S1204" s="1">
        <v>45020.209027777775</v>
      </c>
      <c r="T1204" t="s">
        <v>115</v>
      </c>
      <c r="U1204" t="s">
        <v>53</v>
      </c>
      <c r="V1204">
        <v>1944</v>
      </c>
      <c r="W1204">
        <v>117.24</v>
      </c>
      <c r="X1204">
        <v>7.5</v>
      </c>
      <c r="Y1204" s="2">
        <v>21427700000000</v>
      </c>
      <c r="Z1204">
        <v>88.2</v>
      </c>
      <c r="AA1204">
        <v>101.8</v>
      </c>
      <c r="AB1204">
        <v>9.6</v>
      </c>
      <c r="AC1204">
        <v>36.6</v>
      </c>
      <c r="AD1204">
        <v>328239523</v>
      </c>
    </row>
    <row r="1205" spans="1:30" hidden="1" x14ac:dyDescent="0.45">
      <c r="A1205">
        <v>1164</v>
      </c>
      <c r="B1205">
        <v>2600</v>
      </c>
      <c r="C1205" t="s">
        <v>126</v>
      </c>
      <c r="D1205" t="s">
        <v>4285</v>
      </c>
      <c r="E1205">
        <v>46</v>
      </c>
      <c r="F1205" t="s">
        <v>35</v>
      </c>
      <c r="G1205" t="s">
        <v>78</v>
      </c>
      <c r="H1205" t="s">
        <v>602</v>
      </c>
      <c r="I1205" t="s">
        <v>126</v>
      </c>
      <c r="J1205" t="s">
        <v>35</v>
      </c>
      <c r="L1205" t="b">
        <v>0</v>
      </c>
      <c r="M1205" t="s">
        <v>611</v>
      </c>
      <c r="N1205" t="s">
        <v>8245</v>
      </c>
      <c r="O1205" s="1">
        <v>28169</v>
      </c>
      <c r="P1205" t="s">
        <v>4286</v>
      </c>
      <c r="Q1205" t="s">
        <v>1502</v>
      </c>
      <c r="S1205" s="1">
        <v>45020.209027777775</v>
      </c>
      <c r="T1205" t="s">
        <v>78</v>
      </c>
      <c r="U1205" t="s">
        <v>82</v>
      </c>
      <c r="V1205">
        <v>1977</v>
      </c>
      <c r="W1205">
        <v>117.24</v>
      </c>
      <c r="X1205">
        <v>7.5</v>
      </c>
      <c r="Y1205" s="2">
        <v>21427700000000</v>
      </c>
      <c r="Z1205">
        <v>88.2</v>
      </c>
      <c r="AA1205">
        <v>101.8</v>
      </c>
      <c r="AB1205">
        <v>9.6</v>
      </c>
      <c r="AC1205">
        <v>36.6</v>
      </c>
      <c r="AD1205">
        <v>328239523</v>
      </c>
    </row>
    <row r="1206" spans="1:30" hidden="1" x14ac:dyDescent="0.45">
      <c r="A1206">
        <v>1164</v>
      </c>
      <c r="B1206">
        <v>2600</v>
      </c>
      <c r="C1206" t="s">
        <v>45</v>
      </c>
      <c r="D1206" t="s">
        <v>4287</v>
      </c>
      <c r="E1206">
        <v>57</v>
      </c>
      <c r="F1206" t="s">
        <v>35</v>
      </c>
      <c r="G1206" t="s">
        <v>3564</v>
      </c>
      <c r="H1206" t="s">
        <v>4288</v>
      </c>
      <c r="I1206" t="s">
        <v>45</v>
      </c>
      <c r="J1206" t="s">
        <v>35</v>
      </c>
      <c r="L1206" t="b">
        <v>1</v>
      </c>
      <c r="M1206" t="s">
        <v>39</v>
      </c>
      <c r="N1206" t="s">
        <v>8245</v>
      </c>
      <c r="O1206" s="1">
        <v>24053</v>
      </c>
      <c r="P1206" t="s">
        <v>4289</v>
      </c>
      <c r="Q1206" t="s">
        <v>1363</v>
      </c>
      <c r="S1206" s="1">
        <v>45020.209027777775</v>
      </c>
      <c r="T1206" t="s">
        <v>435</v>
      </c>
      <c r="U1206" t="s">
        <v>69</v>
      </c>
      <c r="V1206">
        <v>1965</v>
      </c>
      <c r="W1206">
        <v>117.24</v>
      </c>
      <c r="X1206">
        <v>7.5</v>
      </c>
      <c r="Y1206" s="2">
        <v>21427700000000</v>
      </c>
      <c r="Z1206">
        <v>88.2</v>
      </c>
      <c r="AA1206">
        <v>101.8</v>
      </c>
      <c r="AB1206">
        <v>9.6</v>
      </c>
      <c r="AC1206">
        <v>36.6</v>
      </c>
      <c r="AD1206">
        <v>328239523</v>
      </c>
    </row>
    <row r="1207" spans="1:30" hidden="1" x14ac:dyDescent="0.45">
      <c r="A1207">
        <v>1164</v>
      </c>
      <c r="B1207">
        <v>2600</v>
      </c>
      <c r="C1207" t="s">
        <v>33</v>
      </c>
      <c r="D1207" t="s">
        <v>4290</v>
      </c>
      <c r="E1207">
        <v>81</v>
      </c>
      <c r="F1207" t="s">
        <v>194</v>
      </c>
      <c r="G1207" t="s">
        <v>881</v>
      </c>
      <c r="H1207" t="s">
        <v>752</v>
      </c>
      <c r="I1207" t="s">
        <v>33</v>
      </c>
      <c r="J1207" t="s">
        <v>194</v>
      </c>
      <c r="L1207" t="b">
        <v>0</v>
      </c>
      <c r="M1207" t="s">
        <v>29</v>
      </c>
      <c r="N1207" t="s">
        <v>8246</v>
      </c>
      <c r="O1207" s="1">
        <v>15205</v>
      </c>
      <c r="P1207" t="s">
        <v>4291</v>
      </c>
      <c r="Q1207" t="s">
        <v>4292</v>
      </c>
      <c r="S1207" s="1">
        <v>45020.209027777775</v>
      </c>
      <c r="V1207">
        <v>1941</v>
      </c>
      <c r="W1207">
        <v>112.85</v>
      </c>
      <c r="X1207">
        <v>1.4</v>
      </c>
      <c r="Y1207" s="2">
        <v>3845630030824</v>
      </c>
      <c r="Z1207">
        <v>70.2</v>
      </c>
      <c r="AA1207">
        <v>104</v>
      </c>
      <c r="AB1207">
        <v>11.5</v>
      </c>
      <c r="AC1207">
        <v>48.8</v>
      </c>
      <c r="AD1207">
        <v>83132799</v>
      </c>
    </row>
    <row r="1208" spans="1:30" x14ac:dyDescent="0.45">
      <c r="A1208">
        <v>1164</v>
      </c>
      <c r="B1208" s="6">
        <v>2600</v>
      </c>
      <c r="C1208" t="s">
        <v>402</v>
      </c>
      <c r="D1208" t="s">
        <v>4293</v>
      </c>
      <c r="E1208">
        <v>70</v>
      </c>
      <c r="F1208" t="s">
        <v>35</v>
      </c>
      <c r="G1208" t="s">
        <v>4294</v>
      </c>
      <c r="H1208" t="s">
        <v>610</v>
      </c>
      <c r="I1208" t="s">
        <v>402</v>
      </c>
      <c r="J1208" t="s">
        <v>35</v>
      </c>
      <c r="K1208" t="s">
        <v>4295</v>
      </c>
      <c r="L1208" t="b">
        <v>1</v>
      </c>
      <c r="M1208" t="s">
        <v>29</v>
      </c>
      <c r="N1208" t="s">
        <v>8245</v>
      </c>
      <c r="O1208" s="10">
        <v>19182</v>
      </c>
      <c r="P1208" t="s">
        <v>4296</v>
      </c>
      <c r="Q1208" t="s">
        <v>450</v>
      </c>
      <c r="R1208" t="s">
        <v>4297</v>
      </c>
      <c r="S1208" s="8">
        <v>45020.209027777775</v>
      </c>
      <c r="T1208" t="s">
        <v>78</v>
      </c>
      <c r="U1208" t="s">
        <v>82</v>
      </c>
      <c r="V1208">
        <v>1952</v>
      </c>
      <c r="W1208" s="12">
        <v>117.24</v>
      </c>
      <c r="X1208">
        <v>7.5</v>
      </c>
      <c r="Y1208" s="14">
        <v>21427700000000</v>
      </c>
      <c r="Z1208">
        <v>88.2</v>
      </c>
      <c r="AA1208">
        <v>101.8</v>
      </c>
      <c r="AB1208">
        <v>9.6</v>
      </c>
      <c r="AC1208">
        <v>36.6</v>
      </c>
      <c r="AD1208">
        <v>328239523</v>
      </c>
    </row>
    <row r="1209" spans="1:30" hidden="1" x14ac:dyDescent="0.45">
      <c r="A1209">
        <v>1164</v>
      </c>
      <c r="B1209">
        <v>2600</v>
      </c>
      <c r="C1209" t="s">
        <v>296</v>
      </c>
      <c r="D1209" t="s">
        <v>4298</v>
      </c>
      <c r="E1209">
        <v>77</v>
      </c>
      <c r="F1209" t="s">
        <v>194</v>
      </c>
      <c r="G1209" t="s">
        <v>1038</v>
      </c>
      <c r="H1209" t="s">
        <v>399</v>
      </c>
      <c r="I1209" t="s">
        <v>296</v>
      </c>
      <c r="J1209" t="s">
        <v>194</v>
      </c>
      <c r="L1209" t="b">
        <v>0</v>
      </c>
      <c r="M1209" t="s">
        <v>29</v>
      </c>
      <c r="N1209" t="s">
        <v>8245</v>
      </c>
      <c r="O1209" s="1">
        <v>16803</v>
      </c>
      <c r="P1209" t="s">
        <v>4299</v>
      </c>
      <c r="Q1209" t="s">
        <v>198</v>
      </c>
      <c r="S1209" s="1">
        <v>45020.209027777775</v>
      </c>
      <c r="V1209">
        <v>1946</v>
      </c>
      <c r="W1209">
        <v>112.85</v>
      </c>
      <c r="X1209">
        <v>1.4</v>
      </c>
      <c r="Y1209" s="2">
        <v>3845630030824</v>
      </c>
      <c r="Z1209">
        <v>70.2</v>
      </c>
      <c r="AA1209">
        <v>104</v>
      </c>
      <c r="AB1209">
        <v>11.5</v>
      </c>
      <c r="AC1209">
        <v>48.8</v>
      </c>
      <c r="AD1209">
        <v>83132799</v>
      </c>
    </row>
    <row r="1210" spans="1:30" hidden="1" x14ac:dyDescent="0.45">
      <c r="A1210">
        <v>1164</v>
      </c>
      <c r="B1210">
        <v>2600</v>
      </c>
      <c r="C1210" t="s">
        <v>347</v>
      </c>
      <c r="D1210" t="s">
        <v>4300</v>
      </c>
      <c r="E1210">
        <v>67</v>
      </c>
      <c r="F1210" t="s">
        <v>35</v>
      </c>
      <c r="G1210" t="s">
        <v>1223</v>
      </c>
      <c r="H1210" t="s">
        <v>4301</v>
      </c>
      <c r="I1210" t="s">
        <v>347</v>
      </c>
      <c r="J1210" t="s">
        <v>35</v>
      </c>
      <c r="L1210" t="b">
        <v>1</v>
      </c>
      <c r="M1210" t="s">
        <v>29</v>
      </c>
      <c r="N1210" t="s">
        <v>8245</v>
      </c>
      <c r="O1210" s="1">
        <v>20218</v>
      </c>
      <c r="P1210" t="s">
        <v>1215</v>
      </c>
      <c r="Q1210" t="s">
        <v>4302</v>
      </c>
      <c r="R1210" t="s">
        <v>688</v>
      </c>
      <c r="S1210" s="1">
        <v>45020.209027777775</v>
      </c>
      <c r="T1210" t="s">
        <v>253</v>
      </c>
      <c r="U1210" t="s">
        <v>44</v>
      </c>
      <c r="V1210">
        <v>1955</v>
      </c>
      <c r="W1210">
        <v>117.24</v>
      </c>
      <c r="X1210">
        <v>7.5</v>
      </c>
      <c r="Y1210" s="2">
        <v>21427700000000</v>
      </c>
      <c r="Z1210">
        <v>88.2</v>
      </c>
      <c r="AA1210">
        <v>101.8</v>
      </c>
      <c r="AB1210">
        <v>9.6</v>
      </c>
      <c r="AC1210">
        <v>36.6</v>
      </c>
      <c r="AD1210">
        <v>328239523</v>
      </c>
    </row>
    <row r="1211" spans="1:30" hidden="1" x14ac:dyDescent="0.45">
      <c r="A1211">
        <v>1164</v>
      </c>
      <c r="B1211">
        <v>2600</v>
      </c>
      <c r="C1211" t="s">
        <v>296</v>
      </c>
      <c r="D1211" t="s">
        <v>4303</v>
      </c>
      <c r="E1211">
        <v>51</v>
      </c>
      <c r="F1211" t="s">
        <v>194</v>
      </c>
      <c r="G1211" t="s">
        <v>1665</v>
      </c>
      <c r="H1211" t="s">
        <v>4304</v>
      </c>
      <c r="I1211" t="s">
        <v>296</v>
      </c>
      <c r="J1211" t="s">
        <v>194</v>
      </c>
      <c r="L1211" t="b">
        <v>0</v>
      </c>
      <c r="M1211" t="s">
        <v>39</v>
      </c>
      <c r="N1211" t="s">
        <v>8246</v>
      </c>
      <c r="O1211" s="1">
        <v>26299</v>
      </c>
      <c r="P1211" t="s">
        <v>4305</v>
      </c>
      <c r="Q1211" t="s">
        <v>147</v>
      </c>
      <c r="S1211" s="1">
        <v>45020.209027777775</v>
      </c>
      <c r="V1211">
        <v>1972</v>
      </c>
      <c r="W1211">
        <v>112.85</v>
      </c>
      <c r="X1211">
        <v>1.4</v>
      </c>
      <c r="Y1211" s="2">
        <v>3845630030824</v>
      </c>
      <c r="Z1211">
        <v>70.2</v>
      </c>
      <c r="AA1211">
        <v>104</v>
      </c>
      <c r="AB1211">
        <v>11.5</v>
      </c>
      <c r="AC1211">
        <v>48.8</v>
      </c>
      <c r="AD1211">
        <v>83132799</v>
      </c>
    </row>
    <row r="1212" spans="1:30" hidden="1" x14ac:dyDescent="0.45">
      <c r="A1212">
        <v>1164</v>
      </c>
      <c r="B1212">
        <v>2600</v>
      </c>
      <c r="C1212" t="s">
        <v>126</v>
      </c>
      <c r="D1212" t="s">
        <v>4306</v>
      </c>
      <c r="E1212">
        <v>69</v>
      </c>
      <c r="F1212" t="s">
        <v>35</v>
      </c>
      <c r="G1212" t="s">
        <v>4307</v>
      </c>
      <c r="H1212" t="s">
        <v>4308</v>
      </c>
      <c r="I1212" t="s">
        <v>126</v>
      </c>
      <c r="J1212" t="s">
        <v>35</v>
      </c>
      <c r="L1212" t="b">
        <v>0</v>
      </c>
      <c r="M1212" t="s">
        <v>39</v>
      </c>
      <c r="N1212" t="s">
        <v>8245</v>
      </c>
      <c r="O1212" s="1">
        <v>19607</v>
      </c>
      <c r="P1212" t="s">
        <v>4309</v>
      </c>
      <c r="Q1212" t="s">
        <v>225</v>
      </c>
      <c r="S1212" s="1">
        <v>45020.209027777775</v>
      </c>
      <c r="T1212" t="s">
        <v>154</v>
      </c>
      <c r="U1212" t="s">
        <v>44</v>
      </c>
      <c r="V1212">
        <v>1953</v>
      </c>
      <c r="W1212">
        <v>117.24</v>
      </c>
      <c r="X1212">
        <v>7.5</v>
      </c>
      <c r="Y1212" s="2">
        <v>21427700000000</v>
      </c>
      <c r="Z1212">
        <v>88.2</v>
      </c>
      <c r="AA1212">
        <v>101.8</v>
      </c>
      <c r="AB1212">
        <v>9.6</v>
      </c>
      <c r="AC1212">
        <v>36.6</v>
      </c>
      <c r="AD1212">
        <v>328239523</v>
      </c>
    </row>
    <row r="1213" spans="1:30" hidden="1" x14ac:dyDescent="0.45">
      <c r="A1213">
        <v>1164</v>
      </c>
      <c r="B1213">
        <v>2600</v>
      </c>
      <c r="C1213" t="s">
        <v>296</v>
      </c>
      <c r="D1213" t="s">
        <v>4310</v>
      </c>
      <c r="F1213" t="s">
        <v>194</v>
      </c>
      <c r="G1213" t="s">
        <v>2410</v>
      </c>
      <c r="H1213" t="s">
        <v>4311</v>
      </c>
      <c r="I1213" t="s">
        <v>296</v>
      </c>
      <c r="J1213" t="s">
        <v>194</v>
      </c>
      <c r="L1213" t="b">
        <v>0</v>
      </c>
      <c r="M1213" t="s">
        <v>39</v>
      </c>
      <c r="N1213" t="s">
        <v>8246</v>
      </c>
      <c r="O1213"/>
      <c r="P1213" t="s">
        <v>2412</v>
      </c>
      <c r="Q1213" t="s">
        <v>4312</v>
      </c>
      <c r="S1213" s="1">
        <v>45020.209027777775</v>
      </c>
      <c r="W1213">
        <v>112.85</v>
      </c>
      <c r="X1213">
        <v>1.4</v>
      </c>
      <c r="Y1213" s="2">
        <v>3845630030824</v>
      </c>
      <c r="Z1213">
        <v>70.2</v>
      </c>
      <c r="AA1213">
        <v>104</v>
      </c>
      <c r="AB1213">
        <v>11.5</v>
      </c>
      <c r="AC1213">
        <v>48.8</v>
      </c>
      <c r="AD1213">
        <v>83132799</v>
      </c>
    </row>
    <row r="1214" spans="1:30" hidden="1" x14ac:dyDescent="0.45">
      <c r="A1214">
        <v>1164</v>
      </c>
      <c r="B1214">
        <v>2600</v>
      </c>
      <c r="C1214" t="s">
        <v>689</v>
      </c>
      <c r="D1214" t="s">
        <v>4313</v>
      </c>
      <c r="E1214">
        <v>57</v>
      </c>
      <c r="H1214" t="s">
        <v>4314</v>
      </c>
      <c r="I1214" t="s">
        <v>689</v>
      </c>
      <c r="J1214" t="s">
        <v>194</v>
      </c>
      <c r="L1214" t="b">
        <v>0</v>
      </c>
      <c r="M1214" t="s">
        <v>258</v>
      </c>
      <c r="N1214" t="s">
        <v>8245</v>
      </c>
      <c r="O1214" s="1">
        <v>23924</v>
      </c>
      <c r="P1214" t="s">
        <v>4315</v>
      </c>
      <c r="Q1214" t="s">
        <v>4316</v>
      </c>
      <c r="S1214" s="1">
        <v>45020.209027777775</v>
      </c>
      <c r="V1214">
        <v>1965</v>
      </c>
      <c r="W1214"/>
      <c r="Y1214"/>
    </row>
    <row r="1215" spans="1:30" hidden="1" x14ac:dyDescent="0.45">
      <c r="A1215">
        <v>1164</v>
      </c>
      <c r="B1215">
        <v>2600</v>
      </c>
      <c r="C1215" t="s">
        <v>689</v>
      </c>
      <c r="D1215" t="s">
        <v>4317</v>
      </c>
      <c r="E1215">
        <v>52</v>
      </c>
      <c r="H1215" t="s">
        <v>4314</v>
      </c>
      <c r="I1215" t="s">
        <v>689</v>
      </c>
      <c r="J1215" t="s">
        <v>194</v>
      </c>
      <c r="L1215" t="b">
        <v>0</v>
      </c>
      <c r="M1215" t="s">
        <v>258</v>
      </c>
      <c r="N1215" t="s">
        <v>8245</v>
      </c>
      <c r="O1215" s="1">
        <v>25750</v>
      </c>
      <c r="P1215" t="s">
        <v>4315</v>
      </c>
      <c r="Q1215" t="s">
        <v>370</v>
      </c>
      <c r="S1215" s="1">
        <v>45020.209027777775</v>
      </c>
      <c r="V1215">
        <v>1970</v>
      </c>
      <c r="W1215"/>
      <c r="Y1215"/>
    </row>
    <row r="1216" spans="1:30" hidden="1" x14ac:dyDescent="0.45">
      <c r="A1216">
        <v>1164</v>
      </c>
      <c r="B1216">
        <v>2600</v>
      </c>
      <c r="C1216" t="s">
        <v>45</v>
      </c>
      <c r="D1216" t="s">
        <v>4318</v>
      </c>
      <c r="E1216">
        <v>57</v>
      </c>
      <c r="F1216" t="s">
        <v>128</v>
      </c>
      <c r="G1216" t="s">
        <v>292</v>
      </c>
      <c r="H1216" t="s">
        <v>1400</v>
      </c>
      <c r="I1216" t="s">
        <v>45</v>
      </c>
      <c r="J1216" t="s">
        <v>128</v>
      </c>
      <c r="L1216" t="b">
        <v>1</v>
      </c>
      <c r="M1216" t="s">
        <v>39</v>
      </c>
      <c r="N1216" t="s">
        <v>8245</v>
      </c>
      <c r="O1216" s="1">
        <v>24108</v>
      </c>
      <c r="P1216" t="s">
        <v>850</v>
      </c>
      <c r="Q1216" t="s">
        <v>4319</v>
      </c>
      <c r="S1216" s="1">
        <v>45020.209027777775</v>
      </c>
      <c r="V1216">
        <v>1966</v>
      </c>
      <c r="W1216">
        <v>125.08</v>
      </c>
      <c r="X1216">
        <v>2.9</v>
      </c>
      <c r="Y1216" s="2">
        <v>19910000000000</v>
      </c>
      <c r="Z1216">
        <v>50.6</v>
      </c>
      <c r="AA1216">
        <v>100.2</v>
      </c>
      <c r="AB1216">
        <v>9.4</v>
      </c>
      <c r="AC1216">
        <v>59.2</v>
      </c>
      <c r="AD1216">
        <v>1397715000</v>
      </c>
    </row>
    <row r="1217" spans="1:30" hidden="1" x14ac:dyDescent="0.45">
      <c r="A1217">
        <v>1164</v>
      </c>
      <c r="B1217">
        <v>2600</v>
      </c>
      <c r="C1217" t="s">
        <v>45</v>
      </c>
      <c r="D1217" t="s">
        <v>4320</v>
      </c>
      <c r="E1217">
        <v>52</v>
      </c>
      <c r="F1217" t="s">
        <v>128</v>
      </c>
      <c r="G1217" t="s">
        <v>187</v>
      </c>
      <c r="H1217" t="s">
        <v>1803</v>
      </c>
      <c r="I1217" t="s">
        <v>45</v>
      </c>
      <c r="J1217" t="s">
        <v>128</v>
      </c>
      <c r="L1217" t="b">
        <v>1</v>
      </c>
      <c r="M1217" t="s">
        <v>29</v>
      </c>
      <c r="N1217" t="s">
        <v>8245</v>
      </c>
      <c r="O1217" s="1">
        <v>25842</v>
      </c>
      <c r="P1217" t="s">
        <v>1784</v>
      </c>
      <c r="Q1217" t="s">
        <v>4321</v>
      </c>
      <c r="S1217" s="1">
        <v>45020.209027777775</v>
      </c>
      <c r="V1217">
        <v>1970</v>
      </c>
      <c r="W1217">
        <v>125.08</v>
      </c>
      <c r="X1217">
        <v>2.9</v>
      </c>
      <c r="Y1217" s="2">
        <v>19910000000000</v>
      </c>
      <c r="Z1217">
        <v>50.6</v>
      </c>
      <c r="AA1217">
        <v>100.2</v>
      </c>
      <c r="AB1217">
        <v>9.4</v>
      </c>
      <c r="AC1217">
        <v>59.2</v>
      </c>
      <c r="AD1217">
        <v>1397715000</v>
      </c>
    </row>
    <row r="1218" spans="1:30" x14ac:dyDescent="0.45">
      <c r="A1218">
        <v>1217</v>
      </c>
      <c r="B1218" s="6">
        <v>2500</v>
      </c>
      <c r="C1218" t="s">
        <v>126</v>
      </c>
      <c r="D1218" t="s">
        <v>4322</v>
      </c>
      <c r="E1218">
        <v>98</v>
      </c>
      <c r="F1218" t="s">
        <v>35</v>
      </c>
      <c r="G1218" t="s">
        <v>355</v>
      </c>
      <c r="H1218" t="s">
        <v>4323</v>
      </c>
      <c r="I1218" t="s">
        <v>126</v>
      </c>
      <c r="J1218" t="s">
        <v>35</v>
      </c>
      <c r="K1218" t="s">
        <v>4324</v>
      </c>
      <c r="L1218" t="b">
        <v>1</v>
      </c>
      <c r="M1218" t="s">
        <v>29</v>
      </c>
      <c r="N1218" t="s">
        <v>8245</v>
      </c>
      <c r="O1218" s="10">
        <v>8994</v>
      </c>
      <c r="P1218" t="s">
        <v>4325</v>
      </c>
      <c r="Q1218" t="s">
        <v>4326</v>
      </c>
      <c r="R1218" t="s">
        <v>170</v>
      </c>
      <c r="S1218" s="8">
        <v>45020.209027777775</v>
      </c>
      <c r="T1218" t="s">
        <v>253</v>
      </c>
      <c r="U1218" t="s">
        <v>44</v>
      </c>
      <c r="V1218">
        <v>1924</v>
      </c>
      <c r="W1218" s="12">
        <v>117.24</v>
      </c>
      <c r="X1218">
        <v>7.5</v>
      </c>
      <c r="Y1218" s="14">
        <v>21427700000000</v>
      </c>
      <c r="Z1218">
        <v>88.2</v>
      </c>
      <c r="AA1218">
        <v>101.8</v>
      </c>
      <c r="AB1218">
        <v>9.6</v>
      </c>
      <c r="AC1218">
        <v>36.6</v>
      </c>
      <c r="AD1218">
        <v>328239523</v>
      </c>
    </row>
    <row r="1219" spans="1:30" hidden="1" x14ac:dyDescent="0.45">
      <c r="A1219">
        <v>1217</v>
      </c>
      <c r="B1219">
        <v>2500</v>
      </c>
      <c r="C1219" t="s">
        <v>23</v>
      </c>
      <c r="D1219" t="s">
        <v>4327</v>
      </c>
      <c r="E1219">
        <v>74</v>
      </c>
      <c r="F1219" t="s">
        <v>35</v>
      </c>
      <c r="G1219" t="s">
        <v>1549</v>
      </c>
      <c r="H1219" t="s">
        <v>1273</v>
      </c>
      <c r="I1219" t="s">
        <v>23</v>
      </c>
      <c r="J1219" t="s">
        <v>35</v>
      </c>
      <c r="L1219" t="b">
        <v>0</v>
      </c>
      <c r="M1219" t="s">
        <v>39</v>
      </c>
      <c r="N1219" t="s">
        <v>8245</v>
      </c>
      <c r="O1219" s="1">
        <v>17669</v>
      </c>
      <c r="P1219" t="s">
        <v>4328</v>
      </c>
      <c r="Q1219" t="s">
        <v>74</v>
      </c>
      <c r="S1219" s="1">
        <v>45020.209027777775</v>
      </c>
      <c r="T1219" t="s">
        <v>427</v>
      </c>
      <c r="U1219" t="s">
        <v>82</v>
      </c>
      <c r="V1219">
        <v>1948</v>
      </c>
      <c r="W1219">
        <v>117.24</v>
      </c>
      <c r="X1219">
        <v>7.5</v>
      </c>
      <c r="Y1219" s="2">
        <v>21427700000000</v>
      </c>
      <c r="Z1219">
        <v>88.2</v>
      </c>
      <c r="AA1219">
        <v>101.8</v>
      </c>
      <c r="AB1219">
        <v>9.6</v>
      </c>
      <c r="AC1219">
        <v>36.6</v>
      </c>
      <c r="AD1219">
        <v>328239523</v>
      </c>
    </row>
    <row r="1220" spans="1:30" hidden="1" x14ac:dyDescent="0.45">
      <c r="A1220">
        <v>1217</v>
      </c>
      <c r="B1220">
        <v>2500</v>
      </c>
      <c r="C1220" t="s">
        <v>23</v>
      </c>
      <c r="D1220" t="s">
        <v>4329</v>
      </c>
      <c r="E1220">
        <v>77</v>
      </c>
      <c r="F1220" t="s">
        <v>35</v>
      </c>
      <c r="G1220" t="s">
        <v>4330</v>
      </c>
      <c r="H1220" t="s">
        <v>1273</v>
      </c>
      <c r="I1220" t="s">
        <v>23</v>
      </c>
      <c r="J1220" t="s">
        <v>35</v>
      </c>
      <c r="L1220" t="b">
        <v>0</v>
      </c>
      <c r="M1220" t="s">
        <v>39</v>
      </c>
      <c r="N1220" t="s">
        <v>8246</v>
      </c>
      <c r="O1220" s="1">
        <v>16637</v>
      </c>
      <c r="P1220" t="s">
        <v>4328</v>
      </c>
      <c r="Q1220" t="s">
        <v>4331</v>
      </c>
      <c r="S1220" s="1">
        <v>45020.209027777775</v>
      </c>
      <c r="T1220" t="s">
        <v>4332</v>
      </c>
      <c r="U1220" t="s">
        <v>82</v>
      </c>
      <c r="V1220">
        <v>1945</v>
      </c>
      <c r="W1220">
        <v>117.24</v>
      </c>
      <c r="X1220">
        <v>7.5</v>
      </c>
      <c r="Y1220" s="2">
        <v>21427700000000</v>
      </c>
      <c r="Z1220">
        <v>88.2</v>
      </c>
      <c r="AA1220">
        <v>101.8</v>
      </c>
      <c r="AB1220">
        <v>9.6</v>
      </c>
      <c r="AC1220">
        <v>36.6</v>
      </c>
      <c r="AD1220">
        <v>328239523</v>
      </c>
    </row>
    <row r="1221" spans="1:30" hidden="1" x14ac:dyDescent="0.45">
      <c r="A1221">
        <v>1217</v>
      </c>
      <c r="B1221">
        <v>2500</v>
      </c>
      <c r="C1221" t="s">
        <v>23</v>
      </c>
      <c r="D1221" t="s">
        <v>4333</v>
      </c>
      <c r="E1221">
        <v>78</v>
      </c>
      <c r="F1221" t="s">
        <v>35</v>
      </c>
      <c r="G1221" t="s">
        <v>4334</v>
      </c>
      <c r="H1221" t="s">
        <v>1273</v>
      </c>
      <c r="I1221" t="s">
        <v>23</v>
      </c>
      <c r="J1221" t="s">
        <v>35</v>
      </c>
      <c r="L1221" t="b">
        <v>0</v>
      </c>
      <c r="M1221" t="s">
        <v>39</v>
      </c>
      <c r="N1221" t="s">
        <v>8245</v>
      </c>
      <c r="O1221" s="1">
        <v>16303</v>
      </c>
      <c r="P1221" t="s">
        <v>4328</v>
      </c>
      <c r="Q1221" t="s">
        <v>4335</v>
      </c>
      <c r="S1221" s="1">
        <v>45020.209027777775</v>
      </c>
      <c r="T1221" t="s">
        <v>427</v>
      </c>
      <c r="U1221" t="s">
        <v>82</v>
      </c>
      <c r="V1221">
        <v>1944</v>
      </c>
      <c r="W1221">
        <v>117.24</v>
      </c>
      <c r="X1221">
        <v>7.5</v>
      </c>
      <c r="Y1221" s="2">
        <v>21427700000000</v>
      </c>
      <c r="Z1221">
        <v>88.2</v>
      </c>
      <c r="AA1221">
        <v>101.8</v>
      </c>
      <c r="AB1221">
        <v>9.6</v>
      </c>
      <c r="AC1221">
        <v>36.6</v>
      </c>
      <c r="AD1221">
        <v>328239523</v>
      </c>
    </row>
    <row r="1222" spans="1:30" x14ac:dyDescent="0.45">
      <c r="A1222">
        <v>1217</v>
      </c>
      <c r="B1222" s="6">
        <v>2500</v>
      </c>
      <c r="C1222" t="s">
        <v>689</v>
      </c>
      <c r="D1222" t="s">
        <v>4336</v>
      </c>
      <c r="E1222">
        <v>71</v>
      </c>
      <c r="F1222" t="s">
        <v>35</v>
      </c>
      <c r="G1222" t="s">
        <v>991</v>
      </c>
      <c r="H1222" t="s">
        <v>4337</v>
      </c>
      <c r="I1222" t="s">
        <v>689</v>
      </c>
      <c r="J1222" t="s">
        <v>35</v>
      </c>
      <c r="K1222" t="s">
        <v>4338</v>
      </c>
      <c r="L1222" t="b">
        <v>0</v>
      </c>
      <c r="M1222" t="s">
        <v>39</v>
      </c>
      <c r="N1222" t="s">
        <v>8245</v>
      </c>
      <c r="O1222" s="10">
        <v>19078</v>
      </c>
      <c r="P1222" t="s">
        <v>4339</v>
      </c>
      <c r="Q1222" t="s">
        <v>4340</v>
      </c>
      <c r="R1222" t="s">
        <v>4341</v>
      </c>
      <c r="S1222" s="8">
        <v>45020.209027777775</v>
      </c>
      <c r="T1222" t="s">
        <v>115</v>
      </c>
      <c r="U1222" t="s">
        <v>53</v>
      </c>
      <c r="V1222">
        <v>1952</v>
      </c>
      <c r="W1222" s="12">
        <v>117.24</v>
      </c>
      <c r="X1222">
        <v>7.5</v>
      </c>
      <c r="Y1222" s="14">
        <v>21427700000000</v>
      </c>
      <c r="Z1222">
        <v>88.2</v>
      </c>
      <c r="AA1222">
        <v>101.8</v>
      </c>
      <c r="AB1222">
        <v>9.6</v>
      </c>
      <c r="AC1222">
        <v>36.6</v>
      </c>
      <c r="AD1222">
        <v>328239523</v>
      </c>
    </row>
    <row r="1223" spans="1:30" hidden="1" x14ac:dyDescent="0.45">
      <c r="A1223">
        <v>1217</v>
      </c>
      <c r="B1223">
        <v>2500</v>
      </c>
      <c r="C1223" t="s">
        <v>91</v>
      </c>
      <c r="D1223" t="s">
        <v>4342</v>
      </c>
      <c r="E1223">
        <v>56</v>
      </c>
      <c r="F1223" t="s">
        <v>272</v>
      </c>
      <c r="G1223" t="s">
        <v>273</v>
      </c>
      <c r="H1223" t="s">
        <v>317</v>
      </c>
      <c r="I1223" t="s">
        <v>91</v>
      </c>
      <c r="J1223" t="s">
        <v>4343</v>
      </c>
      <c r="L1223" t="b">
        <v>1</v>
      </c>
      <c r="M1223" t="s">
        <v>611</v>
      </c>
      <c r="N1223" t="s">
        <v>8245</v>
      </c>
      <c r="O1223" s="1">
        <v>24550</v>
      </c>
      <c r="P1223" t="s">
        <v>4344</v>
      </c>
      <c r="Q1223" t="s">
        <v>4345</v>
      </c>
      <c r="S1223" s="1">
        <v>45020.209027777775</v>
      </c>
      <c r="V1223">
        <v>1967</v>
      </c>
      <c r="W1223">
        <v>119.62</v>
      </c>
      <c r="X1223">
        <v>1.7</v>
      </c>
      <c r="Y1223" s="2">
        <v>2827113184696</v>
      </c>
      <c r="Z1223">
        <v>60</v>
      </c>
      <c r="AA1223">
        <v>101.2</v>
      </c>
      <c r="AB1223">
        <v>25.5</v>
      </c>
      <c r="AC1223">
        <v>30.6</v>
      </c>
      <c r="AD1223">
        <v>66834405</v>
      </c>
    </row>
    <row r="1224" spans="1:30" hidden="1" x14ac:dyDescent="0.45">
      <c r="A1224">
        <v>1217</v>
      </c>
      <c r="B1224">
        <v>2500</v>
      </c>
      <c r="C1224" t="s">
        <v>126</v>
      </c>
      <c r="D1224" t="s">
        <v>4346</v>
      </c>
      <c r="E1224">
        <v>91</v>
      </c>
      <c r="F1224" t="s">
        <v>35</v>
      </c>
      <c r="G1224" t="s">
        <v>355</v>
      </c>
      <c r="H1224" t="s">
        <v>3079</v>
      </c>
      <c r="I1224" t="s">
        <v>126</v>
      </c>
      <c r="J1224" t="s">
        <v>164</v>
      </c>
      <c r="L1224" t="b">
        <v>0</v>
      </c>
      <c r="M1224" t="s">
        <v>611</v>
      </c>
      <c r="N1224" t="s">
        <v>8245</v>
      </c>
      <c r="O1224" s="1">
        <v>11501</v>
      </c>
      <c r="P1224" t="s">
        <v>4347</v>
      </c>
      <c r="Q1224" t="s">
        <v>144</v>
      </c>
      <c r="S1224" s="1">
        <v>45020.209027777775</v>
      </c>
      <c r="T1224" t="s">
        <v>253</v>
      </c>
      <c r="U1224" t="s">
        <v>44</v>
      </c>
      <c r="V1224">
        <v>1931</v>
      </c>
      <c r="W1224">
        <v>117.24</v>
      </c>
      <c r="X1224">
        <v>7.5</v>
      </c>
      <c r="Y1224" s="2">
        <v>21427700000000</v>
      </c>
      <c r="Z1224">
        <v>88.2</v>
      </c>
      <c r="AA1224">
        <v>101.8</v>
      </c>
      <c r="AB1224">
        <v>9.6</v>
      </c>
      <c r="AC1224">
        <v>36.6</v>
      </c>
      <c r="AD1224">
        <v>328239523</v>
      </c>
    </row>
    <row r="1225" spans="1:30" hidden="1" x14ac:dyDescent="0.45">
      <c r="A1225">
        <v>1217</v>
      </c>
      <c r="B1225">
        <v>2500</v>
      </c>
      <c r="C1225" t="s">
        <v>126</v>
      </c>
      <c r="D1225" t="s">
        <v>4348</v>
      </c>
      <c r="E1225">
        <v>85</v>
      </c>
      <c r="F1225" t="s">
        <v>93</v>
      </c>
      <c r="G1225" t="s">
        <v>343</v>
      </c>
      <c r="H1225" t="s">
        <v>2022</v>
      </c>
      <c r="I1225" t="s">
        <v>126</v>
      </c>
      <c r="J1225" t="s">
        <v>93</v>
      </c>
      <c r="L1225" t="b">
        <v>0</v>
      </c>
      <c r="M1225" t="s">
        <v>39</v>
      </c>
      <c r="N1225" t="s">
        <v>8245</v>
      </c>
      <c r="O1225" s="1">
        <v>13633</v>
      </c>
      <c r="P1225" t="s">
        <v>4349</v>
      </c>
      <c r="Q1225" t="s">
        <v>4350</v>
      </c>
      <c r="S1225" s="1">
        <v>45020.209027777775</v>
      </c>
      <c r="V1225">
        <v>1937</v>
      </c>
      <c r="W1225">
        <v>180.44</v>
      </c>
      <c r="X1225">
        <v>7.7</v>
      </c>
      <c r="Y1225" s="2">
        <v>2611000000000</v>
      </c>
      <c r="Z1225">
        <v>28.1</v>
      </c>
      <c r="AA1225">
        <v>113</v>
      </c>
      <c r="AB1225">
        <v>11.2</v>
      </c>
      <c r="AC1225">
        <v>49.7</v>
      </c>
      <c r="AD1225">
        <v>1366417754</v>
      </c>
    </row>
    <row r="1226" spans="1:30" hidden="1" x14ac:dyDescent="0.45">
      <c r="A1226">
        <v>1217</v>
      </c>
      <c r="B1226">
        <v>2500</v>
      </c>
      <c r="C1226" t="s">
        <v>33</v>
      </c>
      <c r="D1226" t="s">
        <v>4351</v>
      </c>
      <c r="E1226">
        <v>81</v>
      </c>
      <c r="F1226" t="s">
        <v>35</v>
      </c>
      <c r="G1226" t="s">
        <v>1549</v>
      </c>
      <c r="H1226" t="s">
        <v>2749</v>
      </c>
      <c r="I1226" t="s">
        <v>33</v>
      </c>
      <c r="J1226" t="s">
        <v>35</v>
      </c>
      <c r="L1226" t="b">
        <v>1</v>
      </c>
      <c r="M1226" t="s">
        <v>29</v>
      </c>
      <c r="N1226" t="s">
        <v>8245</v>
      </c>
      <c r="O1226" s="1">
        <v>15342</v>
      </c>
      <c r="P1226" t="s">
        <v>1933</v>
      </c>
      <c r="Q1226" t="s">
        <v>3262</v>
      </c>
      <c r="S1226" s="1">
        <v>45020.209027777775</v>
      </c>
      <c r="T1226" t="s">
        <v>427</v>
      </c>
      <c r="U1226" t="s">
        <v>82</v>
      </c>
      <c r="V1226">
        <v>1942</v>
      </c>
      <c r="W1226">
        <v>117.24</v>
      </c>
      <c r="X1226">
        <v>7.5</v>
      </c>
      <c r="Y1226" s="2">
        <v>21427700000000</v>
      </c>
      <c r="Z1226">
        <v>88.2</v>
      </c>
      <c r="AA1226">
        <v>101.8</v>
      </c>
      <c r="AB1226">
        <v>9.6</v>
      </c>
      <c r="AC1226">
        <v>36.6</v>
      </c>
      <c r="AD1226">
        <v>328239523</v>
      </c>
    </row>
    <row r="1227" spans="1:30" hidden="1" x14ac:dyDescent="0.45">
      <c r="A1227">
        <v>1217</v>
      </c>
      <c r="B1227">
        <v>2500</v>
      </c>
      <c r="C1227" t="s">
        <v>76</v>
      </c>
      <c r="D1227" t="s">
        <v>4352</v>
      </c>
      <c r="E1227">
        <v>39</v>
      </c>
      <c r="F1227" t="s">
        <v>128</v>
      </c>
      <c r="G1227" t="s">
        <v>187</v>
      </c>
      <c r="H1227" t="s">
        <v>4353</v>
      </c>
      <c r="I1227" t="s">
        <v>76</v>
      </c>
      <c r="J1227" t="s">
        <v>128</v>
      </c>
      <c r="L1227" t="b">
        <v>1</v>
      </c>
      <c r="M1227" t="s">
        <v>39</v>
      </c>
      <c r="N1227" t="s">
        <v>8245</v>
      </c>
      <c r="O1227" s="1">
        <v>30682</v>
      </c>
      <c r="P1227" t="s">
        <v>2082</v>
      </c>
      <c r="Q1227" t="s">
        <v>4354</v>
      </c>
      <c r="S1227" s="1">
        <v>45020.209027777775</v>
      </c>
      <c r="V1227">
        <v>1984</v>
      </c>
      <c r="W1227">
        <v>125.08</v>
      </c>
      <c r="X1227">
        <v>2.9</v>
      </c>
      <c r="Y1227" s="2">
        <v>19910000000000</v>
      </c>
      <c r="Z1227">
        <v>50.6</v>
      </c>
      <c r="AA1227">
        <v>100.2</v>
      </c>
      <c r="AB1227">
        <v>9.4</v>
      </c>
      <c r="AC1227">
        <v>59.2</v>
      </c>
      <c r="AD1227">
        <v>1397715000</v>
      </c>
    </row>
    <row r="1228" spans="1:30" hidden="1" x14ac:dyDescent="0.45">
      <c r="A1228">
        <v>1217</v>
      </c>
      <c r="B1228">
        <v>2500</v>
      </c>
      <c r="C1228" t="s">
        <v>126</v>
      </c>
      <c r="D1228" t="s">
        <v>4355</v>
      </c>
      <c r="E1228">
        <v>75</v>
      </c>
      <c r="F1228" t="s">
        <v>35</v>
      </c>
      <c r="G1228" t="s">
        <v>241</v>
      </c>
      <c r="H1228" t="s">
        <v>4029</v>
      </c>
      <c r="I1228" t="s">
        <v>126</v>
      </c>
      <c r="J1228" t="s">
        <v>35</v>
      </c>
      <c r="L1228" t="b">
        <v>1</v>
      </c>
      <c r="M1228" t="s">
        <v>285</v>
      </c>
      <c r="N1228" t="s">
        <v>8245</v>
      </c>
      <c r="O1228" s="1">
        <v>17625</v>
      </c>
      <c r="P1228" t="s">
        <v>4356</v>
      </c>
      <c r="Q1228" t="s">
        <v>472</v>
      </c>
      <c r="S1228" s="1">
        <v>45020.209027777775</v>
      </c>
      <c r="T1228" t="s">
        <v>245</v>
      </c>
      <c r="U1228" t="s">
        <v>53</v>
      </c>
      <c r="V1228">
        <v>1948</v>
      </c>
      <c r="W1228">
        <v>117.24</v>
      </c>
      <c r="X1228">
        <v>7.5</v>
      </c>
      <c r="Y1228" s="2">
        <v>21427700000000</v>
      </c>
      <c r="Z1228">
        <v>88.2</v>
      </c>
      <c r="AA1228">
        <v>101.8</v>
      </c>
      <c r="AB1228">
        <v>9.6</v>
      </c>
      <c r="AC1228">
        <v>36.6</v>
      </c>
      <c r="AD1228">
        <v>328239523</v>
      </c>
    </row>
    <row r="1229" spans="1:30" hidden="1" x14ac:dyDescent="0.45">
      <c r="A1229">
        <v>1217</v>
      </c>
      <c r="B1229">
        <v>2500</v>
      </c>
      <c r="C1229" t="s">
        <v>126</v>
      </c>
      <c r="D1229" t="s">
        <v>4357</v>
      </c>
      <c r="E1229">
        <v>75</v>
      </c>
      <c r="F1229" t="s">
        <v>35</v>
      </c>
      <c r="G1229" t="s">
        <v>241</v>
      </c>
      <c r="H1229" t="s">
        <v>4029</v>
      </c>
      <c r="I1229" t="s">
        <v>126</v>
      </c>
      <c r="J1229" t="s">
        <v>35</v>
      </c>
      <c r="L1229" t="b">
        <v>1</v>
      </c>
      <c r="M1229" t="s">
        <v>285</v>
      </c>
      <c r="N1229" t="s">
        <v>8246</v>
      </c>
      <c r="O1229" s="1">
        <v>17519</v>
      </c>
      <c r="P1229" t="s">
        <v>4356</v>
      </c>
      <c r="Q1229" t="s">
        <v>4358</v>
      </c>
      <c r="S1229" s="1">
        <v>45020.209027777775</v>
      </c>
      <c r="T1229" t="s">
        <v>245</v>
      </c>
      <c r="U1229" t="s">
        <v>53</v>
      </c>
      <c r="V1229">
        <v>1947</v>
      </c>
      <c r="W1229">
        <v>117.24</v>
      </c>
      <c r="X1229">
        <v>7.5</v>
      </c>
      <c r="Y1229" s="2">
        <v>21427700000000</v>
      </c>
      <c r="Z1229">
        <v>88.2</v>
      </c>
      <c r="AA1229">
        <v>101.8</v>
      </c>
      <c r="AB1229">
        <v>9.6</v>
      </c>
      <c r="AC1229">
        <v>36.6</v>
      </c>
      <c r="AD1229">
        <v>328239523</v>
      </c>
    </row>
    <row r="1230" spans="1:30" x14ac:dyDescent="0.45">
      <c r="A1230">
        <v>1217</v>
      </c>
      <c r="B1230" s="6">
        <v>2500</v>
      </c>
      <c r="C1230" t="s">
        <v>61</v>
      </c>
      <c r="D1230" t="s">
        <v>4359</v>
      </c>
      <c r="E1230">
        <v>79</v>
      </c>
      <c r="F1230" t="s">
        <v>35</v>
      </c>
      <c r="G1230" t="s">
        <v>1611</v>
      </c>
      <c r="H1230" t="s">
        <v>248</v>
      </c>
      <c r="I1230" t="s">
        <v>61</v>
      </c>
      <c r="J1230" t="s">
        <v>35</v>
      </c>
      <c r="K1230" t="s">
        <v>4360</v>
      </c>
      <c r="L1230" t="b">
        <v>1</v>
      </c>
      <c r="M1230" t="s">
        <v>611</v>
      </c>
      <c r="N1230" t="s">
        <v>8245</v>
      </c>
      <c r="O1230" s="10">
        <v>15821</v>
      </c>
      <c r="P1230" t="s">
        <v>4361</v>
      </c>
      <c r="Q1230" t="s">
        <v>4362</v>
      </c>
      <c r="R1230" t="s">
        <v>192</v>
      </c>
      <c r="S1230" s="8">
        <v>45020.209027777775</v>
      </c>
      <c r="T1230" t="s">
        <v>253</v>
      </c>
      <c r="U1230" t="s">
        <v>44</v>
      </c>
      <c r="V1230">
        <v>1943</v>
      </c>
      <c r="W1230" s="12">
        <v>117.24</v>
      </c>
      <c r="X1230">
        <v>7.5</v>
      </c>
      <c r="Y1230" s="14">
        <v>21427700000000</v>
      </c>
      <c r="Z1230">
        <v>88.2</v>
      </c>
      <c r="AA1230">
        <v>101.8</v>
      </c>
      <c r="AB1230">
        <v>9.6</v>
      </c>
      <c r="AC1230">
        <v>36.6</v>
      </c>
      <c r="AD1230">
        <v>328239523</v>
      </c>
    </row>
    <row r="1231" spans="1:30" hidden="1" x14ac:dyDescent="0.45">
      <c r="A1231">
        <v>1217</v>
      </c>
      <c r="B1231">
        <v>2500</v>
      </c>
      <c r="C1231" t="s">
        <v>296</v>
      </c>
      <c r="D1231" t="s">
        <v>4363</v>
      </c>
      <c r="E1231">
        <v>75</v>
      </c>
      <c r="F1231" t="s">
        <v>93</v>
      </c>
      <c r="G1231" t="s">
        <v>343</v>
      </c>
      <c r="H1231" t="s">
        <v>1377</v>
      </c>
      <c r="I1231" t="s">
        <v>296</v>
      </c>
      <c r="J1231" t="s">
        <v>93</v>
      </c>
      <c r="L1231" t="b">
        <v>0</v>
      </c>
      <c r="M1231" t="s">
        <v>29</v>
      </c>
      <c r="N1231" t="s">
        <v>8245</v>
      </c>
      <c r="O1231" s="1">
        <v>17320</v>
      </c>
      <c r="P1231" t="s">
        <v>4364</v>
      </c>
      <c r="Q1231" t="s">
        <v>4365</v>
      </c>
      <c r="S1231" s="1">
        <v>45020.209027777775</v>
      </c>
      <c r="V1231">
        <v>1947</v>
      </c>
      <c r="W1231">
        <v>180.44</v>
      </c>
      <c r="X1231">
        <v>7.7</v>
      </c>
      <c r="Y1231" s="2">
        <v>2611000000000</v>
      </c>
      <c r="Z1231">
        <v>28.1</v>
      </c>
      <c r="AA1231">
        <v>113</v>
      </c>
      <c r="AB1231">
        <v>11.2</v>
      </c>
      <c r="AC1231">
        <v>49.7</v>
      </c>
      <c r="AD1231">
        <v>1366417754</v>
      </c>
    </row>
    <row r="1232" spans="1:30" hidden="1" x14ac:dyDescent="0.45">
      <c r="A1232">
        <v>1217</v>
      </c>
      <c r="B1232">
        <v>2500</v>
      </c>
      <c r="C1232" t="s">
        <v>126</v>
      </c>
      <c r="D1232" t="s">
        <v>4366</v>
      </c>
      <c r="E1232">
        <v>72</v>
      </c>
      <c r="F1232" t="s">
        <v>35</v>
      </c>
      <c r="G1232" t="s">
        <v>63</v>
      </c>
      <c r="H1232" t="s">
        <v>4191</v>
      </c>
      <c r="I1232" t="s">
        <v>126</v>
      </c>
      <c r="J1232" t="s">
        <v>35</v>
      </c>
      <c r="L1232" t="b">
        <v>0</v>
      </c>
      <c r="M1232" t="s">
        <v>29</v>
      </c>
      <c r="N1232" t="s">
        <v>8245</v>
      </c>
      <c r="O1232" s="1">
        <v>18675</v>
      </c>
      <c r="P1232" t="s">
        <v>2221</v>
      </c>
      <c r="Q1232" t="s">
        <v>1292</v>
      </c>
      <c r="S1232" s="1">
        <v>45020.209027777775</v>
      </c>
      <c r="T1232" t="s">
        <v>68</v>
      </c>
      <c r="U1232" t="s">
        <v>69</v>
      </c>
      <c r="V1232">
        <v>1951</v>
      </c>
      <c r="W1232">
        <v>117.24</v>
      </c>
      <c r="X1232">
        <v>7.5</v>
      </c>
      <c r="Y1232" s="2">
        <v>21427700000000</v>
      </c>
      <c r="Z1232">
        <v>88.2</v>
      </c>
      <c r="AA1232">
        <v>101.8</v>
      </c>
      <c r="AB1232">
        <v>9.6</v>
      </c>
      <c r="AC1232">
        <v>36.6</v>
      </c>
      <c r="AD1232">
        <v>328239523</v>
      </c>
    </row>
    <row r="1233" spans="1:30" hidden="1" x14ac:dyDescent="0.45">
      <c r="A1233">
        <v>1217</v>
      </c>
      <c r="B1233">
        <v>2500</v>
      </c>
      <c r="C1233" t="s">
        <v>326</v>
      </c>
      <c r="D1233" t="s">
        <v>4367</v>
      </c>
      <c r="E1233">
        <v>55</v>
      </c>
      <c r="F1233" t="s">
        <v>363</v>
      </c>
      <c r="G1233" t="s">
        <v>381</v>
      </c>
      <c r="H1233" t="s">
        <v>4368</v>
      </c>
      <c r="I1233" t="s">
        <v>326</v>
      </c>
      <c r="J1233" t="s">
        <v>363</v>
      </c>
      <c r="L1233" t="b">
        <v>1</v>
      </c>
      <c r="M1233" t="s">
        <v>29</v>
      </c>
      <c r="N1233" t="s">
        <v>8245</v>
      </c>
      <c r="O1233" s="1">
        <v>24839</v>
      </c>
      <c r="P1233" t="s">
        <v>4369</v>
      </c>
      <c r="Q1233" t="s">
        <v>4370</v>
      </c>
      <c r="S1233" s="1">
        <v>45020.209027777775</v>
      </c>
      <c r="V1233">
        <v>1968</v>
      </c>
      <c r="W1233">
        <v>180.75</v>
      </c>
      <c r="X1233">
        <v>4.5</v>
      </c>
      <c r="Y1233" s="2">
        <v>1699876578871</v>
      </c>
      <c r="Z1233">
        <v>81.900000000000006</v>
      </c>
      <c r="AA1233">
        <v>102.6</v>
      </c>
      <c r="AB1233">
        <v>11.4</v>
      </c>
      <c r="AC1233">
        <v>46.2</v>
      </c>
      <c r="AD1233">
        <v>144373535</v>
      </c>
    </row>
    <row r="1234" spans="1:30" hidden="1" x14ac:dyDescent="0.45">
      <c r="A1234">
        <v>1217</v>
      </c>
      <c r="B1234">
        <v>2500</v>
      </c>
      <c r="C1234" t="s">
        <v>45</v>
      </c>
      <c r="D1234" t="s">
        <v>4371</v>
      </c>
      <c r="E1234">
        <v>57</v>
      </c>
      <c r="F1234" t="s">
        <v>686</v>
      </c>
      <c r="G1234" t="s">
        <v>4372</v>
      </c>
      <c r="H1234" t="s">
        <v>856</v>
      </c>
      <c r="I1234" t="s">
        <v>45</v>
      </c>
      <c r="J1234" t="s">
        <v>686</v>
      </c>
      <c r="L1234" t="b">
        <v>1</v>
      </c>
      <c r="M1234" t="s">
        <v>39</v>
      </c>
      <c r="N1234" t="s">
        <v>8245</v>
      </c>
      <c r="O1234" s="1">
        <v>24177</v>
      </c>
      <c r="P1234" t="s">
        <v>4373</v>
      </c>
      <c r="Q1234" t="s">
        <v>125</v>
      </c>
      <c r="S1234" s="1">
        <v>45020.209027777775</v>
      </c>
      <c r="V1234">
        <v>1966</v>
      </c>
      <c r="W1234">
        <v>102.51</v>
      </c>
      <c r="X1234">
        <v>0.3</v>
      </c>
      <c r="Y1234" s="2">
        <v>24564647935</v>
      </c>
      <c r="Z1234">
        <v>75.900000000000006</v>
      </c>
      <c r="AA1234">
        <v>99.3</v>
      </c>
      <c r="AB1234">
        <v>24.5</v>
      </c>
      <c r="AC1234">
        <v>22.4</v>
      </c>
      <c r="AD1234">
        <v>1198575</v>
      </c>
    </row>
    <row r="1235" spans="1:30" x14ac:dyDescent="0.45">
      <c r="A1235">
        <v>1217</v>
      </c>
      <c r="B1235" s="6">
        <v>2500</v>
      </c>
      <c r="C1235" t="s">
        <v>61</v>
      </c>
      <c r="D1235" t="s">
        <v>4374</v>
      </c>
      <c r="E1235">
        <v>67</v>
      </c>
      <c r="F1235" t="s">
        <v>35</v>
      </c>
      <c r="G1235" t="s">
        <v>78</v>
      </c>
      <c r="H1235" t="s">
        <v>248</v>
      </c>
      <c r="I1235" t="s">
        <v>61</v>
      </c>
      <c r="J1235" t="s">
        <v>35</v>
      </c>
      <c r="K1235" t="s">
        <v>4375</v>
      </c>
      <c r="L1235" t="b">
        <v>1</v>
      </c>
      <c r="M1235" t="s">
        <v>39</v>
      </c>
      <c r="N1235" t="s">
        <v>8245</v>
      </c>
      <c r="O1235" s="10">
        <v>20250</v>
      </c>
      <c r="P1235" t="s">
        <v>4376</v>
      </c>
      <c r="Q1235" t="s">
        <v>717</v>
      </c>
      <c r="R1235" t="s">
        <v>252</v>
      </c>
      <c r="S1235" s="8">
        <v>45020.209027777775</v>
      </c>
      <c r="T1235" t="s">
        <v>78</v>
      </c>
      <c r="U1235" t="s">
        <v>82</v>
      </c>
      <c r="V1235">
        <v>1955</v>
      </c>
      <c r="W1235" s="12">
        <v>117.24</v>
      </c>
      <c r="X1235">
        <v>7.5</v>
      </c>
      <c r="Y1235" s="14">
        <v>21427700000000</v>
      </c>
      <c r="Z1235">
        <v>88.2</v>
      </c>
      <c r="AA1235">
        <v>101.8</v>
      </c>
      <c r="AB1235">
        <v>9.6</v>
      </c>
      <c r="AC1235">
        <v>36.6</v>
      </c>
      <c r="AD1235">
        <v>328239523</v>
      </c>
    </row>
    <row r="1236" spans="1:30" hidden="1" x14ac:dyDescent="0.45">
      <c r="A1236">
        <v>1217</v>
      </c>
      <c r="B1236">
        <v>2500</v>
      </c>
      <c r="C1236" t="s">
        <v>296</v>
      </c>
      <c r="D1236" t="s">
        <v>4377</v>
      </c>
      <c r="E1236">
        <v>61</v>
      </c>
      <c r="F1236" t="s">
        <v>93</v>
      </c>
      <c r="G1236" t="s">
        <v>176</v>
      </c>
      <c r="H1236" t="s">
        <v>4378</v>
      </c>
      <c r="I1236" t="s">
        <v>296</v>
      </c>
      <c r="J1236" t="s">
        <v>93</v>
      </c>
      <c r="L1236" t="b">
        <v>1</v>
      </c>
      <c r="M1236" t="s">
        <v>39</v>
      </c>
      <c r="N1236" t="s">
        <v>8245</v>
      </c>
      <c r="O1236" s="1">
        <v>22412</v>
      </c>
      <c r="P1236" t="s">
        <v>4379</v>
      </c>
      <c r="Q1236" t="s">
        <v>4380</v>
      </c>
      <c r="S1236" s="1">
        <v>45020.209027777775</v>
      </c>
      <c r="V1236">
        <v>1961</v>
      </c>
      <c r="W1236">
        <v>180.44</v>
      </c>
      <c r="X1236">
        <v>7.7</v>
      </c>
      <c r="Y1236" s="2">
        <v>2611000000000</v>
      </c>
      <c r="Z1236">
        <v>28.1</v>
      </c>
      <c r="AA1236">
        <v>113</v>
      </c>
      <c r="AB1236">
        <v>11.2</v>
      </c>
      <c r="AC1236">
        <v>49.7</v>
      </c>
      <c r="AD1236">
        <v>1366417754</v>
      </c>
    </row>
    <row r="1237" spans="1:30" hidden="1" x14ac:dyDescent="0.45">
      <c r="A1237">
        <v>1217</v>
      </c>
      <c r="B1237">
        <v>2500</v>
      </c>
      <c r="C1237" t="s">
        <v>347</v>
      </c>
      <c r="D1237" t="s">
        <v>4381</v>
      </c>
      <c r="E1237">
        <v>73</v>
      </c>
      <c r="F1237" t="s">
        <v>558</v>
      </c>
      <c r="G1237" t="s">
        <v>4382</v>
      </c>
      <c r="H1237" t="s">
        <v>1708</v>
      </c>
      <c r="I1237" t="s">
        <v>347</v>
      </c>
      <c r="J1237" t="s">
        <v>558</v>
      </c>
      <c r="L1237" t="b">
        <v>1</v>
      </c>
      <c r="M1237" t="s">
        <v>39</v>
      </c>
      <c r="N1237" t="s">
        <v>8245</v>
      </c>
      <c r="O1237" s="1">
        <v>18080</v>
      </c>
      <c r="P1237" t="s">
        <v>4383</v>
      </c>
      <c r="Q1237" t="s">
        <v>4384</v>
      </c>
      <c r="S1237" s="1">
        <v>45020.209027777775</v>
      </c>
      <c r="V1237">
        <v>1949</v>
      </c>
      <c r="W1237">
        <v>167.4</v>
      </c>
      <c r="X1237">
        <v>3.7</v>
      </c>
      <c r="Y1237" s="2">
        <v>1839758040766</v>
      </c>
      <c r="Z1237">
        <v>51.3</v>
      </c>
      <c r="AA1237">
        <v>115.4</v>
      </c>
      <c r="AB1237">
        <v>14.2</v>
      </c>
      <c r="AC1237">
        <v>65.099999999999994</v>
      </c>
      <c r="AD1237">
        <v>212559417</v>
      </c>
    </row>
    <row r="1238" spans="1:30" hidden="1" x14ac:dyDescent="0.45">
      <c r="A1238">
        <v>1217</v>
      </c>
      <c r="B1238">
        <v>2500</v>
      </c>
      <c r="C1238" t="s">
        <v>45</v>
      </c>
      <c r="D1238" t="s">
        <v>4385</v>
      </c>
      <c r="E1238">
        <v>73</v>
      </c>
      <c r="F1238" t="s">
        <v>164</v>
      </c>
      <c r="G1238" t="s">
        <v>4386</v>
      </c>
      <c r="H1238" t="s">
        <v>4387</v>
      </c>
      <c r="I1238" t="s">
        <v>45</v>
      </c>
      <c r="J1238" t="s">
        <v>164</v>
      </c>
      <c r="K1238" t="s">
        <v>4388</v>
      </c>
      <c r="L1238" t="b">
        <v>1</v>
      </c>
      <c r="M1238" t="s">
        <v>29</v>
      </c>
      <c r="N1238" t="s">
        <v>8245</v>
      </c>
      <c r="O1238" s="1">
        <v>18219</v>
      </c>
      <c r="P1238" t="s">
        <v>4389</v>
      </c>
      <c r="Q1238" t="s">
        <v>4390</v>
      </c>
      <c r="R1238" t="s">
        <v>32</v>
      </c>
      <c r="S1238" s="1">
        <v>45020.209027777775</v>
      </c>
      <c r="V1238">
        <v>1949</v>
      </c>
      <c r="W1238">
        <v>116.76</v>
      </c>
      <c r="X1238">
        <v>1.9</v>
      </c>
      <c r="Y1238" s="2">
        <v>1736425629520</v>
      </c>
      <c r="Z1238">
        <v>68.900000000000006</v>
      </c>
      <c r="AA1238">
        <v>100.9</v>
      </c>
      <c r="AB1238">
        <v>12.8</v>
      </c>
      <c r="AC1238">
        <v>24.5</v>
      </c>
      <c r="AD1238">
        <v>36991981</v>
      </c>
    </row>
    <row r="1239" spans="1:30" hidden="1" x14ac:dyDescent="0.45">
      <c r="A1239">
        <v>1217</v>
      </c>
      <c r="B1239">
        <v>2500</v>
      </c>
      <c r="C1239" t="s">
        <v>61</v>
      </c>
      <c r="D1239" t="s">
        <v>4391</v>
      </c>
      <c r="E1239">
        <v>70</v>
      </c>
      <c r="F1239" t="s">
        <v>35</v>
      </c>
      <c r="G1239" t="s">
        <v>1026</v>
      </c>
      <c r="H1239" t="s">
        <v>930</v>
      </c>
      <c r="I1239" t="s">
        <v>61</v>
      </c>
      <c r="J1239" t="s">
        <v>35</v>
      </c>
      <c r="L1239" t="b">
        <v>1</v>
      </c>
      <c r="M1239" t="s">
        <v>39</v>
      </c>
      <c r="N1239" t="s">
        <v>8245</v>
      </c>
      <c r="O1239" s="1">
        <v>19436</v>
      </c>
      <c r="P1239" t="s">
        <v>1769</v>
      </c>
      <c r="Q1239" t="s">
        <v>4392</v>
      </c>
      <c r="S1239" s="1">
        <v>45020.209027777775</v>
      </c>
      <c r="T1239" t="s">
        <v>115</v>
      </c>
      <c r="U1239" t="s">
        <v>53</v>
      </c>
      <c r="V1239">
        <v>1953</v>
      </c>
      <c r="W1239">
        <v>117.24</v>
      </c>
      <c r="X1239">
        <v>7.5</v>
      </c>
      <c r="Y1239" s="2">
        <v>21427700000000</v>
      </c>
      <c r="Z1239">
        <v>88.2</v>
      </c>
      <c r="AA1239">
        <v>101.8</v>
      </c>
      <c r="AB1239">
        <v>9.6</v>
      </c>
      <c r="AC1239">
        <v>36.6</v>
      </c>
      <c r="AD1239">
        <v>328239523</v>
      </c>
    </row>
    <row r="1240" spans="1:30" hidden="1" x14ac:dyDescent="0.45">
      <c r="A1240">
        <v>1217</v>
      </c>
      <c r="B1240">
        <v>2500</v>
      </c>
      <c r="C1240" t="s">
        <v>23</v>
      </c>
      <c r="D1240" t="s">
        <v>4393</v>
      </c>
      <c r="E1240">
        <v>64</v>
      </c>
      <c r="F1240" t="s">
        <v>35</v>
      </c>
      <c r="G1240" t="s">
        <v>2283</v>
      </c>
      <c r="H1240" t="s">
        <v>822</v>
      </c>
      <c r="I1240" t="s">
        <v>23</v>
      </c>
      <c r="J1240" t="s">
        <v>35</v>
      </c>
      <c r="L1240" t="b">
        <v>0</v>
      </c>
      <c r="M1240" t="s">
        <v>29</v>
      </c>
      <c r="N1240" t="s">
        <v>8245</v>
      </c>
      <c r="O1240" s="1">
        <v>21420</v>
      </c>
      <c r="P1240" t="s">
        <v>2286</v>
      </c>
      <c r="Q1240" t="s">
        <v>74</v>
      </c>
      <c r="S1240" s="1">
        <v>45020.209027777775</v>
      </c>
      <c r="T1240" t="s">
        <v>469</v>
      </c>
      <c r="U1240" t="s">
        <v>44</v>
      </c>
      <c r="V1240">
        <v>1958</v>
      </c>
      <c r="W1240">
        <v>117.24</v>
      </c>
      <c r="X1240">
        <v>7.5</v>
      </c>
      <c r="Y1240" s="2">
        <v>21427700000000</v>
      </c>
      <c r="Z1240">
        <v>88.2</v>
      </c>
      <c r="AA1240">
        <v>101.8</v>
      </c>
      <c r="AB1240">
        <v>9.6</v>
      </c>
      <c r="AC1240">
        <v>36.6</v>
      </c>
      <c r="AD1240">
        <v>328239523</v>
      </c>
    </row>
    <row r="1241" spans="1:30" hidden="1" x14ac:dyDescent="0.45">
      <c r="A1241">
        <v>1217</v>
      </c>
      <c r="B1241">
        <v>2500</v>
      </c>
      <c r="C1241" t="s">
        <v>61</v>
      </c>
      <c r="D1241" t="s">
        <v>4394</v>
      </c>
      <c r="E1241">
        <v>74</v>
      </c>
      <c r="F1241" t="s">
        <v>35</v>
      </c>
      <c r="G1241" t="s">
        <v>78</v>
      </c>
      <c r="H1241" t="s">
        <v>317</v>
      </c>
      <c r="I1241" t="s">
        <v>61</v>
      </c>
      <c r="J1241" t="s">
        <v>35</v>
      </c>
      <c r="L1241" t="b">
        <v>1</v>
      </c>
      <c r="M1241" t="s">
        <v>39</v>
      </c>
      <c r="N1241" t="s">
        <v>8245</v>
      </c>
      <c r="O1241" s="1">
        <v>17677</v>
      </c>
      <c r="P1241" t="s">
        <v>4395</v>
      </c>
      <c r="Q1241" t="s">
        <v>4396</v>
      </c>
      <c r="S1241" s="1">
        <v>45020.209027777775</v>
      </c>
      <c r="T1241" t="s">
        <v>78</v>
      </c>
      <c r="U1241" t="s">
        <v>82</v>
      </c>
      <c r="V1241">
        <v>1948</v>
      </c>
      <c r="W1241">
        <v>117.24</v>
      </c>
      <c r="X1241">
        <v>7.5</v>
      </c>
      <c r="Y1241" s="2">
        <v>21427700000000</v>
      </c>
      <c r="Z1241">
        <v>88.2</v>
      </c>
      <c r="AA1241">
        <v>101.8</v>
      </c>
      <c r="AB1241">
        <v>9.6</v>
      </c>
      <c r="AC1241">
        <v>36.6</v>
      </c>
      <c r="AD1241">
        <v>328239523</v>
      </c>
    </row>
    <row r="1242" spans="1:30" hidden="1" x14ac:dyDescent="0.45">
      <c r="A1242">
        <v>1217</v>
      </c>
      <c r="B1242">
        <v>2500</v>
      </c>
      <c r="C1242" t="s">
        <v>76</v>
      </c>
      <c r="D1242" t="s">
        <v>4397</v>
      </c>
      <c r="E1242">
        <v>53</v>
      </c>
      <c r="F1242" t="s">
        <v>35</v>
      </c>
      <c r="G1242" t="s">
        <v>78</v>
      </c>
      <c r="H1242" t="s">
        <v>4398</v>
      </c>
      <c r="I1242" t="s">
        <v>76</v>
      </c>
      <c r="J1242" t="s">
        <v>35</v>
      </c>
      <c r="L1242" t="b">
        <v>1</v>
      </c>
      <c r="M1242" t="s">
        <v>29</v>
      </c>
      <c r="N1242" t="s">
        <v>8245</v>
      </c>
      <c r="O1242" s="1">
        <v>25541</v>
      </c>
      <c r="P1242" t="s">
        <v>4397</v>
      </c>
      <c r="S1242" s="1">
        <v>45020.209027777775</v>
      </c>
      <c r="T1242" t="s">
        <v>78</v>
      </c>
      <c r="U1242" t="s">
        <v>82</v>
      </c>
      <c r="V1242">
        <v>1969</v>
      </c>
      <c r="W1242">
        <v>117.24</v>
      </c>
      <c r="X1242">
        <v>7.5</v>
      </c>
      <c r="Y1242" s="2">
        <v>21427700000000</v>
      </c>
      <c r="Z1242">
        <v>88.2</v>
      </c>
      <c r="AA1242">
        <v>101.8</v>
      </c>
      <c r="AB1242">
        <v>9.6</v>
      </c>
      <c r="AC1242">
        <v>36.6</v>
      </c>
      <c r="AD1242">
        <v>328239523</v>
      </c>
    </row>
    <row r="1243" spans="1:30" hidden="1" x14ac:dyDescent="0.45">
      <c r="A1243">
        <v>1217</v>
      </c>
      <c r="B1243">
        <v>2500</v>
      </c>
      <c r="C1243" t="s">
        <v>33</v>
      </c>
      <c r="D1243" t="s">
        <v>4399</v>
      </c>
      <c r="E1243">
        <v>74</v>
      </c>
      <c r="F1243" t="s">
        <v>93</v>
      </c>
      <c r="G1243" t="s">
        <v>404</v>
      </c>
      <c r="H1243" t="s">
        <v>3805</v>
      </c>
      <c r="I1243" t="s">
        <v>33</v>
      </c>
      <c r="J1243" t="s">
        <v>93</v>
      </c>
      <c r="L1243" t="b">
        <v>0</v>
      </c>
      <c r="M1243" t="s">
        <v>611</v>
      </c>
      <c r="N1243" t="s">
        <v>8245</v>
      </c>
      <c r="O1243" s="1">
        <v>17905</v>
      </c>
      <c r="P1243" t="s">
        <v>4400</v>
      </c>
      <c r="Q1243" t="s">
        <v>4401</v>
      </c>
      <c r="S1243" s="1">
        <v>45020.209027777775</v>
      </c>
      <c r="V1243">
        <v>1949</v>
      </c>
      <c r="W1243">
        <v>180.44</v>
      </c>
      <c r="X1243">
        <v>7.7</v>
      </c>
      <c r="Y1243" s="2">
        <v>2611000000000</v>
      </c>
      <c r="Z1243">
        <v>28.1</v>
      </c>
      <c r="AA1243">
        <v>113</v>
      </c>
      <c r="AB1243">
        <v>11.2</v>
      </c>
      <c r="AC1243">
        <v>49.7</v>
      </c>
      <c r="AD1243">
        <v>1366417754</v>
      </c>
    </row>
    <row r="1244" spans="1:30" hidden="1" x14ac:dyDescent="0.45">
      <c r="A1244">
        <v>1217</v>
      </c>
      <c r="B1244">
        <v>2500</v>
      </c>
      <c r="C1244" t="s">
        <v>347</v>
      </c>
      <c r="D1244" t="s">
        <v>4402</v>
      </c>
      <c r="E1244">
        <v>62</v>
      </c>
      <c r="F1244" t="s">
        <v>2037</v>
      </c>
      <c r="G1244" t="s">
        <v>2038</v>
      </c>
      <c r="H1244" t="s">
        <v>347</v>
      </c>
      <c r="I1244" t="s">
        <v>347</v>
      </c>
      <c r="J1244" t="s">
        <v>2037</v>
      </c>
      <c r="L1244" t="b">
        <v>0</v>
      </c>
      <c r="M1244" t="s">
        <v>1332</v>
      </c>
      <c r="N1244" t="s">
        <v>8245</v>
      </c>
      <c r="O1244" s="1">
        <v>22325</v>
      </c>
      <c r="P1244" t="s">
        <v>4403</v>
      </c>
      <c r="Q1244" t="s">
        <v>4404</v>
      </c>
      <c r="S1244" s="1">
        <v>45020.209027777775</v>
      </c>
      <c r="V1244">
        <v>1961</v>
      </c>
      <c r="W1244">
        <v>234.44</v>
      </c>
      <c r="X1244">
        <v>15.2</v>
      </c>
      <c r="Y1244" s="2">
        <v>754411708203</v>
      </c>
      <c r="Z1244">
        <v>23.9</v>
      </c>
      <c r="AA1244">
        <v>93.2</v>
      </c>
      <c r="AB1244">
        <v>17.899999999999999</v>
      </c>
      <c r="AC1244">
        <v>42.3</v>
      </c>
      <c r="AD1244">
        <v>83429615</v>
      </c>
    </row>
    <row r="1245" spans="1:30" hidden="1" x14ac:dyDescent="0.45">
      <c r="A1245">
        <v>1217</v>
      </c>
      <c r="B1245">
        <v>2500</v>
      </c>
      <c r="C1245" t="s">
        <v>302</v>
      </c>
      <c r="D1245" t="s">
        <v>4405</v>
      </c>
      <c r="E1245">
        <v>66</v>
      </c>
      <c r="F1245" t="s">
        <v>35</v>
      </c>
      <c r="G1245" t="s">
        <v>517</v>
      </c>
      <c r="H1245" t="s">
        <v>3245</v>
      </c>
      <c r="I1245" t="s">
        <v>302</v>
      </c>
      <c r="J1245" t="s">
        <v>35</v>
      </c>
      <c r="L1245" t="b">
        <v>1</v>
      </c>
      <c r="M1245" t="s">
        <v>39</v>
      </c>
      <c r="N1245" t="s">
        <v>8245</v>
      </c>
      <c r="O1245" s="1">
        <v>20812</v>
      </c>
      <c r="P1245" t="s">
        <v>4406</v>
      </c>
      <c r="Q1245" t="s">
        <v>2951</v>
      </c>
      <c r="S1245" s="1">
        <v>45020.209027777775</v>
      </c>
      <c r="T1245" t="s">
        <v>469</v>
      </c>
      <c r="U1245" t="s">
        <v>44</v>
      </c>
      <c r="V1245">
        <v>1956</v>
      </c>
      <c r="W1245">
        <v>117.24</v>
      </c>
      <c r="X1245">
        <v>7.5</v>
      </c>
      <c r="Y1245" s="2">
        <v>21427700000000</v>
      </c>
      <c r="Z1245">
        <v>88.2</v>
      </c>
      <c r="AA1245">
        <v>101.8</v>
      </c>
      <c r="AB1245">
        <v>9.6</v>
      </c>
      <c r="AC1245">
        <v>36.6</v>
      </c>
      <c r="AD1245">
        <v>328239523</v>
      </c>
    </row>
    <row r="1246" spans="1:30" hidden="1" x14ac:dyDescent="0.45">
      <c r="A1246">
        <v>1217</v>
      </c>
      <c r="B1246">
        <v>2500</v>
      </c>
      <c r="C1246" t="s">
        <v>689</v>
      </c>
      <c r="D1246" t="s">
        <v>4407</v>
      </c>
      <c r="E1246">
        <v>70</v>
      </c>
      <c r="F1246" t="s">
        <v>255</v>
      </c>
      <c r="G1246" t="s">
        <v>4408</v>
      </c>
      <c r="H1246" t="s">
        <v>3805</v>
      </c>
      <c r="I1246" t="s">
        <v>689</v>
      </c>
      <c r="J1246" t="s">
        <v>255</v>
      </c>
      <c r="L1246" t="b">
        <v>1</v>
      </c>
      <c r="M1246" t="s">
        <v>29</v>
      </c>
      <c r="N1246" t="s">
        <v>8245</v>
      </c>
      <c r="O1246" s="1">
        <v>19445</v>
      </c>
      <c r="P1246" t="s">
        <v>4409</v>
      </c>
      <c r="Q1246" t="s">
        <v>1775</v>
      </c>
      <c r="S1246" s="1">
        <v>45020.209027777775</v>
      </c>
      <c r="V1246">
        <v>1953</v>
      </c>
      <c r="W1246">
        <v>118.06</v>
      </c>
      <c r="X1246">
        <v>1.5</v>
      </c>
      <c r="Y1246" s="2">
        <v>446314739528</v>
      </c>
      <c r="Z1246">
        <v>85.1</v>
      </c>
      <c r="AA1246">
        <v>103.1</v>
      </c>
      <c r="AB1246">
        <v>25.4</v>
      </c>
      <c r="AC1246">
        <v>51.4</v>
      </c>
      <c r="AD1246">
        <v>8877067</v>
      </c>
    </row>
    <row r="1247" spans="1:30" hidden="1" x14ac:dyDescent="0.45">
      <c r="A1247">
        <v>1217</v>
      </c>
      <c r="B1247">
        <v>2500</v>
      </c>
      <c r="C1247" t="s">
        <v>296</v>
      </c>
      <c r="D1247" t="s">
        <v>4410</v>
      </c>
      <c r="E1247">
        <v>70</v>
      </c>
      <c r="F1247" t="s">
        <v>128</v>
      </c>
      <c r="G1247" t="s">
        <v>4411</v>
      </c>
      <c r="H1247" t="s">
        <v>4412</v>
      </c>
      <c r="I1247" t="s">
        <v>296</v>
      </c>
      <c r="J1247" t="s">
        <v>128</v>
      </c>
      <c r="L1247" t="b">
        <v>1</v>
      </c>
      <c r="M1247" t="s">
        <v>39</v>
      </c>
      <c r="N1247" t="s">
        <v>8245</v>
      </c>
      <c r="O1247" s="1">
        <v>19425</v>
      </c>
      <c r="P1247" t="s">
        <v>230</v>
      </c>
      <c r="Q1247" t="s">
        <v>4413</v>
      </c>
      <c r="S1247" s="1">
        <v>45020.209027777775</v>
      </c>
      <c r="V1247">
        <v>1953</v>
      </c>
      <c r="W1247">
        <v>125.08</v>
      </c>
      <c r="X1247">
        <v>2.9</v>
      </c>
      <c r="Y1247" s="2">
        <v>19910000000000</v>
      </c>
      <c r="Z1247">
        <v>50.6</v>
      </c>
      <c r="AA1247">
        <v>100.2</v>
      </c>
      <c r="AB1247">
        <v>9.4</v>
      </c>
      <c r="AC1247">
        <v>59.2</v>
      </c>
      <c r="AD1247">
        <v>1397715000</v>
      </c>
    </row>
    <row r="1248" spans="1:30" hidden="1" x14ac:dyDescent="0.45">
      <c r="A1248">
        <v>1217</v>
      </c>
      <c r="B1248">
        <v>2500</v>
      </c>
      <c r="C1248" t="s">
        <v>302</v>
      </c>
      <c r="D1248" t="s">
        <v>4414</v>
      </c>
      <c r="E1248">
        <v>76</v>
      </c>
      <c r="F1248" t="s">
        <v>1259</v>
      </c>
      <c r="G1248" t="s">
        <v>1260</v>
      </c>
      <c r="H1248" t="s">
        <v>304</v>
      </c>
      <c r="I1248" t="s">
        <v>302</v>
      </c>
      <c r="J1248" t="s">
        <v>1259</v>
      </c>
      <c r="L1248" t="b">
        <v>1</v>
      </c>
      <c r="M1248" t="s">
        <v>39</v>
      </c>
      <c r="N1248" t="s">
        <v>8245</v>
      </c>
      <c r="O1248" s="1">
        <v>17227</v>
      </c>
      <c r="P1248" t="s">
        <v>1261</v>
      </c>
      <c r="Q1248" t="s">
        <v>4415</v>
      </c>
      <c r="S1248" s="1">
        <v>45020.209027777775</v>
      </c>
      <c r="V1248">
        <v>1947</v>
      </c>
      <c r="W1248"/>
      <c r="Y1248"/>
    </row>
    <row r="1249" spans="1:30" hidden="1" x14ac:dyDescent="0.45">
      <c r="A1249">
        <v>1217</v>
      </c>
      <c r="B1249">
        <v>2500</v>
      </c>
      <c r="C1249" t="s">
        <v>23</v>
      </c>
      <c r="D1249" t="s">
        <v>4416</v>
      </c>
      <c r="E1249">
        <v>36</v>
      </c>
      <c r="F1249" t="s">
        <v>128</v>
      </c>
      <c r="G1249" t="s">
        <v>234</v>
      </c>
      <c r="H1249" t="s">
        <v>3885</v>
      </c>
      <c r="I1249" t="s">
        <v>23</v>
      </c>
      <c r="J1249" t="s">
        <v>128</v>
      </c>
      <c r="L1249" t="b">
        <v>1</v>
      </c>
      <c r="M1249" t="s">
        <v>39</v>
      </c>
      <c r="N1249" t="s">
        <v>8246</v>
      </c>
      <c r="O1249" s="1">
        <v>31778</v>
      </c>
      <c r="P1249" t="s">
        <v>721</v>
      </c>
      <c r="Q1249" t="s">
        <v>4417</v>
      </c>
      <c r="S1249" s="1">
        <v>45020.209027777775</v>
      </c>
      <c r="V1249">
        <v>1987</v>
      </c>
      <c r="W1249">
        <v>125.08</v>
      </c>
      <c r="X1249">
        <v>2.9</v>
      </c>
      <c r="Y1249" s="2">
        <v>19910000000000</v>
      </c>
      <c r="Z1249">
        <v>50.6</v>
      </c>
      <c r="AA1249">
        <v>100.2</v>
      </c>
      <c r="AB1249">
        <v>9.4</v>
      </c>
      <c r="AC1249">
        <v>59.2</v>
      </c>
      <c r="AD1249">
        <v>1397715000</v>
      </c>
    </row>
    <row r="1250" spans="1:30" hidden="1" x14ac:dyDescent="0.45">
      <c r="A1250">
        <v>1217</v>
      </c>
      <c r="B1250">
        <v>2500</v>
      </c>
      <c r="C1250" t="s">
        <v>126</v>
      </c>
      <c r="D1250" t="s">
        <v>4418</v>
      </c>
      <c r="E1250">
        <v>77</v>
      </c>
      <c r="F1250" t="s">
        <v>628</v>
      </c>
      <c r="G1250" t="s">
        <v>629</v>
      </c>
      <c r="H1250" t="s">
        <v>4419</v>
      </c>
      <c r="I1250" t="s">
        <v>126</v>
      </c>
      <c r="J1250" t="s">
        <v>628</v>
      </c>
      <c r="L1250" t="b">
        <v>0</v>
      </c>
      <c r="M1250" t="s">
        <v>29</v>
      </c>
      <c r="N1250" t="s">
        <v>8245</v>
      </c>
      <c r="O1250" s="1">
        <v>16803</v>
      </c>
      <c r="P1250" t="s">
        <v>4420</v>
      </c>
      <c r="Q1250" t="s">
        <v>4421</v>
      </c>
      <c r="S1250" s="1">
        <v>45020.209027777775</v>
      </c>
      <c r="V1250">
        <v>1946</v>
      </c>
      <c r="W1250">
        <v>113.27</v>
      </c>
      <c r="X1250">
        <v>0.7</v>
      </c>
      <c r="Y1250" s="2">
        <v>543649976166</v>
      </c>
      <c r="Z1250">
        <v>49.3</v>
      </c>
      <c r="AA1250">
        <v>99.8</v>
      </c>
      <c r="AB1250">
        <v>14.9</v>
      </c>
      <c r="AC1250">
        <v>29.5</v>
      </c>
      <c r="AD1250">
        <v>69625582</v>
      </c>
    </row>
    <row r="1251" spans="1:30" hidden="1" x14ac:dyDescent="0.45">
      <c r="A1251">
        <v>1217</v>
      </c>
      <c r="B1251">
        <v>2500</v>
      </c>
      <c r="C1251" t="s">
        <v>402</v>
      </c>
      <c r="D1251" t="s">
        <v>4422</v>
      </c>
      <c r="E1251">
        <v>76</v>
      </c>
      <c r="F1251" t="s">
        <v>205</v>
      </c>
      <c r="G1251" t="s">
        <v>4423</v>
      </c>
      <c r="H1251" t="s">
        <v>645</v>
      </c>
      <c r="I1251" t="s">
        <v>402</v>
      </c>
      <c r="J1251" t="s">
        <v>205</v>
      </c>
      <c r="L1251" t="b">
        <v>1</v>
      </c>
      <c r="M1251" t="s">
        <v>611</v>
      </c>
      <c r="N1251" t="s">
        <v>8245</v>
      </c>
      <c r="O1251" s="1">
        <v>17168</v>
      </c>
      <c r="P1251" t="s">
        <v>2188</v>
      </c>
      <c r="Q1251" t="s">
        <v>4424</v>
      </c>
      <c r="S1251" s="1">
        <v>45020.209027777775</v>
      </c>
      <c r="V1251">
        <v>1947</v>
      </c>
      <c r="W1251">
        <v>99.55</v>
      </c>
      <c r="X1251">
        <v>0.4</v>
      </c>
      <c r="Y1251" s="2">
        <v>703082435360</v>
      </c>
      <c r="Z1251">
        <v>59.6</v>
      </c>
      <c r="AA1251">
        <v>105.2</v>
      </c>
      <c r="AB1251">
        <v>10.1</v>
      </c>
      <c r="AC1251">
        <v>28.8</v>
      </c>
      <c r="AD1251">
        <v>8574832</v>
      </c>
    </row>
    <row r="1252" spans="1:30" hidden="1" x14ac:dyDescent="0.45">
      <c r="A1252">
        <v>1217</v>
      </c>
      <c r="B1252">
        <v>2500</v>
      </c>
      <c r="C1252" t="s">
        <v>33</v>
      </c>
      <c r="D1252" t="s">
        <v>4425</v>
      </c>
      <c r="E1252">
        <v>92</v>
      </c>
      <c r="F1252" t="s">
        <v>93</v>
      </c>
      <c r="G1252" t="s">
        <v>343</v>
      </c>
      <c r="H1252" t="s">
        <v>4426</v>
      </c>
      <c r="I1252" t="s">
        <v>33</v>
      </c>
      <c r="J1252" t="s">
        <v>93</v>
      </c>
      <c r="L1252" t="b">
        <v>0</v>
      </c>
      <c r="M1252" t="s">
        <v>611</v>
      </c>
      <c r="N1252" t="s">
        <v>8245</v>
      </c>
      <c r="O1252" s="1">
        <v>11267</v>
      </c>
      <c r="P1252" t="s">
        <v>525</v>
      </c>
      <c r="Q1252" t="s">
        <v>4427</v>
      </c>
      <c r="S1252" s="1">
        <v>45020.209027777775</v>
      </c>
      <c r="V1252">
        <v>1930</v>
      </c>
      <c r="W1252">
        <v>180.44</v>
      </c>
      <c r="X1252">
        <v>7.7</v>
      </c>
      <c r="Y1252" s="2">
        <v>2611000000000</v>
      </c>
      <c r="Z1252">
        <v>28.1</v>
      </c>
      <c r="AA1252">
        <v>113</v>
      </c>
      <c r="AB1252">
        <v>11.2</v>
      </c>
      <c r="AC1252">
        <v>49.7</v>
      </c>
      <c r="AD1252">
        <v>1366417754</v>
      </c>
    </row>
    <row r="1253" spans="1:30" x14ac:dyDescent="0.45">
      <c r="A1253">
        <v>1217</v>
      </c>
      <c r="B1253" s="6">
        <v>2500</v>
      </c>
      <c r="C1253" t="s">
        <v>45</v>
      </c>
      <c r="D1253" t="s">
        <v>4428</v>
      </c>
      <c r="E1253">
        <v>34</v>
      </c>
      <c r="F1253" t="s">
        <v>35</v>
      </c>
      <c r="G1253" t="s">
        <v>1979</v>
      </c>
      <c r="H1253" t="s">
        <v>4150</v>
      </c>
      <c r="I1253" t="s">
        <v>45</v>
      </c>
      <c r="J1253" t="s">
        <v>35</v>
      </c>
      <c r="K1253" t="s">
        <v>4151</v>
      </c>
      <c r="L1253" t="b">
        <v>1</v>
      </c>
      <c r="M1253" t="s">
        <v>39</v>
      </c>
      <c r="N1253" t="s">
        <v>8245</v>
      </c>
      <c r="O1253" s="10">
        <v>32343</v>
      </c>
      <c r="P1253" t="s">
        <v>4429</v>
      </c>
      <c r="Q1253" t="s">
        <v>4430</v>
      </c>
      <c r="R1253" t="s">
        <v>138</v>
      </c>
      <c r="S1253" s="8">
        <v>45020.209027777775</v>
      </c>
      <c r="T1253" t="s">
        <v>115</v>
      </c>
      <c r="U1253" t="s">
        <v>53</v>
      </c>
      <c r="V1253">
        <v>1988</v>
      </c>
      <c r="W1253" s="12">
        <v>117.24</v>
      </c>
      <c r="X1253">
        <v>7.5</v>
      </c>
      <c r="Y1253" s="14">
        <v>21427700000000</v>
      </c>
      <c r="Z1253">
        <v>88.2</v>
      </c>
      <c r="AA1253">
        <v>101.8</v>
      </c>
      <c r="AB1253">
        <v>9.6</v>
      </c>
      <c r="AC1253">
        <v>36.6</v>
      </c>
      <c r="AD1253">
        <v>328239523</v>
      </c>
    </row>
    <row r="1254" spans="1:30" hidden="1" x14ac:dyDescent="0.45">
      <c r="A1254">
        <v>1217</v>
      </c>
      <c r="B1254">
        <v>2500</v>
      </c>
      <c r="C1254" t="s">
        <v>302</v>
      </c>
      <c r="D1254" t="s">
        <v>4431</v>
      </c>
      <c r="E1254">
        <v>49</v>
      </c>
      <c r="F1254" t="s">
        <v>117</v>
      </c>
      <c r="G1254" t="s">
        <v>4432</v>
      </c>
      <c r="H1254" t="s">
        <v>3669</v>
      </c>
      <c r="I1254" t="s">
        <v>302</v>
      </c>
      <c r="J1254" t="s">
        <v>117</v>
      </c>
      <c r="L1254" t="b">
        <v>1</v>
      </c>
      <c r="M1254" t="s">
        <v>29</v>
      </c>
      <c r="N1254" t="s">
        <v>8245</v>
      </c>
      <c r="O1254" s="1">
        <v>27030</v>
      </c>
      <c r="P1254" t="s">
        <v>4433</v>
      </c>
      <c r="Q1254" t="s">
        <v>4434</v>
      </c>
      <c r="S1254" s="1">
        <v>45020.209027777775</v>
      </c>
      <c r="V1254">
        <v>1974</v>
      </c>
      <c r="W1254">
        <v>110.96</v>
      </c>
      <c r="X1254">
        <v>0.7</v>
      </c>
      <c r="Y1254" s="2">
        <v>1394116310769</v>
      </c>
      <c r="Z1254">
        <v>88.9</v>
      </c>
      <c r="AA1254">
        <v>102.7</v>
      </c>
      <c r="AB1254">
        <v>14.2</v>
      </c>
      <c r="AC1254">
        <v>47</v>
      </c>
      <c r="AD1254">
        <v>47076781</v>
      </c>
    </row>
    <row r="1255" spans="1:30" hidden="1" x14ac:dyDescent="0.45">
      <c r="A1255">
        <v>1217</v>
      </c>
      <c r="B1255">
        <v>2500</v>
      </c>
      <c r="C1255" t="s">
        <v>296</v>
      </c>
      <c r="D1255" t="s">
        <v>4435</v>
      </c>
      <c r="E1255">
        <v>64</v>
      </c>
      <c r="F1255" t="s">
        <v>35</v>
      </c>
      <c r="G1255" t="s">
        <v>1802</v>
      </c>
      <c r="H1255" t="s">
        <v>4436</v>
      </c>
      <c r="I1255" t="s">
        <v>296</v>
      </c>
      <c r="J1255" t="s">
        <v>35</v>
      </c>
      <c r="L1255" t="b">
        <v>1</v>
      </c>
      <c r="M1255" t="s">
        <v>39</v>
      </c>
      <c r="N1255" t="s">
        <v>8246</v>
      </c>
      <c r="O1255" s="1">
        <v>21431</v>
      </c>
      <c r="P1255" t="s">
        <v>4437</v>
      </c>
      <c r="Q1255" t="s">
        <v>4438</v>
      </c>
      <c r="S1255" s="1">
        <v>45020.209027777775</v>
      </c>
      <c r="T1255" t="s">
        <v>245</v>
      </c>
      <c r="U1255" t="s">
        <v>53</v>
      </c>
      <c r="V1255">
        <v>1958</v>
      </c>
      <c r="W1255">
        <v>117.24</v>
      </c>
      <c r="X1255">
        <v>7.5</v>
      </c>
      <c r="Y1255" s="2">
        <v>21427700000000</v>
      </c>
      <c r="Z1255">
        <v>88.2</v>
      </c>
      <c r="AA1255">
        <v>101.8</v>
      </c>
      <c r="AB1255">
        <v>9.6</v>
      </c>
      <c r="AC1255">
        <v>36.6</v>
      </c>
      <c r="AD1255">
        <v>328239523</v>
      </c>
    </row>
    <row r="1256" spans="1:30" hidden="1" x14ac:dyDescent="0.45">
      <c r="A1256">
        <v>1217</v>
      </c>
      <c r="B1256">
        <v>2500</v>
      </c>
      <c r="C1256" t="s">
        <v>61</v>
      </c>
      <c r="D1256" t="s">
        <v>4439</v>
      </c>
      <c r="E1256">
        <v>69</v>
      </c>
      <c r="F1256" t="s">
        <v>35</v>
      </c>
      <c r="G1256" t="s">
        <v>991</v>
      </c>
      <c r="H1256" t="s">
        <v>1909</v>
      </c>
      <c r="I1256" t="s">
        <v>61</v>
      </c>
      <c r="J1256" t="s">
        <v>35</v>
      </c>
      <c r="L1256" t="b">
        <v>0</v>
      </c>
      <c r="M1256" t="s">
        <v>39</v>
      </c>
      <c r="N1256" t="s">
        <v>8245</v>
      </c>
      <c r="O1256" s="1">
        <v>19581</v>
      </c>
      <c r="P1256" t="s">
        <v>1910</v>
      </c>
      <c r="Q1256" t="s">
        <v>225</v>
      </c>
      <c r="S1256" s="1">
        <v>45020.209027777775</v>
      </c>
      <c r="T1256" t="s">
        <v>115</v>
      </c>
      <c r="U1256" t="s">
        <v>53</v>
      </c>
      <c r="V1256">
        <v>1953</v>
      </c>
      <c r="W1256">
        <v>117.24</v>
      </c>
      <c r="X1256">
        <v>7.5</v>
      </c>
      <c r="Y1256" s="2">
        <v>21427700000000</v>
      </c>
      <c r="Z1256">
        <v>88.2</v>
      </c>
      <c r="AA1256">
        <v>101.8</v>
      </c>
      <c r="AB1256">
        <v>9.6</v>
      </c>
      <c r="AC1256">
        <v>36.6</v>
      </c>
      <c r="AD1256">
        <v>328239523</v>
      </c>
    </row>
    <row r="1257" spans="1:30" hidden="1" x14ac:dyDescent="0.45">
      <c r="A1257">
        <v>1217</v>
      </c>
      <c r="B1257">
        <v>2500</v>
      </c>
      <c r="C1257" t="s">
        <v>45</v>
      </c>
      <c r="D1257" t="s">
        <v>4440</v>
      </c>
      <c r="E1257">
        <v>77</v>
      </c>
      <c r="F1257" t="s">
        <v>128</v>
      </c>
      <c r="G1257" t="s">
        <v>4441</v>
      </c>
      <c r="H1257" t="s">
        <v>442</v>
      </c>
      <c r="I1257" t="s">
        <v>45</v>
      </c>
      <c r="J1257" t="s">
        <v>128</v>
      </c>
      <c r="L1257" t="b">
        <v>1</v>
      </c>
      <c r="M1257" t="s">
        <v>611</v>
      </c>
      <c r="N1257" t="s">
        <v>8246</v>
      </c>
      <c r="O1257" s="1">
        <v>16697</v>
      </c>
      <c r="P1257" t="s">
        <v>3727</v>
      </c>
      <c r="Q1257" t="s">
        <v>4442</v>
      </c>
      <c r="S1257" s="1">
        <v>45020.209027777775</v>
      </c>
      <c r="V1257">
        <v>1945</v>
      </c>
      <c r="W1257">
        <v>125.08</v>
      </c>
      <c r="X1257">
        <v>2.9</v>
      </c>
      <c r="Y1257" s="2">
        <v>19910000000000</v>
      </c>
      <c r="Z1257">
        <v>50.6</v>
      </c>
      <c r="AA1257">
        <v>100.2</v>
      </c>
      <c r="AB1257">
        <v>9.4</v>
      </c>
      <c r="AC1257">
        <v>59.2</v>
      </c>
      <c r="AD1257">
        <v>1397715000</v>
      </c>
    </row>
    <row r="1258" spans="1:30" hidden="1" x14ac:dyDescent="0.45">
      <c r="A1258">
        <v>1217</v>
      </c>
      <c r="B1258">
        <v>2500</v>
      </c>
      <c r="C1258" t="s">
        <v>91</v>
      </c>
      <c r="D1258" t="s">
        <v>4443</v>
      </c>
      <c r="E1258">
        <v>59</v>
      </c>
      <c r="F1258" t="s">
        <v>2037</v>
      </c>
      <c r="G1258" t="s">
        <v>2038</v>
      </c>
      <c r="H1258" t="s">
        <v>91</v>
      </c>
      <c r="I1258" t="s">
        <v>91</v>
      </c>
      <c r="J1258" t="s">
        <v>2037</v>
      </c>
      <c r="L1258" t="b">
        <v>0</v>
      </c>
      <c r="M1258" t="s">
        <v>29</v>
      </c>
      <c r="N1258" t="s">
        <v>8245</v>
      </c>
      <c r="O1258" s="1">
        <v>23454</v>
      </c>
      <c r="P1258" t="s">
        <v>4444</v>
      </c>
      <c r="Q1258" t="s">
        <v>4445</v>
      </c>
      <c r="S1258" s="1">
        <v>45020.209027777775</v>
      </c>
      <c r="V1258">
        <v>1964</v>
      </c>
      <c r="W1258">
        <v>234.44</v>
      </c>
      <c r="X1258">
        <v>15.2</v>
      </c>
      <c r="Y1258" s="2">
        <v>754411708203</v>
      </c>
      <c r="Z1258">
        <v>23.9</v>
      </c>
      <c r="AA1258">
        <v>93.2</v>
      </c>
      <c r="AB1258">
        <v>17.899999999999999</v>
      </c>
      <c r="AC1258">
        <v>42.3</v>
      </c>
      <c r="AD1258">
        <v>83429615</v>
      </c>
    </row>
    <row r="1259" spans="1:30" hidden="1" x14ac:dyDescent="0.45">
      <c r="A1259">
        <v>1217</v>
      </c>
      <c r="B1259">
        <v>2500</v>
      </c>
      <c r="C1259" t="s">
        <v>326</v>
      </c>
      <c r="D1259" t="s">
        <v>4446</v>
      </c>
      <c r="E1259">
        <v>77</v>
      </c>
      <c r="F1259" t="s">
        <v>128</v>
      </c>
      <c r="G1259" t="s">
        <v>4447</v>
      </c>
      <c r="H1259" t="s">
        <v>4448</v>
      </c>
      <c r="I1259" t="s">
        <v>326</v>
      </c>
      <c r="J1259" t="s">
        <v>128</v>
      </c>
      <c r="L1259" t="b">
        <v>1</v>
      </c>
      <c r="M1259" t="s">
        <v>29</v>
      </c>
      <c r="N1259" t="s">
        <v>8245</v>
      </c>
      <c r="O1259" s="1">
        <v>16846</v>
      </c>
      <c r="P1259" t="s">
        <v>3350</v>
      </c>
      <c r="Q1259" t="s">
        <v>4449</v>
      </c>
      <c r="S1259" s="1">
        <v>45020.209027777775</v>
      </c>
      <c r="V1259">
        <v>1946</v>
      </c>
      <c r="W1259">
        <v>125.08</v>
      </c>
      <c r="X1259">
        <v>2.9</v>
      </c>
      <c r="Y1259" s="2">
        <v>19910000000000</v>
      </c>
      <c r="Z1259">
        <v>50.6</v>
      </c>
      <c r="AA1259">
        <v>100.2</v>
      </c>
      <c r="AB1259">
        <v>9.4</v>
      </c>
      <c r="AC1259">
        <v>59.2</v>
      </c>
      <c r="AD1259">
        <v>1397715000</v>
      </c>
    </row>
    <row r="1260" spans="1:30" hidden="1" x14ac:dyDescent="0.45">
      <c r="A1260">
        <v>1217</v>
      </c>
      <c r="B1260">
        <v>2500</v>
      </c>
      <c r="C1260" t="s">
        <v>91</v>
      </c>
      <c r="D1260" t="s">
        <v>4450</v>
      </c>
      <c r="E1260">
        <v>60</v>
      </c>
      <c r="F1260" t="s">
        <v>128</v>
      </c>
      <c r="G1260" t="s">
        <v>292</v>
      </c>
      <c r="H1260" t="s">
        <v>4451</v>
      </c>
      <c r="I1260" t="s">
        <v>91</v>
      </c>
      <c r="J1260" t="s">
        <v>128</v>
      </c>
      <c r="L1260" t="b">
        <v>1</v>
      </c>
      <c r="M1260" t="s">
        <v>39</v>
      </c>
      <c r="N1260" t="s">
        <v>8245</v>
      </c>
      <c r="O1260" s="1">
        <v>22890</v>
      </c>
      <c r="P1260" t="s">
        <v>1266</v>
      </c>
      <c r="Q1260" t="s">
        <v>4452</v>
      </c>
      <c r="S1260" s="1">
        <v>45020.209027777775</v>
      </c>
      <c r="V1260">
        <v>1962</v>
      </c>
      <c r="W1260">
        <v>125.08</v>
      </c>
      <c r="X1260">
        <v>2.9</v>
      </c>
      <c r="Y1260" s="2">
        <v>19910000000000</v>
      </c>
      <c r="Z1260">
        <v>50.6</v>
      </c>
      <c r="AA1260">
        <v>100.2</v>
      </c>
      <c r="AB1260">
        <v>9.4</v>
      </c>
      <c r="AC1260">
        <v>59.2</v>
      </c>
      <c r="AD1260">
        <v>1397715000</v>
      </c>
    </row>
    <row r="1261" spans="1:30" hidden="1" x14ac:dyDescent="0.45">
      <c r="A1261">
        <v>1217</v>
      </c>
      <c r="B1261">
        <v>2500</v>
      </c>
      <c r="C1261" t="s">
        <v>302</v>
      </c>
      <c r="D1261" t="s">
        <v>4453</v>
      </c>
      <c r="E1261">
        <v>63</v>
      </c>
      <c r="F1261" t="s">
        <v>35</v>
      </c>
      <c r="G1261" t="s">
        <v>78</v>
      </c>
      <c r="H1261" t="s">
        <v>304</v>
      </c>
      <c r="I1261" t="s">
        <v>302</v>
      </c>
      <c r="J1261" t="s">
        <v>35</v>
      </c>
      <c r="L1261" t="b">
        <v>1</v>
      </c>
      <c r="M1261" t="s">
        <v>39</v>
      </c>
      <c r="N1261" t="s">
        <v>8245</v>
      </c>
      <c r="O1261" s="1">
        <v>21932</v>
      </c>
      <c r="P1261" t="s">
        <v>4454</v>
      </c>
      <c r="Q1261" t="s">
        <v>50</v>
      </c>
      <c r="S1261" s="1">
        <v>45020.209027777775</v>
      </c>
      <c r="T1261" t="s">
        <v>78</v>
      </c>
      <c r="U1261" t="s">
        <v>82</v>
      </c>
      <c r="V1261">
        <v>1960</v>
      </c>
      <c r="W1261">
        <v>117.24</v>
      </c>
      <c r="X1261">
        <v>7.5</v>
      </c>
      <c r="Y1261" s="2">
        <v>21427700000000</v>
      </c>
      <c r="Z1261">
        <v>88.2</v>
      </c>
      <c r="AA1261">
        <v>101.8</v>
      </c>
      <c r="AB1261">
        <v>9.6</v>
      </c>
      <c r="AC1261">
        <v>36.6</v>
      </c>
      <c r="AD1261">
        <v>328239523</v>
      </c>
    </row>
    <row r="1262" spans="1:30" hidden="1" x14ac:dyDescent="0.45">
      <c r="A1262">
        <v>1217</v>
      </c>
      <c r="B1262">
        <v>2500</v>
      </c>
      <c r="C1262" t="s">
        <v>91</v>
      </c>
      <c r="D1262" t="s">
        <v>4455</v>
      </c>
      <c r="E1262">
        <v>69</v>
      </c>
      <c r="F1262" t="s">
        <v>1111</v>
      </c>
      <c r="G1262" t="s">
        <v>1112</v>
      </c>
      <c r="H1262" t="s">
        <v>91</v>
      </c>
      <c r="I1262" t="s">
        <v>91</v>
      </c>
      <c r="J1262" t="s">
        <v>1111</v>
      </c>
      <c r="L1262" t="b">
        <v>0</v>
      </c>
      <c r="M1262" t="s">
        <v>39</v>
      </c>
      <c r="N1262" t="s">
        <v>8245</v>
      </c>
      <c r="O1262" s="1">
        <v>19725</v>
      </c>
      <c r="P1262" t="s">
        <v>4456</v>
      </c>
      <c r="Q1262" t="s">
        <v>1292</v>
      </c>
      <c r="S1262" s="1">
        <v>45020.209027777775</v>
      </c>
      <c r="V1262">
        <v>1954</v>
      </c>
      <c r="W1262">
        <v>129.61000000000001</v>
      </c>
      <c r="X1262">
        <v>2.5</v>
      </c>
      <c r="Y1262" s="2">
        <v>376795508680</v>
      </c>
      <c r="Z1262">
        <v>35.5</v>
      </c>
      <c r="AA1262">
        <v>107.5</v>
      </c>
      <c r="AB1262">
        <v>14</v>
      </c>
      <c r="AC1262">
        <v>43.1</v>
      </c>
      <c r="AD1262">
        <v>108116615</v>
      </c>
    </row>
    <row r="1263" spans="1:30" hidden="1" x14ac:dyDescent="0.45">
      <c r="A1263">
        <v>1217</v>
      </c>
      <c r="B1263">
        <v>2500</v>
      </c>
      <c r="C1263" t="s">
        <v>91</v>
      </c>
      <c r="D1263" t="s">
        <v>4457</v>
      </c>
      <c r="E1263">
        <v>71</v>
      </c>
      <c r="F1263" t="s">
        <v>1111</v>
      </c>
      <c r="G1263" t="s">
        <v>1112</v>
      </c>
      <c r="H1263" t="s">
        <v>91</v>
      </c>
      <c r="I1263" t="s">
        <v>91</v>
      </c>
      <c r="J1263" t="s">
        <v>1111</v>
      </c>
      <c r="L1263" t="b">
        <v>1</v>
      </c>
      <c r="M1263" t="s">
        <v>39</v>
      </c>
      <c r="N1263" t="s">
        <v>8245</v>
      </c>
      <c r="O1263" s="1">
        <v>19025</v>
      </c>
      <c r="P1263" t="s">
        <v>4458</v>
      </c>
      <c r="Q1263" t="s">
        <v>472</v>
      </c>
      <c r="S1263" s="1">
        <v>45020.209027777775</v>
      </c>
      <c r="V1263">
        <v>1952</v>
      </c>
      <c r="W1263">
        <v>129.61000000000001</v>
      </c>
      <c r="X1263">
        <v>2.5</v>
      </c>
      <c r="Y1263" s="2">
        <v>376795508680</v>
      </c>
      <c r="Z1263">
        <v>35.5</v>
      </c>
      <c r="AA1263">
        <v>107.5</v>
      </c>
      <c r="AB1263">
        <v>14</v>
      </c>
      <c r="AC1263">
        <v>43.1</v>
      </c>
      <c r="AD1263">
        <v>108116615</v>
      </c>
    </row>
    <row r="1264" spans="1:30" hidden="1" x14ac:dyDescent="0.45">
      <c r="A1264">
        <v>1217</v>
      </c>
      <c r="B1264">
        <v>2500</v>
      </c>
      <c r="C1264" t="s">
        <v>347</v>
      </c>
      <c r="D1264" t="s">
        <v>4459</v>
      </c>
      <c r="E1264">
        <v>53</v>
      </c>
      <c r="F1264" t="s">
        <v>574</v>
      </c>
      <c r="G1264" t="s">
        <v>574</v>
      </c>
      <c r="H1264" t="s">
        <v>3480</v>
      </c>
      <c r="I1264" t="s">
        <v>347</v>
      </c>
      <c r="J1264" t="s">
        <v>93</v>
      </c>
      <c r="L1264" t="b">
        <v>1</v>
      </c>
      <c r="M1264" t="s">
        <v>29</v>
      </c>
      <c r="N1264" t="s">
        <v>8245</v>
      </c>
      <c r="O1264" s="1">
        <v>25621</v>
      </c>
      <c r="P1264" t="s">
        <v>4460</v>
      </c>
      <c r="Q1264" t="s">
        <v>3853</v>
      </c>
      <c r="S1264" s="1">
        <v>45020.209027777775</v>
      </c>
      <c r="V1264">
        <v>1970</v>
      </c>
      <c r="W1264">
        <v>114.41</v>
      </c>
      <c r="X1264">
        <v>0.6</v>
      </c>
      <c r="Y1264" s="2">
        <v>372062527489</v>
      </c>
      <c r="Z1264">
        <v>84.8</v>
      </c>
      <c r="AA1264">
        <v>100.6</v>
      </c>
      <c r="AB1264">
        <v>13.1</v>
      </c>
      <c r="AC1264">
        <v>21</v>
      </c>
      <c r="AD1264">
        <v>5703569</v>
      </c>
    </row>
    <row r="1265" spans="1:30" hidden="1" x14ac:dyDescent="0.45">
      <c r="A1265">
        <v>1217</v>
      </c>
      <c r="B1265">
        <v>2500</v>
      </c>
      <c r="C1265" t="s">
        <v>61</v>
      </c>
      <c r="D1265" t="s">
        <v>4461</v>
      </c>
      <c r="E1265">
        <v>64</v>
      </c>
      <c r="F1265" t="s">
        <v>35</v>
      </c>
      <c r="G1265" t="s">
        <v>1209</v>
      </c>
      <c r="H1265" t="s">
        <v>317</v>
      </c>
      <c r="I1265" t="s">
        <v>61</v>
      </c>
      <c r="J1265" t="s">
        <v>35</v>
      </c>
      <c r="L1265" t="b">
        <v>1</v>
      </c>
      <c r="M1265" t="s">
        <v>29</v>
      </c>
      <c r="N1265" t="s">
        <v>8245</v>
      </c>
      <c r="O1265" s="1">
        <v>21521</v>
      </c>
      <c r="P1265" t="s">
        <v>4462</v>
      </c>
      <c r="Q1265" t="s">
        <v>4463</v>
      </c>
      <c r="S1265" s="1">
        <v>45020.209027777775</v>
      </c>
      <c r="T1265" t="s">
        <v>435</v>
      </c>
      <c r="U1265" t="s">
        <v>69</v>
      </c>
      <c r="V1265">
        <v>1958</v>
      </c>
      <c r="W1265">
        <v>117.24</v>
      </c>
      <c r="X1265">
        <v>7.5</v>
      </c>
      <c r="Y1265" s="2">
        <v>21427700000000</v>
      </c>
      <c r="Z1265">
        <v>88.2</v>
      </c>
      <c r="AA1265">
        <v>101.8</v>
      </c>
      <c r="AB1265">
        <v>9.6</v>
      </c>
      <c r="AC1265">
        <v>36.6</v>
      </c>
      <c r="AD1265">
        <v>328239523</v>
      </c>
    </row>
    <row r="1266" spans="1:30" hidden="1" x14ac:dyDescent="0.45">
      <c r="A1266">
        <v>1217</v>
      </c>
      <c r="B1266">
        <v>2500</v>
      </c>
      <c r="C1266" t="s">
        <v>302</v>
      </c>
      <c r="D1266" t="s">
        <v>4464</v>
      </c>
      <c r="E1266">
        <v>76</v>
      </c>
      <c r="F1266" t="s">
        <v>35</v>
      </c>
      <c r="G1266" t="s">
        <v>355</v>
      </c>
      <c r="H1266" t="s">
        <v>304</v>
      </c>
      <c r="I1266" t="s">
        <v>302</v>
      </c>
      <c r="J1266" t="s">
        <v>35</v>
      </c>
      <c r="L1266" t="b">
        <v>0</v>
      </c>
      <c r="M1266" t="s">
        <v>39</v>
      </c>
      <c r="N1266" t="s">
        <v>8245</v>
      </c>
      <c r="O1266" s="1">
        <v>16967</v>
      </c>
      <c r="P1266" t="s">
        <v>4465</v>
      </c>
      <c r="Q1266" t="s">
        <v>543</v>
      </c>
      <c r="S1266" s="1">
        <v>45020.209027777775</v>
      </c>
      <c r="T1266" t="s">
        <v>253</v>
      </c>
      <c r="U1266" t="s">
        <v>44</v>
      </c>
      <c r="V1266">
        <v>1946</v>
      </c>
      <c r="W1266">
        <v>117.24</v>
      </c>
      <c r="X1266">
        <v>7.5</v>
      </c>
      <c r="Y1266" s="2">
        <v>21427700000000</v>
      </c>
      <c r="Z1266">
        <v>88.2</v>
      </c>
      <c r="AA1266">
        <v>101.8</v>
      </c>
      <c r="AB1266">
        <v>9.6</v>
      </c>
      <c r="AC1266">
        <v>36.6</v>
      </c>
      <c r="AD1266">
        <v>328239523</v>
      </c>
    </row>
    <row r="1267" spans="1:30" hidden="1" x14ac:dyDescent="0.45">
      <c r="A1267">
        <v>1217</v>
      </c>
      <c r="B1267">
        <v>2500</v>
      </c>
      <c r="C1267" t="s">
        <v>33</v>
      </c>
      <c r="D1267" t="s">
        <v>4466</v>
      </c>
      <c r="E1267">
        <v>78</v>
      </c>
      <c r="F1267" t="s">
        <v>194</v>
      </c>
      <c r="G1267" t="s">
        <v>4467</v>
      </c>
      <c r="H1267" t="s">
        <v>4468</v>
      </c>
      <c r="I1267" t="s">
        <v>33</v>
      </c>
      <c r="J1267" t="s">
        <v>194</v>
      </c>
      <c r="L1267" t="b">
        <v>1</v>
      </c>
      <c r="M1267" t="s">
        <v>29</v>
      </c>
      <c r="N1267" t="s">
        <v>8245</v>
      </c>
      <c r="O1267" s="1">
        <v>16304</v>
      </c>
      <c r="P1267" t="s">
        <v>4469</v>
      </c>
      <c r="Q1267" t="s">
        <v>608</v>
      </c>
      <c r="S1267" s="1">
        <v>45020.209027777775</v>
      </c>
      <c r="V1267">
        <v>1944</v>
      </c>
      <c r="W1267">
        <v>112.85</v>
      </c>
      <c r="X1267">
        <v>1.4</v>
      </c>
      <c r="Y1267" s="2">
        <v>3845630030824</v>
      </c>
      <c r="Z1267">
        <v>70.2</v>
      </c>
      <c r="AA1267">
        <v>104</v>
      </c>
      <c r="AB1267">
        <v>11.5</v>
      </c>
      <c r="AC1267">
        <v>48.8</v>
      </c>
      <c r="AD1267">
        <v>83132799</v>
      </c>
    </row>
    <row r="1268" spans="1:30" hidden="1" x14ac:dyDescent="0.45">
      <c r="A1268">
        <v>1217</v>
      </c>
      <c r="B1268">
        <v>2500</v>
      </c>
      <c r="C1268" t="s">
        <v>23</v>
      </c>
      <c r="D1268" t="s">
        <v>4470</v>
      </c>
      <c r="E1268">
        <v>74</v>
      </c>
      <c r="F1268" t="s">
        <v>128</v>
      </c>
      <c r="G1268" t="s">
        <v>4471</v>
      </c>
      <c r="H1268" t="s">
        <v>196</v>
      </c>
      <c r="I1268" t="s">
        <v>23</v>
      </c>
      <c r="J1268" t="s">
        <v>35</v>
      </c>
      <c r="L1268" t="b">
        <v>1</v>
      </c>
      <c r="M1268" t="s">
        <v>39</v>
      </c>
      <c r="N1268" t="s">
        <v>8245</v>
      </c>
      <c r="O1268" s="1">
        <v>17899</v>
      </c>
      <c r="P1268" t="s">
        <v>439</v>
      </c>
      <c r="Q1268" t="s">
        <v>3463</v>
      </c>
      <c r="S1268" s="1">
        <v>45020.209027777775</v>
      </c>
      <c r="V1268">
        <v>1949</v>
      </c>
      <c r="W1268">
        <v>125.08</v>
      </c>
      <c r="X1268">
        <v>2.9</v>
      </c>
      <c r="Y1268" s="2">
        <v>19910000000000</v>
      </c>
      <c r="Z1268">
        <v>50.6</v>
      </c>
      <c r="AA1268">
        <v>100.2</v>
      </c>
      <c r="AB1268">
        <v>9.4</v>
      </c>
      <c r="AC1268">
        <v>59.2</v>
      </c>
      <c r="AD1268">
        <v>1397715000</v>
      </c>
    </row>
    <row r="1269" spans="1:30" hidden="1" x14ac:dyDescent="0.45">
      <c r="A1269">
        <v>1217</v>
      </c>
      <c r="B1269">
        <v>2500</v>
      </c>
      <c r="C1269" t="s">
        <v>76</v>
      </c>
      <c r="D1269" t="s">
        <v>4472</v>
      </c>
      <c r="E1269">
        <v>69</v>
      </c>
      <c r="F1269" t="s">
        <v>35</v>
      </c>
      <c r="G1269" t="s">
        <v>4473</v>
      </c>
      <c r="H1269" t="s">
        <v>4474</v>
      </c>
      <c r="I1269" t="s">
        <v>76</v>
      </c>
      <c r="J1269" t="s">
        <v>35</v>
      </c>
      <c r="L1269" t="b">
        <v>1</v>
      </c>
      <c r="M1269" t="s">
        <v>39</v>
      </c>
      <c r="N1269" t="s">
        <v>8246</v>
      </c>
      <c r="O1269" s="1">
        <v>19753</v>
      </c>
      <c r="P1269" t="s">
        <v>4475</v>
      </c>
      <c r="Q1269" t="s">
        <v>4476</v>
      </c>
      <c r="R1269" t="s">
        <v>4477</v>
      </c>
      <c r="S1269" s="1">
        <v>45020.209027777775</v>
      </c>
      <c r="T1269" t="s">
        <v>115</v>
      </c>
      <c r="U1269" t="s">
        <v>53</v>
      </c>
      <c r="V1269">
        <v>1954</v>
      </c>
      <c r="W1269">
        <v>117.24</v>
      </c>
      <c r="X1269">
        <v>7.5</v>
      </c>
      <c r="Y1269" s="2">
        <v>21427700000000</v>
      </c>
      <c r="Z1269">
        <v>88.2</v>
      </c>
      <c r="AA1269">
        <v>101.8</v>
      </c>
      <c r="AB1269">
        <v>9.6</v>
      </c>
      <c r="AC1269">
        <v>36.6</v>
      </c>
      <c r="AD1269">
        <v>328239523</v>
      </c>
    </row>
    <row r="1270" spans="1:30" hidden="1" x14ac:dyDescent="0.45">
      <c r="A1270">
        <v>1217</v>
      </c>
      <c r="B1270">
        <v>2500</v>
      </c>
      <c r="C1270" t="s">
        <v>126</v>
      </c>
      <c r="D1270" t="s">
        <v>4478</v>
      </c>
      <c r="E1270">
        <v>88</v>
      </c>
      <c r="F1270" t="s">
        <v>128</v>
      </c>
      <c r="G1270" t="s">
        <v>4479</v>
      </c>
      <c r="H1270" t="s">
        <v>4480</v>
      </c>
      <c r="I1270" t="s">
        <v>126</v>
      </c>
      <c r="J1270" t="s">
        <v>128</v>
      </c>
      <c r="L1270" t="b">
        <v>1</v>
      </c>
      <c r="M1270" t="s">
        <v>39</v>
      </c>
      <c r="N1270" t="s">
        <v>8245</v>
      </c>
      <c r="O1270" s="1">
        <v>12798</v>
      </c>
      <c r="P1270" t="s">
        <v>894</v>
      </c>
      <c r="Q1270" t="s">
        <v>4481</v>
      </c>
      <c r="S1270" s="1">
        <v>45020.209027777775</v>
      </c>
      <c r="V1270">
        <v>1935</v>
      </c>
      <c r="W1270">
        <v>125.08</v>
      </c>
      <c r="X1270">
        <v>2.9</v>
      </c>
      <c r="Y1270" s="2">
        <v>19910000000000</v>
      </c>
      <c r="Z1270">
        <v>50.6</v>
      </c>
      <c r="AA1270">
        <v>100.2</v>
      </c>
      <c r="AB1270">
        <v>9.4</v>
      </c>
      <c r="AC1270">
        <v>59.2</v>
      </c>
      <c r="AD1270">
        <v>1397715000</v>
      </c>
    </row>
    <row r="1271" spans="1:30" hidden="1" x14ac:dyDescent="0.45">
      <c r="A1271">
        <v>1217</v>
      </c>
      <c r="B1271">
        <v>2500</v>
      </c>
      <c r="C1271" t="s">
        <v>326</v>
      </c>
      <c r="D1271" t="s">
        <v>4482</v>
      </c>
      <c r="E1271">
        <v>66</v>
      </c>
      <c r="F1271" t="s">
        <v>574</v>
      </c>
      <c r="H1271" t="s">
        <v>4483</v>
      </c>
      <c r="I1271" t="s">
        <v>326</v>
      </c>
      <c r="J1271" t="s">
        <v>1259</v>
      </c>
      <c r="L1271" t="b">
        <v>1</v>
      </c>
      <c r="M1271" t="s">
        <v>39</v>
      </c>
      <c r="N1271" t="s">
        <v>8245</v>
      </c>
      <c r="O1271" s="1">
        <v>20821</v>
      </c>
      <c r="P1271" t="s">
        <v>2706</v>
      </c>
      <c r="Q1271" t="s">
        <v>4484</v>
      </c>
      <c r="S1271" s="1">
        <v>45020.209027777775</v>
      </c>
      <c r="V1271">
        <v>1957</v>
      </c>
      <c r="W1271">
        <v>114.41</v>
      </c>
      <c r="X1271">
        <v>0.6</v>
      </c>
      <c r="Y1271" s="2">
        <v>372062527489</v>
      </c>
      <c r="Z1271">
        <v>84.8</v>
      </c>
      <c r="AA1271">
        <v>100.6</v>
      </c>
      <c r="AB1271">
        <v>13.1</v>
      </c>
      <c r="AC1271">
        <v>21</v>
      </c>
      <c r="AD1271">
        <v>5703569</v>
      </c>
    </row>
    <row r="1272" spans="1:30" hidden="1" x14ac:dyDescent="0.45">
      <c r="A1272">
        <v>1217</v>
      </c>
      <c r="B1272">
        <v>2500</v>
      </c>
      <c r="C1272" t="s">
        <v>23</v>
      </c>
      <c r="D1272" t="s">
        <v>4485</v>
      </c>
      <c r="E1272">
        <v>45</v>
      </c>
      <c r="F1272" t="s">
        <v>128</v>
      </c>
      <c r="G1272" t="s">
        <v>719</v>
      </c>
      <c r="H1272" t="s">
        <v>196</v>
      </c>
      <c r="I1272" t="s">
        <v>23</v>
      </c>
      <c r="J1272" t="s">
        <v>128</v>
      </c>
      <c r="L1272" t="b">
        <v>1</v>
      </c>
      <c r="M1272" t="s">
        <v>1332</v>
      </c>
      <c r="N1272" t="s">
        <v>8245</v>
      </c>
      <c r="O1272" s="1">
        <v>28491</v>
      </c>
      <c r="P1272" t="s">
        <v>3751</v>
      </c>
      <c r="Q1272" t="s">
        <v>4486</v>
      </c>
      <c r="S1272" s="1">
        <v>45020.209027777775</v>
      </c>
      <c r="V1272">
        <v>1978</v>
      </c>
      <c r="W1272">
        <v>125.08</v>
      </c>
      <c r="X1272">
        <v>2.9</v>
      </c>
      <c r="Y1272" s="2">
        <v>19910000000000</v>
      </c>
      <c r="Z1272">
        <v>50.6</v>
      </c>
      <c r="AA1272">
        <v>100.2</v>
      </c>
      <c r="AB1272">
        <v>9.4</v>
      </c>
      <c r="AC1272">
        <v>59.2</v>
      </c>
      <c r="AD1272">
        <v>1397715000</v>
      </c>
    </row>
    <row r="1273" spans="1:30" x14ac:dyDescent="0.45">
      <c r="A1273">
        <v>1272</v>
      </c>
      <c r="B1273" s="6">
        <v>2400</v>
      </c>
      <c r="C1273" t="s">
        <v>45</v>
      </c>
      <c r="D1273" t="s">
        <v>4487</v>
      </c>
      <c r="E1273">
        <v>51</v>
      </c>
      <c r="F1273" t="s">
        <v>35</v>
      </c>
      <c r="G1273" t="s">
        <v>110</v>
      </c>
      <c r="H1273" t="s">
        <v>697</v>
      </c>
      <c r="I1273" t="s">
        <v>45</v>
      </c>
      <c r="J1273" t="s">
        <v>35</v>
      </c>
      <c r="K1273" t="s">
        <v>698</v>
      </c>
      <c r="L1273" t="b">
        <v>1</v>
      </c>
      <c r="M1273" t="s">
        <v>39</v>
      </c>
      <c r="N1273" t="s">
        <v>8245</v>
      </c>
      <c r="O1273" s="10">
        <v>26346</v>
      </c>
      <c r="P1273" t="s">
        <v>4488</v>
      </c>
      <c r="Q1273" t="s">
        <v>995</v>
      </c>
      <c r="R1273" t="s">
        <v>138</v>
      </c>
      <c r="S1273" s="8">
        <v>45020.209027777775</v>
      </c>
      <c r="T1273" t="s">
        <v>115</v>
      </c>
      <c r="U1273" t="s">
        <v>53</v>
      </c>
      <c r="V1273">
        <v>1972</v>
      </c>
      <c r="W1273" s="12">
        <v>117.24</v>
      </c>
      <c r="X1273">
        <v>7.5</v>
      </c>
      <c r="Y1273" s="14">
        <v>21427700000000</v>
      </c>
      <c r="Z1273">
        <v>88.2</v>
      </c>
      <c r="AA1273">
        <v>101.8</v>
      </c>
      <c r="AB1273">
        <v>9.6</v>
      </c>
      <c r="AC1273">
        <v>36.6</v>
      </c>
      <c r="AD1273">
        <v>328239523</v>
      </c>
    </row>
    <row r="1274" spans="1:30" hidden="1" x14ac:dyDescent="0.45">
      <c r="A1274">
        <v>1272</v>
      </c>
      <c r="B1274">
        <v>2400</v>
      </c>
      <c r="C1274" t="s">
        <v>33</v>
      </c>
      <c r="D1274" t="s">
        <v>4489</v>
      </c>
      <c r="E1274">
        <v>83</v>
      </c>
      <c r="F1274" t="s">
        <v>360</v>
      </c>
      <c r="G1274" t="s">
        <v>767</v>
      </c>
      <c r="H1274" t="s">
        <v>4490</v>
      </c>
      <c r="I1274" t="s">
        <v>33</v>
      </c>
      <c r="J1274" t="s">
        <v>360</v>
      </c>
      <c r="L1274" t="b">
        <v>0</v>
      </c>
      <c r="M1274" t="s">
        <v>39</v>
      </c>
      <c r="N1274" t="s">
        <v>8245</v>
      </c>
      <c r="O1274" s="1">
        <v>14611</v>
      </c>
      <c r="P1274" t="s">
        <v>4491</v>
      </c>
      <c r="Q1274" t="s">
        <v>4492</v>
      </c>
      <c r="S1274" s="1">
        <v>45020.209027777775</v>
      </c>
      <c r="V1274">
        <v>1940</v>
      </c>
      <c r="W1274">
        <v>114.52</v>
      </c>
      <c r="X1274">
        <v>-1.9</v>
      </c>
      <c r="Y1274" s="2">
        <v>421142267938</v>
      </c>
      <c r="Z1274">
        <v>36.799999999999997</v>
      </c>
      <c r="AA1274">
        <v>108.4</v>
      </c>
      <c r="AB1274">
        <v>0.1</v>
      </c>
      <c r="AC1274">
        <v>15.9</v>
      </c>
      <c r="AD1274">
        <v>9770529</v>
      </c>
    </row>
    <row r="1275" spans="1:30" hidden="1" x14ac:dyDescent="0.45">
      <c r="A1275">
        <v>1272</v>
      </c>
      <c r="B1275">
        <v>2400</v>
      </c>
      <c r="C1275" t="s">
        <v>347</v>
      </c>
      <c r="D1275" t="s">
        <v>4493</v>
      </c>
      <c r="E1275">
        <v>77</v>
      </c>
      <c r="F1275" t="s">
        <v>35</v>
      </c>
      <c r="G1275" t="s">
        <v>159</v>
      </c>
      <c r="H1275" t="s">
        <v>2162</v>
      </c>
      <c r="I1275" t="s">
        <v>347</v>
      </c>
      <c r="J1275" t="s">
        <v>35</v>
      </c>
      <c r="L1275" t="b">
        <v>0</v>
      </c>
      <c r="M1275" t="s">
        <v>611</v>
      </c>
      <c r="N1275" t="s">
        <v>8245</v>
      </c>
      <c r="O1275" s="1">
        <v>16690</v>
      </c>
      <c r="P1275" t="s">
        <v>2163</v>
      </c>
      <c r="Q1275" t="s">
        <v>1550</v>
      </c>
      <c r="S1275" s="1">
        <v>45020.209027777775</v>
      </c>
      <c r="T1275" t="s">
        <v>43</v>
      </c>
      <c r="U1275" t="s">
        <v>44</v>
      </c>
      <c r="V1275">
        <v>1945</v>
      </c>
      <c r="W1275">
        <v>117.24</v>
      </c>
      <c r="X1275">
        <v>7.5</v>
      </c>
      <c r="Y1275" s="2">
        <v>21427700000000</v>
      </c>
      <c r="Z1275">
        <v>88.2</v>
      </c>
      <c r="AA1275">
        <v>101.8</v>
      </c>
      <c r="AB1275">
        <v>9.6</v>
      </c>
      <c r="AC1275">
        <v>36.6</v>
      </c>
      <c r="AD1275">
        <v>328239523</v>
      </c>
    </row>
    <row r="1276" spans="1:30" hidden="1" x14ac:dyDescent="0.45">
      <c r="A1276">
        <v>1272</v>
      </c>
      <c r="B1276">
        <v>2400</v>
      </c>
      <c r="C1276" t="s">
        <v>76</v>
      </c>
      <c r="D1276" t="s">
        <v>4494</v>
      </c>
      <c r="E1276">
        <v>70</v>
      </c>
      <c r="F1276" t="s">
        <v>806</v>
      </c>
      <c r="G1276" t="s">
        <v>807</v>
      </c>
      <c r="H1276" t="s">
        <v>4495</v>
      </c>
      <c r="I1276" t="s">
        <v>76</v>
      </c>
      <c r="J1276" t="s">
        <v>806</v>
      </c>
      <c r="L1276" t="b">
        <v>1</v>
      </c>
      <c r="M1276" t="s">
        <v>29</v>
      </c>
      <c r="N1276" t="s">
        <v>8245</v>
      </c>
      <c r="O1276" s="1">
        <v>19342</v>
      </c>
      <c r="P1276" t="s">
        <v>4496</v>
      </c>
      <c r="Q1276" t="s">
        <v>4497</v>
      </c>
      <c r="S1276" s="1">
        <v>45020.209027777775</v>
      </c>
      <c r="V1276">
        <v>1952</v>
      </c>
      <c r="W1276">
        <v>158.93</v>
      </c>
      <c r="X1276">
        <v>4.0999999999999996</v>
      </c>
      <c r="Y1276" s="2">
        <v>351431649241</v>
      </c>
      <c r="Z1276">
        <v>22.4</v>
      </c>
      <c r="AA1276">
        <v>100.9</v>
      </c>
      <c r="AB1276">
        <v>27.5</v>
      </c>
      <c r="AC1276">
        <v>29.2</v>
      </c>
      <c r="AD1276">
        <v>58558270</v>
      </c>
    </row>
    <row r="1277" spans="1:30" hidden="1" x14ac:dyDescent="0.45">
      <c r="A1277">
        <v>1272</v>
      </c>
      <c r="B1277">
        <v>2400</v>
      </c>
      <c r="C1277" t="s">
        <v>402</v>
      </c>
      <c r="D1277" t="s">
        <v>4498</v>
      </c>
      <c r="E1277">
        <v>45</v>
      </c>
      <c r="F1277" t="s">
        <v>194</v>
      </c>
      <c r="G1277" t="s">
        <v>4499</v>
      </c>
      <c r="H1277" t="s">
        <v>4500</v>
      </c>
      <c r="I1277" t="s">
        <v>402</v>
      </c>
      <c r="J1277" t="s">
        <v>194</v>
      </c>
      <c r="L1277" t="b">
        <v>0</v>
      </c>
      <c r="M1277" t="s">
        <v>39</v>
      </c>
      <c r="N1277" t="s">
        <v>8245</v>
      </c>
      <c r="O1277" s="1">
        <v>28491</v>
      </c>
      <c r="P1277" t="s">
        <v>4501</v>
      </c>
      <c r="Q1277" t="s">
        <v>4502</v>
      </c>
      <c r="S1277" s="1">
        <v>45020.209027777775</v>
      </c>
      <c r="V1277">
        <v>1978</v>
      </c>
      <c r="W1277">
        <v>112.85</v>
      </c>
      <c r="X1277">
        <v>1.4</v>
      </c>
      <c r="Y1277" s="2">
        <v>3845630030824</v>
      </c>
      <c r="Z1277">
        <v>70.2</v>
      </c>
      <c r="AA1277">
        <v>104</v>
      </c>
      <c r="AB1277">
        <v>11.5</v>
      </c>
      <c r="AC1277">
        <v>48.8</v>
      </c>
      <c r="AD1277">
        <v>83132799</v>
      </c>
    </row>
    <row r="1278" spans="1:30" hidden="1" x14ac:dyDescent="0.45">
      <c r="A1278">
        <v>1272</v>
      </c>
      <c r="B1278">
        <v>2400</v>
      </c>
      <c r="C1278" t="s">
        <v>23</v>
      </c>
      <c r="D1278" t="s">
        <v>4503</v>
      </c>
      <c r="E1278">
        <v>74</v>
      </c>
      <c r="F1278" t="s">
        <v>35</v>
      </c>
      <c r="G1278" t="s">
        <v>964</v>
      </c>
      <c r="H1278" t="s">
        <v>4504</v>
      </c>
      <c r="I1278" t="s">
        <v>23</v>
      </c>
      <c r="J1278" t="s">
        <v>1259</v>
      </c>
      <c r="L1278" t="b">
        <v>1</v>
      </c>
      <c r="M1278" t="s">
        <v>39</v>
      </c>
      <c r="N1278" t="s">
        <v>8245</v>
      </c>
      <c r="O1278" s="1">
        <v>17642</v>
      </c>
      <c r="P1278" t="s">
        <v>679</v>
      </c>
      <c r="Q1278" t="s">
        <v>4505</v>
      </c>
      <c r="S1278" s="1">
        <v>45020.209027777775</v>
      </c>
      <c r="T1278" t="s">
        <v>115</v>
      </c>
      <c r="U1278" t="s">
        <v>53</v>
      </c>
      <c r="V1278">
        <v>1948</v>
      </c>
      <c r="W1278">
        <v>117.24</v>
      </c>
      <c r="X1278">
        <v>7.5</v>
      </c>
      <c r="Y1278" s="2">
        <v>21427700000000</v>
      </c>
      <c r="Z1278">
        <v>88.2</v>
      </c>
      <c r="AA1278">
        <v>101.8</v>
      </c>
      <c r="AB1278">
        <v>9.6</v>
      </c>
      <c r="AC1278">
        <v>36.6</v>
      </c>
      <c r="AD1278">
        <v>328239523</v>
      </c>
    </row>
    <row r="1279" spans="1:30" hidden="1" x14ac:dyDescent="0.45">
      <c r="A1279">
        <v>1272</v>
      </c>
      <c r="B1279">
        <v>2400</v>
      </c>
      <c r="C1279" t="s">
        <v>23</v>
      </c>
      <c r="D1279" t="s">
        <v>4506</v>
      </c>
      <c r="E1279">
        <v>86</v>
      </c>
      <c r="F1279" t="s">
        <v>558</v>
      </c>
      <c r="G1279" t="s">
        <v>839</v>
      </c>
      <c r="H1279" t="s">
        <v>196</v>
      </c>
      <c r="I1279" t="s">
        <v>23</v>
      </c>
      <c r="J1279" t="s">
        <v>558</v>
      </c>
      <c r="L1279" t="b">
        <v>0</v>
      </c>
      <c r="M1279" t="s">
        <v>39</v>
      </c>
      <c r="N1279" t="s">
        <v>8245</v>
      </c>
      <c r="O1279" s="1">
        <v>13512</v>
      </c>
      <c r="P1279" t="s">
        <v>4507</v>
      </c>
      <c r="Q1279" t="s">
        <v>4508</v>
      </c>
      <c r="S1279" s="1">
        <v>45020.209027777775</v>
      </c>
      <c r="V1279">
        <v>1936</v>
      </c>
      <c r="W1279">
        <v>167.4</v>
      </c>
      <c r="X1279">
        <v>3.7</v>
      </c>
      <c r="Y1279" s="2">
        <v>1839758040766</v>
      </c>
      <c r="Z1279">
        <v>51.3</v>
      </c>
      <c r="AA1279">
        <v>115.4</v>
      </c>
      <c r="AB1279">
        <v>14.2</v>
      </c>
      <c r="AC1279">
        <v>65.099999999999994</v>
      </c>
      <c r="AD1279">
        <v>212559417</v>
      </c>
    </row>
    <row r="1280" spans="1:30" hidden="1" x14ac:dyDescent="0.45">
      <c r="A1280">
        <v>1272</v>
      </c>
      <c r="B1280">
        <v>2400</v>
      </c>
      <c r="C1280" t="s">
        <v>61</v>
      </c>
      <c r="D1280" t="s">
        <v>4509</v>
      </c>
      <c r="E1280">
        <v>58</v>
      </c>
      <c r="F1280" t="s">
        <v>205</v>
      </c>
      <c r="G1280" t="s">
        <v>3271</v>
      </c>
      <c r="H1280" t="s">
        <v>930</v>
      </c>
      <c r="I1280" t="s">
        <v>61</v>
      </c>
      <c r="J1280" t="s">
        <v>205</v>
      </c>
      <c r="L1280" t="b">
        <v>1</v>
      </c>
      <c r="M1280" t="s">
        <v>39</v>
      </c>
      <c r="N1280" t="s">
        <v>8245</v>
      </c>
      <c r="O1280" s="1">
        <v>23743</v>
      </c>
      <c r="P1280" t="s">
        <v>4510</v>
      </c>
      <c r="Q1280" t="s">
        <v>4511</v>
      </c>
      <c r="S1280" s="1">
        <v>45020.209027777775</v>
      </c>
      <c r="V1280">
        <v>1965</v>
      </c>
      <c r="W1280">
        <v>99.55</v>
      </c>
      <c r="X1280">
        <v>0.4</v>
      </c>
      <c r="Y1280" s="2">
        <v>703082435360</v>
      </c>
      <c r="Z1280">
        <v>59.6</v>
      </c>
      <c r="AA1280">
        <v>105.2</v>
      </c>
      <c r="AB1280">
        <v>10.1</v>
      </c>
      <c r="AC1280">
        <v>28.8</v>
      </c>
      <c r="AD1280">
        <v>8574832</v>
      </c>
    </row>
    <row r="1281" spans="1:30" x14ac:dyDescent="0.45">
      <c r="A1281">
        <v>1272</v>
      </c>
      <c r="B1281" s="6">
        <v>2400</v>
      </c>
      <c r="C1281" t="s">
        <v>23</v>
      </c>
      <c r="D1281" t="s">
        <v>4512</v>
      </c>
      <c r="E1281">
        <v>91</v>
      </c>
      <c r="F1281" t="s">
        <v>35</v>
      </c>
      <c r="G1281" t="s">
        <v>991</v>
      </c>
      <c r="H1281" t="s">
        <v>4513</v>
      </c>
      <c r="I1281" t="s">
        <v>23</v>
      </c>
      <c r="J1281" t="s">
        <v>35</v>
      </c>
      <c r="K1281" t="s">
        <v>4514</v>
      </c>
      <c r="L1281" t="b">
        <v>1</v>
      </c>
      <c r="M1281" t="s">
        <v>39</v>
      </c>
      <c r="N1281" t="s">
        <v>8246</v>
      </c>
      <c r="O1281" s="10">
        <v>11558</v>
      </c>
      <c r="P1281" t="s">
        <v>1581</v>
      </c>
      <c r="Q1281" t="s">
        <v>4515</v>
      </c>
      <c r="R1281" t="s">
        <v>138</v>
      </c>
      <c r="S1281" s="8">
        <v>45020.209027777775</v>
      </c>
      <c r="T1281" t="s">
        <v>115</v>
      </c>
      <c r="U1281" t="s">
        <v>53</v>
      </c>
      <c r="V1281">
        <v>1931</v>
      </c>
      <c r="W1281" s="12">
        <v>117.24</v>
      </c>
      <c r="X1281">
        <v>7.5</v>
      </c>
      <c r="Y1281" s="14">
        <v>21427700000000</v>
      </c>
      <c r="Z1281">
        <v>88.2</v>
      </c>
      <c r="AA1281">
        <v>101.8</v>
      </c>
      <c r="AB1281">
        <v>9.6</v>
      </c>
      <c r="AC1281">
        <v>36.6</v>
      </c>
      <c r="AD1281">
        <v>328239523</v>
      </c>
    </row>
    <row r="1282" spans="1:30" x14ac:dyDescent="0.45">
      <c r="A1282">
        <v>1272</v>
      </c>
      <c r="B1282" s="6">
        <v>2400</v>
      </c>
      <c r="C1282" t="s">
        <v>61</v>
      </c>
      <c r="D1282" t="s">
        <v>4516</v>
      </c>
      <c r="E1282">
        <v>78</v>
      </c>
      <c r="F1282" t="s">
        <v>35</v>
      </c>
      <c r="G1282" t="s">
        <v>704</v>
      </c>
      <c r="H1282" t="s">
        <v>557</v>
      </c>
      <c r="I1282" t="s">
        <v>61</v>
      </c>
      <c r="J1282" t="s">
        <v>35</v>
      </c>
      <c r="K1282" t="s">
        <v>4517</v>
      </c>
      <c r="L1282" t="b">
        <v>1</v>
      </c>
      <c r="M1282" t="s">
        <v>39</v>
      </c>
      <c r="N1282" t="s">
        <v>8245</v>
      </c>
      <c r="O1282" s="10">
        <v>16288</v>
      </c>
      <c r="P1282" t="s">
        <v>4518</v>
      </c>
      <c r="Q1282" t="s">
        <v>4519</v>
      </c>
      <c r="R1282" t="s">
        <v>4520</v>
      </c>
      <c r="S1282" s="8">
        <v>45020.209027777775</v>
      </c>
      <c r="T1282" t="s">
        <v>43</v>
      </c>
      <c r="U1282" t="s">
        <v>44</v>
      </c>
      <c r="V1282">
        <v>1944</v>
      </c>
      <c r="W1282" s="12">
        <v>117.24</v>
      </c>
      <c r="X1282">
        <v>7.5</v>
      </c>
      <c r="Y1282" s="14">
        <v>21427700000000</v>
      </c>
      <c r="Z1282">
        <v>88.2</v>
      </c>
      <c r="AA1282">
        <v>101.8</v>
      </c>
      <c r="AB1282">
        <v>9.6</v>
      </c>
      <c r="AC1282">
        <v>36.6</v>
      </c>
      <c r="AD1282">
        <v>328239523</v>
      </c>
    </row>
    <row r="1283" spans="1:30" hidden="1" x14ac:dyDescent="0.45">
      <c r="A1283">
        <v>1272</v>
      </c>
      <c r="B1283">
        <v>2400</v>
      </c>
      <c r="C1283" t="s">
        <v>402</v>
      </c>
      <c r="D1283" t="s">
        <v>4521</v>
      </c>
      <c r="E1283">
        <v>66</v>
      </c>
      <c r="F1283" t="s">
        <v>25</v>
      </c>
      <c r="G1283" t="s">
        <v>26</v>
      </c>
      <c r="H1283" t="s">
        <v>610</v>
      </c>
      <c r="I1283" t="s">
        <v>402</v>
      </c>
      <c r="J1283" t="s">
        <v>25</v>
      </c>
      <c r="L1283" t="b">
        <v>1</v>
      </c>
      <c r="M1283" t="s">
        <v>611</v>
      </c>
      <c r="N1283" t="s">
        <v>8245</v>
      </c>
      <c r="O1283" s="1">
        <v>20677</v>
      </c>
      <c r="P1283" t="s">
        <v>4522</v>
      </c>
      <c r="Q1283" t="s">
        <v>31</v>
      </c>
      <c r="S1283" s="1">
        <v>45020.209027777775</v>
      </c>
      <c r="V1283">
        <v>1956</v>
      </c>
      <c r="W1283">
        <v>110.05</v>
      </c>
      <c r="X1283">
        <v>1.1000000000000001</v>
      </c>
      <c r="Y1283" s="2">
        <v>2715518274227</v>
      </c>
      <c r="Z1283">
        <v>65.599999999999994</v>
      </c>
      <c r="AA1283">
        <v>102.5</v>
      </c>
      <c r="AB1283">
        <v>24.2</v>
      </c>
      <c r="AC1283">
        <v>60.7</v>
      </c>
      <c r="AD1283">
        <v>67059887</v>
      </c>
    </row>
    <row r="1284" spans="1:30" hidden="1" x14ac:dyDescent="0.45">
      <c r="A1284">
        <v>1272</v>
      </c>
      <c r="B1284">
        <v>2400</v>
      </c>
      <c r="C1284" t="s">
        <v>61</v>
      </c>
      <c r="D1284" t="s">
        <v>4523</v>
      </c>
      <c r="E1284">
        <v>55</v>
      </c>
      <c r="F1284" t="s">
        <v>205</v>
      </c>
      <c r="G1284" t="s">
        <v>3271</v>
      </c>
      <c r="H1284" t="s">
        <v>930</v>
      </c>
      <c r="I1284" t="s">
        <v>61</v>
      </c>
      <c r="J1284" t="s">
        <v>205</v>
      </c>
      <c r="L1284" t="b">
        <v>1</v>
      </c>
      <c r="M1284" t="s">
        <v>39</v>
      </c>
      <c r="N1284" t="s">
        <v>8245</v>
      </c>
      <c r="O1284" s="1">
        <v>24929</v>
      </c>
      <c r="P1284" t="s">
        <v>4524</v>
      </c>
      <c r="Q1284" t="s">
        <v>2850</v>
      </c>
      <c r="S1284" s="1">
        <v>45020.209027777775</v>
      </c>
      <c r="V1284">
        <v>1968</v>
      </c>
      <c r="W1284">
        <v>99.55</v>
      </c>
      <c r="X1284">
        <v>0.4</v>
      </c>
      <c r="Y1284" s="2">
        <v>703082435360</v>
      </c>
      <c r="Z1284">
        <v>59.6</v>
      </c>
      <c r="AA1284">
        <v>105.2</v>
      </c>
      <c r="AB1284">
        <v>10.1</v>
      </c>
      <c r="AC1284">
        <v>28.8</v>
      </c>
      <c r="AD1284">
        <v>8574832</v>
      </c>
    </row>
    <row r="1285" spans="1:30" hidden="1" x14ac:dyDescent="0.45">
      <c r="A1285">
        <v>1272</v>
      </c>
      <c r="B1285">
        <v>2400</v>
      </c>
      <c r="C1285" t="s">
        <v>239</v>
      </c>
      <c r="D1285" t="s">
        <v>4525</v>
      </c>
      <c r="E1285">
        <v>88</v>
      </c>
      <c r="F1285" t="s">
        <v>194</v>
      </c>
      <c r="G1285" t="s">
        <v>4526</v>
      </c>
      <c r="H1285" t="s">
        <v>1436</v>
      </c>
      <c r="I1285" t="s">
        <v>239</v>
      </c>
      <c r="J1285" t="s">
        <v>194</v>
      </c>
      <c r="L1285" t="b">
        <v>1</v>
      </c>
      <c r="M1285" t="s">
        <v>39</v>
      </c>
      <c r="N1285" t="s">
        <v>8245</v>
      </c>
      <c r="O1285" s="1">
        <v>12657</v>
      </c>
      <c r="P1285" t="s">
        <v>4527</v>
      </c>
      <c r="Q1285" t="s">
        <v>1977</v>
      </c>
      <c r="S1285" s="1">
        <v>45020.209027777775</v>
      </c>
      <c r="V1285">
        <v>1934</v>
      </c>
      <c r="W1285">
        <v>112.85</v>
      </c>
      <c r="X1285">
        <v>1.4</v>
      </c>
      <c r="Y1285" s="2">
        <v>3845630030824</v>
      </c>
      <c r="Z1285">
        <v>70.2</v>
      </c>
      <c r="AA1285">
        <v>104</v>
      </c>
      <c r="AB1285">
        <v>11.5</v>
      </c>
      <c r="AC1285">
        <v>48.8</v>
      </c>
      <c r="AD1285">
        <v>83132799</v>
      </c>
    </row>
    <row r="1286" spans="1:30" hidden="1" x14ac:dyDescent="0.45">
      <c r="A1286">
        <v>1272</v>
      </c>
      <c r="B1286">
        <v>2400</v>
      </c>
      <c r="C1286" t="s">
        <v>302</v>
      </c>
      <c r="D1286" t="s">
        <v>4528</v>
      </c>
      <c r="E1286">
        <v>61</v>
      </c>
      <c r="F1286" t="s">
        <v>164</v>
      </c>
      <c r="G1286" t="s">
        <v>4529</v>
      </c>
      <c r="H1286" t="s">
        <v>304</v>
      </c>
      <c r="I1286" t="s">
        <v>302</v>
      </c>
      <c r="J1286" t="s">
        <v>164</v>
      </c>
      <c r="K1286" t="s">
        <v>4530</v>
      </c>
      <c r="L1286" t="b">
        <v>1</v>
      </c>
      <c r="M1286" t="s">
        <v>39</v>
      </c>
      <c r="N1286" t="s">
        <v>8245</v>
      </c>
      <c r="O1286" s="1">
        <v>22477</v>
      </c>
      <c r="P1286" t="s">
        <v>4531</v>
      </c>
      <c r="Q1286" t="s">
        <v>1966</v>
      </c>
      <c r="R1286" t="s">
        <v>104</v>
      </c>
      <c r="S1286" s="1">
        <v>45020.209027777775</v>
      </c>
      <c r="V1286">
        <v>1961</v>
      </c>
      <c r="W1286">
        <v>116.76</v>
      </c>
      <c r="X1286">
        <v>1.9</v>
      </c>
      <c r="Y1286" s="2">
        <v>1736425629520</v>
      </c>
      <c r="Z1286">
        <v>68.900000000000006</v>
      </c>
      <c r="AA1286">
        <v>100.9</v>
      </c>
      <c r="AB1286">
        <v>12.8</v>
      </c>
      <c r="AC1286">
        <v>24.5</v>
      </c>
      <c r="AD1286">
        <v>36991981</v>
      </c>
    </row>
    <row r="1287" spans="1:30" hidden="1" x14ac:dyDescent="0.45">
      <c r="A1287">
        <v>1272</v>
      </c>
      <c r="B1287">
        <v>2400</v>
      </c>
      <c r="C1287" t="s">
        <v>61</v>
      </c>
      <c r="D1287" t="s">
        <v>4532</v>
      </c>
      <c r="E1287">
        <v>76</v>
      </c>
      <c r="F1287" t="s">
        <v>272</v>
      </c>
      <c r="G1287" t="s">
        <v>4533</v>
      </c>
      <c r="H1287" t="s">
        <v>2380</v>
      </c>
      <c r="I1287" t="s">
        <v>61</v>
      </c>
      <c r="J1287" t="s">
        <v>272</v>
      </c>
      <c r="L1287" t="b">
        <v>1</v>
      </c>
      <c r="M1287" t="s">
        <v>39</v>
      </c>
      <c r="N1287" t="s">
        <v>8245</v>
      </c>
      <c r="O1287" s="1">
        <v>17080</v>
      </c>
      <c r="P1287" t="s">
        <v>4534</v>
      </c>
      <c r="Q1287" t="s">
        <v>608</v>
      </c>
      <c r="S1287" s="1">
        <v>45020.209027777775</v>
      </c>
      <c r="V1287">
        <v>1946</v>
      </c>
      <c r="W1287">
        <v>119.62</v>
      </c>
      <c r="X1287">
        <v>1.7</v>
      </c>
      <c r="Y1287" s="2">
        <v>2827113184696</v>
      </c>
      <c r="Z1287">
        <v>60</v>
      </c>
      <c r="AA1287">
        <v>101.2</v>
      </c>
      <c r="AB1287">
        <v>25.5</v>
      </c>
      <c r="AC1287">
        <v>30.6</v>
      </c>
      <c r="AD1287">
        <v>66834405</v>
      </c>
    </row>
    <row r="1288" spans="1:30" hidden="1" x14ac:dyDescent="0.45">
      <c r="A1288">
        <v>1272</v>
      </c>
      <c r="B1288">
        <v>2400</v>
      </c>
      <c r="C1288" t="s">
        <v>402</v>
      </c>
      <c r="D1288" t="s">
        <v>4535</v>
      </c>
      <c r="E1288">
        <v>79</v>
      </c>
      <c r="F1288" t="s">
        <v>128</v>
      </c>
      <c r="G1288" t="s">
        <v>4536</v>
      </c>
      <c r="H1288" t="s">
        <v>610</v>
      </c>
      <c r="I1288" t="s">
        <v>402</v>
      </c>
      <c r="J1288" t="s">
        <v>128</v>
      </c>
      <c r="L1288" t="b">
        <v>1</v>
      </c>
      <c r="M1288" t="s">
        <v>39</v>
      </c>
      <c r="N1288" t="s">
        <v>8245</v>
      </c>
      <c r="O1288" s="1">
        <v>16009</v>
      </c>
      <c r="P1288" t="s">
        <v>2592</v>
      </c>
      <c r="Q1288" t="s">
        <v>4537</v>
      </c>
      <c r="S1288" s="1">
        <v>45020.209027777775</v>
      </c>
      <c r="V1288">
        <v>1943</v>
      </c>
      <c r="W1288">
        <v>125.08</v>
      </c>
      <c r="X1288">
        <v>2.9</v>
      </c>
      <c r="Y1288" s="2">
        <v>19910000000000</v>
      </c>
      <c r="Z1288">
        <v>50.6</v>
      </c>
      <c r="AA1288">
        <v>100.2</v>
      </c>
      <c r="AB1288">
        <v>9.4</v>
      </c>
      <c r="AC1288">
        <v>59.2</v>
      </c>
      <c r="AD1288">
        <v>1397715000</v>
      </c>
    </row>
    <row r="1289" spans="1:30" hidden="1" x14ac:dyDescent="0.45">
      <c r="A1289">
        <v>1272</v>
      </c>
      <c r="B1289">
        <v>2400</v>
      </c>
      <c r="C1289" t="s">
        <v>91</v>
      </c>
      <c r="D1289" t="s">
        <v>4538</v>
      </c>
      <c r="E1289">
        <v>68</v>
      </c>
      <c r="F1289" t="s">
        <v>574</v>
      </c>
      <c r="G1289" t="s">
        <v>574</v>
      </c>
      <c r="H1289" t="s">
        <v>91</v>
      </c>
      <c r="I1289" t="s">
        <v>91</v>
      </c>
      <c r="J1289" t="s">
        <v>574</v>
      </c>
      <c r="L1289" t="b">
        <v>0</v>
      </c>
      <c r="M1289" t="s">
        <v>29</v>
      </c>
      <c r="N1289" t="s">
        <v>8245</v>
      </c>
      <c r="O1289" s="1">
        <v>20090</v>
      </c>
      <c r="P1289" t="s">
        <v>3321</v>
      </c>
      <c r="Q1289" t="s">
        <v>4539</v>
      </c>
      <c r="S1289" s="1">
        <v>45020.209027777775</v>
      </c>
      <c r="V1289">
        <v>1955</v>
      </c>
      <c r="W1289">
        <v>114.41</v>
      </c>
      <c r="X1289">
        <v>0.6</v>
      </c>
      <c r="Y1289" s="2">
        <v>372062527489</v>
      </c>
      <c r="Z1289">
        <v>84.8</v>
      </c>
      <c r="AA1289">
        <v>100.6</v>
      </c>
      <c r="AB1289">
        <v>13.1</v>
      </c>
      <c r="AC1289">
        <v>21</v>
      </c>
      <c r="AD1289">
        <v>5703569</v>
      </c>
    </row>
    <row r="1290" spans="1:30" hidden="1" x14ac:dyDescent="0.45">
      <c r="A1290">
        <v>1272</v>
      </c>
      <c r="B1290">
        <v>2400</v>
      </c>
      <c r="C1290" t="s">
        <v>296</v>
      </c>
      <c r="D1290" t="s">
        <v>4540</v>
      </c>
      <c r="E1290">
        <v>77</v>
      </c>
      <c r="F1290" t="s">
        <v>35</v>
      </c>
      <c r="G1290" t="s">
        <v>4541</v>
      </c>
      <c r="H1290" t="s">
        <v>4542</v>
      </c>
      <c r="I1290" t="s">
        <v>296</v>
      </c>
      <c r="J1290" t="s">
        <v>35</v>
      </c>
      <c r="L1290" t="b">
        <v>0</v>
      </c>
      <c r="M1290" t="s">
        <v>29</v>
      </c>
      <c r="N1290" t="s">
        <v>8246</v>
      </c>
      <c r="O1290" s="1">
        <v>16558</v>
      </c>
      <c r="P1290" t="s">
        <v>4543</v>
      </c>
      <c r="Q1290" t="s">
        <v>4544</v>
      </c>
      <c r="S1290" s="1">
        <v>45020.209027777775</v>
      </c>
      <c r="T1290" t="s">
        <v>253</v>
      </c>
      <c r="U1290" t="s">
        <v>44</v>
      </c>
      <c r="V1290">
        <v>1945</v>
      </c>
      <c r="W1290">
        <v>117.24</v>
      </c>
      <c r="X1290">
        <v>7.5</v>
      </c>
      <c r="Y1290" s="2">
        <v>21427700000000</v>
      </c>
      <c r="Z1290">
        <v>88.2</v>
      </c>
      <c r="AA1290">
        <v>101.8</v>
      </c>
      <c r="AB1290">
        <v>9.6</v>
      </c>
      <c r="AC1290">
        <v>36.6</v>
      </c>
      <c r="AD1290">
        <v>328239523</v>
      </c>
    </row>
    <row r="1291" spans="1:30" hidden="1" x14ac:dyDescent="0.45">
      <c r="A1291">
        <v>1272</v>
      </c>
      <c r="B1291">
        <v>2400</v>
      </c>
      <c r="C1291" t="s">
        <v>76</v>
      </c>
      <c r="D1291" t="s">
        <v>4545</v>
      </c>
      <c r="E1291">
        <v>57</v>
      </c>
      <c r="F1291" t="s">
        <v>93</v>
      </c>
      <c r="G1291" t="s">
        <v>4546</v>
      </c>
      <c r="H1291" t="s">
        <v>166</v>
      </c>
      <c r="I1291" t="s">
        <v>76</v>
      </c>
      <c r="J1291" t="s">
        <v>93</v>
      </c>
      <c r="L1291" t="b">
        <v>1</v>
      </c>
      <c r="M1291" t="s">
        <v>611</v>
      </c>
      <c r="N1291" t="s">
        <v>8245</v>
      </c>
      <c r="O1291" s="1">
        <v>23949</v>
      </c>
      <c r="P1291" t="s">
        <v>4547</v>
      </c>
      <c r="Q1291" t="s">
        <v>4548</v>
      </c>
      <c r="S1291" s="1">
        <v>45020.209027777775</v>
      </c>
      <c r="V1291">
        <v>1965</v>
      </c>
      <c r="W1291">
        <v>180.44</v>
      </c>
      <c r="X1291">
        <v>7.7</v>
      </c>
      <c r="Y1291" s="2">
        <v>2611000000000</v>
      </c>
      <c r="Z1291">
        <v>28.1</v>
      </c>
      <c r="AA1291">
        <v>113</v>
      </c>
      <c r="AB1291">
        <v>11.2</v>
      </c>
      <c r="AC1291">
        <v>49.7</v>
      </c>
      <c r="AD1291">
        <v>1366417754</v>
      </c>
    </row>
    <row r="1292" spans="1:30" hidden="1" x14ac:dyDescent="0.45">
      <c r="A1292">
        <v>1272</v>
      </c>
      <c r="B1292">
        <v>2400</v>
      </c>
      <c r="C1292" t="s">
        <v>61</v>
      </c>
      <c r="D1292" t="s">
        <v>4549</v>
      </c>
      <c r="E1292">
        <v>48</v>
      </c>
      <c r="F1292" t="s">
        <v>35</v>
      </c>
      <c r="G1292" t="s">
        <v>4550</v>
      </c>
      <c r="H1292" t="s">
        <v>4551</v>
      </c>
      <c r="I1292" t="s">
        <v>61</v>
      </c>
      <c r="J1292" t="s">
        <v>35</v>
      </c>
      <c r="L1292" t="b">
        <v>1</v>
      </c>
      <c r="M1292" t="s">
        <v>39</v>
      </c>
      <c r="N1292" t="s">
        <v>8245</v>
      </c>
      <c r="O1292" s="1">
        <v>27395</v>
      </c>
      <c r="P1292" t="s">
        <v>4552</v>
      </c>
      <c r="Q1292" t="s">
        <v>4553</v>
      </c>
      <c r="S1292" s="1">
        <v>45020.209027777775</v>
      </c>
      <c r="T1292" t="s">
        <v>115</v>
      </c>
      <c r="U1292" t="s">
        <v>53</v>
      </c>
      <c r="V1292">
        <v>1975</v>
      </c>
      <c r="W1292">
        <v>117.24</v>
      </c>
      <c r="X1292">
        <v>7.5</v>
      </c>
      <c r="Y1292" s="2">
        <v>21427700000000</v>
      </c>
      <c r="Z1292">
        <v>88.2</v>
      </c>
      <c r="AA1292">
        <v>101.8</v>
      </c>
      <c r="AB1292">
        <v>9.6</v>
      </c>
      <c r="AC1292">
        <v>36.6</v>
      </c>
      <c r="AD1292">
        <v>328239523</v>
      </c>
    </row>
    <row r="1293" spans="1:30" hidden="1" x14ac:dyDescent="0.45">
      <c r="A1293">
        <v>1272</v>
      </c>
      <c r="B1293">
        <v>2400</v>
      </c>
      <c r="C1293" t="s">
        <v>296</v>
      </c>
      <c r="D1293" t="s">
        <v>4554</v>
      </c>
      <c r="E1293">
        <v>65</v>
      </c>
      <c r="F1293" t="s">
        <v>35</v>
      </c>
      <c r="G1293" t="s">
        <v>1802</v>
      </c>
      <c r="H1293" t="s">
        <v>4436</v>
      </c>
      <c r="I1293" t="s">
        <v>296</v>
      </c>
      <c r="J1293" t="s">
        <v>35</v>
      </c>
      <c r="L1293" t="b">
        <v>1</v>
      </c>
      <c r="M1293" t="s">
        <v>39</v>
      </c>
      <c r="N1293" t="s">
        <v>8245</v>
      </c>
      <c r="O1293" s="1">
        <v>21218</v>
      </c>
      <c r="P1293" t="s">
        <v>4437</v>
      </c>
      <c r="Q1293" t="s">
        <v>4555</v>
      </c>
      <c r="S1293" s="1">
        <v>45020.209027777775</v>
      </c>
      <c r="T1293" t="s">
        <v>245</v>
      </c>
      <c r="U1293" t="s">
        <v>53</v>
      </c>
      <c r="V1293">
        <v>1958</v>
      </c>
      <c r="W1293">
        <v>117.24</v>
      </c>
      <c r="X1293">
        <v>7.5</v>
      </c>
      <c r="Y1293" s="2">
        <v>21427700000000</v>
      </c>
      <c r="Z1293">
        <v>88.2</v>
      </c>
      <c r="AA1293">
        <v>101.8</v>
      </c>
      <c r="AB1293">
        <v>9.6</v>
      </c>
      <c r="AC1293">
        <v>36.6</v>
      </c>
      <c r="AD1293">
        <v>328239523</v>
      </c>
    </row>
    <row r="1294" spans="1:30" hidden="1" x14ac:dyDescent="0.45">
      <c r="A1294">
        <v>1272</v>
      </c>
      <c r="B1294">
        <v>2400</v>
      </c>
      <c r="C1294" t="s">
        <v>126</v>
      </c>
      <c r="D1294" t="s">
        <v>4556</v>
      </c>
      <c r="F1294" t="s">
        <v>128</v>
      </c>
      <c r="G1294" t="s">
        <v>4557</v>
      </c>
      <c r="H1294" t="s">
        <v>590</v>
      </c>
      <c r="I1294" t="s">
        <v>126</v>
      </c>
      <c r="J1294" t="s">
        <v>128</v>
      </c>
      <c r="L1294" t="b">
        <v>1</v>
      </c>
      <c r="M1294" t="s">
        <v>39</v>
      </c>
      <c r="N1294" t="s">
        <v>8245</v>
      </c>
      <c r="O1294"/>
      <c r="P1294" t="s">
        <v>4117</v>
      </c>
      <c r="Q1294" t="s">
        <v>4558</v>
      </c>
      <c r="S1294" s="1">
        <v>45020.209027777775</v>
      </c>
      <c r="W1294">
        <v>125.08</v>
      </c>
      <c r="X1294">
        <v>2.9</v>
      </c>
      <c r="Y1294" s="2">
        <v>19910000000000</v>
      </c>
      <c r="Z1294">
        <v>50.6</v>
      </c>
      <c r="AA1294">
        <v>100.2</v>
      </c>
      <c r="AB1294">
        <v>9.4</v>
      </c>
      <c r="AC1294">
        <v>59.2</v>
      </c>
      <c r="AD1294">
        <v>1397715000</v>
      </c>
    </row>
    <row r="1295" spans="1:30" hidden="1" x14ac:dyDescent="0.45">
      <c r="A1295">
        <v>1272</v>
      </c>
      <c r="B1295">
        <v>2400</v>
      </c>
      <c r="C1295" t="s">
        <v>326</v>
      </c>
      <c r="D1295" t="s">
        <v>4559</v>
      </c>
      <c r="E1295">
        <v>58</v>
      </c>
      <c r="F1295" t="s">
        <v>205</v>
      </c>
      <c r="G1295" t="s">
        <v>3271</v>
      </c>
      <c r="H1295" t="s">
        <v>663</v>
      </c>
      <c r="I1295" t="s">
        <v>326</v>
      </c>
      <c r="J1295" t="s">
        <v>35</v>
      </c>
      <c r="L1295" t="b">
        <v>1</v>
      </c>
      <c r="M1295" t="s">
        <v>39</v>
      </c>
      <c r="N1295" t="s">
        <v>8245</v>
      </c>
      <c r="O1295" s="1">
        <v>23596</v>
      </c>
      <c r="P1295" t="s">
        <v>4560</v>
      </c>
      <c r="Q1295" t="s">
        <v>4561</v>
      </c>
      <c r="S1295" s="1">
        <v>45020.209027777775</v>
      </c>
      <c r="V1295">
        <v>1964</v>
      </c>
      <c r="W1295">
        <v>99.55</v>
      </c>
      <c r="X1295">
        <v>0.4</v>
      </c>
      <c r="Y1295" s="2">
        <v>703082435360</v>
      </c>
      <c r="Z1295">
        <v>59.6</v>
      </c>
      <c r="AA1295">
        <v>105.2</v>
      </c>
      <c r="AB1295">
        <v>10.1</v>
      </c>
      <c r="AC1295">
        <v>28.8</v>
      </c>
      <c r="AD1295">
        <v>8574832</v>
      </c>
    </row>
    <row r="1296" spans="1:30" hidden="1" x14ac:dyDescent="0.45">
      <c r="A1296">
        <v>1272</v>
      </c>
      <c r="B1296">
        <v>2400</v>
      </c>
      <c r="C1296" t="s">
        <v>61</v>
      </c>
      <c r="D1296" t="s">
        <v>4562</v>
      </c>
      <c r="E1296">
        <v>63</v>
      </c>
      <c r="F1296" t="s">
        <v>35</v>
      </c>
      <c r="G1296" t="s">
        <v>4563</v>
      </c>
      <c r="H1296" t="s">
        <v>1909</v>
      </c>
      <c r="I1296" t="s">
        <v>61</v>
      </c>
      <c r="J1296" t="s">
        <v>35</v>
      </c>
      <c r="L1296" t="b">
        <v>0</v>
      </c>
      <c r="M1296" t="s">
        <v>39</v>
      </c>
      <c r="N1296" t="s">
        <v>8245</v>
      </c>
      <c r="O1296" s="1">
        <v>21808</v>
      </c>
      <c r="P1296" t="s">
        <v>1910</v>
      </c>
      <c r="Q1296" t="s">
        <v>520</v>
      </c>
      <c r="S1296" s="1">
        <v>45020.209027777775</v>
      </c>
      <c r="T1296" t="s">
        <v>115</v>
      </c>
      <c r="U1296" t="s">
        <v>53</v>
      </c>
      <c r="V1296">
        <v>1959</v>
      </c>
      <c r="W1296">
        <v>117.24</v>
      </c>
      <c r="X1296">
        <v>7.5</v>
      </c>
      <c r="Y1296" s="2">
        <v>21427700000000</v>
      </c>
      <c r="Z1296">
        <v>88.2</v>
      </c>
      <c r="AA1296">
        <v>101.8</v>
      </c>
      <c r="AB1296">
        <v>9.6</v>
      </c>
      <c r="AC1296">
        <v>36.6</v>
      </c>
      <c r="AD1296">
        <v>328239523</v>
      </c>
    </row>
    <row r="1297" spans="1:30" hidden="1" x14ac:dyDescent="0.45">
      <c r="A1297">
        <v>1272</v>
      </c>
      <c r="B1297">
        <v>2400</v>
      </c>
      <c r="C1297" t="s">
        <v>302</v>
      </c>
      <c r="D1297" t="s">
        <v>4564</v>
      </c>
      <c r="E1297">
        <v>61</v>
      </c>
      <c r="F1297" t="s">
        <v>128</v>
      </c>
      <c r="G1297" t="s">
        <v>129</v>
      </c>
      <c r="H1297" t="s">
        <v>304</v>
      </c>
      <c r="I1297" t="s">
        <v>302</v>
      </c>
      <c r="J1297" t="s">
        <v>128</v>
      </c>
      <c r="L1297" t="b">
        <v>1</v>
      </c>
      <c r="M1297" t="s">
        <v>29</v>
      </c>
      <c r="N1297" t="s">
        <v>8245</v>
      </c>
      <c r="O1297" s="1">
        <v>22733</v>
      </c>
      <c r="P1297" t="s">
        <v>1265</v>
      </c>
      <c r="Q1297" t="s">
        <v>4565</v>
      </c>
      <c r="S1297" s="1">
        <v>45020.209027777775</v>
      </c>
      <c r="V1297">
        <v>1962</v>
      </c>
      <c r="W1297">
        <v>125.08</v>
      </c>
      <c r="X1297">
        <v>2.9</v>
      </c>
      <c r="Y1297" s="2">
        <v>19910000000000</v>
      </c>
      <c r="Z1297">
        <v>50.6</v>
      </c>
      <c r="AA1297">
        <v>100.2</v>
      </c>
      <c r="AB1297">
        <v>9.4</v>
      </c>
      <c r="AC1297">
        <v>59.2</v>
      </c>
      <c r="AD1297">
        <v>1397715000</v>
      </c>
    </row>
    <row r="1298" spans="1:30" hidden="1" x14ac:dyDescent="0.45">
      <c r="A1298">
        <v>1272</v>
      </c>
      <c r="B1298">
        <v>2400</v>
      </c>
      <c r="C1298" t="s">
        <v>296</v>
      </c>
      <c r="D1298" t="s">
        <v>4566</v>
      </c>
      <c r="E1298">
        <v>61</v>
      </c>
      <c r="F1298" t="s">
        <v>128</v>
      </c>
      <c r="G1298" t="s">
        <v>129</v>
      </c>
      <c r="H1298" t="s">
        <v>4567</v>
      </c>
      <c r="I1298" t="s">
        <v>296</v>
      </c>
      <c r="J1298" t="s">
        <v>128</v>
      </c>
      <c r="L1298" t="b">
        <v>1</v>
      </c>
      <c r="M1298" t="s">
        <v>29</v>
      </c>
      <c r="N1298" t="s">
        <v>8245</v>
      </c>
      <c r="O1298" s="1">
        <v>22674</v>
      </c>
      <c r="P1298" t="s">
        <v>3727</v>
      </c>
      <c r="Q1298" t="s">
        <v>3882</v>
      </c>
      <c r="S1298" s="1">
        <v>45020.209027777775</v>
      </c>
      <c r="V1298">
        <v>1962</v>
      </c>
      <c r="W1298">
        <v>125.08</v>
      </c>
      <c r="X1298">
        <v>2.9</v>
      </c>
      <c r="Y1298" s="2">
        <v>19910000000000</v>
      </c>
      <c r="Z1298">
        <v>50.6</v>
      </c>
      <c r="AA1298">
        <v>100.2</v>
      </c>
      <c r="AB1298">
        <v>9.4</v>
      </c>
      <c r="AC1298">
        <v>59.2</v>
      </c>
      <c r="AD1298">
        <v>1397715000</v>
      </c>
    </row>
    <row r="1299" spans="1:30" hidden="1" x14ac:dyDescent="0.45">
      <c r="A1299">
        <v>1272</v>
      </c>
      <c r="B1299">
        <v>2400</v>
      </c>
      <c r="C1299" t="s">
        <v>91</v>
      </c>
      <c r="D1299" t="s">
        <v>4568</v>
      </c>
      <c r="E1299">
        <v>68</v>
      </c>
      <c r="F1299" t="s">
        <v>93</v>
      </c>
      <c r="G1299" t="s">
        <v>94</v>
      </c>
      <c r="H1299" t="s">
        <v>91</v>
      </c>
      <c r="I1299" t="s">
        <v>91</v>
      </c>
      <c r="J1299" t="s">
        <v>93</v>
      </c>
      <c r="L1299" t="b">
        <v>0</v>
      </c>
      <c r="M1299" t="s">
        <v>611</v>
      </c>
      <c r="N1299" t="s">
        <v>8245</v>
      </c>
      <c r="O1299" s="1">
        <v>19876</v>
      </c>
      <c r="P1299" t="s">
        <v>2911</v>
      </c>
      <c r="Q1299" t="s">
        <v>2754</v>
      </c>
      <c r="S1299" s="1">
        <v>45020.209027777775</v>
      </c>
      <c r="V1299">
        <v>1954</v>
      </c>
      <c r="W1299">
        <v>180.44</v>
      </c>
      <c r="X1299">
        <v>7.7</v>
      </c>
      <c r="Y1299" s="2">
        <v>2611000000000</v>
      </c>
      <c r="Z1299">
        <v>28.1</v>
      </c>
      <c r="AA1299">
        <v>113</v>
      </c>
      <c r="AB1299">
        <v>11.2</v>
      </c>
      <c r="AC1299">
        <v>49.7</v>
      </c>
      <c r="AD1299">
        <v>1366417754</v>
      </c>
    </row>
    <row r="1300" spans="1:30" hidden="1" x14ac:dyDescent="0.45">
      <c r="A1300">
        <v>1272</v>
      </c>
      <c r="B1300">
        <v>2400</v>
      </c>
      <c r="C1300" t="s">
        <v>61</v>
      </c>
      <c r="D1300" t="s">
        <v>4569</v>
      </c>
      <c r="E1300">
        <v>63</v>
      </c>
      <c r="F1300" t="s">
        <v>205</v>
      </c>
      <c r="G1300" t="s">
        <v>601</v>
      </c>
      <c r="H1300" t="s">
        <v>2380</v>
      </c>
      <c r="I1300" t="s">
        <v>61</v>
      </c>
      <c r="J1300" t="s">
        <v>205</v>
      </c>
      <c r="L1300" t="b">
        <v>1</v>
      </c>
      <c r="M1300" t="s">
        <v>39</v>
      </c>
      <c r="N1300" t="s">
        <v>8245</v>
      </c>
      <c r="O1300" s="1">
        <v>21916</v>
      </c>
      <c r="P1300" t="s">
        <v>4570</v>
      </c>
      <c r="Q1300" t="s">
        <v>2026</v>
      </c>
      <c r="S1300" s="1">
        <v>45020.209027777775</v>
      </c>
      <c r="V1300">
        <v>1960</v>
      </c>
      <c r="W1300">
        <v>99.55</v>
      </c>
      <c r="X1300">
        <v>0.4</v>
      </c>
      <c r="Y1300" s="2">
        <v>703082435360</v>
      </c>
      <c r="Z1300">
        <v>59.6</v>
      </c>
      <c r="AA1300">
        <v>105.2</v>
      </c>
      <c r="AB1300">
        <v>10.1</v>
      </c>
      <c r="AC1300">
        <v>28.8</v>
      </c>
      <c r="AD1300">
        <v>8574832</v>
      </c>
    </row>
    <row r="1301" spans="1:30" hidden="1" x14ac:dyDescent="0.45">
      <c r="A1301">
        <v>1272</v>
      </c>
      <c r="B1301">
        <v>2400</v>
      </c>
      <c r="C1301" t="s">
        <v>45</v>
      </c>
      <c r="D1301" t="s">
        <v>4571</v>
      </c>
      <c r="E1301">
        <v>55</v>
      </c>
      <c r="F1301" t="s">
        <v>641</v>
      </c>
      <c r="G1301" t="s">
        <v>1748</v>
      </c>
      <c r="H1301" t="s">
        <v>1936</v>
      </c>
      <c r="I1301" t="s">
        <v>45</v>
      </c>
      <c r="J1301" t="s">
        <v>641</v>
      </c>
      <c r="L1301" t="b">
        <v>1</v>
      </c>
      <c r="M1301" t="s">
        <v>39</v>
      </c>
      <c r="N1301" t="s">
        <v>8245</v>
      </c>
      <c r="O1301" s="1">
        <v>24761</v>
      </c>
      <c r="P1301" t="s">
        <v>4572</v>
      </c>
      <c r="Q1301" t="s">
        <v>4573</v>
      </c>
      <c r="S1301" s="1">
        <v>45020.209027777775</v>
      </c>
      <c r="V1301">
        <v>1967</v>
      </c>
      <c r="W1301">
        <v>115.91</v>
      </c>
      <c r="X1301">
        <v>2.6</v>
      </c>
      <c r="Y1301" s="2">
        <v>909070395161</v>
      </c>
      <c r="Z1301">
        <v>85</v>
      </c>
      <c r="AA1301">
        <v>104.2</v>
      </c>
      <c r="AB1301">
        <v>23</v>
      </c>
      <c r="AC1301">
        <v>41.2</v>
      </c>
      <c r="AD1301">
        <v>17332850</v>
      </c>
    </row>
    <row r="1302" spans="1:30" hidden="1" x14ac:dyDescent="0.45">
      <c r="A1302">
        <v>1272</v>
      </c>
      <c r="B1302">
        <v>2400</v>
      </c>
      <c r="C1302" t="s">
        <v>91</v>
      </c>
      <c r="D1302" t="s">
        <v>4574</v>
      </c>
      <c r="E1302">
        <v>67</v>
      </c>
      <c r="F1302" t="s">
        <v>1111</v>
      </c>
      <c r="G1302" t="s">
        <v>1112</v>
      </c>
      <c r="H1302" t="s">
        <v>91</v>
      </c>
      <c r="I1302" t="s">
        <v>91</v>
      </c>
      <c r="J1302" t="s">
        <v>1111</v>
      </c>
      <c r="L1302" t="b">
        <v>0</v>
      </c>
      <c r="M1302" t="s">
        <v>39</v>
      </c>
      <c r="N1302" t="s">
        <v>8245</v>
      </c>
      <c r="O1302" s="1">
        <v>20361</v>
      </c>
      <c r="P1302" t="s">
        <v>4456</v>
      </c>
      <c r="Q1302" t="s">
        <v>4081</v>
      </c>
      <c r="S1302" s="1">
        <v>45020.209027777775</v>
      </c>
      <c r="V1302">
        <v>1955</v>
      </c>
      <c r="W1302">
        <v>129.61000000000001</v>
      </c>
      <c r="X1302">
        <v>2.5</v>
      </c>
      <c r="Y1302" s="2">
        <v>376795508680</v>
      </c>
      <c r="Z1302">
        <v>35.5</v>
      </c>
      <c r="AA1302">
        <v>107.5</v>
      </c>
      <c r="AB1302">
        <v>14</v>
      </c>
      <c r="AC1302">
        <v>43.1</v>
      </c>
      <c r="AD1302">
        <v>108116615</v>
      </c>
    </row>
    <row r="1303" spans="1:30" hidden="1" x14ac:dyDescent="0.45">
      <c r="A1303">
        <v>1272</v>
      </c>
      <c r="B1303">
        <v>2400</v>
      </c>
      <c r="C1303" t="s">
        <v>91</v>
      </c>
      <c r="D1303" t="s">
        <v>4575</v>
      </c>
      <c r="E1303">
        <v>66</v>
      </c>
      <c r="F1303" t="s">
        <v>1111</v>
      </c>
      <c r="G1303" t="s">
        <v>1112</v>
      </c>
      <c r="H1303" t="s">
        <v>91</v>
      </c>
      <c r="I1303" t="s">
        <v>91</v>
      </c>
      <c r="J1303" t="s">
        <v>1111</v>
      </c>
      <c r="L1303" t="b">
        <v>0</v>
      </c>
      <c r="M1303" t="s">
        <v>39</v>
      </c>
      <c r="N1303" t="s">
        <v>8245</v>
      </c>
      <c r="O1303" s="1">
        <v>20729</v>
      </c>
      <c r="P1303" t="s">
        <v>4456</v>
      </c>
      <c r="Q1303" t="s">
        <v>2581</v>
      </c>
      <c r="S1303" s="1">
        <v>45020.209027777775</v>
      </c>
      <c r="V1303">
        <v>1956</v>
      </c>
      <c r="W1303">
        <v>129.61000000000001</v>
      </c>
      <c r="X1303">
        <v>2.5</v>
      </c>
      <c r="Y1303" s="2">
        <v>376795508680</v>
      </c>
      <c r="Z1303">
        <v>35.5</v>
      </c>
      <c r="AA1303">
        <v>107.5</v>
      </c>
      <c r="AB1303">
        <v>14</v>
      </c>
      <c r="AC1303">
        <v>43.1</v>
      </c>
      <c r="AD1303">
        <v>108116615</v>
      </c>
    </row>
    <row r="1304" spans="1:30" hidden="1" x14ac:dyDescent="0.45">
      <c r="A1304">
        <v>1272</v>
      </c>
      <c r="B1304">
        <v>2400</v>
      </c>
      <c r="C1304" t="s">
        <v>91</v>
      </c>
      <c r="D1304" t="s">
        <v>4576</v>
      </c>
      <c r="E1304">
        <v>88</v>
      </c>
      <c r="F1304" t="s">
        <v>1111</v>
      </c>
      <c r="G1304" t="s">
        <v>1112</v>
      </c>
      <c r="H1304" t="s">
        <v>91</v>
      </c>
      <c r="I1304" t="s">
        <v>91</v>
      </c>
      <c r="J1304" t="s">
        <v>1111</v>
      </c>
      <c r="L1304" t="b">
        <v>1</v>
      </c>
      <c r="M1304" t="s">
        <v>29</v>
      </c>
      <c r="N1304" t="s">
        <v>8245</v>
      </c>
      <c r="O1304" s="1">
        <v>12617</v>
      </c>
      <c r="P1304" t="s">
        <v>4458</v>
      </c>
      <c r="Q1304" t="s">
        <v>4577</v>
      </c>
      <c r="S1304" s="1">
        <v>45020.209027777775</v>
      </c>
      <c r="V1304">
        <v>1934</v>
      </c>
      <c r="W1304">
        <v>129.61000000000001</v>
      </c>
      <c r="X1304">
        <v>2.5</v>
      </c>
      <c r="Y1304" s="2">
        <v>376795508680</v>
      </c>
      <c r="Z1304">
        <v>35.5</v>
      </c>
      <c r="AA1304">
        <v>107.5</v>
      </c>
      <c r="AB1304">
        <v>14</v>
      </c>
      <c r="AC1304">
        <v>43.1</v>
      </c>
      <c r="AD1304">
        <v>108116615</v>
      </c>
    </row>
    <row r="1305" spans="1:30" hidden="1" x14ac:dyDescent="0.45">
      <c r="A1305">
        <v>1272</v>
      </c>
      <c r="B1305">
        <v>2400</v>
      </c>
      <c r="C1305" t="s">
        <v>45</v>
      </c>
      <c r="D1305" t="s">
        <v>4578</v>
      </c>
      <c r="E1305">
        <v>72</v>
      </c>
      <c r="F1305" t="s">
        <v>1259</v>
      </c>
      <c r="G1305" t="s">
        <v>4579</v>
      </c>
      <c r="H1305" t="s">
        <v>442</v>
      </c>
      <c r="I1305" t="s">
        <v>45</v>
      </c>
      <c r="J1305" t="s">
        <v>1259</v>
      </c>
      <c r="L1305" t="b">
        <v>1</v>
      </c>
      <c r="M1305" t="s">
        <v>39</v>
      </c>
      <c r="N1305" t="s">
        <v>8245</v>
      </c>
      <c r="O1305" s="1">
        <v>18359</v>
      </c>
      <c r="P1305" t="s">
        <v>1323</v>
      </c>
      <c r="Q1305" t="s">
        <v>4580</v>
      </c>
      <c r="S1305" s="1">
        <v>45020.209027777775</v>
      </c>
      <c r="V1305">
        <v>1950</v>
      </c>
      <c r="W1305"/>
      <c r="Y1305"/>
    </row>
    <row r="1306" spans="1:30" hidden="1" x14ac:dyDescent="0.45">
      <c r="A1306">
        <v>1272</v>
      </c>
      <c r="B1306">
        <v>2400</v>
      </c>
      <c r="C1306" t="s">
        <v>76</v>
      </c>
      <c r="D1306" t="s">
        <v>4581</v>
      </c>
      <c r="E1306">
        <v>84</v>
      </c>
      <c r="F1306" t="s">
        <v>35</v>
      </c>
      <c r="G1306" t="s">
        <v>1130</v>
      </c>
      <c r="H1306" t="s">
        <v>1012</v>
      </c>
      <c r="I1306" t="s">
        <v>76</v>
      </c>
      <c r="J1306" t="s">
        <v>35</v>
      </c>
      <c r="L1306" t="b">
        <v>0</v>
      </c>
      <c r="M1306" t="s">
        <v>29</v>
      </c>
      <c r="N1306" t="s">
        <v>8245</v>
      </c>
      <c r="O1306" s="1">
        <v>14203</v>
      </c>
      <c r="P1306" t="s">
        <v>4582</v>
      </c>
      <c r="Q1306" t="s">
        <v>4335</v>
      </c>
      <c r="S1306" s="1">
        <v>45020.209027777775</v>
      </c>
      <c r="T1306" t="s">
        <v>1134</v>
      </c>
      <c r="U1306" t="s">
        <v>44</v>
      </c>
      <c r="V1306">
        <v>1938</v>
      </c>
      <c r="W1306">
        <v>117.24</v>
      </c>
      <c r="X1306">
        <v>7.5</v>
      </c>
      <c r="Y1306" s="2">
        <v>21427700000000</v>
      </c>
      <c r="Z1306">
        <v>88.2</v>
      </c>
      <c r="AA1306">
        <v>101.8</v>
      </c>
      <c r="AB1306">
        <v>9.6</v>
      </c>
      <c r="AC1306">
        <v>36.6</v>
      </c>
      <c r="AD1306">
        <v>328239523</v>
      </c>
    </row>
    <row r="1307" spans="1:30" hidden="1" x14ac:dyDescent="0.45">
      <c r="A1307">
        <v>1272</v>
      </c>
      <c r="B1307">
        <v>2400</v>
      </c>
      <c r="C1307" t="s">
        <v>302</v>
      </c>
      <c r="D1307" t="s">
        <v>4583</v>
      </c>
      <c r="E1307">
        <v>84</v>
      </c>
      <c r="F1307" t="s">
        <v>35</v>
      </c>
      <c r="G1307" t="s">
        <v>78</v>
      </c>
      <c r="H1307" t="s">
        <v>304</v>
      </c>
      <c r="I1307" t="s">
        <v>302</v>
      </c>
      <c r="J1307" t="s">
        <v>35</v>
      </c>
      <c r="L1307" t="b">
        <v>1</v>
      </c>
      <c r="M1307" t="s">
        <v>29</v>
      </c>
      <c r="N1307" t="s">
        <v>8245</v>
      </c>
      <c r="O1307" s="1">
        <v>14099</v>
      </c>
      <c r="P1307" t="s">
        <v>4584</v>
      </c>
      <c r="Q1307" t="s">
        <v>169</v>
      </c>
      <c r="S1307" s="1">
        <v>45020.209027777775</v>
      </c>
      <c r="T1307" t="s">
        <v>78</v>
      </c>
      <c r="U1307" t="s">
        <v>82</v>
      </c>
      <c r="V1307">
        <v>1938</v>
      </c>
      <c r="W1307">
        <v>117.24</v>
      </c>
      <c r="X1307">
        <v>7.5</v>
      </c>
      <c r="Y1307" s="2">
        <v>21427700000000</v>
      </c>
      <c r="Z1307">
        <v>88.2</v>
      </c>
      <c r="AA1307">
        <v>101.8</v>
      </c>
      <c r="AB1307">
        <v>9.6</v>
      </c>
      <c r="AC1307">
        <v>36.6</v>
      </c>
      <c r="AD1307">
        <v>328239523</v>
      </c>
    </row>
    <row r="1308" spans="1:30" hidden="1" x14ac:dyDescent="0.45">
      <c r="A1308">
        <v>1272</v>
      </c>
      <c r="B1308">
        <v>2400</v>
      </c>
      <c r="C1308" t="s">
        <v>61</v>
      </c>
      <c r="D1308" t="s">
        <v>4585</v>
      </c>
      <c r="E1308">
        <v>61</v>
      </c>
      <c r="F1308" t="s">
        <v>205</v>
      </c>
      <c r="G1308" t="s">
        <v>3271</v>
      </c>
      <c r="H1308" t="s">
        <v>930</v>
      </c>
      <c r="I1308" t="s">
        <v>61</v>
      </c>
      <c r="J1308" t="s">
        <v>205</v>
      </c>
      <c r="L1308" t="b">
        <v>1</v>
      </c>
      <c r="M1308" t="s">
        <v>39</v>
      </c>
      <c r="N1308" t="s">
        <v>8245</v>
      </c>
      <c r="O1308" s="1">
        <v>22518</v>
      </c>
      <c r="P1308" t="s">
        <v>4586</v>
      </c>
      <c r="Q1308" t="s">
        <v>4587</v>
      </c>
      <c r="S1308" s="1">
        <v>45020.209027777775</v>
      </c>
      <c r="V1308">
        <v>1961</v>
      </c>
      <c r="W1308">
        <v>99.55</v>
      </c>
      <c r="X1308">
        <v>0.4</v>
      </c>
      <c r="Y1308" s="2">
        <v>703082435360</v>
      </c>
      <c r="Z1308">
        <v>59.6</v>
      </c>
      <c r="AA1308">
        <v>105.2</v>
      </c>
      <c r="AB1308">
        <v>10.1</v>
      </c>
      <c r="AC1308">
        <v>28.8</v>
      </c>
      <c r="AD1308">
        <v>8574832</v>
      </c>
    </row>
    <row r="1309" spans="1:30" x14ac:dyDescent="0.45">
      <c r="A1309">
        <v>1272</v>
      </c>
      <c r="B1309" s="6">
        <v>2400</v>
      </c>
      <c r="C1309" t="s">
        <v>45</v>
      </c>
      <c r="D1309" t="s">
        <v>4588</v>
      </c>
      <c r="E1309">
        <v>54</v>
      </c>
      <c r="F1309" t="s">
        <v>35</v>
      </c>
      <c r="G1309" t="s">
        <v>2704</v>
      </c>
      <c r="H1309" t="s">
        <v>3412</v>
      </c>
      <c r="I1309" t="s">
        <v>45</v>
      </c>
      <c r="J1309" t="s">
        <v>35</v>
      </c>
      <c r="K1309" t="s">
        <v>3413</v>
      </c>
      <c r="L1309" t="b">
        <v>1</v>
      </c>
      <c r="M1309" t="s">
        <v>39</v>
      </c>
      <c r="N1309" t="s">
        <v>8245</v>
      </c>
      <c r="O1309" s="10">
        <v>25148</v>
      </c>
      <c r="P1309" t="s">
        <v>1179</v>
      </c>
      <c r="Q1309" t="s">
        <v>707</v>
      </c>
      <c r="R1309" t="s">
        <v>138</v>
      </c>
      <c r="S1309" s="8">
        <v>45020.209027777775</v>
      </c>
      <c r="T1309" t="s">
        <v>115</v>
      </c>
      <c r="U1309" t="s">
        <v>53</v>
      </c>
      <c r="V1309">
        <v>1968</v>
      </c>
      <c r="W1309" s="12">
        <v>117.24</v>
      </c>
      <c r="X1309">
        <v>7.5</v>
      </c>
      <c r="Y1309" s="14">
        <v>21427700000000</v>
      </c>
      <c r="Z1309">
        <v>88.2</v>
      </c>
      <c r="AA1309">
        <v>101.8</v>
      </c>
      <c r="AB1309">
        <v>9.6</v>
      </c>
      <c r="AC1309">
        <v>36.6</v>
      </c>
      <c r="AD1309">
        <v>328239523</v>
      </c>
    </row>
    <row r="1310" spans="1:30" hidden="1" x14ac:dyDescent="0.45">
      <c r="A1310">
        <v>1272</v>
      </c>
      <c r="B1310">
        <v>2400</v>
      </c>
      <c r="C1310" t="s">
        <v>296</v>
      </c>
      <c r="D1310" t="s">
        <v>4589</v>
      </c>
      <c r="E1310">
        <v>53</v>
      </c>
      <c r="F1310" t="s">
        <v>128</v>
      </c>
      <c r="G1310" t="s">
        <v>2993</v>
      </c>
      <c r="H1310" t="s">
        <v>4590</v>
      </c>
      <c r="I1310" t="s">
        <v>296</v>
      </c>
      <c r="J1310" t="s">
        <v>128</v>
      </c>
      <c r="L1310" t="b">
        <v>1</v>
      </c>
      <c r="M1310" t="s">
        <v>39</v>
      </c>
      <c r="N1310" t="s">
        <v>8245</v>
      </c>
      <c r="O1310" s="1">
        <v>25355</v>
      </c>
      <c r="P1310" t="s">
        <v>1179</v>
      </c>
      <c r="Q1310" t="s">
        <v>4591</v>
      </c>
      <c r="S1310" s="1">
        <v>45020.209027777775</v>
      </c>
      <c r="V1310">
        <v>1969</v>
      </c>
      <c r="W1310">
        <v>125.08</v>
      </c>
      <c r="X1310">
        <v>2.9</v>
      </c>
      <c r="Y1310" s="2">
        <v>19910000000000</v>
      </c>
      <c r="Z1310">
        <v>50.6</v>
      </c>
      <c r="AA1310">
        <v>100.2</v>
      </c>
      <c r="AB1310">
        <v>9.4</v>
      </c>
      <c r="AC1310">
        <v>59.2</v>
      </c>
      <c r="AD1310">
        <v>1397715000</v>
      </c>
    </row>
    <row r="1311" spans="1:30" hidden="1" x14ac:dyDescent="0.45">
      <c r="A1311">
        <v>1272</v>
      </c>
      <c r="B1311">
        <v>2400</v>
      </c>
      <c r="C1311" t="s">
        <v>296</v>
      </c>
      <c r="D1311" t="s">
        <v>4592</v>
      </c>
      <c r="E1311">
        <v>54</v>
      </c>
      <c r="F1311" t="s">
        <v>128</v>
      </c>
      <c r="G1311" t="s">
        <v>2855</v>
      </c>
      <c r="H1311" t="s">
        <v>399</v>
      </c>
      <c r="I1311" t="s">
        <v>296</v>
      </c>
      <c r="J1311" t="s">
        <v>128</v>
      </c>
      <c r="L1311" t="b">
        <v>1</v>
      </c>
      <c r="M1311" t="s">
        <v>39</v>
      </c>
      <c r="N1311" t="s">
        <v>8245</v>
      </c>
      <c r="O1311" s="1">
        <v>25090</v>
      </c>
      <c r="P1311" t="s">
        <v>1179</v>
      </c>
      <c r="Q1311" t="s">
        <v>4593</v>
      </c>
      <c r="S1311" s="1">
        <v>45020.209027777775</v>
      </c>
      <c r="V1311">
        <v>1968</v>
      </c>
      <c r="W1311">
        <v>125.08</v>
      </c>
      <c r="X1311">
        <v>2.9</v>
      </c>
      <c r="Y1311" s="2">
        <v>19910000000000</v>
      </c>
      <c r="Z1311">
        <v>50.6</v>
      </c>
      <c r="AA1311">
        <v>100.2</v>
      </c>
      <c r="AB1311">
        <v>9.4</v>
      </c>
      <c r="AC1311">
        <v>59.2</v>
      </c>
      <c r="AD1311">
        <v>1397715000</v>
      </c>
    </row>
    <row r="1312" spans="1:30" x14ac:dyDescent="0.45">
      <c r="A1312">
        <v>1272</v>
      </c>
      <c r="B1312" s="6">
        <v>2400</v>
      </c>
      <c r="C1312" t="s">
        <v>302</v>
      </c>
      <c r="D1312" t="s">
        <v>4594</v>
      </c>
      <c r="E1312">
        <v>85</v>
      </c>
      <c r="F1312" t="s">
        <v>35</v>
      </c>
      <c r="G1312" t="s">
        <v>78</v>
      </c>
      <c r="H1312" t="s">
        <v>4595</v>
      </c>
      <c r="I1312" t="s">
        <v>302</v>
      </c>
      <c r="J1312" t="s">
        <v>35</v>
      </c>
      <c r="K1312" t="s">
        <v>4596</v>
      </c>
      <c r="L1312" t="b">
        <v>1</v>
      </c>
      <c r="M1312" t="s">
        <v>39</v>
      </c>
      <c r="N1312" t="s">
        <v>8245</v>
      </c>
      <c r="O1312" s="10">
        <v>13670</v>
      </c>
      <c r="P1312" t="s">
        <v>4597</v>
      </c>
      <c r="Q1312" t="s">
        <v>4598</v>
      </c>
      <c r="R1312" t="s">
        <v>32</v>
      </c>
      <c r="S1312" s="8">
        <v>45020.209027777775</v>
      </c>
      <c r="T1312" t="s">
        <v>78</v>
      </c>
      <c r="U1312" t="s">
        <v>82</v>
      </c>
      <c r="V1312">
        <v>1937</v>
      </c>
      <c r="W1312" s="12">
        <v>117.24</v>
      </c>
      <c r="X1312">
        <v>7.5</v>
      </c>
      <c r="Y1312" s="14">
        <v>21427700000000</v>
      </c>
      <c r="Z1312">
        <v>88.2</v>
      </c>
      <c r="AA1312">
        <v>101.8</v>
      </c>
      <c r="AB1312">
        <v>9.6</v>
      </c>
      <c r="AC1312">
        <v>36.6</v>
      </c>
      <c r="AD1312">
        <v>328239523</v>
      </c>
    </row>
    <row r="1313" spans="1:30" hidden="1" x14ac:dyDescent="0.45">
      <c r="A1313">
        <v>1312</v>
      </c>
      <c r="B1313">
        <v>2300</v>
      </c>
      <c r="C1313" t="s">
        <v>61</v>
      </c>
      <c r="D1313" t="s">
        <v>4599</v>
      </c>
      <c r="E1313">
        <v>63</v>
      </c>
      <c r="F1313" t="s">
        <v>272</v>
      </c>
      <c r="G1313" t="s">
        <v>273</v>
      </c>
      <c r="H1313" t="s">
        <v>248</v>
      </c>
      <c r="I1313" t="s">
        <v>61</v>
      </c>
      <c r="J1313" t="s">
        <v>1486</v>
      </c>
      <c r="K1313" t="s">
        <v>4600</v>
      </c>
      <c r="L1313" t="b">
        <v>1</v>
      </c>
      <c r="M1313" t="s">
        <v>39</v>
      </c>
      <c r="N1313" t="s">
        <v>8245</v>
      </c>
      <c r="O1313" s="1">
        <v>21885</v>
      </c>
      <c r="P1313" t="s">
        <v>4601</v>
      </c>
      <c r="Q1313" t="s">
        <v>225</v>
      </c>
      <c r="S1313" s="1">
        <v>45020.209027777775</v>
      </c>
      <c r="V1313">
        <v>1959</v>
      </c>
      <c r="W1313">
        <v>119.62</v>
      </c>
      <c r="X1313">
        <v>1.7</v>
      </c>
      <c r="Y1313" s="2">
        <v>2827113184696</v>
      </c>
      <c r="Z1313">
        <v>60</v>
      </c>
      <c r="AA1313">
        <v>101.2</v>
      </c>
      <c r="AB1313">
        <v>25.5</v>
      </c>
      <c r="AC1313">
        <v>30.6</v>
      </c>
      <c r="AD1313">
        <v>66834405</v>
      </c>
    </row>
    <row r="1314" spans="1:30" hidden="1" x14ac:dyDescent="0.45">
      <c r="A1314">
        <v>1312</v>
      </c>
      <c r="B1314">
        <v>2300</v>
      </c>
      <c r="C1314" t="s">
        <v>347</v>
      </c>
      <c r="D1314" t="s">
        <v>4602</v>
      </c>
      <c r="E1314">
        <v>66</v>
      </c>
      <c r="F1314" t="s">
        <v>35</v>
      </c>
      <c r="G1314" t="s">
        <v>159</v>
      </c>
      <c r="H1314" t="s">
        <v>2162</v>
      </c>
      <c r="I1314" t="s">
        <v>347</v>
      </c>
      <c r="J1314" t="s">
        <v>35</v>
      </c>
      <c r="L1314" t="b">
        <v>0</v>
      </c>
      <c r="M1314" t="s">
        <v>29</v>
      </c>
      <c r="N1314" t="s">
        <v>8245</v>
      </c>
      <c r="O1314" s="1">
        <v>20599</v>
      </c>
      <c r="P1314" t="s">
        <v>2163</v>
      </c>
      <c r="Q1314" t="s">
        <v>305</v>
      </c>
      <c r="S1314" s="1">
        <v>45020.209027777775</v>
      </c>
      <c r="T1314" t="s">
        <v>43</v>
      </c>
      <c r="U1314" t="s">
        <v>44</v>
      </c>
      <c r="V1314">
        <v>1956</v>
      </c>
      <c r="W1314">
        <v>117.24</v>
      </c>
      <c r="X1314">
        <v>7.5</v>
      </c>
      <c r="Y1314" s="2">
        <v>21427700000000</v>
      </c>
      <c r="Z1314">
        <v>88.2</v>
      </c>
      <c r="AA1314">
        <v>101.8</v>
      </c>
      <c r="AB1314">
        <v>9.6</v>
      </c>
      <c r="AC1314">
        <v>36.6</v>
      </c>
      <c r="AD1314">
        <v>328239523</v>
      </c>
    </row>
    <row r="1315" spans="1:30" hidden="1" x14ac:dyDescent="0.45">
      <c r="A1315">
        <v>1312</v>
      </c>
      <c r="B1315">
        <v>2300</v>
      </c>
      <c r="C1315" t="s">
        <v>45</v>
      </c>
      <c r="D1315" t="s">
        <v>4603</v>
      </c>
      <c r="E1315">
        <v>43</v>
      </c>
      <c r="F1315" t="s">
        <v>35</v>
      </c>
      <c r="G1315" t="s">
        <v>991</v>
      </c>
      <c r="H1315" t="s">
        <v>4604</v>
      </c>
      <c r="I1315" t="s">
        <v>45</v>
      </c>
      <c r="J1315" t="s">
        <v>35</v>
      </c>
      <c r="L1315" t="b">
        <v>1</v>
      </c>
      <c r="M1315" t="s">
        <v>29</v>
      </c>
      <c r="N1315" t="s">
        <v>8245</v>
      </c>
      <c r="O1315" s="1">
        <v>29300</v>
      </c>
      <c r="P1315" t="s">
        <v>4605</v>
      </c>
      <c r="Q1315" t="s">
        <v>225</v>
      </c>
      <c r="S1315" s="1">
        <v>45020.209027777775</v>
      </c>
      <c r="T1315" t="s">
        <v>115</v>
      </c>
      <c r="U1315" t="s">
        <v>53</v>
      </c>
      <c r="V1315">
        <v>1980</v>
      </c>
      <c r="W1315">
        <v>117.24</v>
      </c>
      <c r="X1315">
        <v>7.5</v>
      </c>
      <c r="Y1315" s="2">
        <v>21427700000000</v>
      </c>
      <c r="Z1315">
        <v>88.2</v>
      </c>
      <c r="AA1315">
        <v>101.8</v>
      </c>
      <c r="AB1315">
        <v>9.6</v>
      </c>
      <c r="AC1315">
        <v>36.6</v>
      </c>
      <c r="AD1315">
        <v>328239523</v>
      </c>
    </row>
    <row r="1316" spans="1:30" hidden="1" x14ac:dyDescent="0.45">
      <c r="A1316">
        <v>1312</v>
      </c>
      <c r="B1316">
        <v>2300</v>
      </c>
      <c r="C1316" t="s">
        <v>45</v>
      </c>
      <c r="D1316" t="s">
        <v>4606</v>
      </c>
      <c r="E1316">
        <v>41</v>
      </c>
      <c r="F1316" t="s">
        <v>35</v>
      </c>
      <c r="G1316" t="s">
        <v>991</v>
      </c>
      <c r="H1316" t="s">
        <v>4604</v>
      </c>
      <c r="I1316" t="s">
        <v>45</v>
      </c>
      <c r="J1316" t="s">
        <v>35</v>
      </c>
      <c r="L1316" t="b">
        <v>1</v>
      </c>
      <c r="M1316" t="s">
        <v>29</v>
      </c>
      <c r="N1316" t="s">
        <v>8245</v>
      </c>
      <c r="O1316" s="1">
        <v>29963</v>
      </c>
      <c r="P1316" t="s">
        <v>4607</v>
      </c>
      <c r="Q1316" t="s">
        <v>4608</v>
      </c>
      <c r="S1316" s="1">
        <v>45020.209027777775</v>
      </c>
      <c r="T1316" t="s">
        <v>115</v>
      </c>
      <c r="U1316" t="s">
        <v>53</v>
      </c>
      <c r="V1316">
        <v>1982</v>
      </c>
      <c r="W1316">
        <v>117.24</v>
      </c>
      <c r="X1316">
        <v>7.5</v>
      </c>
      <c r="Y1316" s="2">
        <v>21427700000000</v>
      </c>
      <c r="Z1316">
        <v>88.2</v>
      </c>
      <c r="AA1316">
        <v>101.8</v>
      </c>
      <c r="AB1316">
        <v>9.6</v>
      </c>
      <c r="AC1316">
        <v>36.6</v>
      </c>
      <c r="AD1316">
        <v>328239523</v>
      </c>
    </row>
    <row r="1317" spans="1:30" hidden="1" x14ac:dyDescent="0.45">
      <c r="A1317">
        <v>1312</v>
      </c>
      <c r="B1317">
        <v>2300</v>
      </c>
      <c r="C1317" t="s">
        <v>23</v>
      </c>
      <c r="D1317" t="s">
        <v>4609</v>
      </c>
      <c r="E1317">
        <v>73</v>
      </c>
      <c r="F1317" t="s">
        <v>35</v>
      </c>
      <c r="G1317" t="s">
        <v>4610</v>
      </c>
      <c r="H1317" t="s">
        <v>4611</v>
      </c>
      <c r="I1317" t="s">
        <v>23</v>
      </c>
      <c r="J1317" t="s">
        <v>35</v>
      </c>
      <c r="L1317" t="b">
        <v>1</v>
      </c>
      <c r="M1317" t="s">
        <v>611</v>
      </c>
      <c r="N1317" t="s">
        <v>8245</v>
      </c>
      <c r="O1317" s="1">
        <v>18148</v>
      </c>
      <c r="P1317" t="s">
        <v>4612</v>
      </c>
      <c r="Q1317" t="s">
        <v>4613</v>
      </c>
      <c r="S1317" s="1">
        <v>45020.209027777775</v>
      </c>
      <c r="T1317" t="s">
        <v>185</v>
      </c>
      <c r="U1317" t="s">
        <v>53</v>
      </c>
      <c r="V1317">
        <v>1949</v>
      </c>
      <c r="W1317">
        <v>117.24</v>
      </c>
      <c r="X1317">
        <v>7.5</v>
      </c>
      <c r="Y1317" s="2">
        <v>21427700000000</v>
      </c>
      <c r="Z1317">
        <v>88.2</v>
      </c>
      <c r="AA1317">
        <v>101.8</v>
      </c>
      <c r="AB1317">
        <v>9.6</v>
      </c>
      <c r="AC1317">
        <v>36.6</v>
      </c>
      <c r="AD1317">
        <v>328239523</v>
      </c>
    </row>
    <row r="1318" spans="1:30" hidden="1" x14ac:dyDescent="0.45">
      <c r="A1318">
        <v>1312</v>
      </c>
      <c r="B1318">
        <v>2300</v>
      </c>
      <c r="C1318" t="s">
        <v>45</v>
      </c>
      <c r="D1318" t="s">
        <v>4614</v>
      </c>
      <c r="E1318">
        <v>91</v>
      </c>
      <c r="F1318" t="s">
        <v>1259</v>
      </c>
      <c r="G1318" t="s">
        <v>4579</v>
      </c>
      <c r="H1318" t="s">
        <v>442</v>
      </c>
      <c r="I1318" t="s">
        <v>45</v>
      </c>
      <c r="J1318" t="s">
        <v>1259</v>
      </c>
      <c r="L1318" t="b">
        <v>1</v>
      </c>
      <c r="M1318" t="s">
        <v>39</v>
      </c>
      <c r="N1318" t="s">
        <v>8245</v>
      </c>
      <c r="O1318" s="1">
        <v>11514</v>
      </c>
      <c r="P1318" t="s">
        <v>2327</v>
      </c>
      <c r="Q1318" t="s">
        <v>1152</v>
      </c>
      <c r="S1318" s="1">
        <v>45020.209027777775</v>
      </c>
      <c r="V1318">
        <v>1931</v>
      </c>
      <c r="W1318"/>
      <c r="Y1318"/>
    </row>
    <row r="1319" spans="1:30" hidden="1" x14ac:dyDescent="0.45">
      <c r="A1319">
        <v>1312</v>
      </c>
      <c r="B1319">
        <v>2300</v>
      </c>
      <c r="C1319" t="s">
        <v>302</v>
      </c>
      <c r="D1319" t="s">
        <v>4615</v>
      </c>
      <c r="E1319">
        <v>78</v>
      </c>
      <c r="F1319" t="s">
        <v>1259</v>
      </c>
      <c r="G1319" t="s">
        <v>1260</v>
      </c>
      <c r="H1319" t="s">
        <v>304</v>
      </c>
      <c r="I1319" t="s">
        <v>302</v>
      </c>
      <c r="J1319" t="s">
        <v>1259</v>
      </c>
      <c r="L1319" t="b">
        <v>1</v>
      </c>
      <c r="M1319" t="s">
        <v>39</v>
      </c>
      <c r="N1319" t="s">
        <v>8245</v>
      </c>
      <c r="O1319" s="1">
        <v>16349</v>
      </c>
      <c r="P1319" t="s">
        <v>4616</v>
      </c>
      <c r="Q1319" t="s">
        <v>4617</v>
      </c>
      <c r="S1319" s="1">
        <v>45020.209027777775</v>
      </c>
      <c r="V1319">
        <v>1944</v>
      </c>
      <c r="W1319"/>
      <c r="Y1319"/>
    </row>
    <row r="1320" spans="1:30" hidden="1" x14ac:dyDescent="0.45">
      <c r="A1320">
        <v>1312</v>
      </c>
      <c r="B1320">
        <v>2300</v>
      </c>
      <c r="C1320" t="s">
        <v>61</v>
      </c>
      <c r="D1320" t="s">
        <v>4618</v>
      </c>
      <c r="E1320">
        <v>73</v>
      </c>
      <c r="H1320" t="s">
        <v>317</v>
      </c>
      <c r="I1320" t="s">
        <v>61</v>
      </c>
      <c r="J1320" t="s">
        <v>1259</v>
      </c>
      <c r="L1320" t="b">
        <v>1</v>
      </c>
      <c r="M1320" t="s">
        <v>258</v>
      </c>
      <c r="N1320" t="s">
        <v>8245</v>
      </c>
      <c r="O1320" s="1">
        <v>18264</v>
      </c>
      <c r="P1320" t="s">
        <v>679</v>
      </c>
      <c r="Q1320" t="s">
        <v>2457</v>
      </c>
      <c r="S1320" s="1">
        <v>45020.209027777775</v>
      </c>
      <c r="V1320">
        <v>1950</v>
      </c>
      <c r="W1320"/>
      <c r="Y1320"/>
    </row>
    <row r="1321" spans="1:30" hidden="1" x14ac:dyDescent="0.45">
      <c r="A1321">
        <v>1312</v>
      </c>
      <c r="B1321">
        <v>2300</v>
      </c>
      <c r="C1321" t="s">
        <v>296</v>
      </c>
      <c r="D1321" t="s">
        <v>4619</v>
      </c>
      <c r="E1321">
        <v>53</v>
      </c>
      <c r="F1321" t="s">
        <v>228</v>
      </c>
      <c r="G1321" t="s">
        <v>228</v>
      </c>
      <c r="H1321" t="s">
        <v>3272</v>
      </c>
      <c r="I1321" t="s">
        <v>296</v>
      </c>
      <c r="J1321" t="s">
        <v>228</v>
      </c>
      <c r="L1321" t="b">
        <v>1</v>
      </c>
      <c r="M1321" t="s">
        <v>611</v>
      </c>
      <c r="N1321" t="s">
        <v>8246</v>
      </c>
      <c r="O1321" s="1">
        <v>25538</v>
      </c>
      <c r="P1321" t="s">
        <v>3656</v>
      </c>
      <c r="Q1321" t="s">
        <v>4620</v>
      </c>
      <c r="S1321" s="1">
        <v>45020.209027777775</v>
      </c>
      <c r="V1321">
        <v>1969</v>
      </c>
      <c r="W1321"/>
      <c r="Y1321"/>
    </row>
    <row r="1322" spans="1:30" hidden="1" x14ac:dyDescent="0.45">
      <c r="A1322">
        <v>1312</v>
      </c>
      <c r="B1322">
        <v>2300</v>
      </c>
      <c r="C1322" t="s">
        <v>45</v>
      </c>
      <c r="D1322" t="s">
        <v>4621</v>
      </c>
      <c r="E1322">
        <v>68</v>
      </c>
      <c r="F1322" t="s">
        <v>93</v>
      </c>
      <c r="G1322" t="s">
        <v>1015</v>
      </c>
      <c r="H1322" t="s">
        <v>1016</v>
      </c>
      <c r="I1322" t="s">
        <v>45</v>
      </c>
      <c r="J1322" t="s">
        <v>93</v>
      </c>
      <c r="L1322" t="b">
        <v>1</v>
      </c>
      <c r="M1322" t="s">
        <v>39</v>
      </c>
      <c r="N1322" t="s">
        <v>8245</v>
      </c>
      <c r="O1322" s="1">
        <v>19881</v>
      </c>
      <c r="P1322" t="s">
        <v>4622</v>
      </c>
      <c r="Q1322" t="s">
        <v>4623</v>
      </c>
      <c r="S1322" s="1">
        <v>45020.209027777775</v>
      </c>
      <c r="V1322">
        <v>1954</v>
      </c>
      <c r="W1322">
        <v>180.44</v>
      </c>
      <c r="X1322">
        <v>7.7</v>
      </c>
      <c r="Y1322" s="2">
        <v>2611000000000</v>
      </c>
      <c r="Z1322">
        <v>28.1</v>
      </c>
      <c r="AA1322">
        <v>113</v>
      </c>
      <c r="AB1322">
        <v>11.2</v>
      </c>
      <c r="AC1322">
        <v>49.7</v>
      </c>
      <c r="AD1322">
        <v>1366417754</v>
      </c>
    </row>
    <row r="1323" spans="1:30" hidden="1" x14ac:dyDescent="0.45">
      <c r="A1323">
        <v>1312</v>
      </c>
      <c r="B1323">
        <v>2300</v>
      </c>
      <c r="C1323" t="s">
        <v>91</v>
      </c>
      <c r="D1323" t="s">
        <v>4624</v>
      </c>
      <c r="E1323">
        <v>62</v>
      </c>
      <c r="F1323" t="s">
        <v>35</v>
      </c>
      <c r="G1323" t="s">
        <v>4625</v>
      </c>
      <c r="H1323" t="s">
        <v>4626</v>
      </c>
      <c r="I1323" t="s">
        <v>91</v>
      </c>
      <c r="J1323" t="s">
        <v>35</v>
      </c>
      <c r="L1323" t="b">
        <v>1</v>
      </c>
      <c r="M1323" t="s">
        <v>29</v>
      </c>
      <c r="N1323" t="s">
        <v>8245</v>
      </c>
      <c r="O1323" s="1">
        <v>22347</v>
      </c>
      <c r="P1323" t="s">
        <v>4627</v>
      </c>
      <c r="Q1323" t="s">
        <v>401</v>
      </c>
      <c r="S1323" s="1">
        <v>45020.209027777775</v>
      </c>
      <c r="T1323" t="s">
        <v>4628</v>
      </c>
      <c r="U1323" t="s">
        <v>44</v>
      </c>
      <c r="V1323">
        <v>1961</v>
      </c>
      <c r="W1323">
        <v>117.24</v>
      </c>
      <c r="X1323">
        <v>7.5</v>
      </c>
      <c r="Y1323" s="2">
        <v>21427700000000</v>
      </c>
      <c r="Z1323">
        <v>88.2</v>
      </c>
      <c r="AA1323">
        <v>101.8</v>
      </c>
      <c r="AB1323">
        <v>9.6</v>
      </c>
      <c r="AC1323">
        <v>36.6</v>
      </c>
      <c r="AD1323">
        <v>328239523</v>
      </c>
    </row>
    <row r="1324" spans="1:30" hidden="1" x14ac:dyDescent="0.45">
      <c r="A1324">
        <v>1312</v>
      </c>
      <c r="B1324">
        <v>2300</v>
      </c>
      <c r="C1324" t="s">
        <v>91</v>
      </c>
      <c r="D1324" t="s">
        <v>4629</v>
      </c>
      <c r="E1324">
        <v>66</v>
      </c>
      <c r="F1324" t="s">
        <v>35</v>
      </c>
      <c r="G1324" t="s">
        <v>4625</v>
      </c>
      <c r="H1324" t="s">
        <v>4626</v>
      </c>
      <c r="I1324" t="s">
        <v>91</v>
      </c>
      <c r="J1324" t="s">
        <v>35</v>
      </c>
      <c r="L1324" t="b">
        <v>1</v>
      </c>
      <c r="M1324" t="s">
        <v>29</v>
      </c>
      <c r="N1324" t="s">
        <v>8245</v>
      </c>
      <c r="O1324" s="1">
        <v>20820</v>
      </c>
      <c r="P1324" t="s">
        <v>4627</v>
      </c>
      <c r="Q1324" t="s">
        <v>358</v>
      </c>
      <c r="S1324" s="1">
        <v>45020.209027777775</v>
      </c>
      <c r="T1324" t="s">
        <v>4628</v>
      </c>
      <c r="U1324" t="s">
        <v>44</v>
      </c>
      <c r="V1324">
        <v>1956</v>
      </c>
      <c r="W1324">
        <v>117.24</v>
      </c>
      <c r="X1324">
        <v>7.5</v>
      </c>
      <c r="Y1324" s="2">
        <v>21427700000000</v>
      </c>
      <c r="Z1324">
        <v>88.2</v>
      </c>
      <c r="AA1324">
        <v>101.8</v>
      </c>
      <c r="AB1324">
        <v>9.6</v>
      </c>
      <c r="AC1324">
        <v>36.6</v>
      </c>
      <c r="AD1324">
        <v>328239523</v>
      </c>
    </row>
    <row r="1325" spans="1:30" hidden="1" x14ac:dyDescent="0.45">
      <c r="A1325">
        <v>1312</v>
      </c>
      <c r="B1325">
        <v>2300</v>
      </c>
      <c r="C1325" t="s">
        <v>45</v>
      </c>
      <c r="D1325" t="s">
        <v>4630</v>
      </c>
      <c r="E1325">
        <v>40</v>
      </c>
      <c r="F1325" t="s">
        <v>577</v>
      </c>
      <c r="G1325" t="s">
        <v>578</v>
      </c>
      <c r="H1325" t="s">
        <v>3830</v>
      </c>
      <c r="I1325" t="s">
        <v>45</v>
      </c>
      <c r="J1325" t="s">
        <v>577</v>
      </c>
      <c r="K1325" t="s">
        <v>3830</v>
      </c>
      <c r="L1325" t="b">
        <v>1</v>
      </c>
      <c r="M1325" t="s">
        <v>39</v>
      </c>
      <c r="N1325" t="s">
        <v>8245</v>
      </c>
      <c r="O1325" s="1">
        <v>30368</v>
      </c>
      <c r="P1325" t="s">
        <v>4631</v>
      </c>
      <c r="Q1325" t="s">
        <v>520</v>
      </c>
      <c r="R1325" t="s">
        <v>42</v>
      </c>
      <c r="S1325" s="1">
        <v>45020.209027777775</v>
      </c>
      <c r="V1325">
        <v>1983</v>
      </c>
      <c r="W1325">
        <v>110.51</v>
      </c>
      <c r="X1325">
        <v>1.8</v>
      </c>
      <c r="Y1325" s="2">
        <v>530832908738</v>
      </c>
      <c r="Z1325">
        <v>67</v>
      </c>
      <c r="AA1325">
        <v>126.6</v>
      </c>
      <c r="AB1325">
        <v>27.9</v>
      </c>
      <c r="AC1325">
        <v>49.1</v>
      </c>
      <c r="AD1325">
        <v>10285453</v>
      </c>
    </row>
    <row r="1326" spans="1:30" x14ac:dyDescent="0.45">
      <c r="A1326">
        <v>1312</v>
      </c>
      <c r="B1326" s="6">
        <v>2300</v>
      </c>
      <c r="C1326" t="s">
        <v>23</v>
      </c>
      <c r="D1326" t="s">
        <v>4632</v>
      </c>
      <c r="E1326">
        <v>61</v>
      </c>
      <c r="F1326" t="s">
        <v>35</v>
      </c>
      <c r="G1326" t="s">
        <v>991</v>
      </c>
      <c r="H1326" t="s">
        <v>4513</v>
      </c>
      <c r="I1326" t="s">
        <v>23</v>
      </c>
      <c r="J1326" t="s">
        <v>35</v>
      </c>
      <c r="K1326" t="s">
        <v>4633</v>
      </c>
      <c r="L1326" t="b">
        <v>0</v>
      </c>
      <c r="M1326" t="s">
        <v>39</v>
      </c>
      <c r="N1326" t="s">
        <v>8245</v>
      </c>
      <c r="O1326" s="10">
        <v>22433</v>
      </c>
      <c r="P1326" t="s">
        <v>1581</v>
      </c>
      <c r="Q1326" t="s">
        <v>225</v>
      </c>
      <c r="R1326" t="s">
        <v>1639</v>
      </c>
      <c r="S1326" s="8">
        <v>45020.209027777775</v>
      </c>
      <c r="T1326" t="s">
        <v>115</v>
      </c>
      <c r="U1326" t="s">
        <v>53</v>
      </c>
      <c r="V1326">
        <v>1961</v>
      </c>
      <c r="W1326" s="12">
        <v>117.24</v>
      </c>
      <c r="X1326">
        <v>7.5</v>
      </c>
      <c r="Y1326" s="14">
        <v>21427700000000</v>
      </c>
      <c r="Z1326">
        <v>88.2</v>
      </c>
      <c r="AA1326">
        <v>101.8</v>
      </c>
      <c r="AB1326">
        <v>9.6</v>
      </c>
      <c r="AC1326">
        <v>36.6</v>
      </c>
      <c r="AD1326">
        <v>328239523</v>
      </c>
    </row>
    <row r="1327" spans="1:30" hidden="1" x14ac:dyDescent="0.45">
      <c r="A1327">
        <v>1312</v>
      </c>
      <c r="B1327">
        <v>2300</v>
      </c>
      <c r="C1327" t="s">
        <v>23</v>
      </c>
      <c r="D1327" t="s">
        <v>4634</v>
      </c>
      <c r="E1327">
        <v>61</v>
      </c>
      <c r="F1327" t="s">
        <v>194</v>
      </c>
      <c r="G1327" t="s">
        <v>3607</v>
      </c>
      <c r="H1327" t="s">
        <v>196</v>
      </c>
      <c r="I1327" t="s">
        <v>23</v>
      </c>
      <c r="J1327" t="s">
        <v>194</v>
      </c>
      <c r="L1327" t="b">
        <v>0</v>
      </c>
      <c r="M1327" t="s">
        <v>29</v>
      </c>
      <c r="N1327" t="s">
        <v>8245</v>
      </c>
      <c r="O1327" s="1">
        <v>22647</v>
      </c>
      <c r="P1327" t="s">
        <v>2489</v>
      </c>
      <c r="Q1327" t="s">
        <v>883</v>
      </c>
      <c r="S1327" s="1">
        <v>45020.209027777775</v>
      </c>
      <c r="V1327">
        <v>1962</v>
      </c>
      <c r="W1327">
        <v>112.85</v>
      </c>
      <c r="X1327">
        <v>1.4</v>
      </c>
      <c r="Y1327" s="2">
        <v>3845630030824</v>
      </c>
      <c r="Z1327">
        <v>70.2</v>
      </c>
      <c r="AA1327">
        <v>104</v>
      </c>
      <c r="AB1327">
        <v>11.5</v>
      </c>
      <c r="AC1327">
        <v>48.8</v>
      </c>
      <c r="AD1327">
        <v>83132799</v>
      </c>
    </row>
    <row r="1328" spans="1:30" hidden="1" x14ac:dyDescent="0.45">
      <c r="A1328">
        <v>1312</v>
      </c>
      <c r="B1328">
        <v>2300</v>
      </c>
      <c r="C1328" t="s">
        <v>689</v>
      </c>
      <c r="D1328" t="s">
        <v>4635</v>
      </c>
      <c r="E1328">
        <v>55</v>
      </c>
      <c r="F1328" t="s">
        <v>2037</v>
      </c>
      <c r="G1328" t="s">
        <v>4636</v>
      </c>
      <c r="H1328" t="s">
        <v>2481</v>
      </c>
      <c r="I1328" t="s">
        <v>689</v>
      </c>
      <c r="J1328" t="s">
        <v>2037</v>
      </c>
      <c r="L1328" t="b">
        <v>1</v>
      </c>
      <c r="M1328" t="s">
        <v>611</v>
      </c>
      <c r="N1328" t="s">
        <v>8245</v>
      </c>
      <c r="O1328" s="1">
        <v>24748</v>
      </c>
      <c r="P1328" t="s">
        <v>4637</v>
      </c>
      <c r="Q1328" t="s">
        <v>4638</v>
      </c>
      <c r="S1328" s="1">
        <v>45020.209027777775</v>
      </c>
      <c r="V1328">
        <v>1967</v>
      </c>
      <c r="W1328">
        <v>234.44</v>
      </c>
      <c r="X1328">
        <v>15.2</v>
      </c>
      <c r="Y1328" s="2">
        <v>754411708203</v>
      </c>
      <c r="Z1328">
        <v>23.9</v>
      </c>
      <c r="AA1328">
        <v>93.2</v>
      </c>
      <c r="AB1328">
        <v>17.899999999999999</v>
      </c>
      <c r="AC1328">
        <v>42.3</v>
      </c>
      <c r="AD1328">
        <v>83429615</v>
      </c>
    </row>
    <row r="1329" spans="1:30" hidden="1" x14ac:dyDescent="0.45">
      <c r="A1329">
        <v>1312</v>
      </c>
      <c r="B1329">
        <v>2300</v>
      </c>
      <c r="C1329" t="s">
        <v>61</v>
      </c>
      <c r="D1329" t="s">
        <v>4639</v>
      </c>
      <c r="E1329">
        <v>45</v>
      </c>
      <c r="F1329" t="s">
        <v>35</v>
      </c>
      <c r="G1329" t="s">
        <v>433</v>
      </c>
      <c r="H1329" t="s">
        <v>930</v>
      </c>
      <c r="I1329" t="s">
        <v>61</v>
      </c>
      <c r="J1329" t="s">
        <v>35</v>
      </c>
      <c r="L1329" t="b">
        <v>0</v>
      </c>
      <c r="M1329" t="s">
        <v>29</v>
      </c>
      <c r="N1329" t="s">
        <v>8245</v>
      </c>
      <c r="O1329" s="1">
        <v>28386</v>
      </c>
      <c r="P1329" t="s">
        <v>2000</v>
      </c>
      <c r="Q1329" t="s">
        <v>4640</v>
      </c>
      <c r="S1329" s="1">
        <v>45020.209027777775</v>
      </c>
      <c r="T1329" t="s">
        <v>435</v>
      </c>
      <c r="U1329" t="s">
        <v>69</v>
      </c>
      <c r="V1329">
        <v>1977</v>
      </c>
      <c r="W1329">
        <v>117.24</v>
      </c>
      <c r="X1329">
        <v>7.5</v>
      </c>
      <c r="Y1329" s="2">
        <v>21427700000000</v>
      </c>
      <c r="Z1329">
        <v>88.2</v>
      </c>
      <c r="AA1329">
        <v>101.8</v>
      </c>
      <c r="AB1329">
        <v>9.6</v>
      </c>
      <c r="AC1329">
        <v>36.6</v>
      </c>
      <c r="AD1329">
        <v>328239523</v>
      </c>
    </row>
    <row r="1330" spans="1:30" hidden="1" x14ac:dyDescent="0.45">
      <c r="A1330">
        <v>1312</v>
      </c>
      <c r="B1330">
        <v>2300</v>
      </c>
      <c r="C1330" t="s">
        <v>45</v>
      </c>
      <c r="D1330" t="s">
        <v>4641</v>
      </c>
      <c r="E1330">
        <v>49</v>
      </c>
      <c r="F1330" t="s">
        <v>128</v>
      </c>
      <c r="G1330" t="s">
        <v>2431</v>
      </c>
      <c r="H1330" t="s">
        <v>296</v>
      </c>
      <c r="I1330" t="s">
        <v>45</v>
      </c>
      <c r="J1330" t="s">
        <v>128</v>
      </c>
      <c r="L1330" t="b">
        <v>1</v>
      </c>
      <c r="M1330" t="s">
        <v>29</v>
      </c>
      <c r="N1330" t="s">
        <v>8245</v>
      </c>
      <c r="O1330" s="1">
        <v>27061</v>
      </c>
      <c r="P1330" t="s">
        <v>748</v>
      </c>
      <c r="Q1330" t="s">
        <v>4642</v>
      </c>
      <c r="S1330" s="1">
        <v>45020.209027777775</v>
      </c>
      <c r="V1330">
        <v>1974</v>
      </c>
      <c r="W1330">
        <v>125.08</v>
      </c>
      <c r="X1330">
        <v>2.9</v>
      </c>
      <c r="Y1330" s="2">
        <v>19910000000000</v>
      </c>
      <c r="Z1330">
        <v>50.6</v>
      </c>
      <c r="AA1330">
        <v>100.2</v>
      </c>
      <c r="AB1330">
        <v>9.4</v>
      </c>
      <c r="AC1330">
        <v>59.2</v>
      </c>
      <c r="AD1330">
        <v>1397715000</v>
      </c>
    </row>
    <row r="1331" spans="1:30" x14ac:dyDescent="0.45">
      <c r="A1331">
        <v>1312</v>
      </c>
      <c r="B1331" s="6">
        <v>2300</v>
      </c>
      <c r="C1331" t="s">
        <v>61</v>
      </c>
      <c r="D1331" t="s">
        <v>4643</v>
      </c>
      <c r="E1331">
        <v>67</v>
      </c>
      <c r="F1331" t="s">
        <v>35</v>
      </c>
      <c r="G1331" t="s">
        <v>964</v>
      </c>
      <c r="H1331" t="s">
        <v>930</v>
      </c>
      <c r="I1331" t="s">
        <v>61</v>
      </c>
      <c r="J1331" t="s">
        <v>35</v>
      </c>
      <c r="K1331" t="s">
        <v>4644</v>
      </c>
      <c r="L1331" t="b">
        <v>1</v>
      </c>
      <c r="M1331" t="s">
        <v>29</v>
      </c>
      <c r="N1331" t="s">
        <v>8245</v>
      </c>
      <c r="O1331" s="10">
        <v>20372</v>
      </c>
      <c r="P1331" t="s">
        <v>4645</v>
      </c>
      <c r="Q1331" t="s">
        <v>1660</v>
      </c>
      <c r="R1331" t="s">
        <v>1639</v>
      </c>
      <c r="S1331" s="8">
        <v>45020.209027777775</v>
      </c>
      <c r="T1331" t="s">
        <v>115</v>
      </c>
      <c r="U1331" t="s">
        <v>53</v>
      </c>
      <c r="V1331">
        <v>1955</v>
      </c>
      <c r="W1331" s="12">
        <v>117.24</v>
      </c>
      <c r="X1331">
        <v>7.5</v>
      </c>
      <c r="Y1331" s="14">
        <v>21427700000000</v>
      </c>
      <c r="Z1331">
        <v>88.2</v>
      </c>
      <c r="AA1331">
        <v>101.8</v>
      </c>
      <c r="AB1331">
        <v>9.6</v>
      </c>
      <c r="AC1331">
        <v>36.6</v>
      </c>
      <c r="AD1331">
        <v>328239523</v>
      </c>
    </row>
    <row r="1332" spans="1:30" hidden="1" x14ac:dyDescent="0.45">
      <c r="A1332">
        <v>1312</v>
      </c>
      <c r="B1332">
        <v>2300</v>
      </c>
      <c r="C1332" t="s">
        <v>45</v>
      </c>
      <c r="D1332" t="s">
        <v>4646</v>
      </c>
      <c r="E1332">
        <v>44</v>
      </c>
      <c r="F1332" t="s">
        <v>928</v>
      </c>
      <c r="G1332" t="s">
        <v>929</v>
      </c>
      <c r="H1332" t="s">
        <v>4647</v>
      </c>
      <c r="I1332" t="s">
        <v>45</v>
      </c>
      <c r="J1332" t="s">
        <v>35</v>
      </c>
      <c r="K1332" t="s">
        <v>4648</v>
      </c>
      <c r="L1332" t="b">
        <v>1</v>
      </c>
      <c r="M1332" t="s">
        <v>39</v>
      </c>
      <c r="N1332" t="s">
        <v>8245</v>
      </c>
      <c r="O1332" s="1">
        <v>28764</v>
      </c>
      <c r="P1332" t="s">
        <v>932</v>
      </c>
      <c r="Q1332" t="s">
        <v>4649</v>
      </c>
      <c r="S1332" s="1">
        <v>45020.209027777775</v>
      </c>
      <c r="V1332">
        <v>1978</v>
      </c>
      <c r="W1332">
        <v>115.16</v>
      </c>
      <c r="X1332">
        <v>0.4</v>
      </c>
      <c r="Y1332" s="2">
        <v>2029000000000</v>
      </c>
      <c r="Z1332">
        <v>94.3</v>
      </c>
      <c r="AA1332">
        <v>98.1</v>
      </c>
      <c r="AB1332">
        <v>15.6</v>
      </c>
      <c r="AC1332">
        <v>33.200000000000003</v>
      </c>
      <c r="AD1332">
        <v>51709098</v>
      </c>
    </row>
    <row r="1333" spans="1:30" hidden="1" x14ac:dyDescent="0.45">
      <c r="A1333">
        <v>1312</v>
      </c>
      <c r="B1333">
        <v>2300</v>
      </c>
      <c r="C1333" t="s">
        <v>126</v>
      </c>
      <c r="D1333" t="s">
        <v>4650</v>
      </c>
      <c r="F1333" t="s">
        <v>128</v>
      </c>
      <c r="G1333" t="s">
        <v>388</v>
      </c>
      <c r="H1333" t="s">
        <v>590</v>
      </c>
      <c r="I1333" t="s">
        <v>126</v>
      </c>
      <c r="J1333" t="s">
        <v>128</v>
      </c>
      <c r="L1333" t="b">
        <v>1</v>
      </c>
      <c r="M1333" t="s">
        <v>39</v>
      </c>
      <c r="N1333" t="s">
        <v>8245</v>
      </c>
      <c r="O1333"/>
      <c r="P1333" t="s">
        <v>1895</v>
      </c>
      <c r="Q1333" t="s">
        <v>3882</v>
      </c>
      <c r="S1333" s="1">
        <v>45020.209027777775</v>
      </c>
      <c r="W1333">
        <v>125.08</v>
      </c>
      <c r="X1333">
        <v>2.9</v>
      </c>
      <c r="Y1333" s="2">
        <v>19910000000000</v>
      </c>
      <c r="Z1333">
        <v>50.6</v>
      </c>
      <c r="AA1333">
        <v>100.2</v>
      </c>
      <c r="AB1333">
        <v>9.4</v>
      </c>
      <c r="AC1333">
        <v>59.2</v>
      </c>
      <c r="AD1333">
        <v>1397715000</v>
      </c>
    </row>
    <row r="1334" spans="1:30" hidden="1" x14ac:dyDescent="0.45">
      <c r="A1334">
        <v>1312</v>
      </c>
      <c r="B1334">
        <v>2300</v>
      </c>
      <c r="C1334" t="s">
        <v>402</v>
      </c>
      <c r="D1334" t="s">
        <v>4651</v>
      </c>
      <c r="E1334">
        <v>58</v>
      </c>
      <c r="F1334" t="s">
        <v>228</v>
      </c>
      <c r="G1334" t="s">
        <v>228</v>
      </c>
      <c r="H1334" t="s">
        <v>610</v>
      </c>
      <c r="I1334" t="s">
        <v>402</v>
      </c>
      <c r="J1334" t="s">
        <v>128</v>
      </c>
      <c r="L1334" t="b">
        <v>1</v>
      </c>
      <c r="M1334" t="s">
        <v>39</v>
      </c>
      <c r="N1334" t="s">
        <v>8245</v>
      </c>
      <c r="O1334" s="1">
        <v>23543</v>
      </c>
      <c r="P1334" t="s">
        <v>2099</v>
      </c>
      <c r="Q1334" t="s">
        <v>4652</v>
      </c>
      <c r="S1334" s="1">
        <v>45020.209027777775</v>
      </c>
      <c r="V1334">
        <v>1964</v>
      </c>
      <c r="W1334"/>
      <c r="Y1334"/>
    </row>
    <row r="1335" spans="1:30" hidden="1" x14ac:dyDescent="0.45">
      <c r="A1335">
        <v>1312</v>
      </c>
      <c r="B1335">
        <v>2300</v>
      </c>
      <c r="C1335" t="s">
        <v>61</v>
      </c>
      <c r="D1335" t="s">
        <v>4653</v>
      </c>
      <c r="E1335">
        <v>70</v>
      </c>
      <c r="F1335" t="s">
        <v>4654</v>
      </c>
      <c r="G1335" t="s">
        <v>4655</v>
      </c>
      <c r="H1335" t="s">
        <v>2380</v>
      </c>
      <c r="I1335" t="s">
        <v>61</v>
      </c>
      <c r="J1335" t="s">
        <v>4654</v>
      </c>
      <c r="L1335" t="b">
        <v>1</v>
      </c>
      <c r="M1335" t="s">
        <v>39</v>
      </c>
      <c r="N1335" t="s">
        <v>8245</v>
      </c>
      <c r="O1335" s="1">
        <v>19236</v>
      </c>
      <c r="P1335" t="s">
        <v>4656</v>
      </c>
      <c r="Q1335" t="s">
        <v>320</v>
      </c>
      <c r="S1335" s="1">
        <v>45020.209027777775</v>
      </c>
      <c r="V1335">
        <v>1952</v>
      </c>
      <c r="W1335"/>
      <c r="Y1335"/>
    </row>
    <row r="1336" spans="1:30" hidden="1" x14ac:dyDescent="0.45">
      <c r="A1336">
        <v>1312</v>
      </c>
      <c r="B1336">
        <v>2300</v>
      </c>
      <c r="C1336" t="s">
        <v>23</v>
      </c>
      <c r="D1336" t="s">
        <v>4657</v>
      </c>
      <c r="E1336">
        <v>20</v>
      </c>
      <c r="H1336" t="s">
        <v>1155</v>
      </c>
      <c r="I1336" t="s">
        <v>23</v>
      </c>
      <c r="J1336" t="s">
        <v>194</v>
      </c>
      <c r="L1336" t="b">
        <v>0</v>
      </c>
      <c r="M1336" t="s">
        <v>39</v>
      </c>
      <c r="N1336" t="s">
        <v>8245</v>
      </c>
      <c r="O1336" s="1">
        <v>37500</v>
      </c>
      <c r="P1336" t="s">
        <v>4658</v>
      </c>
      <c r="Q1336" t="s">
        <v>4659</v>
      </c>
      <c r="S1336" s="1">
        <v>45020.209027777775</v>
      </c>
      <c r="V1336">
        <v>2002</v>
      </c>
      <c r="W1336"/>
      <c r="Y1336"/>
    </row>
    <row r="1337" spans="1:30" hidden="1" x14ac:dyDescent="0.45">
      <c r="A1337">
        <v>1312</v>
      </c>
      <c r="B1337">
        <v>2300</v>
      </c>
      <c r="C1337" t="s">
        <v>126</v>
      </c>
      <c r="D1337" t="s">
        <v>4660</v>
      </c>
      <c r="F1337" t="s">
        <v>128</v>
      </c>
      <c r="G1337" t="s">
        <v>777</v>
      </c>
      <c r="H1337" t="s">
        <v>1344</v>
      </c>
      <c r="I1337" t="s">
        <v>126</v>
      </c>
      <c r="J1337" t="s">
        <v>128</v>
      </c>
      <c r="L1337" t="b">
        <v>1</v>
      </c>
      <c r="M1337" t="s">
        <v>29</v>
      </c>
      <c r="N1337" t="s">
        <v>8246</v>
      </c>
      <c r="O1337"/>
      <c r="P1337" t="s">
        <v>230</v>
      </c>
      <c r="Q1337" t="s">
        <v>4661</v>
      </c>
      <c r="S1337" s="1">
        <v>45020.209027777775</v>
      </c>
      <c r="W1337">
        <v>125.08</v>
      </c>
      <c r="X1337">
        <v>2.9</v>
      </c>
      <c r="Y1337" s="2">
        <v>19910000000000</v>
      </c>
      <c r="Z1337">
        <v>50.6</v>
      </c>
      <c r="AA1337">
        <v>100.2</v>
      </c>
      <c r="AB1337">
        <v>9.4</v>
      </c>
      <c r="AC1337">
        <v>59.2</v>
      </c>
      <c r="AD1337">
        <v>1397715000</v>
      </c>
    </row>
    <row r="1338" spans="1:30" hidden="1" x14ac:dyDescent="0.45">
      <c r="A1338">
        <v>1312</v>
      </c>
      <c r="B1338">
        <v>2300</v>
      </c>
      <c r="C1338" t="s">
        <v>61</v>
      </c>
      <c r="D1338" t="s">
        <v>4662</v>
      </c>
      <c r="E1338">
        <v>45</v>
      </c>
      <c r="F1338" t="s">
        <v>128</v>
      </c>
      <c r="G1338" t="s">
        <v>234</v>
      </c>
      <c r="H1338" t="s">
        <v>2380</v>
      </c>
      <c r="I1338" t="s">
        <v>61</v>
      </c>
      <c r="J1338" t="s">
        <v>128</v>
      </c>
      <c r="L1338" t="b">
        <v>1</v>
      </c>
      <c r="M1338" t="s">
        <v>29</v>
      </c>
      <c r="N1338" t="s">
        <v>8245</v>
      </c>
      <c r="O1338" s="1">
        <v>28491</v>
      </c>
      <c r="P1338" t="s">
        <v>230</v>
      </c>
      <c r="Q1338" t="s">
        <v>2592</v>
      </c>
      <c r="S1338" s="1">
        <v>45020.209027777775</v>
      </c>
      <c r="V1338">
        <v>1978</v>
      </c>
      <c r="W1338">
        <v>125.08</v>
      </c>
      <c r="X1338">
        <v>2.9</v>
      </c>
      <c r="Y1338" s="2">
        <v>19910000000000</v>
      </c>
      <c r="Z1338">
        <v>50.6</v>
      </c>
      <c r="AA1338">
        <v>100.2</v>
      </c>
      <c r="AB1338">
        <v>9.4</v>
      </c>
      <c r="AC1338">
        <v>59.2</v>
      </c>
      <c r="AD1338">
        <v>1397715000</v>
      </c>
    </row>
    <row r="1339" spans="1:30" hidden="1" x14ac:dyDescent="0.45">
      <c r="A1339">
        <v>1312</v>
      </c>
      <c r="B1339">
        <v>2300</v>
      </c>
      <c r="C1339" t="s">
        <v>239</v>
      </c>
      <c r="D1339" t="s">
        <v>4663</v>
      </c>
      <c r="E1339">
        <v>71</v>
      </c>
      <c r="F1339" t="s">
        <v>762</v>
      </c>
      <c r="G1339" t="s">
        <v>889</v>
      </c>
      <c r="H1339" t="s">
        <v>242</v>
      </c>
      <c r="I1339" t="s">
        <v>239</v>
      </c>
      <c r="J1339" t="s">
        <v>762</v>
      </c>
      <c r="L1339" t="b">
        <v>0</v>
      </c>
      <c r="M1339" t="s">
        <v>29</v>
      </c>
      <c r="N1339" t="s">
        <v>8245</v>
      </c>
      <c r="O1339" s="1">
        <v>18856</v>
      </c>
      <c r="P1339" t="s">
        <v>2247</v>
      </c>
      <c r="Q1339" t="s">
        <v>4664</v>
      </c>
      <c r="S1339" s="1">
        <v>45020.209027777775</v>
      </c>
      <c r="V1339">
        <v>1951</v>
      </c>
      <c r="W1339">
        <v>121.46</v>
      </c>
      <c r="X1339">
        <v>0.7</v>
      </c>
      <c r="Y1339" s="2">
        <v>364701517788</v>
      </c>
      <c r="Z1339">
        <v>45.1</v>
      </c>
      <c r="AA1339">
        <v>105.3</v>
      </c>
      <c r="AB1339">
        <v>12</v>
      </c>
      <c r="AC1339">
        <v>38.700000000000003</v>
      </c>
      <c r="AD1339">
        <v>32447385</v>
      </c>
    </row>
    <row r="1340" spans="1:30" hidden="1" x14ac:dyDescent="0.45">
      <c r="A1340">
        <v>1312</v>
      </c>
      <c r="B1340">
        <v>2300</v>
      </c>
      <c r="C1340" t="s">
        <v>126</v>
      </c>
      <c r="D1340" t="s">
        <v>4665</v>
      </c>
      <c r="E1340">
        <v>88</v>
      </c>
      <c r="F1340" t="s">
        <v>93</v>
      </c>
      <c r="G1340" t="s">
        <v>94</v>
      </c>
      <c r="H1340" t="s">
        <v>2022</v>
      </c>
      <c r="I1340" t="s">
        <v>126</v>
      </c>
      <c r="J1340" t="s">
        <v>93</v>
      </c>
      <c r="L1340" t="b">
        <v>0</v>
      </c>
      <c r="M1340" t="s">
        <v>39</v>
      </c>
      <c r="N1340" t="s">
        <v>8245</v>
      </c>
      <c r="O1340" s="1">
        <v>12829</v>
      </c>
      <c r="P1340" t="s">
        <v>3711</v>
      </c>
      <c r="Q1340" t="s">
        <v>4666</v>
      </c>
      <c r="S1340" s="1">
        <v>45020.209027777775</v>
      </c>
      <c r="V1340">
        <v>1935</v>
      </c>
      <c r="W1340">
        <v>180.44</v>
      </c>
      <c r="X1340">
        <v>7.7</v>
      </c>
      <c r="Y1340" s="2">
        <v>2611000000000</v>
      </c>
      <c r="Z1340">
        <v>28.1</v>
      </c>
      <c r="AA1340">
        <v>113</v>
      </c>
      <c r="AB1340">
        <v>11.2</v>
      </c>
      <c r="AC1340">
        <v>49.7</v>
      </c>
      <c r="AD1340">
        <v>1366417754</v>
      </c>
    </row>
    <row r="1341" spans="1:30" hidden="1" x14ac:dyDescent="0.45">
      <c r="A1341">
        <v>1312</v>
      </c>
      <c r="B1341">
        <v>2300</v>
      </c>
      <c r="C1341" t="s">
        <v>126</v>
      </c>
      <c r="D1341" t="s">
        <v>4667</v>
      </c>
      <c r="E1341">
        <v>82</v>
      </c>
      <c r="F1341" t="s">
        <v>35</v>
      </c>
      <c r="G1341" t="s">
        <v>4668</v>
      </c>
      <c r="H1341" t="s">
        <v>4669</v>
      </c>
      <c r="I1341" t="s">
        <v>126</v>
      </c>
      <c r="J1341" t="s">
        <v>35</v>
      </c>
      <c r="L1341" t="b">
        <v>1</v>
      </c>
      <c r="M1341" t="s">
        <v>611</v>
      </c>
      <c r="N1341" t="s">
        <v>8245</v>
      </c>
      <c r="O1341" s="1">
        <v>14987</v>
      </c>
      <c r="P1341" t="s">
        <v>4670</v>
      </c>
      <c r="Q1341" t="s">
        <v>4671</v>
      </c>
      <c r="R1341" t="s">
        <v>605</v>
      </c>
      <c r="S1341" s="1">
        <v>45020.209027777775</v>
      </c>
      <c r="T1341" t="s">
        <v>1827</v>
      </c>
      <c r="V1341">
        <v>1941</v>
      </c>
      <c r="W1341">
        <v>117.24</v>
      </c>
      <c r="X1341">
        <v>7.5</v>
      </c>
      <c r="Y1341" s="2">
        <v>21427700000000</v>
      </c>
      <c r="Z1341">
        <v>88.2</v>
      </c>
      <c r="AA1341">
        <v>101.8</v>
      </c>
      <c r="AB1341">
        <v>9.6</v>
      </c>
      <c r="AC1341">
        <v>36.6</v>
      </c>
      <c r="AD1341">
        <v>328239523</v>
      </c>
    </row>
    <row r="1342" spans="1:30" hidden="1" x14ac:dyDescent="0.45">
      <c r="A1342">
        <v>1312</v>
      </c>
      <c r="B1342">
        <v>2300</v>
      </c>
      <c r="C1342" t="s">
        <v>23</v>
      </c>
      <c r="D1342" t="s">
        <v>4672</v>
      </c>
      <c r="E1342">
        <v>65</v>
      </c>
      <c r="F1342" t="s">
        <v>128</v>
      </c>
      <c r="G1342" t="s">
        <v>3742</v>
      </c>
      <c r="H1342" t="s">
        <v>196</v>
      </c>
      <c r="I1342" t="s">
        <v>23</v>
      </c>
      <c r="J1342" t="s">
        <v>128</v>
      </c>
      <c r="L1342" t="b">
        <v>1</v>
      </c>
      <c r="M1342" t="s">
        <v>39</v>
      </c>
      <c r="N1342" t="s">
        <v>8245</v>
      </c>
      <c r="O1342" s="1">
        <v>21276</v>
      </c>
      <c r="P1342" t="s">
        <v>4673</v>
      </c>
      <c r="Q1342" t="s">
        <v>4674</v>
      </c>
      <c r="S1342" s="1">
        <v>45020.209027777775</v>
      </c>
      <c r="V1342">
        <v>1958</v>
      </c>
      <c r="W1342">
        <v>125.08</v>
      </c>
      <c r="X1342">
        <v>2.9</v>
      </c>
      <c r="Y1342" s="2">
        <v>19910000000000</v>
      </c>
      <c r="Z1342">
        <v>50.6</v>
      </c>
      <c r="AA1342">
        <v>100.2</v>
      </c>
      <c r="AB1342">
        <v>9.4</v>
      </c>
      <c r="AC1342">
        <v>59.2</v>
      </c>
      <c r="AD1342">
        <v>1397715000</v>
      </c>
    </row>
    <row r="1343" spans="1:30" hidden="1" x14ac:dyDescent="0.45">
      <c r="A1343">
        <v>1312</v>
      </c>
      <c r="B1343">
        <v>2300</v>
      </c>
      <c r="C1343" t="s">
        <v>126</v>
      </c>
      <c r="D1343" t="s">
        <v>4675</v>
      </c>
      <c r="E1343">
        <v>55</v>
      </c>
      <c r="F1343" t="s">
        <v>363</v>
      </c>
      <c r="G1343" t="s">
        <v>381</v>
      </c>
      <c r="H1343" t="s">
        <v>4676</v>
      </c>
      <c r="I1343" t="s">
        <v>126</v>
      </c>
      <c r="J1343" t="s">
        <v>363</v>
      </c>
      <c r="L1343" t="b">
        <v>1</v>
      </c>
      <c r="M1343" t="s">
        <v>29</v>
      </c>
      <c r="N1343" t="s">
        <v>8245</v>
      </c>
      <c r="O1343" s="1">
        <v>24568</v>
      </c>
      <c r="P1343" t="s">
        <v>4677</v>
      </c>
      <c r="Q1343" t="s">
        <v>4678</v>
      </c>
      <c r="S1343" s="1">
        <v>45020.209027777775</v>
      </c>
      <c r="V1343">
        <v>1967</v>
      </c>
      <c r="W1343">
        <v>180.75</v>
      </c>
      <c r="X1343">
        <v>4.5</v>
      </c>
      <c r="Y1343" s="2">
        <v>1699876578871</v>
      </c>
      <c r="Z1343">
        <v>81.900000000000006</v>
      </c>
      <c r="AA1343">
        <v>102.6</v>
      </c>
      <c r="AB1343">
        <v>11.4</v>
      </c>
      <c r="AC1343">
        <v>46.2</v>
      </c>
      <c r="AD1343">
        <v>144373535</v>
      </c>
    </row>
    <row r="1344" spans="1:30" hidden="1" x14ac:dyDescent="0.45">
      <c r="A1344">
        <v>1312</v>
      </c>
      <c r="B1344">
        <v>2300</v>
      </c>
      <c r="C1344" t="s">
        <v>126</v>
      </c>
      <c r="D1344" t="s">
        <v>4679</v>
      </c>
      <c r="E1344">
        <v>99</v>
      </c>
      <c r="F1344" t="s">
        <v>35</v>
      </c>
      <c r="G1344" t="s">
        <v>4680</v>
      </c>
      <c r="H1344" t="s">
        <v>4681</v>
      </c>
      <c r="I1344" t="s">
        <v>126</v>
      </c>
      <c r="J1344" t="s">
        <v>35</v>
      </c>
      <c r="L1344" t="b">
        <v>1</v>
      </c>
      <c r="M1344" t="s">
        <v>611</v>
      </c>
      <c r="N1344" t="s">
        <v>8245</v>
      </c>
      <c r="O1344" s="1">
        <v>8501</v>
      </c>
      <c r="P1344" t="s">
        <v>4682</v>
      </c>
      <c r="Q1344" t="s">
        <v>169</v>
      </c>
      <c r="S1344" s="1">
        <v>45020.209027777775</v>
      </c>
      <c r="T1344" t="s">
        <v>115</v>
      </c>
      <c r="U1344" t="s">
        <v>53</v>
      </c>
      <c r="V1344">
        <v>1923</v>
      </c>
      <c r="W1344">
        <v>117.24</v>
      </c>
      <c r="X1344">
        <v>7.5</v>
      </c>
      <c r="Y1344" s="2">
        <v>21427700000000</v>
      </c>
      <c r="Z1344">
        <v>88.2</v>
      </c>
      <c r="AA1344">
        <v>101.8</v>
      </c>
      <c r="AB1344">
        <v>9.6</v>
      </c>
      <c r="AC1344">
        <v>36.6</v>
      </c>
      <c r="AD1344">
        <v>328239523</v>
      </c>
    </row>
    <row r="1345" spans="1:30" hidden="1" x14ac:dyDescent="0.45">
      <c r="A1345">
        <v>1312</v>
      </c>
      <c r="B1345">
        <v>2300</v>
      </c>
      <c r="C1345" t="s">
        <v>23</v>
      </c>
      <c r="D1345" t="s">
        <v>4683</v>
      </c>
      <c r="E1345">
        <v>75</v>
      </c>
      <c r="F1345" t="s">
        <v>35</v>
      </c>
      <c r="G1345" t="s">
        <v>78</v>
      </c>
      <c r="H1345" t="s">
        <v>3954</v>
      </c>
      <c r="I1345" t="s">
        <v>23</v>
      </c>
      <c r="J1345" t="s">
        <v>487</v>
      </c>
      <c r="L1345" t="b">
        <v>1</v>
      </c>
      <c r="M1345" t="s">
        <v>29</v>
      </c>
      <c r="N1345" t="s">
        <v>8245</v>
      </c>
      <c r="O1345" s="1">
        <v>17271</v>
      </c>
      <c r="P1345" t="s">
        <v>4684</v>
      </c>
      <c r="Q1345" t="s">
        <v>169</v>
      </c>
      <c r="S1345" s="1">
        <v>45020.209027777775</v>
      </c>
      <c r="T1345" t="s">
        <v>78</v>
      </c>
      <c r="U1345" t="s">
        <v>82</v>
      </c>
      <c r="V1345">
        <v>1947</v>
      </c>
      <c r="W1345">
        <v>117.24</v>
      </c>
      <c r="X1345">
        <v>7.5</v>
      </c>
      <c r="Y1345" s="2">
        <v>21427700000000</v>
      </c>
      <c r="Z1345">
        <v>88.2</v>
      </c>
      <c r="AA1345">
        <v>101.8</v>
      </c>
      <c r="AB1345">
        <v>9.6</v>
      </c>
      <c r="AC1345">
        <v>36.6</v>
      </c>
      <c r="AD1345">
        <v>328239523</v>
      </c>
    </row>
    <row r="1346" spans="1:30" hidden="1" x14ac:dyDescent="0.45">
      <c r="A1346">
        <v>1312</v>
      </c>
      <c r="B1346">
        <v>2300</v>
      </c>
      <c r="C1346" t="s">
        <v>61</v>
      </c>
      <c r="D1346" t="s">
        <v>4685</v>
      </c>
      <c r="E1346">
        <v>69</v>
      </c>
      <c r="F1346" t="s">
        <v>558</v>
      </c>
      <c r="G1346" t="s">
        <v>4686</v>
      </c>
      <c r="H1346" t="s">
        <v>317</v>
      </c>
      <c r="I1346" t="s">
        <v>61</v>
      </c>
      <c r="J1346" t="s">
        <v>558</v>
      </c>
      <c r="L1346" t="b">
        <v>1</v>
      </c>
      <c r="M1346" t="s">
        <v>39</v>
      </c>
      <c r="N1346" t="s">
        <v>8245</v>
      </c>
      <c r="O1346" s="1">
        <v>19711</v>
      </c>
      <c r="P1346" t="s">
        <v>4687</v>
      </c>
      <c r="Q1346" t="s">
        <v>4688</v>
      </c>
      <c r="S1346" s="1">
        <v>45020.209027777775</v>
      </c>
      <c r="V1346">
        <v>1953</v>
      </c>
      <c r="W1346">
        <v>167.4</v>
      </c>
      <c r="X1346">
        <v>3.7</v>
      </c>
      <c r="Y1346" s="2">
        <v>1839758040766</v>
      </c>
      <c r="Z1346">
        <v>51.3</v>
      </c>
      <c r="AA1346">
        <v>115.4</v>
      </c>
      <c r="AB1346">
        <v>14.2</v>
      </c>
      <c r="AC1346">
        <v>65.099999999999994</v>
      </c>
      <c r="AD1346">
        <v>212559417</v>
      </c>
    </row>
    <row r="1347" spans="1:30" hidden="1" x14ac:dyDescent="0.45">
      <c r="A1347">
        <v>1312</v>
      </c>
      <c r="B1347">
        <v>2300</v>
      </c>
      <c r="C1347" t="s">
        <v>126</v>
      </c>
      <c r="D1347" t="s">
        <v>4689</v>
      </c>
      <c r="F1347" t="s">
        <v>205</v>
      </c>
      <c r="G1347" t="s">
        <v>4259</v>
      </c>
      <c r="H1347" t="s">
        <v>4106</v>
      </c>
      <c r="I1347" t="s">
        <v>126</v>
      </c>
      <c r="J1347" t="s">
        <v>214</v>
      </c>
      <c r="L1347" t="b">
        <v>0</v>
      </c>
      <c r="M1347" t="s">
        <v>285</v>
      </c>
      <c r="N1347" t="s">
        <v>8245</v>
      </c>
      <c r="O1347"/>
      <c r="P1347" t="s">
        <v>4690</v>
      </c>
      <c r="Q1347" t="s">
        <v>4691</v>
      </c>
      <c r="S1347" s="1">
        <v>45020.209027777775</v>
      </c>
      <c r="W1347">
        <v>99.55</v>
      </c>
      <c r="X1347">
        <v>0.4</v>
      </c>
      <c r="Y1347" s="2">
        <v>703082435360</v>
      </c>
      <c r="Z1347">
        <v>59.6</v>
      </c>
      <c r="AA1347">
        <v>105.2</v>
      </c>
      <c r="AB1347">
        <v>10.1</v>
      </c>
      <c r="AC1347">
        <v>28.8</v>
      </c>
      <c r="AD1347">
        <v>8574832</v>
      </c>
    </row>
    <row r="1348" spans="1:30" hidden="1" x14ac:dyDescent="0.45">
      <c r="A1348">
        <v>1312</v>
      </c>
      <c r="B1348">
        <v>2300</v>
      </c>
      <c r="C1348" t="s">
        <v>126</v>
      </c>
      <c r="D1348" t="s">
        <v>4692</v>
      </c>
      <c r="F1348" t="s">
        <v>205</v>
      </c>
      <c r="G1348" t="s">
        <v>4259</v>
      </c>
      <c r="H1348" t="s">
        <v>4106</v>
      </c>
      <c r="I1348" t="s">
        <v>126</v>
      </c>
      <c r="J1348" t="s">
        <v>214</v>
      </c>
      <c r="L1348" t="b">
        <v>0</v>
      </c>
      <c r="M1348" t="s">
        <v>285</v>
      </c>
      <c r="N1348" t="s">
        <v>8245</v>
      </c>
      <c r="O1348"/>
      <c r="P1348" t="s">
        <v>4690</v>
      </c>
      <c r="Q1348" t="s">
        <v>804</v>
      </c>
      <c r="S1348" s="1">
        <v>45020.209027777775</v>
      </c>
      <c r="W1348">
        <v>99.55</v>
      </c>
      <c r="X1348">
        <v>0.4</v>
      </c>
      <c r="Y1348" s="2">
        <v>703082435360</v>
      </c>
      <c r="Z1348">
        <v>59.6</v>
      </c>
      <c r="AA1348">
        <v>105.2</v>
      </c>
      <c r="AB1348">
        <v>10.1</v>
      </c>
      <c r="AC1348">
        <v>28.8</v>
      </c>
      <c r="AD1348">
        <v>8574832</v>
      </c>
    </row>
    <row r="1349" spans="1:30" hidden="1" x14ac:dyDescent="0.45">
      <c r="A1349">
        <v>1312</v>
      </c>
      <c r="B1349">
        <v>2300</v>
      </c>
      <c r="C1349" t="s">
        <v>23</v>
      </c>
      <c r="D1349" t="s">
        <v>4693</v>
      </c>
      <c r="E1349">
        <v>69</v>
      </c>
      <c r="F1349" t="s">
        <v>214</v>
      </c>
      <c r="G1349" t="s">
        <v>802</v>
      </c>
      <c r="H1349" t="s">
        <v>200</v>
      </c>
      <c r="I1349" t="s">
        <v>23</v>
      </c>
      <c r="J1349" t="s">
        <v>214</v>
      </c>
      <c r="L1349" t="b">
        <v>0</v>
      </c>
      <c r="M1349" t="s">
        <v>29</v>
      </c>
      <c r="N1349" t="s">
        <v>8245</v>
      </c>
      <c r="O1349" s="1">
        <v>19776</v>
      </c>
      <c r="P1349" t="s">
        <v>2017</v>
      </c>
      <c r="Q1349" t="s">
        <v>3766</v>
      </c>
      <c r="S1349" s="1">
        <v>45020.209027777775</v>
      </c>
      <c r="V1349">
        <v>1954</v>
      </c>
      <c r="W1349">
        <v>110.62</v>
      </c>
      <c r="X1349">
        <v>0.6</v>
      </c>
      <c r="Y1349" s="2">
        <v>2001244392042</v>
      </c>
      <c r="Z1349">
        <v>61.9</v>
      </c>
      <c r="AA1349">
        <v>101.9</v>
      </c>
      <c r="AB1349">
        <v>24.3</v>
      </c>
      <c r="AC1349">
        <v>59.1</v>
      </c>
      <c r="AD1349">
        <v>60297396</v>
      </c>
    </row>
    <row r="1350" spans="1:30" hidden="1" x14ac:dyDescent="0.45">
      <c r="A1350">
        <v>1312</v>
      </c>
      <c r="B1350">
        <v>2300</v>
      </c>
      <c r="C1350" t="s">
        <v>23</v>
      </c>
      <c r="D1350" t="s">
        <v>4694</v>
      </c>
      <c r="E1350">
        <v>77</v>
      </c>
      <c r="F1350" t="s">
        <v>214</v>
      </c>
      <c r="G1350" t="s">
        <v>802</v>
      </c>
      <c r="H1350" t="s">
        <v>200</v>
      </c>
      <c r="I1350" t="s">
        <v>23</v>
      </c>
      <c r="J1350" t="s">
        <v>214</v>
      </c>
      <c r="L1350" t="b">
        <v>0</v>
      </c>
      <c r="M1350" t="s">
        <v>29</v>
      </c>
      <c r="N1350" t="s">
        <v>8246</v>
      </c>
      <c r="O1350" s="1">
        <v>16632</v>
      </c>
      <c r="P1350" t="s">
        <v>2017</v>
      </c>
      <c r="Q1350" t="s">
        <v>4695</v>
      </c>
      <c r="S1350" s="1">
        <v>45020.209027777775</v>
      </c>
      <c r="V1350">
        <v>1945</v>
      </c>
      <c r="W1350">
        <v>110.62</v>
      </c>
      <c r="X1350">
        <v>0.6</v>
      </c>
      <c r="Y1350" s="2">
        <v>2001244392042</v>
      </c>
      <c r="Z1350">
        <v>61.9</v>
      </c>
      <c r="AA1350">
        <v>101.9</v>
      </c>
      <c r="AB1350">
        <v>24.3</v>
      </c>
      <c r="AC1350">
        <v>59.1</v>
      </c>
      <c r="AD1350">
        <v>60297396</v>
      </c>
    </row>
    <row r="1351" spans="1:30" hidden="1" x14ac:dyDescent="0.45">
      <c r="A1351">
        <v>1312</v>
      </c>
      <c r="B1351">
        <v>2300</v>
      </c>
      <c r="C1351" t="s">
        <v>91</v>
      </c>
      <c r="D1351" t="s">
        <v>4696</v>
      </c>
      <c r="E1351">
        <v>56</v>
      </c>
      <c r="F1351" t="s">
        <v>2037</v>
      </c>
      <c r="G1351" t="s">
        <v>2038</v>
      </c>
      <c r="H1351" t="s">
        <v>91</v>
      </c>
      <c r="I1351" t="s">
        <v>91</v>
      </c>
      <c r="J1351" t="s">
        <v>2037</v>
      </c>
      <c r="L1351" t="b">
        <v>0</v>
      </c>
      <c r="M1351" t="s">
        <v>29</v>
      </c>
      <c r="N1351" t="s">
        <v>8246</v>
      </c>
      <c r="O1351" s="1">
        <v>24517</v>
      </c>
      <c r="P1351" t="s">
        <v>4444</v>
      </c>
      <c r="Q1351" t="s">
        <v>4697</v>
      </c>
      <c r="S1351" s="1">
        <v>45020.209027777775</v>
      </c>
      <c r="V1351">
        <v>1967</v>
      </c>
      <c r="W1351">
        <v>234.44</v>
      </c>
      <c r="X1351">
        <v>15.2</v>
      </c>
      <c r="Y1351" s="2">
        <v>754411708203</v>
      </c>
      <c r="Z1351">
        <v>23.9</v>
      </c>
      <c r="AA1351">
        <v>93.2</v>
      </c>
      <c r="AB1351">
        <v>17.899999999999999</v>
      </c>
      <c r="AC1351">
        <v>42.3</v>
      </c>
      <c r="AD1351">
        <v>83429615</v>
      </c>
    </row>
    <row r="1352" spans="1:30" hidden="1" x14ac:dyDescent="0.45">
      <c r="A1352">
        <v>1312</v>
      </c>
      <c r="B1352">
        <v>2300</v>
      </c>
      <c r="C1352" t="s">
        <v>126</v>
      </c>
      <c r="D1352" t="s">
        <v>4698</v>
      </c>
      <c r="E1352">
        <v>72</v>
      </c>
      <c r="F1352" t="s">
        <v>35</v>
      </c>
      <c r="G1352" t="s">
        <v>2415</v>
      </c>
      <c r="H1352" t="s">
        <v>3079</v>
      </c>
      <c r="I1352" t="s">
        <v>126</v>
      </c>
      <c r="J1352" t="s">
        <v>35</v>
      </c>
      <c r="L1352" t="b">
        <v>0</v>
      </c>
      <c r="M1352" t="s">
        <v>285</v>
      </c>
      <c r="N1352" t="s">
        <v>8245</v>
      </c>
      <c r="O1352" s="1">
        <v>18690</v>
      </c>
      <c r="P1352" t="s">
        <v>3731</v>
      </c>
      <c r="Q1352" t="s">
        <v>1068</v>
      </c>
      <c r="S1352" s="1">
        <v>45020.209027777775</v>
      </c>
      <c r="T1352" t="s">
        <v>253</v>
      </c>
      <c r="U1352" t="s">
        <v>44</v>
      </c>
      <c r="V1352">
        <v>1951</v>
      </c>
      <c r="W1352">
        <v>117.24</v>
      </c>
      <c r="X1352">
        <v>7.5</v>
      </c>
      <c r="Y1352" s="2">
        <v>21427700000000</v>
      </c>
      <c r="Z1352">
        <v>88.2</v>
      </c>
      <c r="AA1352">
        <v>101.8</v>
      </c>
      <c r="AB1352">
        <v>9.6</v>
      </c>
      <c r="AC1352">
        <v>36.6</v>
      </c>
      <c r="AD1352">
        <v>328239523</v>
      </c>
    </row>
    <row r="1353" spans="1:30" hidden="1" x14ac:dyDescent="0.45">
      <c r="A1353">
        <v>1312</v>
      </c>
      <c r="B1353">
        <v>2300</v>
      </c>
      <c r="C1353" t="s">
        <v>61</v>
      </c>
      <c r="D1353" t="s">
        <v>4699</v>
      </c>
      <c r="E1353">
        <v>75</v>
      </c>
      <c r="F1353" t="s">
        <v>205</v>
      </c>
      <c r="G1353" t="s">
        <v>4700</v>
      </c>
      <c r="H1353" t="s">
        <v>317</v>
      </c>
      <c r="I1353" t="s">
        <v>61</v>
      </c>
      <c r="J1353" t="s">
        <v>205</v>
      </c>
      <c r="L1353" t="b">
        <v>0</v>
      </c>
      <c r="M1353" t="s">
        <v>611</v>
      </c>
      <c r="N1353" t="s">
        <v>8245</v>
      </c>
      <c r="O1353" s="1">
        <v>17469</v>
      </c>
      <c r="P1353" t="s">
        <v>1876</v>
      </c>
      <c r="Q1353" t="s">
        <v>4701</v>
      </c>
      <c r="S1353" s="1">
        <v>45020.209027777775</v>
      </c>
      <c r="V1353">
        <v>1947</v>
      </c>
      <c r="W1353">
        <v>99.55</v>
      </c>
      <c r="X1353">
        <v>0.4</v>
      </c>
      <c r="Y1353" s="2">
        <v>703082435360</v>
      </c>
      <c r="Z1353">
        <v>59.6</v>
      </c>
      <c r="AA1353">
        <v>105.2</v>
      </c>
      <c r="AB1353">
        <v>10.1</v>
      </c>
      <c r="AC1353">
        <v>28.8</v>
      </c>
      <c r="AD1353">
        <v>8574832</v>
      </c>
    </row>
    <row r="1354" spans="1:30" hidden="1" x14ac:dyDescent="0.45">
      <c r="A1354">
        <v>1312</v>
      </c>
      <c r="B1354">
        <v>2300</v>
      </c>
      <c r="C1354" t="s">
        <v>402</v>
      </c>
      <c r="D1354" t="s">
        <v>4702</v>
      </c>
      <c r="E1354">
        <v>78</v>
      </c>
      <c r="F1354" t="s">
        <v>205</v>
      </c>
      <c r="G1354" t="s">
        <v>4259</v>
      </c>
      <c r="H1354" t="s">
        <v>645</v>
      </c>
      <c r="I1354" t="s">
        <v>402</v>
      </c>
      <c r="J1354" t="s">
        <v>205</v>
      </c>
      <c r="L1354" t="b">
        <v>0</v>
      </c>
      <c r="M1354" t="s">
        <v>39</v>
      </c>
      <c r="N1354" t="s">
        <v>8245</v>
      </c>
      <c r="O1354" s="1">
        <v>16193</v>
      </c>
      <c r="P1354" t="s">
        <v>4703</v>
      </c>
      <c r="Q1354" t="s">
        <v>3766</v>
      </c>
      <c r="S1354" s="1">
        <v>45020.209027777775</v>
      </c>
      <c r="V1354">
        <v>1944</v>
      </c>
      <c r="W1354">
        <v>99.55</v>
      </c>
      <c r="X1354">
        <v>0.4</v>
      </c>
      <c r="Y1354" s="2">
        <v>703082435360</v>
      </c>
      <c r="Z1354">
        <v>59.6</v>
      </c>
      <c r="AA1354">
        <v>105.2</v>
      </c>
      <c r="AB1354">
        <v>10.1</v>
      </c>
      <c r="AC1354">
        <v>28.8</v>
      </c>
      <c r="AD1354">
        <v>8574832</v>
      </c>
    </row>
    <row r="1355" spans="1:30" hidden="1" x14ac:dyDescent="0.45">
      <c r="A1355">
        <v>1312</v>
      </c>
      <c r="B1355">
        <v>2300</v>
      </c>
      <c r="C1355" t="s">
        <v>302</v>
      </c>
      <c r="D1355" t="s">
        <v>4704</v>
      </c>
      <c r="E1355">
        <v>47</v>
      </c>
      <c r="F1355" t="s">
        <v>35</v>
      </c>
      <c r="G1355" t="s">
        <v>2415</v>
      </c>
      <c r="H1355" t="s">
        <v>4705</v>
      </c>
      <c r="I1355" t="s">
        <v>302</v>
      </c>
      <c r="J1355" t="s">
        <v>35</v>
      </c>
      <c r="L1355" t="b">
        <v>0</v>
      </c>
      <c r="M1355" t="s">
        <v>258</v>
      </c>
      <c r="N1355" t="s">
        <v>8245</v>
      </c>
      <c r="O1355" s="1">
        <v>27535</v>
      </c>
      <c r="P1355" t="s">
        <v>4706</v>
      </c>
      <c r="Q1355" t="s">
        <v>370</v>
      </c>
      <c r="S1355" s="1">
        <v>45020.209027777775</v>
      </c>
      <c r="T1355" t="s">
        <v>253</v>
      </c>
      <c r="U1355" t="s">
        <v>44</v>
      </c>
      <c r="V1355">
        <v>1975</v>
      </c>
      <c r="W1355">
        <v>117.24</v>
      </c>
      <c r="X1355">
        <v>7.5</v>
      </c>
      <c r="Y1355" s="2">
        <v>21427700000000</v>
      </c>
      <c r="Z1355">
        <v>88.2</v>
      </c>
      <c r="AA1355">
        <v>101.8</v>
      </c>
      <c r="AB1355">
        <v>9.6</v>
      </c>
      <c r="AC1355">
        <v>36.6</v>
      </c>
      <c r="AD1355">
        <v>328239523</v>
      </c>
    </row>
    <row r="1356" spans="1:30" hidden="1" x14ac:dyDescent="0.45">
      <c r="A1356">
        <v>1312</v>
      </c>
      <c r="B1356">
        <v>2300</v>
      </c>
      <c r="C1356" t="s">
        <v>23</v>
      </c>
      <c r="D1356" t="s">
        <v>4707</v>
      </c>
      <c r="E1356">
        <v>89</v>
      </c>
      <c r="F1356" t="s">
        <v>228</v>
      </c>
      <c r="G1356" t="s">
        <v>228</v>
      </c>
      <c r="H1356" t="s">
        <v>268</v>
      </c>
      <c r="I1356" t="s">
        <v>23</v>
      </c>
      <c r="J1356" t="s">
        <v>228</v>
      </c>
      <c r="L1356" t="b">
        <v>1</v>
      </c>
      <c r="M1356" t="s">
        <v>39</v>
      </c>
      <c r="N1356" t="s">
        <v>8245</v>
      </c>
      <c r="O1356" s="1">
        <v>12510</v>
      </c>
      <c r="P1356" t="s">
        <v>4708</v>
      </c>
      <c r="Q1356" t="s">
        <v>4709</v>
      </c>
      <c r="S1356" s="1">
        <v>45020.209027777775</v>
      </c>
      <c r="V1356">
        <v>1934</v>
      </c>
      <c r="W1356"/>
      <c r="Y1356"/>
    </row>
    <row r="1357" spans="1:30" hidden="1" x14ac:dyDescent="0.45">
      <c r="A1357">
        <v>1312</v>
      </c>
      <c r="B1357">
        <v>2300</v>
      </c>
      <c r="C1357" t="s">
        <v>45</v>
      </c>
      <c r="D1357" t="s">
        <v>4710</v>
      </c>
      <c r="E1357">
        <v>69</v>
      </c>
      <c r="F1357" t="s">
        <v>128</v>
      </c>
      <c r="G1357" t="s">
        <v>1302</v>
      </c>
      <c r="H1357" t="s">
        <v>4711</v>
      </c>
      <c r="I1357" t="s">
        <v>45</v>
      </c>
      <c r="J1357" t="s">
        <v>128</v>
      </c>
      <c r="L1357" t="b">
        <v>1</v>
      </c>
      <c r="M1357" t="s">
        <v>29</v>
      </c>
      <c r="N1357" t="s">
        <v>8245</v>
      </c>
      <c r="O1357" s="1">
        <v>19713</v>
      </c>
      <c r="P1357" t="s">
        <v>4712</v>
      </c>
      <c r="Q1357" t="s">
        <v>4713</v>
      </c>
      <c r="S1357" s="1">
        <v>45020.209027777775</v>
      </c>
      <c r="V1357">
        <v>1953</v>
      </c>
      <c r="W1357">
        <v>125.08</v>
      </c>
      <c r="X1357">
        <v>2.9</v>
      </c>
      <c r="Y1357" s="2">
        <v>19910000000000</v>
      </c>
      <c r="Z1357">
        <v>50.6</v>
      </c>
      <c r="AA1357">
        <v>100.2</v>
      </c>
      <c r="AB1357">
        <v>9.4</v>
      </c>
      <c r="AC1357">
        <v>59.2</v>
      </c>
      <c r="AD1357">
        <v>1397715000</v>
      </c>
    </row>
    <row r="1358" spans="1:30" hidden="1" x14ac:dyDescent="0.45">
      <c r="A1358">
        <v>1312</v>
      </c>
      <c r="B1358">
        <v>2300</v>
      </c>
      <c r="C1358" t="s">
        <v>61</v>
      </c>
      <c r="D1358" t="s">
        <v>4714</v>
      </c>
      <c r="E1358">
        <v>70</v>
      </c>
      <c r="F1358" t="s">
        <v>1259</v>
      </c>
      <c r="G1358" t="s">
        <v>1260</v>
      </c>
      <c r="H1358" t="s">
        <v>1839</v>
      </c>
      <c r="I1358" t="s">
        <v>61</v>
      </c>
      <c r="J1358" t="s">
        <v>1259</v>
      </c>
      <c r="L1358" t="b">
        <v>0</v>
      </c>
      <c r="M1358" t="s">
        <v>39</v>
      </c>
      <c r="N1358" t="s">
        <v>8245</v>
      </c>
      <c r="O1358" s="1">
        <v>19360</v>
      </c>
      <c r="P1358" t="s">
        <v>1323</v>
      </c>
      <c r="Q1358" t="s">
        <v>4715</v>
      </c>
      <c r="S1358" s="1">
        <v>45020.209027777775</v>
      </c>
      <c r="V1358">
        <v>1953</v>
      </c>
      <c r="W1358"/>
      <c r="Y1358"/>
    </row>
    <row r="1359" spans="1:30" x14ac:dyDescent="0.45">
      <c r="A1359">
        <v>1312</v>
      </c>
      <c r="B1359" s="6">
        <v>2300</v>
      </c>
      <c r="C1359" t="s">
        <v>45</v>
      </c>
      <c r="D1359" t="s">
        <v>4716</v>
      </c>
      <c r="E1359">
        <v>62</v>
      </c>
      <c r="F1359" t="s">
        <v>35</v>
      </c>
      <c r="G1359" t="s">
        <v>4717</v>
      </c>
      <c r="H1359" t="s">
        <v>4718</v>
      </c>
      <c r="I1359" t="s">
        <v>45</v>
      </c>
      <c r="J1359" t="s">
        <v>35</v>
      </c>
      <c r="K1359" t="s">
        <v>4719</v>
      </c>
      <c r="L1359" t="b">
        <v>1</v>
      </c>
      <c r="M1359" t="s">
        <v>29</v>
      </c>
      <c r="N1359" t="s">
        <v>8246</v>
      </c>
      <c r="O1359" s="10">
        <v>22367</v>
      </c>
      <c r="P1359" t="s">
        <v>4720</v>
      </c>
      <c r="Q1359" t="s">
        <v>4721</v>
      </c>
      <c r="R1359" t="s">
        <v>42</v>
      </c>
      <c r="S1359" s="8">
        <v>45020.209027777775</v>
      </c>
      <c r="T1359" t="s">
        <v>115</v>
      </c>
      <c r="U1359" t="s">
        <v>53</v>
      </c>
      <c r="V1359">
        <v>1961</v>
      </c>
      <c r="W1359" s="12">
        <v>117.24</v>
      </c>
      <c r="X1359">
        <v>7.5</v>
      </c>
      <c r="Y1359" s="14">
        <v>21427700000000</v>
      </c>
      <c r="Z1359">
        <v>88.2</v>
      </c>
      <c r="AA1359">
        <v>101.8</v>
      </c>
      <c r="AB1359">
        <v>9.6</v>
      </c>
      <c r="AC1359">
        <v>36.6</v>
      </c>
      <c r="AD1359">
        <v>328239523</v>
      </c>
    </row>
    <row r="1360" spans="1:30" hidden="1" x14ac:dyDescent="0.45">
      <c r="A1360">
        <v>1312</v>
      </c>
      <c r="B1360">
        <v>2300</v>
      </c>
      <c r="C1360" t="s">
        <v>61</v>
      </c>
      <c r="D1360" t="s">
        <v>4722</v>
      </c>
      <c r="E1360">
        <v>56</v>
      </c>
      <c r="F1360" t="s">
        <v>272</v>
      </c>
      <c r="G1360" t="s">
        <v>273</v>
      </c>
      <c r="H1360" t="s">
        <v>1405</v>
      </c>
      <c r="I1360" t="s">
        <v>61</v>
      </c>
      <c r="J1360" t="s">
        <v>205</v>
      </c>
      <c r="L1360" t="b">
        <v>0</v>
      </c>
      <c r="M1360" t="s">
        <v>29</v>
      </c>
      <c r="N1360" t="s">
        <v>8245</v>
      </c>
      <c r="O1360" s="1">
        <v>24231</v>
      </c>
      <c r="P1360" t="s">
        <v>4723</v>
      </c>
      <c r="Q1360" t="s">
        <v>883</v>
      </c>
      <c r="S1360" s="1">
        <v>45020.209027777775</v>
      </c>
      <c r="V1360">
        <v>1966</v>
      </c>
      <c r="W1360">
        <v>119.62</v>
      </c>
      <c r="X1360">
        <v>1.7</v>
      </c>
      <c r="Y1360" s="2">
        <v>2827113184696</v>
      </c>
      <c r="Z1360">
        <v>60</v>
      </c>
      <c r="AA1360">
        <v>101.2</v>
      </c>
      <c r="AB1360">
        <v>25.5</v>
      </c>
      <c r="AC1360">
        <v>30.6</v>
      </c>
      <c r="AD1360">
        <v>66834405</v>
      </c>
    </row>
    <row r="1361" spans="1:30" hidden="1" x14ac:dyDescent="0.45">
      <c r="A1361">
        <v>1312</v>
      </c>
      <c r="B1361">
        <v>2300</v>
      </c>
      <c r="C1361" t="s">
        <v>302</v>
      </c>
      <c r="D1361" t="s">
        <v>4724</v>
      </c>
      <c r="E1361">
        <v>77</v>
      </c>
      <c r="F1361" t="s">
        <v>328</v>
      </c>
      <c r="G1361" t="s">
        <v>724</v>
      </c>
      <c r="H1361" t="s">
        <v>304</v>
      </c>
      <c r="I1361" t="s">
        <v>302</v>
      </c>
      <c r="J1361" t="s">
        <v>328</v>
      </c>
      <c r="L1361" t="b">
        <v>1</v>
      </c>
      <c r="M1361" t="s">
        <v>29</v>
      </c>
      <c r="N1361" t="s">
        <v>8245</v>
      </c>
      <c r="O1361" s="1">
        <v>16623</v>
      </c>
      <c r="P1361" t="s">
        <v>4725</v>
      </c>
      <c r="Q1361" t="s">
        <v>4726</v>
      </c>
      <c r="S1361" s="1">
        <v>45020.209027777775</v>
      </c>
      <c r="V1361">
        <v>1945</v>
      </c>
      <c r="W1361">
        <v>119.8</v>
      </c>
      <c r="X1361">
        <v>1.6</v>
      </c>
      <c r="Y1361" s="2">
        <v>1392680589329</v>
      </c>
      <c r="Z1361">
        <v>113.1</v>
      </c>
      <c r="AA1361">
        <v>100.3</v>
      </c>
      <c r="AB1361">
        <v>23</v>
      </c>
      <c r="AC1361">
        <v>47.4</v>
      </c>
      <c r="AD1361">
        <v>25766605</v>
      </c>
    </row>
    <row r="1362" spans="1:30" hidden="1" x14ac:dyDescent="0.45">
      <c r="A1362">
        <v>1312</v>
      </c>
      <c r="B1362">
        <v>2300</v>
      </c>
      <c r="C1362" t="s">
        <v>296</v>
      </c>
      <c r="D1362" t="s">
        <v>4727</v>
      </c>
      <c r="E1362">
        <v>74</v>
      </c>
      <c r="F1362" t="s">
        <v>128</v>
      </c>
      <c r="G1362" t="s">
        <v>4728</v>
      </c>
      <c r="H1362" t="s">
        <v>3851</v>
      </c>
      <c r="I1362" t="s">
        <v>296</v>
      </c>
      <c r="J1362" t="s">
        <v>128</v>
      </c>
      <c r="L1362" t="b">
        <v>1</v>
      </c>
      <c r="M1362" t="s">
        <v>39</v>
      </c>
      <c r="N1362" t="s">
        <v>8245</v>
      </c>
      <c r="O1362" s="1">
        <v>17838</v>
      </c>
      <c r="P1362" t="s">
        <v>439</v>
      </c>
      <c r="Q1362" t="s">
        <v>4729</v>
      </c>
      <c r="S1362" s="1">
        <v>45020.209027777775</v>
      </c>
      <c r="V1362">
        <v>1948</v>
      </c>
      <c r="W1362">
        <v>125.08</v>
      </c>
      <c r="X1362">
        <v>2.9</v>
      </c>
      <c r="Y1362" s="2">
        <v>19910000000000</v>
      </c>
      <c r="Z1362">
        <v>50.6</v>
      </c>
      <c r="AA1362">
        <v>100.2</v>
      </c>
      <c r="AB1362">
        <v>9.4</v>
      </c>
      <c r="AC1362">
        <v>59.2</v>
      </c>
      <c r="AD1362">
        <v>1397715000</v>
      </c>
    </row>
    <row r="1363" spans="1:30" hidden="1" x14ac:dyDescent="0.45">
      <c r="A1363">
        <v>1312</v>
      </c>
      <c r="B1363">
        <v>2300</v>
      </c>
      <c r="C1363" t="s">
        <v>302</v>
      </c>
      <c r="D1363" t="s">
        <v>4730</v>
      </c>
      <c r="E1363">
        <v>61</v>
      </c>
      <c r="F1363" t="s">
        <v>128</v>
      </c>
      <c r="G1363" t="s">
        <v>292</v>
      </c>
      <c r="H1363" t="s">
        <v>304</v>
      </c>
      <c r="I1363" t="s">
        <v>302</v>
      </c>
      <c r="J1363" t="s">
        <v>128</v>
      </c>
      <c r="L1363" t="b">
        <v>1</v>
      </c>
      <c r="M1363" t="s">
        <v>39</v>
      </c>
      <c r="N1363" t="s">
        <v>8245</v>
      </c>
      <c r="O1363" s="1">
        <v>22706</v>
      </c>
      <c r="P1363" t="s">
        <v>439</v>
      </c>
      <c r="Q1363" t="s">
        <v>1081</v>
      </c>
      <c r="S1363" s="1">
        <v>45020.209027777775</v>
      </c>
      <c r="V1363">
        <v>1962</v>
      </c>
      <c r="W1363">
        <v>125.08</v>
      </c>
      <c r="X1363">
        <v>2.9</v>
      </c>
      <c r="Y1363" s="2">
        <v>19910000000000</v>
      </c>
      <c r="Z1363">
        <v>50.6</v>
      </c>
      <c r="AA1363">
        <v>100.2</v>
      </c>
      <c r="AB1363">
        <v>9.4</v>
      </c>
      <c r="AC1363">
        <v>59.2</v>
      </c>
      <c r="AD1363">
        <v>1397715000</v>
      </c>
    </row>
    <row r="1364" spans="1:30" hidden="1" x14ac:dyDescent="0.45">
      <c r="A1364">
        <v>1312</v>
      </c>
      <c r="B1364">
        <v>2300</v>
      </c>
      <c r="C1364" t="s">
        <v>126</v>
      </c>
      <c r="D1364" t="s">
        <v>4731</v>
      </c>
      <c r="E1364">
        <v>79</v>
      </c>
      <c r="F1364" t="s">
        <v>194</v>
      </c>
      <c r="G1364" t="s">
        <v>4732</v>
      </c>
      <c r="H1364" t="s">
        <v>4733</v>
      </c>
      <c r="I1364" t="s">
        <v>126</v>
      </c>
      <c r="J1364" t="s">
        <v>194</v>
      </c>
      <c r="L1364" t="b">
        <v>1</v>
      </c>
      <c r="M1364" t="s">
        <v>39</v>
      </c>
      <c r="N1364" t="s">
        <v>8245</v>
      </c>
      <c r="O1364" s="1">
        <v>15851</v>
      </c>
      <c r="P1364" t="s">
        <v>2072</v>
      </c>
      <c r="Q1364" t="s">
        <v>4734</v>
      </c>
      <c r="S1364" s="1">
        <v>45020.209027777775</v>
      </c>
      <c r="V1364">
        <v>1943</v>
      </c>
      <c r="W1364">
        <v>112.85</v>
      </c>
      <c r="X1364">
        <v>1.4</v>
      </c>
      <c r="Y1364" s="2">
        <v>3845630030824</v>
      </c>
      <c r="Z1364">
        <v>70.2</v>
      </c>
      <c r="AA1364">
        <v>104</v>
      </c>
      <c r="AB1364">
        <v>11.5</v>
      </c>
      <c r="AC1364">
        <v>48.8</v>
      </c>
      <c r="AD1364">
        <v>83132799</v>
      </c>
    </row>
    <row r="1365" spans="1:30" hidden="1" x14ac:dyDescent="0.45">
      <c r="A1365">
        <v>1312</v>
      </c>
      <c r="B1365">
        <v>2300</v>
      </c>
      <c r="C1365" t="s">
        <v>23</v>
      </c>
      <c r="D1365" t="s">
        <v>4735</v>
      </c>
      <c r="E1365">
        <v>56</v>
      </c>
      <c r="F1365" t="s">
        <v>128</v>
      </c>
      <c r="G1365" t="s">
        <v>3098</v>
      </c>
      <c r="H1365" t="s">
        <v>4736</v>
      </c>
      <c r="I1365" t="s">
        <v>23</v>
      </c>
      <c r="J1365" t="s">
        <v>128</v>
      </c>
      <c r="L1365" t="b">
        <v>1</v>
      </c>
      <c r="M1365" t="s">
        <v>29</v>
      </c>
      <c r="N1365" t="s">
        <v>8245</v>
      </c>
      <c r="O1365" s="1">
        <v>24344</v>
      </c>
      <c r="P1365" t="s">
        <v>2706</v>
      </c>
      <c r="Q1365" t="s">
        <v>4737</v>
      </c>
      <c r="S1365" s="1">
        <v>45020.209027777775</v>
      </c>
      <c r="V1365">
        <v>1966</v>
      </c>
      <c r="W1365">
        <v>125.08</v>
      </c>
      <c r="X1365">
        <v>2.9</v>
      </c>
      <c r="Y1365" s="2">
        <v>19910000000000</v>
      </c>
      <c r="Z1365">
        <v>50.6</v>
      </c>
      <c r="AA1365">
        <v>100.2</v>
      </c>
      <c r="AB1365">
        <v>9.4</v>
      </c>
      <c r="AC1365">
        <v>59.2</v>
      </c>
      <c r="AD1365">
        <v>1397715000</v>
      </c>
    </row>
    <row r="1366" spans="1:30" hidden="1" x14ac:dyDescent="0.45">
      <c r="A1366">
        <v>1312</v>
      </c>
      <c r="B1366">
        <v>2300</v>
      </c>
      <c r="C1366" t="s">
        <v>296</v>
      </c>
      <c r="D1366" t="s">
        <v>4738</v>
      </c>
      <c r="E1366">
        <v>57</v>
      </c>
      <c r="F1366" t="s">
        <v>128</v>
      </c>
      <c r="G1366" t="s">
        <v>129</v>
      </c>
      <c r="H1366" t="s">
        <v>4739</v>
      </c>
      <c r="I1366" t="s">
        <v>296</v>
      </c>
      <c r="J1366" t="s">
        <v>128</v>
      </c>
      <c r="L1366" t="b">
        <v>1</v>
      </c>
      <c r="M1366" t="s">
        <v>29</v>
      </c>
      <c r="N1366" t="s">
        <v>8245</v>
      </c>
      <c r="O1366" s="1">
        <v>23905</v>
      </c>
      <c r="P1366" t="s">
        <v>646</v>
      </c>
      <c r="Q1366" t="s">
        <v>4740</v>
      </c>
      <c r="S1366" s="1">
        <v>45020.209027777775</v>
      </c>
      <c r="V1366">
        <v>1965</v>
      </c>
      <c r="W1366">
        <v>125.08</v>
      </c>
      <c r="X1366">
        <v>2.9</v>
      </c>
      <c r="Y1366" s="2">
        <v>19910000000000</v>
      </c>
      <c r="Z1366">
        <v>50.6</v>
      </c>
      <c r="AA1366">
        <v>100.2</v>
      </c>
      <c r="AB1366">
        <v>9.4</v>
      </c>
      <c r="AC1366">
        <v>59.2</v>
      </c>
      <c r="AD1366">
        <v>1397715000</v>
      </c>
    </row>
    <row r="1367" spans="1:30" hidden="1" x14ac:dyDescent="0.45">
      <c r="A1367">
        <v>1312</v>
      </c>
      <c r="B1367">
        <v>2300</v>
      </c>
      <c r="C1367" t="s">
        <v>402</v>
      </c>
      <c r="D1367" t="s">
        <v>4741</v>
      </c>
      <c r="E1367">
        <v>65</v>
      </c>
      <c r="F1367" t="s">
        <v>4742</v>
      </c>
      <c r="G1367" t="s">
        <v>4743</v>
      </c>
      <c r="H1367" t="s">
        <v>4744</v>
      </c>
      <c r="I1367" t="s">
        <v>402</v>
      </c>
      <c r="J1367" t="s">
        <v>4742</v>
      </c>
      <c r="L1367" t="b">
        <v>0</v>
      </c>
      <c r="M1367" t="s">
        <v>611</v>
      </c>
      <c r="N1367" t="s">
        <v>8245</v>
      </c>
      <c r="O1367" s="1">
        <v>20944</v>
      </c>
      <c r="P1367" t="s">
        <v>4745</v>
      </c>
      <c r="Q1367" t="s">
        <v>4746</v>
      </c>
      <c r="S1367" s="1">
        <v>45020.209027777775</v>
      </c>
      <c r="V1367">
        <v>1957</v>
      </c>
      <c r="W1367"/>
      <c r="Y1367" s="2">
        <v>6552858739</v>
      </c>
      <c r="Z1367">
        <v>35.6</v>
      </c>
      <c r="AA1367">
        <v>104.7</v>
      </c>
      <c r="AC1367">
        <v>21.6</v>
      </c>
      <c r="AD1367">
        <v>38019</v>
      </c>
    </row>
    <row r="1368" spans="1:30" hidden="1" x14ac:dyDescent="0.45">
      <c r="A1368">
        <v>1312</v>
      </c>
      <c r="B1368">
        <v>2300</v>
      </c>
      <c r="C1368" t="s">
        <v>296</v>
      </c>
      <c r="D1368" t="s">
        <v>4747</v>
      </c>
      <c r="E1368">
        <v>87</v>
      </c>
      <c r="F1368" t="s">
        <v>128</v>
      </c>
      <c r="G1368" t="s">
        <v>960</v>
      </c>
      <c r="H1368" t="s">
        <v>4748</v>
      </c>
      <c r="I1368" t="s">
        <v>296</v>
      </c>
      <c r="J1368" t="s">
        <v>128</v>
      </c>
      <c r="L1368" t="b">
        <v>1</v>
      </c>
      <c r="M1368" t="s">
        <v>29</v>
      </c>
      <c r="N1368" t="s">
        <v>8245</v>
      </c>
      <c r="O1368" s="1">
        <v>13150</v>
      </c>
      <c r="P1368" t="s">
        <v>190</v>
      </c>
      <c r="Q1368" t="s">
        <v>4749</v>
      </c>
      <c r="S1368" s="1">
        <v>45020.209027777775</v>
      </c>
      <c r="V1368">
        <v>1936</v>
      </c>
      <c r="W1368">
        <v>125.08</v>
      </c>
      <c r="X1368">
        <v>2.9</v>
      </c>
      <c r="Y1368" s="2">
        <v>19910000000000</v>
      </c>
      <c r="Z1368">
        <v>50.6</v>
      </c>
      <c r="AA1368">
        <v>100.2</v>
      </c>
      <c r="AB1368">
        <v>9.4</v>
      </c>
      <c r="AC1368">
        <v>59.2</v>
      </c>
      <c r="AD1368">
        <v>1397715000</v>
      </c>
    </row>
    <row r="1369" spans="1:30" x14ac:dyDescent="0.45">
      <c r="A1369">
        <v>1368</v>
      </c>
      <c r="B1369" s="6">
        <v>2200</v>
      </c>
      <c r="C1369" t="s">
        <v>302</v>
      </c>
      <c r="D1369" t="s">
        <v>4750</v>
      </c>
      <c r="E1369">
        <v>86</v>
      </c>
      <c r="F1369" t="s">
        <v>35</v>
      </c>
      <c r="G1369" t="s">
        <v>540</v>
      </c>
      <c r="H1369" t="s">
        <v>1405</v>
      </c>
      <c r="I1369" t="s">
        <v>302</v>
      </c>
      <c r="J1369" t="s">
        <v>35</v>
      </c>
      <c r="K1369" t="s">
        <v>4751</v>
      </c>
      <c r="L1369" t="b">
        <v>1</v>
      </c>
      <c r="M1369" t="s">
        <v>39</v>
      </c>
      <c r="N1369" t="s">
        <v>8245</v>
      </c>
      <c r="O1369" s="10">
        <v>13550</v>
      </c>
      <c r="P1369" t="s">
        <v>4752</v>
      </c>
      <c r="Q1369" t="s">
        <v>714</v>
      </c>
      <c r="R1369" t="s">
        <v>688</v>
      </c>
      <c r="S1369" s="8">
        <v>45020.209027777775</v>
      </c>
      <c r="T1369" t="s">
        <v>115</v>
      </c>
      <c r="U1369" t="s">
        <v>53</v>
      </c>
      <c r="V1369">
        <v>1937</v>
      </c>
      <c r="W1369" s="12">
        <v>117.24</v>
      </c>
      <c r="X1369">
        <v>7.5</v>
      </c>
      <c r="Y1369" s="14">
        <v>21427700000000</v>
      </c>
      <c r="Z1369">
        <v>88.2</v>
      </c>
      <c r="AA1369">
        <v>101.8</v>
      </c>
      <c r="AB1369">
        <v>9.6</v>
      </c>
      <c r="AC1369">
        <v>36.6</v>
      </c>
      <c r="AD1369">
        <v>328239523</v>
      </c>
    </row>
    <row r="1370" spans="1:30" hidden="1" x14ac:dyDescent="0.45">
      <c r="A1370">
        <v>1368</v>
      </c>
      <c r="B1370">
        <v>2200</v>
      </c>
      <c r="C1370" t="s">
        <v>61</v>
      </c>
      <c r="D1370" t="s">
        <v>4753</v>
      </c>
      <c r="E1370">
        <v>40</v>
      </c>
      <c r="F1370" t="s">
        <v>35</v>
      </c>
      <c r="G1370" t="s">
        <v>991</v>
      </c>
      <c r="H1370" t="s">
        <v>4551</v>
      </c>
      <c r="I1370" t="s">
        <v>61</v>
      </c>
      <c r="J1370" t="s">
        <v>35</v>
      </c>
      <c r="L1370" t="b">
        <v>1</v>
      </c>
      <c r="M1370" t="s">
        <v>39</v>
      </c>
      <c r="N1370" t="s">
        <v>8245</v>
      </c>
      <c r="O1370" s="1">
        <v>30341</v>
      </c>
      <c r="P1370" t="s">
        <v>4754</v>
      </c>
      <c r="Q1370" t="s">
        <v>995</v>
      </c>
      <c r="S1370" s="1">
        <v>45020.209027777775</v>
      </c>
      <c r="T1370" t="s">
        <v>115</v>
      </c>
      <c r="U1370" t="s">
        <v>53</v>
      </c>
      <c r="V1370">
        <v>1983</v>
      </c>
      <c r="W1370">
        <v>117.24</v>
      </c>
      <c r="X1370">
        <v>7.5</v>
      </c>
      <c r="Y1370" s="2">
        <v>21427700000000</v>
      </c>
      <c r="Z1370">
        <v>88.2</v>
      </c>
      <c r="AA1370">
        <v>101.8</v>
      </c>
      <c r="AB1370">
        <v>9.6</v>
      </c>
      <c r="AC1370">
        <v>36.6</v>
      </c>
      <c r="AD1370">
        <v>328239523</v>
      </c>
    </row>
    <row r="1371" spans="1:30" hidden="1" x14ac:dyDescent="0.45">
      <c r="A1371">
        <v>1368</v>
      </c>
      <c r="B1371">
        <v>2200</v>
      </c>
      <c r="C1371" t="s">
        <v>347</v>
      </c>
      <c r="D1371" t="s">
        <v>4755</v>
      </c>
      <c r="E1371">
        <v>52</v>
      </c>
      <c r="F1371" t="s">
        <v>363</v>
      </c>
      <c r="G1371" t="s">
        <v>381</v>
      </c>
      <c r="H1371" t="s">
        <v>4756</v>
      </c>
      <c r="I1371" t="s">
        <v>347</v>
      </c>
      <c r="J1371" t="s">
        <v>363</v>
      </c>
      <c r="L1371" t="b">
        <v>1</v>
      </c>
      <c r="M1371" t="s">
        <v>1332</v>
      </c>
      <c r="N1371" t="s">
        <v>8245</v>
      </c>
      <c r="O1371" s="1">
        <v>25880</v>
      </c>
      <c r="P1371" t="s">
        <v>4757</v>
      </c>
      <c r="Q1371" t="s">
        <v>4758</v>
      </c>
      <c r="S1371" s="1">
        <v>45020.209027777775</v>
      </c>
      <c r="V1371">
        <v>1970</v>
      </c>
      <c r="W1371">
        <v>180.75</v>
      </c>
      <c r="X1371">
        <v>4.5</v>
      </c>
      <c r="Y1371" s="2">
        <v>1699876578871</v>
      </c>
      <c r="Z1371">
        <v>81.900000000000006</v>
      </c>
      <c r="AA1371">
        <v>102.6</v>
      </c>
      <c r="AB1371">
        <v>11.4</v>
      </c>
      <c r="AC1371">
        <v>46.2</v>
      </c>
      <c r="AD1371">
        <v>144373535</v>
      </c>
    </row>
    <row r="1372" spans="1:30" hidden="1" x14ac:dyDescent="0.45">
      <c r="A1372">
        <v>1368</v>
      </c>
      <c r="B1372">
        <v>2200</v>
      </c>
      <c r="C1372" t="s">
        <v>91</v>
      </c>
      <c r="D1372" t="s">
        <v>4759</v>
      </c>
      <c r="E1372">
        <v>73</v>
      </c>
      <c r="F1372" t="s">
        <v>2037</v>
      </c>
      <c r="G1372" t="s">
        <v>4636</v>
      </c>
      <c r="H1372" t="s">
        <v>91</v>
      </c>
      <c r="I1372" t="s">
        <v>91</v>
      </c>
      <c r="J1372" t="s">
        <v>2037</v>
      </c>
      <c r="L1372" t="b">
        <v>1</v>
      </c>
      <c r="M1372" t="s">
        <v>29</v>
      </c>
      <c r="N1372" t="s">
        <v>8245</v>
      </c>
      <c r="O1372" s="1">
        <v>18106</v>
      </c>
      <c r="P1372" t="s">
        <v>4760</v>
      </c>
      <c r="Q1372" t="s">
        <v>4761</v>
      </c>
      <c r="S1372" s="1">
        <v>45020.209027777775</v>
      </c>
      <c r="V1372">
        <v>1949</v>
      </c>
      <c r="W1372">
        <v>234.44</v>
      </c>
      <c r="X1372">
        <v>15.2</v>
      </c>
      <c r="Y1372" s="2">
        <v>754411708203</v>
      </c>
      <c r="Z1372">
        <v>23.9</v>
      </c>
      <c r="AA1372">
        <v>93.2</v>
      </c>
      <c r="AB1372">
        <v>17.899999999999999</v>
      </c>
      <c r="AC1372">
        <v>42.3</v>
      </c>
      <c r="AD1372">
        <v>83429615</v>
      </c>
    </row>
    <row r="1373" spans="1:30" x14ac:dyDescent="0.45">
      <c r="A1373">
        <v>1368</v>
      </c>
      <c r="B1373" s="6">
        <v>2200</v>
      </c>
      <c r="C1373" t="s">
        <v>45</v>
      </c>
      <c r="D1373" t="s">
        <v>4762</v>
      </c>
      <c r="E1373">
        <v>57</v>
      </c>
      <c r="F1373" t="s">
        <v>35</v>
      </c>
      <c r="G1373" t="s">
        <v>991</v>
      </c>
      <c r="H1373" t="s">
        <v>865</v>
      </c>
      <c r="I1373" t="s">
        <v>45</v>
      </c>
      <c r="J1373" t="s">
        <v>35</v>
      </c>
      <c r="K1373" t="s">
        <v>866</v>
      </c>
      <c r="L1373" t="b">
        <v>1</v>
      </c>
      <c r="M1373" t="s">
        <v>39</v>
      </c>
      <c r="N1373" t="s">
        <v>8245</v>
      </c>
      <c r="O1373" s="10">
        <v>24142</v>
      </c>
      <c r="P1373" t="s">
        <v>4763</v>
      </c>
      <c r="Q1373" t="s">
        <v>4764</v>
      </c>
      <c r="R1373" t="s">
        <v>688</v>
      </c>
      <c r="S1373" s="8">
        <v>45020.209027777775</v>
      </c>
      <c r="T1373" t="s">
        <v>115</v>
      </c>
      <c r="U1373" t="s">
        <v>53</v>
      </c>
      <c r="V1373">
        <v>1966</v>
      </c>
      <c r="W1373" s="12">
        <v>117.24</v>
      </c>
      <c r="X1373">
        <v>7.5</v>
      </c>
      <c r="Y1373" s="14">
        <v>21427700000000</v>
      </c>
      <c r="Z1373">
        <v>88.2</v>
      </c>
      <c r="AA1373">
        <v>101.8</v>
      </c>
      <c r="AB1373">
        <v>9.6</v>
      </c>
      <c r="AC1373">
        <v>36.6</v>
      </c>
      <c r="AD1373">
        <v>328239523</v>
      </c>
    </row>
    <row r="1374" spans="1:30" hidden="1" x14ac:dyDescent="0.45">
      <c r="A1374">
        <v>1368</v>
      </c>
      <c r="B1374">
        <v>2200</v>
      </c>
      <c r="C1374" t="s">
        <v>23</v>
      </c>
      <c r="D1374" t="s">
        <v>4765</v>
      </c>
      <c r="E1374">
        <v>63</v>
      </c>
      <c r="F1374" t="s">
        <v>1812</v>
      </c>
      <c r="G1374" t="s">
        <v>4766</v>
      </c>
      <c r="H1374" t="s">
        <v>4767</v>
      </c>
      <c r="I1374" t="s">
        <v>23</v>
      </c>
      <c r="J1374" t="s">
        <v>328</v>
      </c>
      <c r="L1374" t="b">
        <v>1</v>
      </c>
      <c r="M1374" t="s">
        <v>611</v>
      </c>
      <c r="N1374" t="s">
        <v>8245</v>
      </c>
      <c r="O1374" s="1">
        <v>21932</v>
      </c>
      <c r="P1374" t="s">
        <v>4768</v>
      </c>
      <c r="Q1374" t="s">
        <v>4769</v>
      </c>
      <c r="S1374" s="1">
        <v>45020.209027777775</v>
      </c>
      <c r="V1374">
        <v>1960</v>
      </c>
      <c r="W1374"/>
      <c r="Y1374"/>
    </row>
    <row r="1375" spans="1:30" hidden="1" x14ac:dyDescent="0.45">
      <c r="A1375">
        <v>1368</v>
      </c>
      <c r="B1375">
        <v>2200</v>
      </c>
      <c r="C1375" t="s">
        <v>61</v>
      </c>
      <c r="D1375" t="s">
        <v>4770</v>
      </c>
      <c r="E1375">
        <v>85</v>
      </c>
      <c r="F1375" t="s">
        <v>35</v>
      </c>
      <c r="G1375" t="s">
        <v>4771</v>
      </c>
      <c r="H1375" t="s">
        <v>1210</v>
      </c>
      <c r="I1375" t="s">
        <v>61</v>
      </c>
      <c r="J1375" t="s">
        <v>35</v>
      </c>
      <c r="L1375" t="b">
        <v>0</v>
      </c>
      <c r="M1375" t="s">
        <v>39</v>
      </c>
      <c r="N1375" t="s">
        <v>8245</v>
      </c>
      <c r="O1375" s="1">
        <v>13708</v>
      </c>
      <c r="P1375" t="s">
        <v>1861</v>
      </c>
      <c r="Q1375" t="s">
        <v>4772</v>
      </c>
      <c r="S1375" s="1">
        <v>45020.209027777775</v>
      </c>
      <c r="T1375" t="s">
        <v>253</v>
      </c>
      <c r="U1375" t="s">
        <v>44</v>
      </c>
      <c r="V1375">
        <v>1937</v>
      </c>
      <c r="W1375">
        <v>117.24</v>
      </c>
      <c r="X1375">
        <v>7.5</v>
      </c>
      <c r="Y1375" s="2">
        <v>21427700000000</v>
      </c>
      <c r="Z1375">
        <v>88.2</v>
      </c>
      <c r="AA1375">
        <v>101.8</v>
      </c>
      <c r="AB1375">
        <v>9.6</v>
      </c>
      <c r="AC1375">
        <v>36.6</v>
      </c>
      <c r="AD1375">
        <v>328239523</v>
      </c>
    </row>
    <row r="1376" spans="1:30" hidden="1" x14ac:dyDescent="0.45">
      <c r="A1376">
        <v>1368</v>
      </c>
      <c r="B1376">
        <v>2200</v>
      </c>
      <c r="C1376" t="s">
        <v>61</v>
      </c>
      <c r="D1376" t="s">
        <v>4773</v>
      </c>
      <c r="E1376">
        <v>55</v>
      </c>
      <c r="F1376" t="s">
        <v>128</v>
      </c>
      <c r="G1376" t="s">
        <v>292</v>
      </c>
      <c r="H1376" t="s">
        <v>317</v>
      </c>
      <c r="I1376" t="s">
        <v>61</v>
      </c>
      <c r="J1376" t="s">
        <v>128</v>
      </c>
      <c r="L1376" t="b">
        <v>0</v>
      </c>
      <c r="M1376" t="s">
        <v>39</v>
      </c>
      <c r="N1376" t="s">
        <v>8246</v>
      </c>
      <c r="O1376" s="1">
        <v>24925</v>
      </c>
      <c r="P1376" t="s">
        <v>679</v>
      </c>
      <c r="Q1376" t="s">
        <v>4774</v>
      </c>
      <c r="S1376" s="1">
        <v>45020.209027777775</v>
      </c>
      <c r="V1376">
        <v>1968</v>
      </c>
      <c r="W1376">
        <v>125.08</v>
      </c>
      <c r="X1376">
        <v>2.9</v>
      </c>
      <c r="Y1376" s="2">
        <v>19910000000000</v>
      </c>
      <c r="Z1376">
        <v>50.6</v>
      </c>
      <c r="AA1376">
        <v>100.2</v>
      </c>
      <c r="AB1376">
        <v>9.4</v>
      </c>
      <c r="AC1376">
        <v>59.2</v>
      </c>
      <c r="AD1376">
        <v>1397715000</v>
      </c>
    </row>
    <row r="1377" spans="1:30" hidden="1" x14ac:dyDescent="0.45">
      <c r="A1377">
        <v>1368</v>
      </c>
      <c r="B1377">
        <v>2200</v>
      </c>
      <c r="C1377" t="s">
        <v>402</v>
      </c>
      <c r="D1377" t="s">
        <v>4775</v>
      </c>
      <c r="E1377">
        <v>71</v>
      </c>
      <c r="F1377" t="s">
        <v>128</v>
      </c>
      <c r="G1377" t="s">
        <v>4776</v>
      </c>
      <c r="H1377" t="s">
        <v>610</v>
      </c>
      <c r="I1377" t="s">
        <v>402</v>
      </c>
      <c r="J1377" t="s">
        <v>128</v>
      </c>
      <c r="L1377" t="b">
        <v>1</v>
      </c>
      <c r="M1377" t="s">
        <v>29</v>
      </c>
      <c r="N1377" t="s">
        <v>8245</v>
      </c>
      <c r="O1377" s="1">
        <v>18902</v>
      </c>
      <c r="P1377" t="s">
        <v>679</v>
      </c>
      <c r="Q1377" t="s">
        <v>4777</v>
      </c>
      <c r="S1377" s="1">
        <v>45020.209027777775</v>
      </c>
      <c r="V1377">
        <v>1951</v>
      </c>
      <c r="W1377">
        <v>125.08</v>
      </c>
      <c r="X1377">
        <v>2.9</v>
      </c>
      <c r="Y1377" s="2">
        <v>19910000000000</v>
      </c>
      <c r="Z1377">
        <v>50.6</v>
      </c>
      <c r="AA1377">
        <v>100.2</v>
      </c>
      <c r="AB1377">
        <v>9.4</v>
      </c>
      <c r="AC1377">
        <v>59.2</v>
      </c>
      <c r="AD1377">
        <v>1397715000</v>
      </c>
    </row>
    <row r="1378" spans="1:30" hidden="1" x14ac:dyDescent="0.45">
      <c r="A1378">
        <v>1368</v>
      </c>
      <c r="B1378">
        <v>2200</v>
      </c>
      <c r="C1378" t="s">
        <v>61</v>
      </c>
      <c r="D1378" t="s">
        <v>4778</v>
      </c>
      <c r="E1378">
        <v>72</v>
      </c>
      <c r="F1378" t="s">
        <v>1486</v>
      </c>
      <c r="G1378" t="s">
        <v>4102</v>
      </c>
      <c r="H1378" t="s">
        <v>1839</v>
      </c>
      <c r="I1378" t="s">
        <v>61</v>
      </c>
      <c r="J1378" t="s">
        <v>1486</v>
      </c>
      <c r="L1378" t="b">
        <v>1</v>
      </c>
      <c r="M1378" t="s">
        <v>29</v>
      </c>
      <c r="N1378" t="s">
        <v>8245</v>
      </c>
      <c r="O1378" s="1">
        <v>18445</v>
      </c>
      <c r="P1378" t="s">
        <v>4779</v>
      </c>
      <c r="Q1378" t="s">
        <v>4780</v>
      </c>
      <c r="S1378" s="1">
        <v>45020.209027777775</v>
      </c>
      <c r="V1378">
        <v>1950</v>
      </c>
      <c r="W1378"/>
      <c r="Y1378"/>
    </row>
    <row r="1379" spans="1:30" hidden="1" x14ac:dyDescent="0.45">
      <c r="A1379">
        <v>1368</v>
      </c>
      <c r="B1379">
        <v>2200</v>
      </c>
      <c r="C1379" t="s">
        <v>402</v>
      </c>
      <c r="D1379" t="s">
        <v>4781</v>
      </c>
      <c r="E1379">
        <v>52</v>
      </c>
      <c r="F1379" t="s">
        <v>128</v>
      </c>
      <c r="G1379" t="s">
        <v>944</v>
      </c>
      <c r="H1379" t="s">
        <v>610</v>
      </c>
      <c r="I1379" t="s">
        <v>402</v>
      </c>
      <c r="J1379" t="s">
        <v>128</v>
      </c>
      <c r="L1379" t="b">
        <v>1</v>
      </c>
      <c r="M1379" t="s">
        <v>39</v>
      </c>
      <c r="N1379" t="s">
        <v>8245</v>
      </c>
      <c r="O1379" s="1">
        <v>25934</v>
      </c>
      <c r="P1379" t="s">
        <v>3405</v>
      </c>
      <c r="Q1379" t="s">
        <v>440</v>
      </c>
      <c r="S1379" s="1">
        <v>45020.209027777775</v>
      </c>
      <c r="V1379">
        <v>1971</v>
      </c>
      <c r="W1379">
        <v>125.08</v>
      </c>
      <c r="X1379">
        <v>2.9</v>
      </c>
      <c r="Y1379" s="2">
        <v>19910000000000</v>
      </c>
      <c r="Z1379">
        <v>50.6</v>
      </c>
      <c r="AA1379">
        <v>100.2</v>
      </c>
      <c r="AB1379">
        <v>9.4</v>
      </c>
      <c r="AC1379">
        <v>59.2</v>
      </c>
      <c r="AD1379">
        <v>1397715000</v>
      </c>
    </row>
    <row r="1380" spans="1:30" hidden="1" x14ac:dyDescent="0.45">
      <c r="A1380">
        <v>1368</v>
      </c>
      <c r="B1380">
        <v>2200</v>
      </c>
      <c r="C1380" t="s">
        <v>23</v>
      </c>
      <c r="D1380" t="s">
        <v>4782</v>
      </c>
      <c r="E1380">
        <v>61</v>
      </c>
      <c r="F1380" t="s">
        <v>35</v>
      </c>
      <c r="G1380" t="s">
        <v>964</v>
      </c>
      <c r="H1380" t="s">
        <v>3393</v>
      </c>
      <c r="I1380" t="s">
        <v>23</v>
      </c>
      <c r="J1380" t="s">
        <v>35</v>
      </c>
      <c r="L1380" t="b">
        <v>1</v>
      </c>
      <c r="M1380" t="s">
        <v>258</v>
      </c>
      <c r="N1380" t="s">
        <v>8245</v>
      </c>
      <c r="O1380" s="1">
        <v>22520</v>
      </c>
      <c r="P1380" t="s">
        <v>4518</v>
      </c>
      <c r="Q1380" t="s">
        <v>1770</v>
      </c>
      <c r="S1380" s="1">
        <v>45020.209027777775</v>
      </c>
      <c r="T1380" t="s">
        <v>115</v>
      </c>
      <c r="U1380" t="s">
        <v>53</v>
      </c>
      <c r="V1380">
        <v>1961</v>
      </c>
      <c r="W1380">
        <v>117.24</v>
      </c>
      <c r="X1380">
        <v>7.5</v>
      </c>
      <c r="Y1380" s="2">
        <v>21427700000000</v>
      </c>
      <c r="Z1380">
        <v>88.2</v>
      </c>
      <c r="AA1380">
        <v>101.8</v>
      </c>
      <c r="AB1380">
        <v>9.6</v>
      </c>
      <c r="AC1380">
        <v>36.6</v>
      </c>
      <c r="AD1380">
        <v>328239523</v>
      </c>
    </row>
    <row r="1381" spans="1:30" hidden="1" x14ac:dyDescent="0.45">
      <c r="A1381">
        <v>1368</v>
      </c>
      <c r="B1381">
        <v>2200</v>
      </c>
      <c r="C1381" t="s">
        <v>126</v>
      </c>
      <c r="D1381" t="s">
        <v>4783</v>
      </c>
      <c r="E1381">
        <v>69</v>
      </c>
      <c r="F1381" t="s">
        <v>128</v>
      </c>
      <c r="G1381" t="s">
        <v>4784</v>
      </c>
      <c r="H1381" t="s">
        <v>4785</v>
      </c>
      <c r="I1381" t="s">
        <v>126</v>
      </c>
      <c r="J1381" t="s">
        <v>128</v>
      </c>
      <c r="L1381" t="b">
        <v>1</v>
      </c>
      <c r="M1381" t="s">
        <v>29</v>
      </c>
      <c r="N1381" t="s">
        <v>8245</v>
      </c>
      <c r="O1381" s="1">
        <v>19634</v>
      </c>
      <c r="P1381" t="s">
        <v>3309</v>
      </c>
      <c r="Q1381" t="s">
        <v>4177</v>
      </c>
      <c r="S1381" s="1">
        <v>45020.209027777775</v>
      </c>
      <c r="V1381">
        <v>1953</v>
      </c>
      <c r="W1381">
        <v>125.08</v>
      </c>
      <c r="X1381">
        <v>2.9</v>
      </c>
      <c r="Y1381" s="2">
        <v>19910000000000</v>
      </c>
      <c r="Z1381">
        <v>50.6</v>
      </c>
      <c r="AA1381">
        <v>100.2</v>
      </c>
      <c r="AB1381">
        <v>9.4</v>
      </c>
      <c r="AC1381">
        <v>59.2</v>
      </c>
      <c r="AD1381">
        <v>1397715000</v>
      </c>
    </row>
    <row r="1382" spans="1:30" x14ac:dyDescent="0.45">
      <c r="A1382">
        <v>1368</v>
      </c>
      <c r="B1382" s="6">
        <v>2200</v>
      </c>
      <c r="C1382" t="s">
        <v>61</v>
      </c>
      <c r="D1382" t="s">
        <v>4786</v>
      </c>
      <c r="E1382">
        <v>61</v>
      </c>
      <c r="F1382" t="s">
        <v>35</v>
      </c>
      <c r="G1382" t="s">
        <v>78</v>
      </c>
      <c r="H1382" t="s">
        <v>248</v>
      </c>
      <c r="I1382" t="s">
        <v>61</v>
      </c>
      <c r="J1382" t="s">
        <v>35</v>
      </c>
      <c r="K1382" t="s">
        <v>4787</v>
      </c>
      <c r="L1382" t="b">
        <v>1</v>
      </c>
      <c r="M1382" t="s">
        <v>39</v>
      </c>
      <c r="N1382" t="s">
        <v>8245</v>
      </c>
      <c r="O1382" s="10">
        <v>22425</v>
      </c>
      <c r="P1382" t="s">
        <v>4788</v>
      </c>
      <c r="Q1382" t="s">
        <v>4789</v>
      </c>
      <c r="R1382" t="s">
        <v>620</v>
      </c>
      <c r="S1382" s="8">
        <v>45020.209027777775</v>
      </c>
      <c r="T1382" t="s">
        <v>78</v>
      </c>
      <c r="U1382" t="s">
        <v>82</v>
      </c>
      <c r="V1382">
        <v>1961</v>
      </c>
      <c r="W1382" s="12">
        <v>117.24</v>
      </c>
      <c r="X1382">
        <v>7.5</v>
      </c>
      <c r="Y1382" s="14">
        <v>21427700000000</v>
      </c>
      <c r="Z1382">
        <v>88.2</v>
      </c>
      <c r="AA1382">
        <v>101.8</v>
      </c>
      <c r="AB1382">
        <v>9.6</v>
      </c>
      <c r="AC1382">
        <v>36.6</v>
      </c>
      <c r="AD1382">
        <v>328239523</v>
      </c>
    </row>
    <row r="1383" spans="1:30" x14ac:dyDescent="0.45">
      <c r="A1383">
        <v>1368</v>
      </c>
      <c r="B1383" s="6">
        <v>2200</v>
      </c>
      <c r="C1383" t="s">
        <v>61</v>
      </c>
      <c r="D1383" t="s">
        <v>4790</v>
      </c>
      <c r="E1383">
        <v>64</v>
      </c>
      <c r="F1383" t="s">
        <v>35</v>
      </c>
      <c r="G1383" t="s">
        <v>964</v>
      </c>
      <c r="H1383" t="s">
        <v>317</v>
      </c>
      <c r="I1383" t="s">
        <v>61</v>
      </c>
      <c r="J1383" t="s">
        <v>35</v>
      </c>
      <c r="K1383" t="s">
        <v>4791</v>
      </c>
      <c r="L1383" t="b">
        <v>1</v>
      </c>
      <c r="M1383" t="s">
        <v>611</v>
      </c>
      <c r="N1383" t="s">
        <v>8245</v>
      </c>
      <c r="O1383" s="10">
        <v>21551</v>
      </c>
      <c r="P1383" t="s">
        <v>4792</v>
      </c>
      <c r="Q1383" t="s">
        <v>2498</v>
      </c>
      <c r="R1383" t="s">
        <v>42</v>
      </c>
      <c r="S1383" s="8">
        <v>45020.209027777775</v>
      </c>
      <c r="T1383" t="s">
        <v>115</v>
      </c>
      <c r="U1383" t="s">
        <v>53</v>
      </c>
      <c r="V1383">
        <v>1959</v>
      </c>
      <c r="W1383" s="12">
        <v>117.24</v>
      </c>
      <c r="X1383">
        <v>7.5</v>
      </c>
      <c r="Y1383" s="14">
        <v>21427700000000</v>
      </c>
      <c r="Z1383">
        <v>88.2</v>
      </c>
      <c r="AA1383">
        <v>101.8</v>
      </c>
      <c r="AB1383">
        <v>9.6</v>
      </c>
      <c r="AC1383">
        <v>36.6</v>
      </c>
      <c r="AD1383">
        <v>328239523</v>
      </c>
    </row>
    <row r="1384" spans="1:30" hidden="1" x14ac:dyDescent="0.45">
      <c r="A1384">
        <v>1368</v>
      </c>
      <c r="B1384">
        <v>2200</v>
      </c>
      <c r="C1384" t="s">
        <v>402</v>
      </c>
      <c r="D1384" t="s">
        <v>4793</v>
      </c>
      <c r="E1384">
        <v>67</v>
      </c>
      <c r="F1384" t="s">
        <v>128</v>
      </c>
      <c r="G1384" t="s">
        <v>3088</v>
      </c>
      <c r="H1384" t="s">
        <v>610</v>
      </c>
      <c r="I1384" t="s">
        <v>402</v>
      </c>
      <c r="J1384" t="s">
        <v>35</v>
      </c>
      <c r="L1384" t="b">
        <v>1</v>
      </c>
      <c r="M1384" t="s">
        <v>39</v>
      </c>
      <c r="N1384" t="s">
        <v>8245</v>
      </c>
      <c r="O1384" s="1">
        <v>20455</v>
      </c>
      <c r="P1384" t="s">
        <v>4794</v>
      </c>
      <c r="Q1384" t="s">
        <v>2340</v>
      </c>
      <c r="S1384" s="1">
        <v>45020.209027777775</v>
      </c>
      <c r="V1384">
        <v>1956</v>
      </c>
      <c r="W1384">
        <v>125.08</v>
      </c>
      <c r="X1384">
        <v>2.9</v>
      </c>
      <c r="Y1384" s="2">
        <v>19910000000000</v>
      </c>
      <c r="Z1384">
        <v>50.6</v>
      </c>
      <c r="AA1384">
        <v>100.2</v>
      </c>
      <c r="AB1384">
        <v>9.4</v>
      </c>
      <c r="AC1384">
        <v>59.2</v>
      </c>
      <c r="AD1384">
        <v>1397715000</v>
      </c>
    </row>
    <row r="1385" spans="1:30" hidden="1" x14ac:dyDescent="0.45">
      <c r="A1385">
        <v>1368</v>
      </c>
      <c r="B1385">
        <v>2200</v>
      </c>
      <c r="C1385" t="s">
        <v>33</v>
      </c>
      <c r="D1385" t="s">
        <v>4795</v>
      </c>
      <c r="E1385">
        <v>78</v>
      </c>
      <c r="F1385" t="s">
        <v>490</v>
      </c>
      <c r="G1385" t="s">
        <v>1737</v>
      </c>
      <c r="H1385" t="s">
        <v>33</v>
      </c>
      <c r="I1385" t="s">
        <v>33</v>
      </c>
      <c r="J1385" t="s">
        <v>490</v>
      </c>
      <c r="L1385" t="b">
        <v>0</v>
      </c>
      <c r="M1385" t="s">
        <v>29</v>
      </c>
      <c r="N1385" t="s">
        <v>8245</v>
      </c>
      <c r="O1385" s="1">
        <v>16389</v>
      </c>
      <c r="P1385" t="s">
        <v>4796</v>
      </c>
      <c r="Q1385" t="s">
        <v>4797</v>
      </c>
      <c r="S1385" s="1">
        <v>45020.209027777775</v>
      </c>
      <c r="V1385">
        <v>1944</v>
      </c>
      <c r="W1385">
        <v>108.15</v>
      </c>
      <c r="X1385">
        <v>0.8</v>
      </c>
      <c r="Y1385" s="2">
        <v>395098666122</v>
      </c>
      <c r="Z1385">
        <v>63.4</v>
      </c>
      <c r="AA1385">
        <v>104.9</v>
      </c>
      <c r="AB1385">
        <v>23.1</v>
      </c>
      <c r="AC1385">
        <v>25.3</v>
      </c>
      <c r="AD1385">
        <v>9053300</v>
      </c>
    </row>
    <row r="1386" spans="1:30" hidden="1" x14ac:dyDescent="0.45">
      <c r="A1386">
        <v>1368</v>
      </c>
      <c r="B1386">
        <v>2200</v>
      </c>
      <c r="C1386" t="s">
        <v>45</v>
      </c>
      <c r="D1386" t="s">
        <v>4798</v>
      </c>
      <c r="E1386">
        <v>83</v>
      </c>
      <c r="F1386" t="s">
        <v>194</v>
      </c>
      <c r="G1386" t="s">
        <v>4799</v>
      </c>
      <c r="H1386" t="s">
        <v>4800</v>
      </c>
      <c r="I1386" t="s">
        <v>45</v>
      </c>
      <c r="J1386" t="s">
        <v>194</v>
      </c>
      <c r="L1386" t="b">
        <v>1</v>
      </c>
      <c r="M1386" t="s">
        <v>39</v>
      </c>
      <c r="N1386" t="s">
        <v>8245</v>
      </c>
      <c r="O1386" s="1">
        <v>14627</v>
      </c>
      <c r="P1386" t="s">
        <v>4801</v>
      </c>
      <c r="Q1386" t="s">
        <v>4802</v>
      </c>
      <c r="S1386" s="1">
        <v>45020.209027777775</v>
      </c>
      <c r="V1386">
        <v>1940</v>
      </c>
      <c r="W1386">
        <v>112.85</v>
      </c>
      <c r="X1386">
        <v>1.4</v>
      </c>
      <c r="Y1386" s="2">
        <v>3845630030824</v>
      </c>
      <c r="Z1386">
        <v>70.2</v>
      </c>
      <c r="AA1386">
        <v>104</v>
      </c>
      <c r="AB1386">
        <v>11.5</v>
      </c>
      <c r="AC1386">
        <v>48.8</v>
      </c>
      <c r="AD1386">
        <v>83132799</v>
      </c>
    </row>
    <row r="1387" spans="1:30" hidden="1" x14ac:dyDescent="0.45">
      <c r="A1387">
        <v>1368</v>
      </c>
      <c r="B1387">
        <v>2200</v>
      </c>
      <c r="C1387" t="s">
        <v>402</v>
      </c>
      <c r="D1387" t="s">
        <v>4803</v>
      </c>
      <c r="E1387">
        <v>76</v>
      </c>
      <c r="F1387" t="s">
        <v>194</v>
      </c>
      <c r="G1387" t="s">
        <v>4804</v>
      </c>
      <c r="H1387" t="s">
        <v>467</v>
      </c>
      <c r="I1387" t="s">
        <v>402</v>
      </c>
      <c r="J1387" t="s">
        <v>194</v>
      </c>
      <c r="L1387" t="b">
        <v>1</v>
      </c>
      <c r="M1387" t="s">
        <v>29</v>
      </c>
      <c r="N1387" t="s">
        <v>8245</v>
      </c>
      <c r="O1387" s="1">
        <v>17043</v>
      </c>
      <c r="P1387" t="s">
        <v>4805</v>
      </c>
      <c r="Q1387" t="s">
        <v>4806</v>
      </c>
      <c r="S1387" s="1">
        <v>45020.209027777775</v>
      </c>
      <c r="V1387">
        <v>1946</v>
      </c>
      <c r="W1387">
        <v>112.85</v>
      </c>
      <c r="X1387">
        <v>1.4</v>
      </c>
      <c r="Y1387" s="2">
        <v>3845630030824</v>
      </c>
      <c r="Z1387">
        <v>70.2</v>
      </c>
      <c r="AA1387">
        <v>104</v>
      </c>
      <c r="AB1387">
        <v>11.5</v>
      </c>
      <c r="AC1387">
        <v>48.8</v>
      </c>
      <c r="AD1387">
        <v>83132799</v>
      </c>
    </row>
    <row r="1388" spans="1:30" hidden="1" x14ac:dyDescent="0.45">
      <c r="A1388">
        <v>1368</v>
      </c>
      <c r="B1388">
        <v>2200</v>
      </c>
      <c r="C1388" t="s">
        <v>302</v>
      </c>
      <c r="D1388" t="s">
        <v>4807</v>
      </c>
      <c r="E1388">
        <v>64</v>
      </c>
      <c r="F1388" t="s">
        <v>128</v>
      </c>
      <c r="G1388" t="s">
        <v>234</v>
      </c>
      <c r="H1388" t="s">
        <v>304</v>
      </c>
      <c r="I1388" t="s">
        <v>302</v>
      </c>
      <c r="J1388" t="s">
        <v>164</v>
      </c>
      <c r="L1388" t="b">
        <v>1</v>
      </c>
      <c r="M1388" t="s">
        <v>39</v>
      </c>
      <c r="N1388" t="s">
        <v>8245</v>
      </c>
      <c r="O1388" s="1">
        <v>21551</v>
      </c>
      <c r="P1388" t="s">
        <v>294</v>
      </c>
      <c r="Q1388" t="s">
        <v>4808</v>
      </c>
      <c r="S1388" s="1">
        <v>45020.209027777775</v>
      </c>
      <c r="V1388">
        <v>1959</v>
      </c>
      <c r="W1388">
        <v>125.08</v>
      </c>
      <c r="X1388">
        <v>2.9</v>
      </c>
      <c r="Y1388" s="2">
        <v>19910000000000</v>
      </c>
      <c r="Z1388">
        <v>50.6</v>
      </c>
      <c r="AA1388">
        <v>100.2</v>
      </c>
      <c r="AB1388">
        <v>9.4</v>
      </c>
      <c r="AC1388">
        <v>59.2</v>
      </c>
      <c r="AD1388">
        <v>1397715000</v>
      </c>
    </row>
    <row r="1389" spans="1:30" hidden="1" x14ac:dyDescent="0.45">
      <c r="A1389">
        <v>1368</v>
      </c>
      <c r="B1389">
        <v>2200</v>
      </c>
      <c r="C1389" t="s">
        <v>61</v>
      </c>
      <c r="D1389" t="s">
        <v>4809</v>
      </c>
      <c r="E1389">
        <v>80</v>
      </c>
      <c r="F1389" t="s">
        <v>35</v>
      </c>
      <c r="G1389" t="s">
        <v>2066</v>
      </c>
      <c r="H1389" t="s">
        <v>1839</v>
      </c>
      <c r="I1389" t="s">
        <v>61</v>
      </c>
      <c r="J1389" t="s">
        <v>35</v>
      </c>
      <c r="L1389" t="b">
        <v>0</v>
      </c>
      <c r="M1389" t="s">
        <v>29</v>
      </c>
      <c r="N1389" t="s">
        <v>8245</v>
      </c>
      <c r="O1389" s="1">
        <v>15471</v>
      </c>
      <c r="P1389" t="s">
        <v>401</v>
      </c>
      <c r="Q1389" t="s">
        <v>358</v>
      </c>
      <c r="S1389" s="1">
        <v>45020.209027777775</v>
      </c>
      <c r="T1389" t="s">
        <v>253</v>
      </c>
      <c r="U1389" t="s">
        <v>44</v>
      </c>
      <c r="V1389">
        <v>1942</v>
      </c>
      <c r="W1389">
        <v>117.24</v>
      </c>
      <c r="X1389">
        <v>7.5</v>
      </c>
      <c r="Y1389" s="2">
        <v>21427700000000</v>
      </c>
      <c r="Z1389">
        <v>88.2</v>
      </c>
      <c r="AA1389">
        <v>101.8</v>
      </c>
      <c r="AB1389">
        <v>9.6</v>
      </c>
      <c r="AC1389">
        <v>36.6</v>
      </c>
      <c r="AD1389">
        <v>328239523</v>
      </c>
    </row>
    <row r="1390" spans="1:30" hidden="1" x14ac:dyDescent="0.45">
      <c r="A1390">
        <v>1368</v>
      </c>
      <c r="B1390">
        <v>2200</v>
      </c>
      <c r="C1390" t="s">
        <v>23</v>
      </c>
      <c r="D1390" t="s">
        <v>4810</v>
      </c>
      <c r="E1390">
        <v>73</v>
      </c>
      <c r="F1390" t="s">
        <v>35</v>
      </c>
      <c r="G1390" t="s">
        <v>4811</v>
      </c>
      <c r="H1390" t="s">
        <v>4812</v>
      </c>
      <c r="I1390" t="s">
        <v>23</v>
      </c>
      <c r="J1390" t="s">
        <v>35</v>
      </c>
      <c r="L1390" t="b">
        <v>1</v>
      </c>
      <c r="M1390" t="s">
        <v>39</v>
      </c>
      <c r="N1390" t="s">
        <v>8245</v>
      </c>
      <c r="O1390" s="1">
        <v>18057</v>
      </c>
      <c r="P1390" t="s">
        <v>4813</v>
      </c>
      <c r="Q1390" t="s">
        <v>401</v>
      </c>
      <c r="S1390" s="1">
        <v>45020.209027777775</v>
      </c>
      <c r="T1390" t="s">
        <v>52</v>
      </c>
      <c r="U1390" t="s">
        <v>53</v>
      </c>
      <c r="V1390">
        <v>1949</v>
      </c>
      <c r="W1390">
        <v>117.24</v>
      </c>
      <c r="X1390">
        <v>7.5</v>
      </c>
      <c r="Y1390" s="2">
        <v>21427700000000</v>
      </c>
      <c r="Z1390">
        <v>88.2</v>
      </c>
      <c r="AA1390">
        <v>101.8</v>
      </c>
      <c r="AB1390">
        <v>9.6</v>
      </c>
      <c r="AC1390">
        <v>36.6</v>
      </c>
      <c r="AD1390">
        <v>328239523</v>
      </c>
    </row>
    <row r="1391" spans="1:30" hidden="1" x14ac:dyDescent="0.45">
      <c r="A1391">
        <v>1368</v>
      </c>
      <c r="B1391">
        <v>2200</v>
      </c>
      <c r="C1391" t="s">
        <v>33</v>
      </c>
      <c r="D1391" t="s">
        <v>4814</v>
      </c>
      <c r="E1391">
        <v>75</v>
      </c>
      <c r="F1391" t="s">
        <v>35</v>
      </c>
      <c r="G1391" t="s">
        <v>517</v>
      </c>
      <c r="H1391" t="s">
        <v>4815</v>
      </c>
      <c r="I1391" t="s">
        <v>33</v>
      </c>
      <c r="J1391" t="s">
        <v>35</v>
      </c>
      <c r="L1391" t="b">
        <v>1</v>
      </c>
      <c r="M1391" t="s">
        <v>29</v>
      </c>
      <c r="N1391" t="s">
        <v>8245</v>
      </c>
      <c r="O1391" s="1">
        <v>17313</v>
      </c>
      <c r="P1391" t="s">
        <v>425</v>
      </c>
      <c r="Q1391" t="s">
        <v>4816</v>
      </c>
      <c r="S1391" s="1">
        <v>45020.209027777775</v>
      </c>
      <c r="T1391" t="s">
        <v>469</v>
      </c>
      <c r="U1391" t="s">
        <v>44</v>
      </c>
      <c r="V1391">
        <v>1947</v>
      </c>
      <c r="W1391">
        <v>117.24</v>
      </c>
      <c r="X1391">
        <v>7.5</v>
      </c>
      <c r="Y1391" s="2">
        <v>21427700000000</v>
      </c>
      <c r="Z1391">
        <v>88.2</v>
      </c>
      <c r="AA1391">
        <v>101.8</v>
      </c>
      <c r="AB1391">
        <v>9.6</v>
      </c>
      <c r="AC1391">
        <v>36.6</v>
      </c>
      <c r="AD1391">
        <v>328239523</v>
      </c>
    </row>
    <row r="1392" spans="1:30" hidden="1" x14ac:dyDescent="0.45">
      <c r="A1392">
        <v>1368</v>
      </c>
      <c r="B1392">
        <v>2200</v>
      </c>
      <c r="C1392" t="s">
        <v>23</v>
      </c>
      <c r="D1392" t="s">
        <v>4817</v>
      </c>
      <c r="E1392">
        <v>48</v>
      </c>
      <c r="F1392" t="s">
        <v>128</v>
      </c>
      <c r="G1392" t="s">
        <v>1227</v>
      </c>
      <c r="H1392" t="s">
        <v>1228</v>
      </c>
      <c r="I1392" t="s">
        <v>23</v>
      </c>
      <c r="J1392" t="s">
        <v>128</v>
      </c>
      <c r="L1392" t="b">
        <v>1</v>
      </c>
      <c r="M1392" t="s">
        <v>29</v>
      </c>
      <c r="N1392" t="s">
        <v>8245</v>
      </c>
      <c r="O1392" s="1">
        <v>27395</v>
      </c>
      <c r="P1392" t="s">
        <v>1895</v>
      </c>
      <c r="Q1392" t="s">
        <v>4818</v>
      </c>
      <c r="S1392" s="1">
        <v>45020.209027777775</v>
      </c>
      <c r="V1392">
        <v>1975</v>
      </c>
      <c r="W1392">
        <v>125.08</v>
      </c>
      <c r="X1392">
        <v>2.9</v>
      </c>
      <c r="Y1392" s="2">
        <v>19910000000000</v>
      </c>
      <c r="Z1392">
        <v>50.6</v>
      </c>
      <c r="AA1392">
        <v>100.2</v>
      </c>
      <c r="AB1392">
        <v>9.4</v>
      </c>
      <c r="AC1392">
        <v>59.2</v>
      </c>
      <c r="AD1392">
        <v>1397715000</v>
      </c>
    </row>
    <row r="1393" spans="1:30" hidden="1" x14ac:dyDescent="0.45">
      <c r="A1393">
        <v>1368</v>
      </c>
      <c r="B1393">
        <v>2200</v>
      </c>
      <c r="C1393" t="s">
        <v>61</v>
      </c>
      <c r="D1393" t="s">
        <v>4819</v>
      </c>
      <c r="E1393">
        <v>62</v>
      </c>
      <c r="F1393" t="s">
        <v>35</v>
      </c>
      <c r="G1393" t="s">
        <v>991</v>
      </c>
      <c r="H1393" t="s">
        <v>4551</v>
      </c>
      <c r="I1393" t="s">
        <v>61</v>
      </c>
      <c r="J1393" t="s">
        <v>35</v>
      </c>
      <c r="L1393" t="b">
        <v>1</v>
      </c>
      <c r="M1393" t="s">
        <v>39</v>
      </c>
      <c r="N1393" t="s">
        <v>8245</v>
      </c>
      <c r="O1393" s="1">
        <v>22082</v>
      </c>
      <c r="P1393" t="s">
        <v>4820</v>
      </c>
      <c r="Q1393" t="s">
        <v>4821</v>
      </c>
      <c r="S1393" s="1">
        <v>45020.209027777775</v>
      </c>
      <c r="T1393" t="s">
        <v>115</v>
      </c>
      <c r="U1393" t="s">
        <v>53</v>
      </c>
      <c r="V1393">
        <v>1960</v>
      </c>
      <c r="W1393">
        <v>117.24</v>
      </c>
      <c r="X1393">
        <v>7.5</v>
      </c>
      <c r="Y1393" s="2">
        <v>21427700000000</v>
      </c>
      <c r="Z1393">
        <v>88.2</v>
      </c>
      <c r="AA1393">
        <v>101.8</v>
      </c>
      <c r="AB1393">
        <v>9.6</v>
      </c>
      <c r="AC1393">
        <v>36.6</v>
      </c>
      <c r="AD1393">
        <v>328239523</v>
      </c>
    </row>
    <row r="1394" spans="1:30" hidden="1" x14ac:dyDescent="0.45">
      <c r="A1394">
        <v>1368</v>
      </c>
      <c r="B1394">
        <v>2200</v>
      </c>
      <c r="C1394" t="s">
        <v>23</v>
      </c>
      <c r="D1394" t="s">
        <v>4822</v>
      </c>
      <c r="E1394">
        <v>78</v>
      </c>
      <c r="F1394" t="s">
        <v>328</v>
      </c>
      <c r="G1394" t="s">
        <v>795</v>
      </c>
      <c r="H1394" t="s">
        <v>196</v>
      </c>
      <c r="I1394" t="s">
        <v>23</v>
      </c>
      <c r="J1394" t="s">
        <v>328</v>
      </c>
      <c r="L1394" t="b">
        <v>1</v>
      </c>
      <c r="M1394" t="s">
        <v>39</v>
      </c>
      <c r="N1394" t="s">
        <v>8245</v>
      </c>
      <c r="O1394" s="1">
        <v>16518</v>
      </c>
      <c r="P1394" t="s">
        <v>4823</v>
      </c>
      <c r="Q1394" t="s">
        <v>4824</v>
      </c>
      <c r="S1394" s="1">
        <v>45020.209027777775</v>
      </c>
      <c r="V1394">
        <v>1945</v>
      </c>
      <c r="W1394">
        <v>119.8</v>
      </c>
      <c r="X1394">
        <v>1.6</v>
      </c>
      <c r="Y1394" s="2">
        <v>1392680589329</v>
      </c>
      <c r="Z1394">
        <v>113.1</v>
      </c>
      <c r="AA1394">
        <v>100.3</v>
      </c>
      <c r="AB1394">
        <v>23</v>
      </c>
      <c r="AC1394">
        <v>47.4</v>
      </c>
      <c r="AD1394">
        <v>25766605</v>
      </c>
    </row>
    <row r="1395" spans="1:30" hidden="1" x14ac:dyDescent="0.45">
      <c r="A1395">
        <v>1368</v>
      </c>
      <c r="B1395">
        <v>2200</v>
      </c>
      <c r="C1395" t="s">
        <v>91</v>
      </c>
      <c r="D1395" t="s">
        <v>4825</v>
      </c>
      <c r="E1395">
        <v>54</v>
      </c>
      <c r="F1395" t="s">
        <v>574</v>
      </c>
      <c r="G1395" t="s">
        <v>574</v>
      </c>
      <c r="H1395" t="s">
        <v>2720</v>
      </c>
      <c r="I1395" t="s">
        <v>91</v>
      </c>
      <c r="J1395" t="s">
        <v>574</v>
      </c>
      <c r="L1395" t="b">
        <v>1</v>
      </c>
      <c r="M1395" t="s">
        <v>611</v>
      </c>
      <c r="N1395" t="s">
        <v>8245</v>
      </c>
      <c r="O1395" s="1">
        <v>25112</v>
      </c>
      <c r="P1395" t="s">
        <v>1446</v>
      </c>
      <c r="Q1395" t="s">
        <v>4826</v>
      </c>
      <c r="S1395" s="1">
        <v>45020.209027777775</v>
      </c>
      <c r="V1395">
        <v>1968</v>
      </c>
      <c r="W1395">
        <v>114.41</v>
      </c>
      <c r="X1395">
        <v>0.6</v>
      </c>
      <c r="Y1395" s="2">
        <v>372062527489</v>
      </c>
      <c r="Z1395">
        <v>84.8</v>
      </c>
      <c r="AA1395">
        <v>100.6</v>
      </c>
      <c r="AB1395">
        <v>13.1</v>
      </c>
      <c r="AC1395">
        <v>21</v>
      </c>
      <c r="AD1395">
        <v>5703569</v>
      </c>
    </row>
    <row r="1396" spans="1:30" hidden="1" x14ac:dyDescent="0.45">
      <c r="A1396">
        <v>1368</v>
      </c>
      <c r="B1396">
        <v>2200</v>
      </c>
      <c r="C1396" t="s">
        <v>91</v>
      </c>
      <c r="D1396" t="s">
        <v>4827</v>
      </c>
      <c r="E1396">
        <v>68</v>
      </c>
      <c r="F1396" t="s">
        <v>628</v>
      </c>
      <c r="G1396" t="s">
        <v>629</v>
      </c>
      <c r="H1396" t="s">
        <v>91</v>
      </c>
      <c r="I1396" t="s">
        <v>91</v>
      </c>
      <c r="J1396" t="s">
        <v>628</v>
      </c>
      <c r="L1396" t="b">
        <v>0</v>
      </c>
      <c r="M1396" t="s">
        <v>29</v>
      </c>
      <c r="N1396" t="s">
        <v>8245</v>
      </c>
      <c r="O1396" s="1">
        <v>20101</v>
      </c>
      <c r="P1396" t="s">
        <v>4828</v>
      </c>
      <c r="Q1396" t="s">
        <v>3500</v>
      </c>
      <c r="S1396" s="1">
        <v>45020.209027777775</v>
      </c>
      <c r="V1396">
        <v>1955</v>
      </c>
      <c r="W1396">
        <v>113.27</v>
      </c>
      <c r="X1396">
        <v>0.7</v>
      </c>
      <c r="Y1396" s="2">
        <v>543649976166</v>
      </c>
      <c r="Z1396">
        <v>49.3</v>
      </c>
      <c r="AA1396">
        <v>99.8</v>
      </c>
      <c r="AB1396">
        <v>14.9</v>
      </c>
      <c r="AC1396">
        <v>29.5</v>
      </c>
      <c r="AD1396">
        <v>69625582</v>
      </c>
    </row>
    <row r="1397" spans="1:30" hidden="1" x14ac:dyDescent="0.45">
      <c r="A1397">
        <v>1368</v>
      </c>
      <c r="B1397">
        <v>2200</v>
      </c>
      <c r="C1397" t="s">
        <v>45</v>
      </c>
      <c r="D1397" t="s">
        <v>4829</v>
      </c>
      <c r="E1397">
        <v>43</v>
      </c>
      <c r="F1397" t="s">
        <v>35</v>
      </c>
      <c r="G1397" t="s">
        <v>991</v>
      </c>
      <c r="H1397" t="s">
        <v>856</v>
      </c>
      <c r="I1397" t="s">
        <v>45</v>
      </c>
      <c r="J1397" t="s">
        <v>164</v>
      </c>
      <c r="L1397" t="b">
        <v>1</v>
      </c>
      <c r="M1397" t="s">
        <v>39</v>
      </c>
      <c r="N1397" t="s">
        <v>8245</v>
      </c>
      <c r="O1397" s="1">
        <v>29221</v>
      </c>
      <c r="P1397" t="s">
        <v>4830</v>
      </c>
      <c r="Q1397" t="s">
        <v>4831</v>
      </c>
      <c r="S1397" s="1">
        <v>45020.209027777775</v>
      </c>
      <c r="T1397" t="s">
        <v>115</v>
      </c>
      <c r="U1397" t="s">
        <v>53</v>
      </c>
      <c r="V1397">
        <v>1980</v>
      </c>
      <c r="W1397">
        <v>117.24</v>
      </c>
      <c r="X1397">
        <v>7.5</v>
      </c>
      <c r="Y1397" s="2">
        <v>21427700000000</v>
      </c>
      <c r="Z1397">
        <v>88.2</v>
      </c>
      <c r="AA1397">
        <v>101.8</v>
      </c>
      <c r="AB1397">
        <v>9.6</v>
      </c>
      <c r="AC1397">
        <v>36.6</v>
      </c>
      <c r="AD1397">
        <v>328239523</v>
      </c>
    </row>
    <row r="1398" spans="1:30" hidden="1" x14ac:dyDescent="0.45">
      <c r="A1398">
        <v>1368</v>
      </c>
      <c r="B1398">
        <v>2200</v>
      </c>
      <c r="C1398" t="s">
        <v>347</v>
      </c>
      <c r="D1398" t="s">
        <v>4832</v>
      </c>
      <c r="E1398">
        <v>60</v>
      </c>
      <c r="F1398" t="s">
        <v>35</v>
      </c>
      <c r="G1398" t="s">
        <v>247</v>
      </c>
      <c r="H1398" t="s">
        <v>317</v>
      </c>
      <c r="I1398" t="s">
        <v>347</v>
      </c>
      <c r="J1398" t="s">
        <v>686</v>
      </c>
      <c r="L1398" t="b">
        <v>1</v>
      </c>
      <c r="M1398" t="s">
        <v>29</v>
      </c>
      <c r="N1398" t="s">
        <v>8245</v>
      </c>
      <c r="O1398" s="1">
        <v>22751</v>
      </c>
      <c r="P1398" t="s">
        <v>4833</v>
      </c>
      <c r="Q1398" t="s">
        <v>1466</v>
      </c>
      <c r="S1398" s="1">
        <v>45020.209027777775</v>
      </c>
      <c r="T1398" t="s">
        <v>253</v>
      </c>
      <c r="U1398" t="s">
        <v>44</v>
      </c>
      <c r="V1398">
        <v>1962</v>
      </c>
      <c r="W1398">
        <v>117.24</v>
      </c>
      <c r="X1398">
        <v>7.5</v>
      </c>
      <c r="Y1398" s="2">
        <v>21427700000000</v>
      </c>
      <c r="Z1398">
        <v>88.2</v>
      </c>
      <c r="AA1398">
        <v>101.8</v>
      </c>
      <c r="AB1398">
        <v>9.6</v>
      </c>
      <c r="AC1398">
        <v>36.6</v>
      </c>
      <c r="AD1398">
        <v>328239523</v>
      </c>
    </row>
    <row r="1399" spans="1:30" x14ac:dyDescent="0.45">
      <c r="A1399">
        <v>1368</v>
      </c>
      <c r="B1399" s="6">
        <v>2200</v>
      </c>
      <c r="C1399" t="s">
        <v>61</v>
      </c>
      <c r="D1399" t="s">
        <v>4834</v>
      </c>
      <c r="E1399">
        <v>76</v>
      </c>
      <c r="F1399" t="s">
        <v>35</v>
      </c>
      <c r="G1399" t="s">
        <v>78</v>
      </c>
      <c r="H1399" t="s">
        <v>930</v>
      </c>
      <c r="I1399" t="s">
        <v>61</v>
      </c>
      <c r="J1399" t="s">
        <v>35</v>
      </c>
      <c r="K1399" t="s">
        <v>4644</v>
      </c>
      <c r="L1399" t="b">
        <v>1</v>
      </c>
      <c r="M1399" t="s">
        <v>611</v>
      </c>
      <c r="N1399" t="s">
        <v>8245</v>
      </c>
      <c r="O1399" s="10">
        <v>16915</v>
      </c>
      <c r="P1399" t="s">
        <v>4835</v>
      </c>
      <c r="Q1399" t="s">
        <v>2983</v>
      </c>
      <c r="R1399" t="s">
        <v>170</v>
      </c>
      <c r="S1399" s="8">
        <v>45020.209027777775</v>
      </c>
      <c r="T1399" t="s">
        <v>78</v>
      </c>
      <c r="U1399" t="s">
        <v>82</v>
      </c>
      <c r="V1399">
        <v>1946</v>
      </c>
      <c r="W1399" s="12">
        <v>117.24</v>
      </c>
      <c r="X1399">
        <v>7.5</v>
      </c>
      <c r="Y1399" s="14">
        <v>21427700000000</v>
      </c>
      <c r="Z1399">
        <v>88.2</v>
      </c>
      <c r="AA1399">
        <v>101.8</v>
      </c>
      <c r="AB1399">
        <v>9.6</v>
      </c>
      <c r="AC1399">
        <v>36.6</v>
      </c>
      <c r="AD1399">
        <v>328239523</v>
      </c>
    </row>
    <row r="1400" spans="1:30" x14ac:dyDescent="0.45">
      <c r="A1400">
        <v>1368</v>
      </c>
      <c r="B1400" s="6">
        <v>2200</v>
      </c>
      <c r="C1400" t="s">
        <v>61</v>
      </c>
      <c r="D1400" t="s">
        <v>4836</v>
      </c>
      <c r="E1400">
        <v>99</v>
      </c>
      <c r="F1400" t="s">
        <v>35</v>
      </c>
      <c r="G1400" t="s">
        <v>964</v>
      </c>
      <c r="H1400" t="s">
        <v>64</v>
      </c>
      <c r="I1400" t="s">
        <v>61</v>
      </c>
      <c r="J1400" t="s">
        <v>35</v>
      </c>
      <c r="K1400" t="s">
        <v>65</v>
      </c>
      <c r="L1400" t="b">
        <v>1</v>
      </c>
      <c r="M1400" t="s">
        <v>39</v>
      </c>
      <c r="N1400" t="s">
        <v>8245</v>
      </c>
      <c r="O1400" s="10">
        <v>8767</v>
      </c>
      <c r="P1400" t="s">
        <v>4837</v>
      </c>
      <c r="Q1400" t="s">
        <v>144</v>
      </c>
      <c r="R1400" t="s">
        <v>4838</v>
      </c>
      <c r="S1400" s="8">
        <v>45020.209027777775</v>
      </c>
      <c r="T1400" t="s">
        <v>115</v>
      </c>
      <c r="U1400" t="s">
        <v>53</v>
      </c>
      <c r="V1400">
        <v>1924</v>
      </c>
      <c r="W1400" s="12">
        <v>117.24</v>
      </c>
      <c r="X1400">
        <v>7.5</v>
      </c>
      <c r="Y1400" s="14">
        <v>21427700000000</v>
      </c>
      <c r="Z1400">
        <v>88.2</v>
      </c>
      <c r="AA1400">
        <v>101.8</v>
      </c>
      <c r="AB1400">
        <v>9.6</v>
      </c>
      <c r="AC1400">
        <v>36.6</v>
      </c>
      <c r="AD1400">
        <v>328239523</v>
      </c>
    </row>
    <row r="1401" spans="1:30" hidden="1" x14ac:dyDescent="0.45">
      <c r="A1401">
        <v>1368</v>
      </c>
      <c r="B1401">
        <v>2200</v>
      </c>
      <c r="C1401" t="s">
        <v>302</v>
      </c>
      <c r="D1401" t="s">
        <v>4839</v>
      </c>
      <c r="E1401">
        <v>44</v>
      </c>
      <c r="F1401" t="s">
        <v>35</v>
      </c>
      <c r="G1401" t="s">
        <v>247</v>
      </c>
      <c r="H1401" t="s">
        <v>4840</v>
      </c>
      <c r="I1401" t="s">
        <v>302</v>
      </c>
      <c r="J1401" t="s">
        <v>490</v>
      </c>
      <c r="L1401" t="b">
        <v>1</v>
      </c>
      <c r="M1401" t="s">
        <v>29</v>
      </c>
      <c r="N1401" t="s">
        <v>8245</v>
      </c>
      <c r="O1401" s="1">
        <v>28946</v>
      </c>
      <c r="P1401" t="s">
        <v>4841</v>
      </c>
      <c r="Q1401" t="s">
        <v>4241</v>
      </c>
      <c r="S1401" s="1">
        <v>45020.209027777775</v>
      </c>
      <c r="T1401" t="s">
        <v>253</v>
      </c>
      <c r="U1401" t="s">
        <v>44</v>
      </c>
      <c r="V1401">
        <v>1979</v>
      </c>
      <c r="W1401">
        <v>117.24</v>
      </c>
      <c r="X1401">
        <v>7.5</v>
      </c>
      <c r="Y1401" s="2">
        <v>21427700000000</v>
      </c>
      <c r="Z1401">
        <v>88.2</v>
      </c>
      <c r="AA1401">
        <v>101.8</v>
      </c>
      <c r="AB1401">
        <v>9.6</v>
      </c>
      <c r="AC1401">
        <v>36.6</v>
      </c>
      <c r="AD1401">
        <v>328239523</v>
      </c>
    </row>
    <row r="1402" spans="1:30" hidden="1" x14ac:dyDescent="0.45">
      <c r="A1402">
        <v>1368</v>
      </c>
      <c r="B1402">
        <v>2200</v>
      </c>
      <c r="C1402" t="s">
        <v>91</v>
      </c>
      <c r="D1402" t="s">
        <v>4842</v>
      </c>
      <c r="E1402">
        <v>52</v>
      </c>
      <c r="F1402" t="s">
        <v>2562</v>
      </c>
      <c r="G1402" t="s">
        <v>4843</v>
      </c>
      <c r="H1402" t="s">
        <v>4844</v>
      </c>
      <c r="I1402" t="s">
        <v>91</v>
      </c>
      <c r="J1402" t="s">
        <v>2562</v>
      </c>
      <c r="K1402" t="s">
        <v>4845</v>
      </c>
      <c r="L1402" t="b">
        <v>1</v>
      </c>
      <c r="M1402" t="s">
        <v>39</v>
      </c>
      <c r="N1402" t="s">
        <v>8246</v>
      </c>
      <c r="O1402" s="1">
        <v>25726</v>
      </c>
      <c r="P1402" t="s">
        <v>4846</v>
      </c>
      <c r="Q1402" t="s">
        <v>4847</v>
      </c>
      <c r="R1402" t="s">
        <v>3894</v>
      </c>
      <c r="S1402" s="1">
        <v>45020.209027777775</v>
      </c>
      <c r="V1402">
        <v>1970</v>
      </c>
      <c r="W1402">
        <v>163.52000000000001</v>
      </c>
      <c r="X1402">
        <v>2.8</v>
      </c>
      <c r="Y1402" s="2">
        <v>261921244843</v>
      </c>
      <c r="Z1402">
        <v>28.5</v>
      </c>
      <c r="AA1402">
        <v>110.6</v>
      </c>
      <c r="AB1402">
        <v>19.100000000000001</v>
      </c>
      <c r="AC1402">
        <v>37.6</v>
      </c>
      <c r="AD1402">
        <v>96462106</v>
      </c>
    </row>
    <row r="1403" spans="1:30" hidden="1" x14ac:dyDescent="0.45">
      <c r="A1403">
        <v>1368</v>
      </c>
      <c r="B1403">
        <v>2200</v>
      </c>
      <c r="C1403" t="s">
        <v>126</v>
      </c>
      <c r="D1403" t="s">
        <v>4848</v>
      </c>
      <c r="E1403">
        <v>71</v>
      </c>
      <c r="F1403" t="s">
        <v>128</v>
      </c>
      <c r="G1403" t="s">
        <v>4849</v>
      </c>
      <c r="H1403" t="s">
        <v>1426</v>
      </c>
      <c r="I1403" t="s">
        <v>126</v>
      </c>
      <c r="J1403" t="s">
        <v>128</v>
      </c>
      <c r="L1403" t="b">
        <v>1</v>
      </c>
      <c r="M1403" t="s">
        <v>39</v>
      </c>
      <c r="N1403" t="s">
        <v>8245</v>
      </c>
      <c r="O1403" s="1">
        <v>19016</v>
      </c>
      <c r="P1403" t="s">
        <v>4850</v>
      </c>
      <c r="Q1403" t="s">
        <v>4851</v>
      </c>
      <c r="S1403" s="1">
        <v>45020.209027777775</v>
      </c>
      <c r="V1403">
        <v>1952</v>
      </c>
      <c r="W1403">
        <v>125.08</v>
      </c>
      <c r="X1403">
        <v>2.9</v>
      </c>
      <c r="Y1403" s="2">
        <v>19910000000000</v>
      </c>
      <c r="Z1403">
        <v>50.6</v>
      </c>
      <c r="AA1403">
        <v>100.2</v>
      </c>
      <c r="AB1403">
        <v>9.4</v>
      </c>
      <c r="AC1403">
        <v>59.2</v>
      </c>
      <c r="AD1403">
        <v>1397715000</v>
      </c>
    </row>
    <row r="1404" spans="1:30" hidden="1" x14ac:dyDescent="0.45">
      <c r="A1404">
        <v>1368</v>
      </c>
      <c r="B1404">
        <v>2200</v>
      </c>
      <c r="C1404" t="s">
        <v>296</v>
      </c>
      <c r="D1404" t="s">
        <v>4852</v>
      </c>
      <c r="E1404">
        <v>60</v>
      </c>
      <c r="F1404" t="s">
        <v>328</v>
      </c>
      <c r="G1404" t="s">
        <v>795</v>
      </c>
      <c r="H1404" t="s">
        <v>4853</v>
      </c>
      <c r="I1404" t="s">
        <v>296</v>
      </c>
      <c r="J1404" t="s">
        <v>328</v>
      </c>
      <c r="L1404" t="b">
        <v>0</v>
      </c>
      <c r="M1404" t="s">
        <v>39</v>
      </c>
      <c r="N1404" t="s">
        <v>8246</v>
      </c>
      <c r="O1404" s="1">
        <v>22902</v>
      </c>
      <c r="P1404" t="s">
        <v>796</v>
      </c>
      <c r="Q1404" t="s">
        <v>4854</v>
      </c>
      <c r="S1404" s="1">
        <v>45020.209027777775</v>
      </c>
      <c r="V1404">
        <v>1962</v>
      </c>
      <c r="W1404">
        <v>119.8</v>
      </c>
      <c r="X1404">
        <v>1.6</v>
      </c>
      <c r="Y1404" s="2">
        <v>1392680589329</v>
      </c>
      <c r="Z1404">
        <v>113.1</v>
      </c>
      <c r="AA1404">
        <v>100.3</v>
      </c>
      <c r="AB1404">
        <v>23</v>
      </c>
      <c r="AC1404">
        <v>47.4</v>
      </c>
      <c r="AD1404">
        <v>25766605</v>
      </c>
    </row>
    <row r="1405" spans="1:30" hidden="1" x14ac:dyDescent="0.45">
      <c r="A1405">
        <v>1368</v>
      </c>
      <c r="B1405">
        <v>2200</v>
      </c>
      <c r="C1405" t="s">
        <v>45</v>
      </c>
      <c r="D1405" t="s">
        <v>4855</v>
      </c>
      <c r="E1405">
        <v>52</v>
      </c>
      <c r="F1405" t="s">
        <v>128</v>
      </c>
      <c r="G1405" t="s">
        <v>187</v>
      </c>
      <c r="H1405" t="s">
        <v>856</v>
      </c>
      <c r="I1405" t="s">
        <v>45</v>
      </c>
      <c r="J1405" t="s">
        <v>128</v>
      </c>
      <c r="L1405" t="b">
        <v>1</v>
      </c>
      <c r="M1405" t="s">
        <v>29</v>
      </c>
      <c r="N1405" t="s">
        <v>8245</v>
      </c>
      <c r="O1405" s="1">
        <v>25842</v>
      </c>
      <c r="P1405" t="s">
        <v>1265</v>
      </c>
      <c r="Q1405" t="s">
        <v>4856</v>
      </c>
      <c r="S1405" s="1">
        <v>45020.209027777775</v>
      </c>
      <c r="V1405">
        <v>1970</v>
      </c>
      <c r="W1405">
        <v>125.08</v>
      </c>
      <c r="X1405">
        <v>2.9</v>
      </c>
      <c r="Y1405" s="2">
        <v>19910000000000</v>
      </c>
      <c r="Z1405">
        <v>50.6</v>
      </c>
      <c r="AA1405">
        <v>100.2</v>
      </c>
      <c r="AB1405">
        <v>9.4</v>
      </c>
      <c r="AC1405">
        <v>59.2</v>
      </c>
      <c r="AD1405">
        <v>1397715000</v>
      </c>
    </row>
    <row r="1406" spans="1:30" hidden="1" x14ac:dyDescent="0.45">
      <c r="A1406">
        <v>1368</v>
      </c>
      <c r="B1406">
        <v>2200</v>
      </c>
      <c r="C1406" t="s">
        <v>45</v>
      </c>
      <c r="D1406" t="s">
        <v>4857</v>
      </c>
      <c r="E1406">
        <v>73</v>
      </c>
      <c r="F1406" t="s">
        <v>35</v>
      </c>
      <c r="G1406" t="s">
        <v>1549</v>
      </c>
      <c r="H1406" t="s">
        <v>4858</v>
      </c>
      <c r="I1406" t="s">
        <v>45</v>
      </c>
      <c r="J1406" t="s">
        <v>35</v>
      </c>
      <c r="L1406" t="b">
        <v>1</v>
      </c>
      <c r="M1406" t="s">
        <v>29</v>
      </c>
      <c r="N1406" t="s">
        <v>8245</v>
      </c>
      <c r="O1406" s="1">
        <v>18050</v>
      </c>
      <c r="P1406" t="s">
        <v>4859</v>
      </c>
      <c r="Q1406" t="s">
        <v>4860</v>
      </c>
      <c r="S1406" s="1">
        <v>45020.209027777775</v>
      </c>
      <c r="T1406" t="s">
        <v>427</v>
      </c>
      <c r="U1406" t="s">
        <v>82</v>
      </c>
      <c r="V1406">
        <v>1949</v>
      </c>
      <c r="W1406">
        <v>117.24</v>
      </c>
      <c r="X1406">
        <v>7.5</v>
      </c>
      <c r="Y1406" s="2">
        <v>21427700000000</v>
      </c>
      <c r="Z1406">
        <v>88.2</v>
      </c>
      <c r="AA1406">
        <v>101.8</v>
      </c>
      <c r="AB1406">
        <v>9.6</v>
      </c>
      <c r="AC1406">
        <v>36.6</v>
      </c>
      <c r="AD1406">
        <v>328239523</v>
      </c>
    </row>
    <row r="1407" spans="1:30" hidden="1" x14ac:dyDescent="0.45">
      <c r="A1407">
        <v>1368</v>
      </c>
      <c r="B1407">
        <v>2200</v>
      </c>
      <c r="C1407" t="s">
        <v>402</v>
      </c>
      <c r="D1407" t="s">
        <v>4861</v>
      </c>
      <c r="E1407">
        <v>91</v>
      </c>
      <c r="F1407" t="s">
        <v>93</v>
      </c>
      <c r="G1407" t="s">
        <v>4546</v>
      </c>
      <c r="H1407" t="s">
        <v>402</v>
      </c>
      <c r="I1407" t="s">
        <v>402</v>
      </c>
      <c r="J1407" t="s">
        <v>93</v>
      </c>
      <c r="L1407" t="b">
        <v>1</v>
      </c>
      <c r="M1407" t="s">
        <v>39</v>
      </c>
      <c r="N1407" t="s">
        <v>8245</v>
      </c>
      <c r="O1407" s="1">
        <v>11724</v>
      </c>
      <c r="P1407" t="s">
        <v>4862</v>
      </c>
      <c r="Q1407" t="s">
        <v>4863</v>
      </c>
      <c r="S1407" s="1">
        <v>45020.209027777775</v>
      </c>
      <c r="V1407">
        <v>1932</v>
      </c>
      <c r="W1407">
        <v>180.44</v>
      </c>
      <c r="X1407">
        <v>7.7</v>
      </c>
      <c r="Y1407" s="2">
        <v>2611000000000</v>
      </c>
      <c r="Z1407">
        <v>28.1</v>
      </c>
      <c r="AA1407">
        <v>113</v>
      </c>
      <c r="AB1407">
        <v>11.2</v>
      </c>
      <c r="AC1407">
        <v>49.7</v>
      </c>
      <c r="AD1407">
        <v>1366417754</v>
      </c>
    </row>
    <row r="1408" spans="1:30" hidden="1" x14ac:dyDescent="0.45">
      <c r="A1408">
        <v>1368</v>
      </c>
      <c r="B1408">
        <v>2200</v>
      </c>
      <c r="C1408" t="s">
        <v>702</v>
      </c>
      <c r="D1408" t="s">
        <v>4864</v>
      </c>
      <c r="E1408">
        <v>87</v>
      </c>
      <c r="F1408" t="s">
        <v>35</v>
      </c>
      <c r="G1408" t="s">
        <v>433</v>
      </c>
      <c r="H1408" t="s">
        <v>4865</v>
      </c>
      <c r="I1408" t="s">
        <v>702</v>
      </c>
      <c r="J1408" t="s">
        <v>35</v>
      </c>
      <c r="L1408" t="b">
        <v>1</v>
      </c>
      <c r="M1408" t="s">
        <v>29</v>
      </c>
      <c r="N1408" t="s">
        <v>8245</v>
      </c>
      <c r="O1408" s="1">
        <v>13205</v>
      </c>
      <c r="P1408" t="s">
        <v>4866</v>
      </c>
      <c r="Q1408" t="s">
        <v>707</v>
      </c>
      <c r="S1408" s="1">
        <v>45020.209027777775</v>
      </c>
      <c r="T1408" t="s">
        <v>435</v>
      </c>
      <c r="U1408" t="s">
        <v>69</v>
      </c>
      <c r="V1408">
        <v>1936</v>
      </c>
      <c r="W1408">
        <v>117.24</v>
      </c>
      <c r="X1408">
        <v>7.5</v>
      </c>
      <c r="Y1408" s="2">
        <v>21427700000000</v>
      </c>
      <c r="Z1408">
        <v>88.2</v>
      </c>
      <c r="AA1408">
        <v>101.8</v>
      </c>
      <c r="AB1408">
        <v>9.6</v>
      </c>
      <c r="AC1408">
        <v>36.6</v>
      </c>
      <c r="AD1408">
        <v>328239523</v>
      </c>
    </row>
    <row r="1409" spans="1:30" hidden="1" x14ac:dyDescent="0.45">
      <c r="A1409">
        <v>1368</v>
      </c>
      <c r="B1409">
        <v>2200</v>
      </c>
      <c r="C1409" t="s">
        <v>45</v>
      </c>
      <c r="D1409" t="s">
        <v>4867</v>
      </c>
      <c r="E1409">
        <v>52</v>
      </c>
      <c r="F1409" t="s">
        <v>35</v>
      </c>
      <c r="G1409" t="s">
        <v>4868</v>
      </c>
      <c r="H1409" t="s">
        <v>4869</v>
      </c>
      <c r="I1409" t="s">
        <v>45</v>
      </c>
      <c r="J1409" t="s">
        <v>35</v>
      </c>
      <c r="L1409" t="b">
        <v>1</v>
      </c>
      <c r="M1409" t="s">
        <v>39</v>
      </c>
      <c r="N1409" t="s">
        <v>8245</v>
      </c>
      <c r="O1409" s="1">
        <v>25851</v>
      </c>
      <c r="P1409" t="s">
        <v>4870</v>
      </c>
      <c r="Q1409" t="s">
        <v>4871</v>
      </c>
      <c r="S1409" s="1">
        <v>45020.209027777775</v>
      </c>
      <c r="T1409" t="s">
        <v>507</v>
      </c>
      <c r="U1409" t="s">
        <v>44</v>
      </c>
      <c r="V1409">
        <v>1970</v>
      </c>
      <c r="W1409">
        <v>117.24</v>
      </c>
      <c r="X1409">
        <v>7.5</v>
      </c>
      <c r="Y1409" s="2">
        <v>21427700000000</v>
      </c>
      <c r="Z1409">
        <v>88.2</v>
      </c>
      <c r="AA1409">
        <v>101.8</v>
      </c>
      <c r="AB1409">
        <v>9.6</v>
      </c>
      <c r="AC1409">
        <v>36.6</v>
      </c>
      <c r="AD1409">
        <v>328239523</v>
      </c>
    </row>
    <row r="1410" spans="1:30" hidden="1" x14ac:dyDescent="0.45">
      <c r="A1410">
        <v>1368</v>
      </c>
      <c r="B1410">
        <v>2200</v>
      </c>
      <c r="C1410" t="s">
        <v>23</v>
      </c>
      <c r="D1410" t="s">
        <v>4872</v>
      </c>
      <c r="E1410">
        <v>84</v>
      </c>
      <c r="F1410" t="s">
        <v>205</v>
      </c>
      <c r="G1410" t="s">
        <v>284</v>
      </c>
      <c r="H1410" t="s">
        <v>3885</v>
      </c>
      <c r="I1410" t="s">
        <v>23</v>
      </c>
      <c r="J1410" t="s">
        <v>205</v>
      </c>
      <c r="L1410" t="b">
        <v>1</v>
      </c>
      <c r="M1410" t="s">
        <v>29</v>
      </c>
      <c r="N1410" t="s">
        <v>8245</v>
      </c>
      <c r="O1410" s="1">
        <v>14246</v>
      </c>
      <c r="P1410" t="s">
        <v>4873</v>
      </c>
      <c r="Q1410" t="s">
        <v>596</v>
      </c>
      <c r="S1410" s="1">
        <v>45020.209027777775</v>
      </c>
      <c r="V1410">
        <v>1939</v>
      </c>
      <c r="W1410">
        <v>99.55</v>
      </c>
      <c r="X1410">
        <v>0.4</v>
      </c>
      <c r="Y1410" s="2">
        <v>703082435360</v>
      </c>
      <c r="Z1410">
        <v>59.6</v>
      </c>
      <c r="AA1410">
        <v>105.2</v>
      </c>
      <c r="AB1410">
        <v>10.1</v>
      </c>
      <c r="AC1410">
        <v>28.8</v>
      </c>
      <c r="AD1410">
        <v>8574832</v>
      </c>
    </row>
    <row r="1411" spans="1:30" hidden="1" x14ac:dyDescent="0.45">
      <c r="A1411">
        <v>1368</v>
      </c>
      <c r="B1411">
        <v>2200</v>
      </c>
      <c r="C1411" t="s">
        <v>402</v>
      </c>
      <c r="D1411" t="s">
        <v>4874</v>
      </c>
      <c r="E1411">
        <v>96</v>
      </c>
      <c r="F1411" t="s">
        <v>35</v>
      </c>
      <c r="G1411" t="s">
        <v>4875</v>
      </c>
      <c r="H1411" t="s">
        <v>1919</v>
      </c>
      <c r="I1411" t="s">
        <v>402</v>
      </c>
      <c r="J1411" t="s">
        <v>35</v>
      </c>
      <c r="L1411" t="b">
        <v>1</v>
      </c>
      <c r="M1411" t="s">
        <v>29</v>
      </c>
      <c r="N1411" t="s">
        <v>8246</v>
      </c>
      <c r="O1411" s="1">
        <v>9680</v>
      </c>
      <c r="P1411" t="s">
        <v>4876</v>
      </c>
      <c r="Q1411" t="s">
        <v>161</v>
      </c>
      <c r="S1411" s="1">
        <v>45020.209027777775</v>
      </c>
      <c r="T1411" t="s">
        <v>115</v>
      </c>
      <c r="U1411" t="s">
        <v>53</v>
      </c>
      <c r="V1411">
        <v>1926</v>
      </c>
      <c r="W1411">
        <v>117.24</v>
      </c>
      <c r="X1411">
        <v>7.5</v>
      </c>
      <c r="Y1411" s="2">
        <v>21427700000000</v>
      </c>
      <c r="Z1411">
        <v>88.2</v>
      </c>
      <c r="AA1411">
        <v>101.8</v>
      </c>
      <c r="AB1411">
        <v>9.6</v>
      </c>
      <c r="AC1411">
        <v>36.6</v>
      </c>
      <c r="AD1411">
        <v>328239523</v>
      </c>
    </row>
    <row r="1412" spans="1:30" hidden="1" x14ac:dyDescent="0.45">
      <c r="A1412">
        <v>1368</v>
      </c>
      <c r="B1412">
        <v>2200</v>
      </c>
      <c r="C1412" t="s">
        <v>45</v>
      </c>
      <c r="D1412" t="s">
        <v>4877</v>
      </c>
      <c r="E1412">
        <v>43</v>
      </c>
      <c r="F1412" t="s">
        <v>164</v>
      </c>
      <c r="H1412" t="s">
        <v>856</v>
      </c>
      <c r="I1412" t="s">
        <v>45</v>
      </c>
      <c r="J1412" t="s">
        <v>164</v>
      </c>
      <c r="L1412" t="b">
        <v>1</v>
      </c>
      <c r="M1412" t="s">
        <v>39</v>
      </c>
      <c r="N1412" t="s">
        <v>8245</v>
      </c>
      <c r="O1412" s="1">
        <v>29221</v>
      </c>
      <c r="P1412" t="s">
        <v>4878</v>
      </c>
      <c r="Q1412" t="s">
        <v>4879</v>
      </c>
      <c r="S1412" s="1">
        <v>45020.209027777775</v>
      </c>
      <c r="V1412">
        <v>1980</v>
      </c>
      <c r="W1412">
        <v>116.76</v>
      </c>
      <c r="X1412">
        <v>1.9</v>
      </c>
      <c r="Y1412" s="2">
        <v>1736425629520</v>
      </c>
      <c r="Z1412">
        <v>68.900000000000006</v>
      </c>
      <c r="AA1412">
        <v>100.9</v>
      </c>
      <c r="AB1412">
        <v>12.8</v>
      </c>
      <c r="AC1412">
        <v>24.5</v>
      </c>
      <c r="AD1412">
        <v>36991981</v>
      </c>
    </row>
    <row r="1413" spans="1:30" x14ac:dyDescent="0.45">
      <c r="A1413">
        <v>1368</v>
      </c>
      <c r="B1413" s="6">
        <v>2200</v>
      </c>
      <c r="C1413" t="s">
        <v>45</v>
      </c>
      <c r="D1413" t="s">
        <v>4880</v>
      </c>
      <c r="E1413">
        <v>66</v>
      </c>
      <c r="F1413" t="s">
        <v>35</v>
      </c>
      <c r="G1413" t="s">
        <v>4881</v>
      </c>
      <c r="H1413" t="s">
        <v>4882</v>
      </c>
      <c r="I1413" t="s">
        <v>45</v>
      </c>
      <c r="J1413" t="s">
        <v>35</v>
      </c>
      <c r="K1413" t="s">
        <v>4883</v>
      </c>
      <c r="L1413" t="b">
        <v>1</v>
      </c>
      <c r="M1413" t="s">
        <v>39</v>
      </c>
      <c r="N1413" t="s">
        <v>8245</v>
      </c>
      <c r="O1413" s="10">
        <v>20841</v>
      </c>
      <c r="P1413" t="s">
        <v>4884</v>
      </c>
      <c r="Q1413" t="s">
        <v>4885</v>
      </c>
      <c r="R1413" t="s">
        <v>688</v>
      </c>
      <c r="S1413" s="8">
        <v>45020.209027777775</v>
      </c>
      <c r="T1413" t="s">
        <v>115</v>
      </c>
      <c r="U1413" t="s">
        <v>53</v>
      </c>
      <c r="V1413">
        <v>1957</v>
      </c>
      <c r="W1413" s="12">
        <v>117.24</v>
      </c>
      <c r="X1413">
        <v>7.5</v>
      </c>
      <c r="Y1413" s="14">
        <v>21427700000000</v>
      </c>
      <c r="Z1413">
        <v>88.2</v>
      </c>
      <c r="AA1413">
        <v>101.8</v>
      </c>
      <c r="AB1413">
        <v>9.6</v>
      </c>
      <c r="AC1413">
        <v>36.6</v>
      </c>
      <c r="AD1413">
        <v>328239523</v>
      </c>
    </row>
    <row r="1414" spans="1:30" hidden="1" x14ac:dyDescent="0.45">
      <c r="A1414">
        <v>1368</v>
      </c>
      <c r="B1414">
        <v>2200</v>
      </c>
      <c r="C1414" t="s">
        <v>302</v>
      </c>
      <c r="D1414" t="s">
        <v>4886</v>
      </c>
      <c r="E1414">
        <v>55</v>
      </c>
      <c r="F1414" t="s">
        <v>35</v>
      </c>
      <c r="G1414" t="s">
        <v>4887</v>
      </c>
      <c r="H1414" t="s">
        <v>304</v>
      </c>
      <c r="I1414" t="s">
        <v>302</v>
      </c>
      <c r="J1414" t="s">
        <v>35</v>
      </c>
      <c r="L1414" t="b">
        <v>0</v>
      </c>
      <c r="M1414" t="s">
        <v>258</v>
      </c>
      <c r="N1414" t="s">
        <v>8245</v>
      </c>
      <c r="O1414" s="1">
        <v>24819</v>
      </c>
      <c r="P1414" t="s">
        <v>4888</v>
      </c>
      <c r="Q1414" t="s">
        <v>2498</v>
      </c>
      <c r="S1414" s="1">
        <v>45020.209027777775</v>
      </c>
      <c r="T1414" t="s">
        <v>253</v>
      </c>
      <c r="U1414" t="s">
        <v>44</v>
      </c>
      <c r="V1414">
        <v>1967</v>
      </c>
      <c r="W1414">
        <v>117.24</v>
      </c>
      <c r="X1414">
        <v>7.5</v>
      </c>
      <c r="Y1414" s="2">
        <v>21427700000000</v>
      </c>
      <c r="Z1414">
        <v>88.2</v>
      </c>
      <c r="AA1414">
        <v>101.8</v>
      </c>
      <c r="AB1414">
        <v>9.6</v>
      </c>
      <c r="AC1414">
        <v>36.6</v>
      </c>
      <c r="AD1414">
        <v>328239523</v>
      </c>
    </row>
    <row r="1415" spans="1:30" hidden="1" x14ac:dyDescent="0.45">
      <c r="A1415">
        <v>1368</v>
      </c>
      <c r="B1415">
        <v>2200</v>
      </c>
      <c r="C1415" t="s">
        <v>45</v>
      </c>
      <c r="D1415" t="s">
        <v>4889</v>
      </c>
      <c r="E1415">
        <v>67</v>
      </c>
      <c r="F1415" t="s">
        <v>35</v>
      </c>
      <c r="G1415" t="s">
        <v>4890</v>
      </c>
      <c r="H1415" t="s">
        <v>856</v>
      </c>
      <c r="I1415" t="s">
        <v>45</v>
      </c>
      <c r="J1415" t="s">
        <v>35</v>
      </c>
      <c r="L1415" t="b">
        <v>1</v>
      </c>
      <c r="M1415" t="s">
        <v>39</v>
      </c>
      <c r="N1415" t="s">
        <v>8245</v>
      </c>
      <c r="O1415" s="1">
        <v>20188</v>
      </c>
      <c r="P1415" t="s">
        <v>4891</v>
      </c>
      <c r="Q1415" t="s">
        <v>338</v>
      </c>
      <c r="S1415" s="1">
        <v>45020.209027777775</v>
      </c>
      <c r="T1415" t="s">
        <v>479</v>
      </c>
      <c r="U1415" t="s">
        <v>82</v>
      </c>
      <c r="V1415">
        <v>1955</v>
      </c>
      <c r="W1415">
        <v>117.24</v>
      </c>
      <c r="X1415">
        <v>7.5</v>
      </c>
      <c r="Y1415" s="2">
        <v>21427700000000</v>
      </c>
      <c r="Z1415">
        <v>88.2</v>
      </c>
      <c r="AA1415">
        <v>101.8</v>
      </c>
      <c r="AB1415">
        <v>9.6</v>
      </c>
      <c r="AC1415">
        <v>36.6</v>
      </c>
      <c r="AD1415">
        <v>328239523</v>
      </c>
    </row>
    <row r="1416" spans="1:30" x14ac:dyDescent="0.45">
      <c r="A1416">
        <v>1368</v>
      </c>
      <c r="B1416" s="6">
        <v>2200</v>
      </c>
      <c r="C1416" t="s">
        <v>61</v>
      </c>
      <c r="D1416" t="s">
        <v>4892</v>
      </c>
      <c r="E1416">
        <v>65</v>
      </c>
      <c r="F1416" t="s">
        <v>35</v>
      </c>
      <c r="G1416" t="s">
        <v>78</v>
      </c>
      <c r="H1416" t="s">
        <v>248</v>
      </c>
      <c r="I1416" t="s">
        <v>61</v>
      </c>
      <c r="J1416" t="s">
        <v>35</v>
      </c>
      <c r="K1416" t="s">
        <v>4893</v>
      </c>
      <c r="L1416" t="b">
        <v>1</v>
      </c>
      <c r="M1416" t="s">
        <v>29</v>
      </c>
      <c r="N1416" t="s">
        <v>8245</v>
      </c>
      <c r="O1416" s="10">
        <v>20949</v>
      </c>
      <c r="P1416" t="s">
        <v>4894</v>
      </c>
      <c r="Q1416" t="s">
        <v>1292</v>
      </c>
      <c r="R1416" t="s">
        <v>192</v>
      </c>
      <c r="S1416" s="8">
        <v>45020.209027777775</v>
      </c>
      <c r="T1416" t="s">
        <v>78</v>
      </c>
      <c r="U1416" t="s">
        <v>82</v>
      </c>
      <c r="V1416">
        <v>1957</v>
      </c>
      <c r="W1416" s="12">
        <v>117.24</v>
      </c>
      <c r="X1416">
        <v>7.5</v>
      </c>
      <c r="Y1416" s="14">
        <v>21427700000000</v>
      </c>
      <c r="Z1416">
        <v>88.2</v>
      </c>
      <c r="AA1416">
        <v>101.8</v>
      </c>
      <c r="AB1416">
        <v>9.6</v>
      </c>
      <c r="AC1416">
        <v>36.6</v>
      </c>
      <c r="AD1416">
        <v>328239523</v>
      </c>
    </row>
    <row r="1417" spans="1:30" hidden="1" x14ac:dyDescent="0.45">
      <c r="A1417">
        <v>1368</v>
      </c>
      <c r="B1417">
        <v>2200</v>
      </c>
      <c r="C1417" t="s">
        <v>91</v>
      </c>
      <c r="D1417" t="s">
        <v>4895</v>
      </c>
      <c r="E1417">
        <v>63</v>
      </c>
      <c r="F1417" t="s">
        <v>1111</v>
      </c>
      <c r="G1417" t="s">
        <v>1112</v>
      </c>
      <c r="H1417" t="s">
        <v>91</v>
      </c>
      <c r="I1417" t="s">
        <v>91</v>
      </c>
      <c r="J1417" t="s">
        <v>1111</v>
      </c>
      <c r="L1417" t="b">
        <v>0</v>
      </c>
      <c r="M1417" t="s">
        <v>39</v>
      </c>
      <c r="N1417" t="s">
        <v>8245</v>
      </c>
      <c r="O1417" s="1">
        <v>21702</v>
      </c>
      <c r="P1417" t="s">
        <v>4456</v>
      </c>
      <c r="Q1417" t="s">
        <v>4896</v>
      </c>
      <c r="S1417" s="1">
        <v>45020.209027777775</v>
      </c>
      <c r="V1417">
        <v>1959</v>
      </c>
      <c r="W1417">
        <v>129.61000000000001</v>
      </c>
      <c r="X1417">
        <v>2.5</v>
      </c>
      <c r="Y1417" s="2">
        <v>376795508680</v>
      </c>
      <c r="Z1417">
        <v>35.5</v>
      </c>
      <c r="AA1417">
        <v>107.5</v>
      </c>
      <c r="AB1417">
        <v>14</v>
      </c>
      <c r="AC1417">
        <v>43.1</v>
      </c>
      <c r="AD1417">
        <v>108116615</v>
      </c>
    </row>
    <row r="1418" spans="1:30" hidden="1" x14ac:dyDescent="0.45">
      <c r="A1418">
        <v>1368</v>
      </c>
      <c r="B1418">
        <v>2200</v>
      </c>
      <c r="C1418" t="s">
        <v>91</v>
      </c>
      <c r="D1418" t="s">
        <v>4897</v>
      </c>
      <c r="E1418">
        <v>72</v>
      </c>
      <c r="F1418" t="s">
        <v>1111</v>
      </c>
      <c r="G1418" t="s">
        <v>1112</v>
      </c>
      <c r="H1418" t="s">
        <v>91</v>
      </c>
      <c r="I1418" t="s">
        <v>91</v>
      </c>
      <c r="J1418" t="s">
        <v>1111</v>
      </c>
      <c r="L1418" t="b">
        <v>0</v>
      </c>
      <c r="M1418" t="s">
        <v>39</v>
      </c>
      <c r="N1418" t="s">
        <v>8246</v>
      </c>
      <c r="O1418" s="1">
        <v>18537</v>
      </c>
      <c r="P1418" t="s">
        <v>4898</v>
      </c>
      <c r="Q1418" t="s">
        <v>4899</v>
      </c>
      <c r="S1418" s="1">
        <v>45020.209027777775</v>
      </c>
      <c r="V1418">
        <v>1950</v>
      </c>
      <c r="W1418">
        <v>129.61000000000001</v>
      </c>
      <c r="X1418">
        <v>2.5</v>
      </c>
      <c r="Y1418" s="2">
        <v>376795508680</v>
      </c>
      <c r="Z1418">
        <v>35.5</v>
      </c>
      <c r="AA1418">
        <v>107.5</v>
      </c>
      <c r="AB1418">
        <v>14</v>
      </c>
      <c r="AC1418">
        <v>43.1</v>
      </c>
      <c r="AD1418">
        <v>108116615</v>
      </c>
    </row>
    <row r="1419" spans="1:30" hidden="1" x14ac:dyDescent="0.45">
      <c r="A1419">
        <v>1368</v>
      </c>
      <c r="B1419">
        <v>2200</v>
      </c>
      <c r="C1419" t="s">
        <v>302</v>
      </c>
      <c r="D1419" t="s">
        <v>4900</v>
      </c>
      <c r="E1419">
        <v>77</v>
      </c>
      <c r="F1419" t="s">
        <v>266</v>
      </c>
      <c r="G1419" t="s">
        <v>267</v>
      </c>
      <c r="H1419" t="s">
        <v>304</v>
      </c>
      <c r="I1419" t="s">
        <v>302</v>
      </c>
      <c r="J1419" t="s">
        <v>266</v>
      </c>
      <c r="L1419" t="b">
        <v>1</v>
      </c>
      <c r="M1419" t="s">
        <v>39</v>
      </c>
      <c r="N1419" t="s">
        <v>8245</v>
      </c>
      <c r="O1419" s="1">
        <v>16630</v>
      </c>
      <c r="P1419" t="s">
        <v>4901</v>
      </c>
      <c r="Q1419" t="s">
        <v>4902</v>
      </c>
      <c r="S1419" s="1">
        <v>45020.209027777775</v>
      </c>
      <c r="V1419">
        <v>1945</v>
      </c>
      <c r="W1419">
        <v>105.48</v>
      </c>
      <c r="X1419">
        <v>0.5</v>
      </c>
      <c r="Y1419" s="2">
        <v>5081769542380</v>
      </c>
      <c r="Z1419">
        <v>63.2</v>
      </c>
      <c r="AA1419">
        <v>98.8</v>
      </c>
      <c r="AB1419">
        <v>11.9</v>
      </c>
      <c r="AC1419">
        <v>46.7</v>
      </c>
      <c r="AD1419">
        <v>126226568</v>
      </c>
    </row>
    <row r="1420" spans="1:30" hidden="1" x14ac:dyDescent="0.45">
      <c r="A1420">
        <v>1368</v>
      </c>
      <c r="B1420">
        <v>2200</v>
      </c>
      <c r="C1420" t="s">
        <v>296</v>
      </c>
      <c r="D1420" t="s">
        <v>4903</v>
      </c>
      <c r="E1420">
        <v>67</v>
      </c>
      <c r="F1420" t="s">
        <v>128</v>
      </c>
      <c r="G1420" t="s">
        <v>2006</v>
      </c>
      <c r="H1420" t="s">
        <v>2007</v>
      </c>
      <c r="I1420" t="s">
        <v>296</v>
      </c>
      <c r="J1420" t="s">
        <v>128</v>
      </c>
      <c r="L1420" t="b">
        <v>1</v>
      </c>
      <c r="M1420" t="s">
        <v>39</v>
      </c>
      <c r="N1420" t="s">
        <v>8245</v>
      </c>
      <c r="O1420" s="1">
        <v>20351</v>
      </c>
      <c r="P1420" t="s">
        <v>4708</v>
      </c>
      <c r="Q1420" t="s">
        <v>4904</v>
      </c>
      <c r="S1420" s="1">
        <v>45020.209027777775</v>
      </c>
      <c r="V1420">
        <v>1955</v>
      </c>
      <c r="W1420">
        <v>125.08</v>
      </c>
      <c r="X1420">
        <v>2.9</v>
      </c>
      <c r="Y1420" s="2">
        <v>19910000000000</v>
      </c>
      <c r="Z1420">
        <v>50.6</v>
      </c>
      <c r="AA1420">
        <v>100.2</v>
      </c>
      <c r="AB1420">
        <v>9.4</v>
      </c>
      <c r="AC1420">
        <v>59.2</v>
      </c>
      <c r="AD1420">
        <v>1397715000</v>
      </c>
    </row>
    <row r="1421" spans="1:30" hidden="1" x14ac:dyDescent="0.45">
      <c r="A1421">
        <v>1368</v>
      </c>
      <c r="B1421">
        <v>2200</v>
      </c>
      <c r="C1421" t="s">
        <v>45</v>
      </c>
      <c r="D1421" t="s">
        <v>4905</v>
      </c>
      <c r="E1421">
        <v>55</v>
      </c>
      <c r="F1421" t="s">
        <v>128</v>
      </c>
      <c r="G1421" t="s">
        <v>292</v>
      </c>
      <c r="H1421" t="s">
        <v>856</v>
      </c>
      <c r="I1421" t="s">
        <v>45</v>
      </c>
      <c r="J1421" t="s">
        <v>228</v>
      </c>
      <c r="L1421" t="b">
        <v>1</v>
      </c>
      <c r="M1421" t="s">
        <v>39</v>
      </c>
      <c r="N1421" t="s">
        <v>8245</v>
      </c>
      <c r="O1421" s="1">
        <v>24838</v>
      </c>
      <c r="P1421" t="s">
        <v>4708</v>
      </c>
      <c r="Q1421" t="s">
        <v>4906</v>
      </c>
      <c r="S1421" s="1">
        <v>45020.209027777775</v>
      </c>
      <c r="V1421">
        <v>1968</v>
      </c>
      <c r="W1421">
        <v>125.08</v>
      </c>
      <c r="X1421">
        <v>2.9</v>
      </c>
      <c r="Y1421" s="2">
        <v>19910000000000</v>
      </c>
      <c r="Z1421">
        <v>50.6</v>
      </c>
      <c r="AA1421">
        <v>100.2</v>
      </c>
      <c r="AB1421">
        <v>9.4</v>
      </c>
      <c r="AC1421">
        <v>59.2</v>
      </c>
      <c r="AD1421">
        <v>1397715000</v>
      </c>
    </row>
    <row r="1422" spans="1:30" hidden="1" x14ac:dyDescent="0.45">
      <c r="A1422">
        <v>1368</v>
      </c>
      <c r="B1422">
        <v>2200</v>
      </c>
      <c r="C1422" t="s">
        <v>23</v>
      </c>
      <c r="D1422" t="s">
        <v>4907</v>
      </c>
      <c r="E1422">
        <v>73</v>
      </c>
      <c r="F1422" t="s">
        <v>577</v>
      </c>
      <c r="G1422" t="s">
        <v>578</v>
      </c>
      <c r="H1422" t="s">
        <v>579</v>
      </c>
      <c r="I1422" t="s">
        <v>23</v>
      </c>
      <c r="J1422" t="s">
        <v>577</v>
      </c>
      <c r="L1422" t="b">
        <v>0</v>
      </c>
      <c r="M1422" t="s">
        <v>39</v>
      </c>
      <c r="N1422" t="s">
        <v>8246</v>
      </c>
      <c r="O1422" s="1">
        <v>18006</v>
      </c>
      <c r="P1422" t="s">
        <v>4908</v>
      </c>
      <c r="Q1422" t="s">
        <v>4909</v>
      </c>
      <c r="S1422" s="1">
        <v>45020.209027777775</v>
      </c>
      <c r="V1422">
        <v>1949</v>
      </c>
      <c r="W1422">
        <v>110.51</v>
      </c>
      <c r="X1422">
        <v>1.8</v>
      </c>
      <c r="Y1422" s="2">
        <v>530832908738</v>
      </c>
      <c r="Z1422">
        <v>67</v>
      </c>
      <c r="AA1422">
        <v>126.6</v>
      </c>
      <c r="AB1422">
        <v>27.9</v>
      </c>
      <c r="AC1422">
        <v>49.1</v>
      </c>
      <c r="AD1422">
        <v>10285453</v>
      </c>
    </row>
    <row r="1423" spans="1:30" hidden="1" x14ac:dyDescent="0.45">
      <c r="A1423">
        <v>1368</v>
      </c>
      <c r="B1423">
        <v>2200</v>
      </c>
      <c r="C1423" t="s">
        <v>402</v>
      </c>
      <c r="D1423" t="s">
        <v>4910</v>
      </c>
      <c r="E1423">
        <v>46</v>
      </c>
      <c r="F1423" t="s">
        <v>360</v>
      </c>
      <c r="G1423" t="s">
        <v>2075</v>
      </c>
      <c r="H1423" t="s">
        <v>402</v>
      </c>
      <c r="I1423" t="s">
        <v>402</v>
      </c>
      <c r="J1423" t="s">
        <v>93</v>
      </c>
      <c r="L1423" t="b">
        <v>0</v>
      </c>
      <c r="M1423" t="s">
        <v>1332</v>
      </c>
      <c r="N1423" t="s">
        <v>8245</v>
      </c>
      <c r="O1423" s="1">
        <v>28136</v>
      </c>
      <c r="P1423" t="s">
        <v>4911</v>
      </c>
      <c r="Q1423" t="s">
        <v>4912</v>
      </c>
      <c r="S1423" s="1">
        <v>45020.209027777775</v>
      </c>
      <c r="V1423">
        <v>1977</v>
      </c>
      <c r="W1423">
        <v>114.52</v>
      </c>
      <c r="X1423">
        <v>-1.9</v>
      </c>
      <c r="Y1423" s="2">
        <v>421142267938</v>
      </c>
      <c r="Z1423">
        <v>36.799999999999997</v>
      </c>
      <c r="AA1423">
        <v>108.4</v>
      </c>
      <c r="AB1423">
        <v>0.1</v>
      </c>
      <c r="AC1423">
        <v>15.9</v>
      </c>
      <c r="AD1423">
        <v>9770529</v>
      </c>
    </row>
    <row r="1424" spans="1:30" hidden="1" x14ac:dyDescent="0.45">
      <c r="A1424">
        <v>1368</v>
      </c>
      <c r="B1424">
        <v>2200</v>
      </c>
      <c r="C1424" t="s">
        <v>45</v>
      </c>
      <c r="D1424" t="s">
        <v>4913</v>
      </c>
      <c r="E1424">
        <v>50</v>
      </c>
      <c r="F1424" t="s">
        <v>93</v>
      </c>
      <c r="G1424" t="s">
        <v>4546</v>
      </c>
      <c r="H1424" t="s">
        <v>865</v>
      </c>
      <c r="I1424" t="s">
        <v>45</v>
      </c>
      <c r="J1424" t="s">
        <v>93</v>
      </c>
      <c r="L1424" t="b">
        <v>0</v>
      </c>
      <c r="M1424" t="s">
        <v>29</v>
      </c>
      <c r="N1424" t="s">
        <v>8246</v>
      </c>
      <c r="O1424" s="1">
        <v>26657</v>
      </c>
      <c r="P1424" t="s">
        <v>4914</v>
      </c>
      <c r="Q1424" t="s">
        <v>4915</v>
      </c>
      <c r="S1424" s="1">
        <v>45020.209027777775</v>
      </c>
      <c r="V1424">
        <v>1972</v>
      </c>
      <c r="W1424">
        <v>180.44</v>
      </c>
      <c r="X1424">
        <v>7.7</v>
      </c>
      <c r="Y1424" s="2">
        <v>2611000000000</v>
      </c>
      <c r="Z1424">
        <v>28.1</v>
      </c>
      <c r="AA1424">
        <v>113</v>
      </c>
      <c r="AB1424">
        <v>11.2</v>
      </c>
      <c r="AC1424">
        <v>49.7</v>
      </c>
      <c r="AD1424">
        <v>1366417754</v>
      </c>
    </row>
    <row r="1425" spans="1:30" hidden="1" x14ac:dyDescent="0.45">
      <c r="A1425">
        <v>1368</v>
      </c>
      <c r="B1425">
        <v>2200</v>
      </c>
      <c r="C1425" t="s">
        <v>23</v>
      </c>
      <c r="D1425" t="s">
        <v>4916</v>
      </c>
      <c r="E1425">
        <v>66</v>
      </c>
      <c r="F1425" t="s">
        <v>128</v>
      </c>
      <c r="G1425" t="s">
        <v>1227</v>
      </c>
      <c r="H1425" t="s">
        <v>1228</v>
      </c>
      <c r="I1425" t="s">
        <v>23</v>
      </c>
      <c r="J1425" t="s">
        <v>128</v>
      </c>
      <c r="L1425" t="b">
        <v>1</v>
      </c>
      <c r="M1425" t="s">
        <v>29</v>
      </c>
      <c r="N1425" t="s">
        <v>8245</v>
      </c>
      <c r="O1425" s="1">
        <v>20821</v>
      </c>
      <c r="P1425" t="s">
        <v>439</v>
      </c>
      <c r="Q1425" t="s">
        <v>4917</v>
      </c>
      <c r="S1425" s="1">
        <v>45020.209027777775</v>
      </c>
      <c r="V1425">
        <v>1957</v>
      </c>
      <c r="W1425">
        <v>125.08</v>
      </c>
      <c r="X1425">
        <v>2.9</v>
      </c>
      <c r="Y1425" s="2">
        <v>19910000000000</v>
      </c>
      <c r="Z1425">
        <v>50.6</v>
      </c>
      <c r="AA1425">
        <v>100.2</v>
      </c>
      <c r="AB1425">
        <v>9.4</v>
      </c>
      <c r="AC1425">
        <v>59.2</v>
      </c>
      <c r="AD1425">
        <v>1397715000</v>
      </c>
    </row>
    <row r="1426" spans="1:30" hidden="1" x14ac:dyDescent="0.45">
      <c r="A1426">
        <v>1368</v>
      </c>
      <c r="B1426">
        <v>2200</v>
      </c>
      <c r="C1426" t="s">
        <v>436</v>
      </c>
      <c r="D1426" t="s">
        <v>4918</v>
      </c>
      <c r="E1426">
        <v>78</v>
      </c>
      <c r="F1426" t="s">
        <v>128</v>
      </c>
      <c r="G1426" t="s">
        <v>292</v>
      </c>
      <c r="H1426" t="s">
        <v>4919</v>
      </c>
      <c r="I1426" t="s">
        <v>436</v>
      </c>
      <c r="J1426" t="s">
        <v>128</v>
      </c>
      <c r="L1426" t="b">
        <v>1</v>
      </c>
      <c r="M1426" t="s">
        <v>29</v>
      </c>
      <c r="N1426" t="s">
        <v>8245</v>
      </c>
      <c r="O1426" s="1">
        <v>16187</v>
      </c>
      <c r="P1426" t="s">
        <v>439</v>
      </c>
      <c r="Q1426" t="s">
        <v>4920</v>
      </c>
      <c r="S1426" s="1">
        <v>45020.209027777775</v>
      </c>
      <c r="V1426">
        <v>1944</v>
      </c>
      <c r="W1426">
        <v>125.08</v>
      </c>
      <c r="X1426">
        <v>2.9</v>
      </c>
      <c r="Y1426" s="2">
        <v>19910000000000</v>
      </c>
      <c r="Z1426">
        <v>50.6</v>
      </c>
      <c r="AA1426">
        <v>100.2</v>
      </c>
      <c r="AB1426">
        <v>9.4</v>
      </c>
      <c r="AC1426">
        <v>59.2</v>
      </c>
      <c r="AD1426">
        <v>1397715000</v>
      </c>
    </row>
    <row r="1427" spans="1:30" hidden="1" x14ac:dyDescent="0.45">
      <c r="A1427">
        <v>1368</v>
      </c>
      <c r="B1427">
        <v>2200</v>
      </c>
      <c r="C1427" t="s">
        <v>126</v>
      </c>
      <c r="D1427" t="s">
        <v>4921</v>
      </c>
      <c r="E1427">
        <v>65</v>
      </c>
      <c r="F1427" t="s">
        <v>490</v>
      </c>
      <c r="H1427" t="s">
        <v>4922</v>
      </c>
      <c r="I1427" t="s">
        <v>126</v>
      </c>
      <c r="J1427" t="s">
        <v>490</v>
      </c>
      <c r="L1427" t="b">
        <v>0</v>
      </c>
      <c r="M1427" t="s">
        <v>39</v>
      </c>
      <c r="N1427" t="s">
        <v>8245</v>
      </c>
      <c r="O1427" s="1">
        <v>21186</v>
      </c>
      <c r="P1427" t="s">
        <v>2580</v>
      </c>
      <c r="Q1427" t="s">
        <v>169</v>
      </c>
      <c r="S1427" s="1">
        <v>45020.209027777775</v>
      </c>
      <c r="V1427">
        <v>1958</v>
      </c>
      <c r="W1427">
        <v>108.15</v>
      </c>
      <c r="X1427">
        <v>0.8</v>
      </c>
      <c r="Y1427" s="2">
        <v>395098666122</v>
      </c>
      <c r="Z1427">
        <v>63.4</v>
      </c>
      <c r="AA1427">
        <v>104.9</v>
      </c>
      <c r="AB1427">
        <v>23.1</v>
      </c>
      <c r="AC1427">
        <v>25.3</v>
      </c>
      <c r="AD1427">
        <v>9053300</v>
      </c>
    </row>
    <row r="1428" spans="1:30" hidden="1" x14ac:dyDescent="0.45">
      <c r="A1428">
        <v>1368</v>
      </c>
      <c r="B1428">
        <v>2200</v>
      </c>
      <c r="C1428" t="s">
        <v>347</v>
      </c>
      <c r="D1428" t="s">
        <v>4923</v>
      </c>
      <c r="E1428">
        <v>55</v>
      </c>
      <c r="F1428" t="s">
        <v>128</v>
      </c>
      <c r="G1428" t="s">
        <v>261</v>
      </c>
      <c r="H1428" t="s">
        <v>262</v>
      </c>
      <c r="I1428" t="s">
        <v>347</v>
      </c>
      <c r="J1428" t="s">
        <v>128</v>
      </c>
      <c r="L1428" t="b">
        <v>1</v>
      </c>
      <c r="M1428" t="s">
        <v>39</v>
      </c>
      <c r="N1428" t="s">
        <v>8245</v>
      </c>
      <c r="O1428" s="1">
        <v>24838</v>
      </c>
      <c r="P1428" t="s">
        <v>894</v>
      </c>
      <c r="Q1428" t="s">
        <v>4924</v>
      </c>
      <c r="S1428" s="1">
        <v>45020.209027777775</v>
      </c>
      <c r="V1428">
        <v>1968</v>
      </c>
      <c r="W1428">
        <v>125.08</v>
      </c>
      <c r="X1428">
        <v>2.9</v>
      </c>
      <c r="Y1428" s="2">
        <v>19910000000000</v>
      </c>
      <c r="Z1428">
        <v>50.6</v>
      </c>
      <c r="AA1428">
        <v>100.2</v>
      </c>
      <c r="AB1428">
        <v>9.4</v>
      </c>
      <c r="AC1428">
        <v>59.2</v>
      </c>
      <c r="AD1428">
        <v>1397715000</v>
      </c>
    </row>
    <row r="1429" spans="1:30" hidden="1" x14ac:dyDescent="0.45">
      <c r="A1429">
        <v>1368</v>
      </c>
      <c r="B1429">
        <v>2200</v>
      </c>
      <c r="C1429" t="s">
        <v>126</v>
      </c>
      <c r="D1429" t="s">
        <v>4925</v>
      </c>
      <c r="E1429">
        <v>55</v>
      </c>
      <c r="F1429" t="s">
        <v>128</v>
      </c>
      <c r="G1429" t="s">
        <v>719</v>
      </c>
      <c r="H1429" t="s">
        <v>778</v>
      </c>
      <c r="I1429" t="s">
        <v>126</v>
      </c>
      <c r="J1429" t="s">
        <v>128</v>
      </c>
      <c r="L1429" t="b">
        <v>1</v>
      </c>
      <c r="M1429" t="s">
        <v>39</v>
      </c>
      <c r="N1429" t="s">
        <v>8245</v>
      </c>
      <c r="O1429" s="1">
        <v>24838</v>
      </c>
      <c r="P1429" t="s">
        <v>646</v>
      </c>
      <c r="Q1429" t="s">
        <v>4926</v>
      </c>
      <c r="S1429" s="1">
        <v>45020.209027777775</v>
      </c>
      <c r="V1429">
        <v>1968</v>
      </c>
      <c r="W1429">
        <v>125.08</v>
      </c>
      <c r="X1429">
        <v>2.9</v>
      </c>
      <c r="Y1429" s="2">
        <v>19910000000000</v>
      </c>
      <c r="Z1429">
        <v>50.6</v>
      </c>
      <c r="AA1429">
        <v>100.2</v>
      </c>
      <c r="AB1429">
        <v>9.4</v>
      </c>
      <c r="AC1429">
        <v>59.2</v>
      </c>
      <c r="AD1429">
        <v>1397715000</v>
      </c>
    </row>
    <row r="1430" spans="1:30" hidden="1" x14ac:dyDescent="0.45">
      <c r="A1430">
        <v>1368</v>
      </c>
      <c r="B1430">
        <v>2200</v>
      </c>
      <c r="C1430" t="s">
        <v>296</v>
      </c>
      <c r="D1430" t="s">
        <v>4927</v>
      </c>
      <c r="E1430">
        <v>59</v>
      </c>
      <c r="F1430" t="s">
        <v>228</v>
      </c>
      <c r="G1430" t="s">
        <v>228</v>
      </c>
      <c r="H1430" t="s">
        <v>1400</v>
      </c>
      <c r="I1430" t="s">
        <v>296</v>
      </c>
      <c r="J1430" t="s">
        <v>228</v>
      </c>
      <c r="L1430" t="b">
        <v>1</v>
      </c>
      <c r="M1430" t="s">
        <v>39</v>
      </c>
      <c r="N1430" t="s">
        <v>8245</v>
      </c>
      <c r="O1430" s="1">
        <v>23468</v>
      </c>
      <c r="P1430" t="s">
        <v>4928</v>
      </c>
      <c r="Q1430" t="s">
        <v>4929</v>
      </c>
      <c r="S1430" s="1">
        <v>45020.209027777775</v>
      </c>
      <c r="V1430">
        <v>1964</v>
      </c>
      <c r="W1430"/>
      <c r="Y1430"/>
    </row>
    <row r="1431" spans="1:30" hidden="1" x14ac:dyDescent="0.45">
      <c r="A1431">
        <v>1368</v>
      </c>
      <c r="B1431">
        <v>2200</v>
      </c>
      <c r="C1431" t="s">
        <v>203</v>
      </c>
      <c r="D1431" t="s">
        <v>4930</v>
      </c>
      <c r="E1431">
        <v>57</v>
      </c>
      <c r="F1431" t="s">
        <v>128</v>
      </c>
      <c r="G1431" t="s">
        <v>292</v>
      </c>
      <c r="H1431" t="s">
        <v>438</v>
      </c>
      <c r="I1431" t="s">
        <v>203</v>
      </c>
      <c r="J1431" t="s">
        <v>128</v>
      </c>
      <c r="K1431" t="s">
        <v>4931</v>
      </c>
      <c r="L1431" t="b">
        <v>1</v>
      </c>
      <c r="M1431" t="s">
        <v>39</v>
      </c>
      <c r="N1431" t="s">
        <v>8245</v>
      </c>
      <c r="O1431" s="1">
        <v>24198</v>
      </c>
      <c r="P1431" t="s">
        <v>2314</v>
      </c>
      <c r="Q1431" t="s">
        <v>4932</v>
      </c>
      <c r="R1431" t="s">
        <v>98</v>
      </c>
      <c r="S1431" s="1">
        <v>45020.209027777775</v>
      </c>
      <c r="V1431">
        <v>1966</v>
      </c>
      <c r="W1431">
        <v>125.08</v>
      </c>
      <c r="X1431">
        <v>2.9</v>
      </c>
      <c r="Y1431" s="2">
        <v>19910000000000</v>
      </c>
      <c r="Z1431">
        <v>50.6</v>
      </c>
      <c r="AA1431">
        <v>100.2</v>
      </c>
      <c r="AB1431">
        <v>9.4</v>
      </c>
      <c r="AC1431">
        <v>59.2</v>
      </c>
      <c r="AD1431">
        <v>1397715000</v>
      </c>
    </row>
    <row r="1432" spans="1:30" hidden="1" x14ac:dyDescent="0.45">
      <c r="A1432">
        <v>1368</v>
      </c>
      <c r="B1432">
        <v>2200</v>
      </c>
      <c r="C1432" t="s">
        <v>61</v>
      </c>
      <c r="D1432" t="s">
        <v>4933</v>
      </c>
      <c r="E1432">
        <v>58</v>
      </c>
      <c r="F1432" t="s">
        <v>35</v>
      </c>
      <c r="G1432" t="s">
        <v>123</v>
      </c>
      <c r="H1432" t="s">
        <v>317</v>
      </c>
      <c r="I1432" t="s">
        <v>61</v>
      </c>
      <c r="J1432" t="s">
        <v>490</v>
      </c>
      <c r="L1432" t="b">
        <v>1</v>
      </c>
      <c r="M1432" t="s">
        <v>39</v>
      </c>
      <c r="N1432" t="s">
        <v>8245</v>
      </c>
      <c r="O1432" s="1">
        <v>23643</v>
      </c>
      <c r="P1432" t="s">
        <v>4934</v>
      </c>
      <c r="Q1432" t="s">
        <v>4935</v>
      </c>
      <c r="S1432" s="1">
        <v>45020.209027777775</v>
      </c>
      <c r="T1432" t="s">
        <v>115</v>
      </c>
      <c r="U1432" t="s">
        <v>53</v>
      </c>
      <c r="V1432">
        <v>1964</v>
      </c>
      <c r="W1432">
        <v>117.24</v>
      </c>
      <c r="X1432">
        <v>7.5</v>
      </c>
      <c r="Y1432" s="2">
        <v>21427700000000</v>
      </c>
      <c r="Z1432">
        <v>88.2</v>
      </c>
      <c r="AA1432">
        <v>101.8</v>
      </c>
      <c r="AB1432">
        <v>9.6</v>
      </c>
      <c r="AC1432">
        <v>36.6</v>
      </c>
      <c r="AD1432">
        <v>328239523</v>
      </c>
    </row>
    <row r="1433" spans="1:30" hidden="1" x14ac:dyDescent="0.45">
      <c r="A1433">
        <v>1368</v>
      </c>
      <c r="B1433">
        <v>2200</v>
      </c>
      <c r="C1433" t="s">
        <v>296</v>
      </c>
      <c r="D1433" t="s">
        <v>4936</v>
      </c>
      <c r="E1433">
        <v>54</v>
      </c>
      <c r="F1433" t="s">
        <v>164</v>
      </c>
      <c r="G1433" t="s">
        <v>3196</v>
      </c>
      <c r="H1433" t="s">
        <v>523</v>
      </c>
      <c r="I1433" t="s">
        <v>296</v>
      </c>
      <c r="J1433" t="s">
        <v>164</v>
      </c>
      <c r="L1433" t="b">
        <v>0</v>
      </c>
      <c r="M1433" t="s">
        <v>29</v>
      </c>
      <c r="N1433" t="s">
        <v>8245</v>
      </c>
      <c r="O1433" s="1">
        <v>25204</v>
      </c>
      <c r="P1433" t="s">
        <v>3197</v>
      </c>
      <c r="Q1433" t="s">
        <v>4671</v>
      </c>
      <c r="S1433" s="1">
        <v>45020.209027777775</v>
      </c>
      <c r="V1433">
        <v>1969</v>
      </c>
      <c r="W1433">
        <v>116.76</v>
      </c>
      <c r="X1433">
        <v>1.9</v>
      </c>
      <c r="Y1433" s="2">
        <v>1736425629520</v>
      </c>
      <c r="Z1433">
        <v>68.900000000000006</v>
      </c>
      <c r="AA1433">
        <v>100.9</v>
      </c>
      <c r="AB1433">
        <v>12.8</v>
      </c>
      <c r="AC1433">
        <v>24.5</v>
      </c>
      <c r="AD1433">
        <v>36991981</v>
      </c>
    </row>
    <row r="1434" spans="1:30" hidden="1" x14ac:dyDescent="0.45">
      <c r="A1434">
        <v>1368</v>
      </c>
      <c r="B1434">
        <v>2200</v>
      </c>
      <c r="C1434" t="s">
        <v>347</v>
      </c>
      <c r="D1434" t="s">
        <v>4937</v>
      </c>
      <c r="E1434">
        <v>57</v>
      </c>
      <c r="F1434" t="s">
        <v>128</v>
      </c>
      <c r="G1434" t="s">
        <v>261</v>
      </c>
      <c r="H1434" t="s">
        <v>262</v>
      </c>
      <c r="I1434" t="s">
        <v>347</v>
      </c>
      <c r="J1434" t="s">
        <v>128</v>
      </c>
      <c r="L1434" t="b">
        <v>1</v>
      </c>
      <c r="M1434" t="s">
        <v>39</v>
      </c>
      <c r="N1434" t="s">
        <v>8245</v>
      </c>
      <c r="O1434" s="1">
        <v>24108</v>
      </c>
      <c r="P1434" t="s">
        <v>850</v>
      </c>
      <c r="Q1434" t="s">
        <v>4938</v>
      </c>
      <c r="S1434" s="1">
        <v>45020.209027777775</v>
      </c>
      <c r="V1434">
        <v>1966</v>
      </c>
      <c r="W1434">
        <v>125.08</v>
      </c>
      <c r="X1434">
        <v>2.9</v>
      </c>
      <c r="Y1434" s="2">
        <v>19910000000000</v>
      </c>
      <c r="Z1434">
        <v>50.6</v>
      </c>
      <c r="AA1434">
        <v>100.2</v>
      </c>
      <c r="AB1434">
        <v>9.4</v>
      </c>
      <c r="AC1434">
        <v>59.2</v>
      </c>
      <c r="AD1434">
        <v>1397715000</v>
      </c>
    </row>
    <row r="1435" spans="1:30" hidden="1" x14ac:dyDescent="0.45">
      <c r="A1435">
        <v>1434</v>
      </c>
      <c r="B1435">
        <v>2100</v>
      </c>
      <c r="C1435" t="s">
        <v>326</v>
      </c>
      <c r="D1435" t="s">
        <v>4939</v>
      </c>
      <c r="E1435">
        <v>55</v>
      </c>
      <c r="F1435" t="s">
        <v>272</v>
      </c>
      <c r="G1435" t="s">
        <v>273</v>
      </c>
      <c r="H1435" t="s">
        <v>3453</v>
      </c>
      <c r="I1435" t="s">
        <v>326</v>
      </c>
      <c r="J1435" t="s">
        <v>272</v>
      </c>
      <c r="L1435" t="b">
        <v>1</v>
      </c>
      <c r="M1435" t="s">
        <v>39</v>
      </c>
      <c r="N1435" t="s">
        <v>8245</v>
      </c>
      <c r="O1435" s="1">
        <v>24687</v>
      </c>
      <c r="P1435" t="s">
        <v>4940</v>
      </c>
      <c r="Q1435" t="s">
        <v>4879</v>
      </c>
      <c r="S1435" s="1">
        <v>45020.209027777775</v>
      </c>
      <c r="V1435">
        <v>1967</v>
      </c>
      <c r="W1435">
        <v>119.62</v>
      </c>
      <c r="X1435">
        <v>1.7</v>
      </c>
      <c r="Y1435" s="2">
        <v>2827113184696</v>
      </c>
      <c r="Z1435">
        <v>60</v>
      </c>
      <c r="AA1435">
        <v>101.2</v>
      </c>
      <c r="AB1435">
        <v>25.5</v>
      </c>
      <c r="AC1435">
        <v>30.6</v>
      </c>
      <c r="AD1435">
        <v>66834405</v>
      </c>
    </row>
    <row r="1436" spans="1:30" hidden="1" x14ac:dyDescent="0.45">
      <c r="A1436">
        <v>1434</v>
      </c>
      <c r="B1436">
        <v>2100</v>
      </c>
      <c r="C1436" t="s">
        <v>126</v>
      </c>
      <c r="D1436" t="s">
        <v>4941</v>
      </c>
      <c r="E1436">
        <v>52</v>
      </c>
      <c r="F1436" t="s">
        <v>35</v>
      </c>
      <c r="G1436" t="s">
        <v>4942</v>
      </c>
      <c r="H1436" t="s">
        <v>1772</v>
      </c>
      <c r="I1436" t="s">
        <v>126</v>
      </c>
      <c r="J1436" t="s">
        <v>35</v>
      </c>
      <c r="L1436" t="b">
        <v>1</v>
      </c>
      <c r="M1436" t="s">
        <v>39</v>
      </c>
      <c r="N1436" t="s">
        <v>8245</v>
      </c>
      <c r="O1436" s="1">
        <v>25934</v>
      </c>
      <c r="P1436" t="s">
        <v>4943</v>
      </c>
      <c r="Q1436" t="s">
        <v>2732</v>
      </c>
      <c r="S1436" s="1">
        <v>45020.209027777775</v>
      </c>
      <c r="T1436" t="s">
        <v>185</v>
      </c>
      <c r="U1436" t="s">
        <v>53</v>
      </c>
      <c r="V1436">
        <v>1971</v>
      </c>
      <c r="W1436">
        <v>117.24</v>
      </c>
      <c r="X1436">
        <v>7.5</v>
      </c>
      <c r="Y1436" s="2">
        <v>21427700000000</v>
      </c>
      <c r="Z1436">
        <v>88.2</v>
      </c>
      <c r="AA1436">
        <v>101.8</v>
      </c>
      <c r="AB1436">
        <v>9.6</v>
      </c>
      <c r="AC1436">
        <v>36.6</v>
      </c>
      <c r="AD1436">
        <v>328239523</v>
      </c>
    </row>
    <row r="1437" spans="1:30" hidden="1" x14ac:dyDescent="0.45">
      <c r="A1437">
        <v>1434</v>
      </c>
      <c r="B1437">
        <v>2100</v>
      </c>
      <c r="C1437" t="s">
        <v>689</v>
      </c>
      <c r="D1437" t="s">
        <v>4944</v>
      </c>
      <c r="F1437" t="s">
        <v>25</v>
      </c>
      <c r="G1437" t="s">
        <v>26</v>
      </c>
      <c r="H1437" t="s">
        <v>4945</v>
      </c>
      <c r="I1437" t="s">
        <v>689</v>
      </c>
      <c r="J1437" t="s">
        <v>25</v>
      </c>
      <c r="L1437" t="b">
        <v>0</v>
      </c>
      <c r="M1437" t="s">
        <v>285</v>
      </c>
      <c r="N1437" t="s">
        <v>8245</v>
      </c>
      <c r="O1437"/>
      <c r="P1437" t="s">
        <v>4946</v>
      </c>
      <c r="Q1437" t="s">
        <v>2173</v>
      </c>
      <c r="S1437" s="1">
        <v>45020.209027777775</v>
      </c>
      <c r="W1437">
        <v>110.05</v>
      </c>
      <c r="X1437">
        <v>1.1000000000000001</v>
      </c>
      <c r="Y1437" s="2">
        <v>2715518274227</v>
      </c>
      <c r="Z1437">
        <v>65.599999999999994</v>
      </c>
      <c r="AA1437">
        <v>102.5</v>
      </c>
      <c r="AB1437">
        <v>24.2</v>
      </c>
      <c r="AC1437">
        <v>60.7</v>
      </c>
      <c r="AD1437">
        <v>67059887</v>
      </c>
    </row>
    <row r="1438" spans="1:30" hidden="1" x14ac:dyDescent="0.45">
      <c r="A1438">
        <v>1434</v>
      </c>
      <c r="B1438">
        <v>2100</v>
      </c>
      <c r="C1438" t="s">
        <v>689</v>
      </c>
      <c r="D1438" t="s">
        <v>4947</v>
      </c>
      <c r="E1438">
        <v>72</v>
      </c>
      <c r="H1438" t="s">
        <v>4945</v>
      </c>
      <c r="I1438" t="s">
        <v>689</v>
      </c>
      <c r="J1438" t="s">
        <v>25</v>
      </c>
      <c r="L1438" t="b">
        <v>0</v>
      </c>
      <c r="M1438" t="s">
        <v>285</v>
      </c>
      <c r="N1438" t="s">
        <v>8245</v>
      </c>
      <c r="O1438" s="1">
        <v>18520</v>
      </c>
      <c r="P1438" t="s">
        <v>4946</v>
      </c>
      <c r="Q1438" t="s">
        <v>4948</v>
      </c>
      <c r="S1438" s="1">
        <v>45020.209027777775</v>
      </c>
      <c r="V1438">
        <v>1950</v>
      </c>
      <c r="W1438"/>
      <c r="Y1438"/>
    </row>
    <row r="1439" spans="1:30" hidden="1" x14ac:dyDescent="0.45">
      <c r="A1439">
        <v>1434</v>
      </c>
      <c r="B1439">
        <v>2100</v>
      </c>
      <c r="C1439" t="s">
        <v>239</v>
      </c>
      <c r="D1439" t="s">
        <v>4949</v>
      </c>
      <c r="E1439">
        <v>91</v>
      </c>
      <c r="F1439" t="s">
        <v>35</v>
      </c>
      <c r="G1439" t="s">
        <v>241</v>
      </c>
      <c r="H1439" t="s">
        <v>4950</v>
      </c>
      <c r="I1439" t="s">
        <v>239</v>
      </c>
      <c r="J1439" t="s">
        <v>35</v>
      </c>
      <c r="L1439" t="b">
        <v>1</v>
      </c>
      <c r="M1439" t="s">
        <v>39</v>
      </c>
      <c r="N1439" t="s">
        <v>8245</v>
      </c>
      <c r="O1439" s="1">
        <v>11631</v>
      </c>
      <c r="P1439" t="s">
        <v>4951</v>
      </c>
      <c r="Q1439" t="s">
        <v>338</v>
      </c>
      <c r="S1439" s="1">
        <v>45020.209027777775</v>
      </c>
      <c r="T1439" t="s">
        <v>245</v>
      </c>
      <c r="U1439" t="s">
        <v>53</v>
      </c>
      <c r="V1439">
        <v>1931</v>
      </c>
      <c r="W1439">
        <v>117.24</v>
      </c>
      <c r="X1439">
        <v>7.5</v>
      </c>
      <c r="Y1439" s="2">
        <v>21427700000000</v>
      </c>
      <c r="Z1439">
        <v>88.2</v>
      </c>
      <c r="AA1439">
        <v>101.8</v>
      </c>
      <c r="AB1439">
        <v>9.6</v>
      </c>
      <c r="AC1439">
        <v>36.6</v>
      </c>
      <c r="AD1439">
        <v>328239523</v>
      </c>
    </row>
    <row r="1440" spans="1:30" hidden="1" x14ac:dyDescent="0.45">
      <c r="A1440">
        <v>1434</v>
      </c>
      <c r="B1440">
        <v>2100</v>
      </c>
      <c r="C1440" t="s">
        <v>126</v>
      </c>
      <c r="D1440" t="s">
        <v>4952</v>
      </c>
      <c r="E1440">
        <v>70</v>
      </c>
      <c r="F1440" t="s">
        <v>93</v>
      </c>
      <c r="G1440" t="s">
        <v>343</v>
      </c>
      <c r="H1440" t="s">
        <v>2022</v>
      </c>
      <c r="I1440" t="s">
        <v>126</v>
      </c>
      <c r="J1440" t="s">
        <v>93</v>
      </c>
      <c r="L1440" t="b">
        <v>0</v>
      </c>
      <c r="M1440" t="s">
        <v>39</v>
      </c>
      <c r="N1440" t="s">
        <v>8245</v>
      </c>
      <c r="O1440" s="1">
        <v>19119</v>
      </c>
      <c r="P1440" t="s">
        <v>4349</v>
      </c>
      <c r="Q1440" t="s">
        <v>4953</v>
      </c>
      <c r="S1440" s="1">
        <v>45020.209027777775</v>
      </c>
      <c r="V1440">
        <v>1952</v>
      </c>
      <c r="W1440">
        <v>180.44</v>
      </c>
      <c r="X1440">
        <v>7.7</v>
      </c>
      <c r="Y1440" s="2">
        <v>2611000000000</v>
      </c>
      <c r="Z1440">
        <v>28.1</v>
      </c>
      <c r="AA1440">
        <v>113</v>
      </c>
      <c r="AB1440">
        <v>11.2</v>
      </c>
      <c r="AC1440">
        <v>49.7</v>
      </c>
      <c r="AD1440">
        <v>1366417754</v>
      </c>
    </row>
    <row r="1441" spans="1:30" hidden="1" x14ac:dyDescent="0.45">
      <c r="A1441">
        <v>1434</v>
      </c>
      <c r="B1441">
        <v>2100</v>
      </c>
      <c r="C1441" t="s">
        <v>296</v>
      </c>
      <c r="D1441" t="s">
        <v>4954</v>
      </c>
      <c r="E1441">
        <v>71</v>
      </c>
      <c r="F1441" t="s">
        <v>128</v>
      </c>
      <c r="G1441" t="s">
        <v>129</v>
      </c>
      <c r="H1441" t="s">
        <v>296</v>
      </c>
      <c r="I1441" t="s">
        <v>296</v>
      </c>
      <c r="J1441" t="s">
        <v>128</v>
      </c>
      <c r="L1441" t="b">
        <v>1</v>
      </c>
      <c r="M1441" t="s">
        <v>39</v>
      </c>
      <c r="N1441" t="s">
        <v>8245</v>
      </c>
      <c r="O1441" s="1">
        <v>18994</v>
      </c>
      <c r="P1441" t="s">
        <v>1304</v>
      </c>
      <c r="Q1441" t="s">
        <v>2954</v>
      </c>
      <c r="S1441" s="1">
        <v>45020.209027777775</v>
      </c>
      <c r="V1441">
        <v>1952</v>
      </c>
      <c r="W1441">
        <v>125.08</v>
      </c>
      <c r="X1441">
        <v>2.9</v>
      </c>
      <c r="Y1441" s="2">
        <v>19910000000000</v>
      </c>
      <c r="Z1441">
        <v>50.6</v>
      </c>
      <c r="AA1441">
        <v>100.2</v>
      </c>
      <c r="AB1441">
        <v>9.4</v>
      </c>
      <c r="AC1441">
        <v>59.2</v>
      </c>
      <c r="AD1441">
        <v>1397715000</v>
      </c>
    </row>
    <row r="1442" spans="1:30" hidden="1" x14ac:dyDescent="0.45">
      <c r="A1442">
        <v>1434</v>
      </c>
      <c r="B1442">
        <v>2100</v>
      </c>
      <c r="C1442" t="s">
        <v>45</v>
      </c>
      <c r="D1442" t="s">
        <v>4955</v>
      </c>
      <c r="E1442">
        <v>86</v>
      </c>
      <c r="F1442" t="s">
        <v>1259</v>
      </c>
      <c r="G1442" t="s">
        <v>1260</v>
      </c>
      <c r="H1442" t="s">
        <v>1400</v>
      </c>
      <c r="I1442" t="s">
        <v>45</v>
      </c>
      <c r="J1442" t="s">
        <v>1259</v>
      </c>
      <c r="L1442" t="b">
        <v>1</v>
      </c>
      <c r="M1442" t="s">
        <v>611</v>
      </c>
      <c r="N1442" t="s">
        <v>8245</v>
      </c>
      <c r="O1442" s="1">
        <v>13457</v>
      </c>
      <c r="P1442" t="s">
        <v>2082</v>
      </c>
      <c r="Q1442" t="s">
        <v>1660</v>
      </c>
      <c r="S1442" s="1">
        <v>45020.209027777775</v>
      </c>
      <c r="V1442">
        <v>1936</v>
      </c>
      <c r="W1442"/>
      <c r="Y1442"/>
    </row>
    <row r="1443" spans="1:30" hidden="1" x14ac:dyDescent="0.45">
      <c r="A1443">
        <v>1434</v>
      </c>
      <c r="B1443">
        <v>2100</v>
      </c>
      <c r="C1443" t="s">
        <v>45</v>
      </c>
      <c r="D1443" t="s">
        <v>4956</v>
      </c>
      <c r="E1443">
        <v>52</v>
      </c>
      <c r="F1443" t="s">
        <v>128</v>
      </c>
      <c r="G1443" t="s">
        <v>187</v>
      </c>
      <c r="H1443" t="s">
        <v>856</v>
      </c>
      <c r="I1443" t="s">
        <v>45</v>
      </c>
      <c r="J1443" t="s">
        <v>128</v>
      </c>
      <c r="L1443" t="b">
        <v>0</v>
      </c>
      <c r="M1443" t="s">
        <v>29</v>
      </c>
      <c r="N1443" t="s">
        <v>8245</v>
      </c>
      <c r="O1443" s="1">
        <v>25934</v>
      </c>
      <c r="P1443" t="s">
        <v>4957</v>
      </c>
      <c r="Q1443" t="s">
        <v>4958</v>
      </c>
      <c r="S1443" s="1">
        <v>45020.209027777775</v>
      </c>
      <c r="V1443">
        <v>1971</v>
      </c>
      <c r="W1443">
        <v>125.08</v>
      </c>
      <c r="X1443">
        <v>2.9</v>
      </c>
      <c r="Y1443" s="2">
        <v>19910000000000</v>
      </c>
      <c r="Z1443">
        <v>50.6</v>
      </c>
      <c r="AA1443">
        <v>100.2</v>
      </c>
      <c r="AB1443">
        <v>9.4</v>
      </c>
      <c r="AC1443">
        <v>59.2</v>
      </c>
      <c r="AD1443">
        <v>1397715000</v>
      </c>
    </row>
    <row r="1444" spans="1:30" hidden="1" x14ac:dyDescent="0.45">
      <c r="A1444">
        <v>1434</v>
      </c>
      <c r="B1444">
        <v>2100</v>
      </c>
      <c r="C1444" t="s">
        <v>347</v>
      </c>
      <c r="D1444" t="s">
        <v>4959</v>
      </c>
      <c r="E1444">
        <v>62</v>
      </c>
      <c r="F1444" t="s">
        <v>228</v>
      </c>
      <c r="G1444" t="s">
        <v>228</v>
      </c>
      <c r="H1444" t="s">
        <v>503</v>
      </c>
      <c r="I1444" t="s">
        <v>347</v>
      </c>
      <c r="J1444" t="s">
        <v>228</v>
      </c>
      <c r="L1444" t="b">
        <v>1</v>
      </c>
      <c r="M1444" t="s">
        <v>29</v>
      </c>
      <c r="N1444" t="s">
        <v>8245</v>
      </c>
      <c r="O1444" s="1">
        <v>22250</v>
      </c>
      <c r="P1444" t="s">
        <v>4960</v>
      </c>
      <c r="Q1444" t="s">
        <v>520</v>
      </c>
      <c r="S1444" s="1">
        <v>45020.209027777775</v>
      </c>
      <c r="V1444">
        <v>1960</v>
      </c>
      <c r="W1444"/>
      <c r="Y1444"/>
    </row>
    <row r="1445" spans="1:30" hidden="1" x14ac:dyDescent="0.45">
      <c r="A1445">
        <v>1434</v>
      </c>
      <c r="B1445">
        <v>2100</v>
      </c>
      <c r="C1445" t="s">
        <v>402</v>
      </c>
      <c r="D1445" t="s">
        <v>4961</v>
      </c>
      <c r="E1445">
        <v>82</v>
      </c>
      <c r="F1445" t="s">
        <v>205</v>
      </c>
      <c r="G1445" t="s">
        <v>601</v>
      </c>
      <c r="H1445" t="s">
        <v>3294</v>
      </c>
      <c r="I1445" t="s">
        <v>402</v>
      </c>
      <c r="J1445" t="s">
        <v>205</v>
      </c>
      <c r="L1445" t="b">
        <v>1</v>
      </c>
      <c r="M1445" t="s">
        <v>39</v>
      </c>
      <c r="N1445" t="s">
        <v>8245</v>
      </c>
      <c r="O1445" s="1">
        <v>14977</v>
      </c>
      <c r="P1445" t="s">
        <v>4962</v>
      </c>
      <c r="Q1445" t="s">
        <v>4963</v>
      </c>
      <c r="S1445" s="1">
        <v>45020.209027777775</v>
      </c>
      <c r="V1445">
        <v>1941</v>
      </c>
      <c r="W1445">
        <v>99.55</v>
      </c>
      <c r="X1445">
        <v>0.4</v>
      </c>
      <c r="Y1445" s="2">
        <v>703082435360</v>
      </c>
      <c r="Z1445">
        <v>59.6</v>
      </c>
      <c r="AA1445">
        <v>105.2</v>
      </c>
      <c r="AB1445">
        <v>10.1</v>
      </c>
      <c r="AC1445">
        <v>28.8</v>
      </c>
      <c r="AD1445">
        <v>8574832</v>
      </c>
    </row>
    <row r="1446" spans="1:30" hidden="1" x14ac:dyDescent="0.45">
      <c r="A1446">
        <v>1434</v>
      </c>
      <c r="B1446">
        <v>2100</v>
      </c>
      <c r="C1446" t="s">
        <v>23</v>
      </c>
      <c r="D1446" t="s">
        <v>4964</v>
      </c>
      <c r="E1446">
        <v>64</v>
      </c>
      <c r="F1446" t="s">
        <v>214</v>
      </c>
      <c r="G1446" t="s">
        <v>802</v>
      </c>
      <c r="H1446" t="s">
        <v>200</v>
      </c>
      <c r="I1446" t="s">
        <v>23</v>
      </c>
      <c r="J1446" t="s">
        <v>214</v>
      </c>
      <c r="L1446" t="b">
        <v>1</v>
      </c>
      <c r="M1446" t="s">
        <v>29</v>
      </c>
      <c r="N1446" t="s">
        <v>8245</v>
      </c>
      <c r="O1446" s="1">
        <v>21410</v>
      </c>
      <c r="P1446" t="s">
        <v>4965</v>
      </c>
      <c r="Q1446" t="s">
        <v>4966</v>
      </c>
      <c r="S1446" s="1">
        <v>45020.209027777775</v>
      </c>
      <c r="V1446">
        <v>1958</v>
      </c>
      <c r="W1446">
        <v>110.62</v>
      </c>
      <c r="X1446">
        <v>0.6</v>
      </c>
      <c r="Y1446" s="2">
        <v>2001244392042</v>
      </c>
      <c r="Z1446">
        <v>61.9</v>
      </c>
      <c r="AA1446">
        <v>101.9</v>
      </c>
      <c r="AB1446">
        <v>24.3</v>
      </c>
      <c r="AC1446">
        <v>59.1</v>
      </c>
      <c r="AD1446">
        <v>60297396</v>
      </c>
    </row>
    <row r="1447" spans="1:30" hidden="1" x14ac:dyDescent="0.45">
      <c r="A1447">
        <v>1434</v>
      </c>
      <c r="B1447">
        <v>2100</v>
      </c>
      <c r="C1447" t="s">
        <v>45</v>
      </c>
      <c r="D1447" t="s">
        <v>4967</v>
      </c>
      <c r="E1447">
        <v>59</v>
      </c>
      <c r="F1447" t="s">
        <v>194</v>
      </c>
      <c r="G1447" t="s">
        <v>4968</v>
      </c>
      <c r="H1447" t="s">
        <v>4969</v>
      </c>
      <c r="I1447" t="s">
        <v>45</v>
      </c>
      <c r="J1447" t="s">
        <v>194</v>
      </c>
      <c r="L1447" t="b">
        <v>1</v>
      </c>
      <c r="M1447" t="s">
        <v>39</v>
      </c>
      <c r="N1447" t="s">
        <v>8245</v>
      </c>
      <c r="O1447" s="1">
        <v>23334</v>
      </c>
      <c r="P1447" t="s">
        <v>4970</v>
      </c>
      <c r="Q1447" t="s">
        <v>1477</v>
      </c>
      <c r="S1447" s="1">
        <v>45020.209027777775</v>
      </c>
      <c r="V1447">
        <v>1963</v>
      </c>
      <c r="W1447">
        <v>112.85</v>
      </c>
      <c r="X1447">
        <v>1.4</v>
      </c>
      <c r="Y1447" s="2">
        <v>3845630030824</v>
      </c>
      <c r="Z1447">
        <v>70.2</v>
      </c>
      <c r="AA1447">
        <v>104</v>
      </c>
      <c r="AB1447">
        <v>11.5</v>
      </c>
      <c r="AC1447">
        <v>48.8</v>
      </c>
      <c r="AD1447">
        <v>83132799</v>
      </c>
    </row>
    <row r="1448" spans="1:30" hidden="1" x14ac:dyDescent="0.45">
      <c r="A1448">
        <v>1434</v>
      </c>
      <c r="B1448">
        <v>2100</v>
      </c>
      <c r="C1448" t="s">
        <v>91</v>
      </c>
      <c r="D1448" t="s">
        <v>4971</v>
      </c>
      <c r="E1448">
        <v>50</v>
      </c>
      <c r="F1448" t="s">
        <v>272</v>
      </c>
      <c r="G1448" t="s">
        <v>273</v>
      </c>
      <c r="H1448" t="s">
        <v>4972</v>
      </c>
      <c r="I1448" t="s">
        <v>91</v>
      </c>
      <c r="J1448" t="s">
        <v>4973</v>
      </c>
      <c r="L1448" t="b">
        <v>1</v>
      </c>
      <c r="M1448" t="s">
        <v>29</v>
      </c>
      <c r="N1448" t="s">
        <v>8245</v>
      </c>
      <c r="O1448" s="1">
        <v>26517</v>
      </c>
      <c r="P1448" t="s">
        <v>4974</v>
      </c>
      <c r="Q1448" t="s">
        <v>4975</v>
      </c>
      <c r="S1448" s="1">
        <v>45020.209027777775</v>
      </c>
      <c r="V1448">
        <v>1972</v>
      </c>
      <c r="W1448">
        <v>119.62</v>
      </c>
      <c r="X1448">
        <v>1.7</v>
      </c>
      <c r="Y1448" s="2">
        <v>2827113184696</v>
      </c>
      <c r="Z1448">
        <v>60</v>
      </c>
      <c r="AA1448">
        <v>101.2</v>
      </c>
      <c r="AB1448">
        <v>25.5</v>
      </c>
      <c r="AC1448">
        <v>30.6</v>
      </c>
      <c r="AD1448">
        <v>66834405</v>
      </c>
    </row>
    <row r="1449" spans="1:30" hidden="1" x14ac:dyDescent="0.45">
      <c r="A1449">
        <v>1434</v>
      </c>
      <c r="B1449">
        <v>2100</v>
      </c>
      <c r="C1449" t="s">
        <v>91</v>
      </c>
      <c r="D1449" t="s">
        <v>4976</v>
      </c>
      <c r="E1449">
        <v>53</v>
      </c>
      <c r="F1449" t="s">
        <v>272</v>
      </c>
      <c r="G1449" t="s">
        <v>273</v>
      </c>
      <c r="H1449" t="s">
        <v>4972</v>
      </c>
      <c r="I1449" t="s">
        <v>91</v>
      </c>
      <c r="J1449" t="s">
        <v>4973</v>
      </c>
      <c r="L1449" t="b">
        <v>1</v>
      </c>
      <c r="M1449" t="s">
        <v>29</v>
      </c>
      <c r="N1449" t="s">
        <v>8245</v>
      </c>
      <c r="O1449" s="1">
        <v>25311</v>
      </c>
      <c r="P1449" t="s">
        <v>4974</v>
      </c>
      <c r="Q1449" t="s">
        <v>4977</v>
      </c>
      <c r="S1449" s="1">
        <v>45020.209027777775</v>
      </c>
      <c r="V1449">
        <v>1969</v>
      </c>
      <c r="W1449">
        <v>119.62</v>
      </c>
      <c r="X1449">
        <v>1.7</v>
      </c>
      <c r="Y1449" s="2">
        <v>2827113184696</v>
      </c>
      <c r="Z1449">
        <v>60</v>
      </c>
      <c r="AA1449">
        <v>101.2</v>
      </c>
      <c r="AB1449">
        <v>25.5</v>
      </c>
      <c r="AC1449">
        <v>30.6</v>
      </c>
      <c r="AD1449">
        <v>66834405</v>
      </c>
    </row>
    <row r="1450" spans="1:30" hidden="1" x14ac:dyDescent="0.45">
      <c r="A1450">
        <v>1434</v>
      </c>
      <c r="B1450">
        <v>2100</v>
      </c>
      <c r="C1450" t="s">
        <v>302</v>
      </c>
      <c r="D1450" t="s">
        <v>4978</v>
      </c>
      <c r="E1450">
        <v>78</v>
      </c>
      <c r="F1450" t="s">
        <v>328</v>
      </c>
      <c r="G1450" t="s">
        <v>4979</v>
      </c>
      <c r="H1450" t="s">
        <v>304</v>
      </c>
      <c r="I1450" t="s">
        <v>302</v>
      </c>
      <c r="J1450" t="s">
        <v>328</v>
      </c>
      <c r="L1450" t="b">
        <v>1</v>
      </c>
      <c r="M1450" t="s">
        <v>611</v>
      </c>
      <c r="N1450" t="s">
        <v>8245</v>
      </c>
      <c r="O1450" s="1">
        <v>16428</v>
      </c>
      <c r="P1450" t="s">
        <v>4980</v>
      </c>
      <c r="Q1450" t="s">
        <v>3017</v>
      </c>
      <c r="S1450" s="1">
        <v>45020.209027777775</v>
      </c>
      <c r="V1450">
        <v>1944</v>
      </c>
      <c r="W1450">
        <v>119.8</v>
      </c>
      <c r="X1450">
        <v>1.6</v>
      </c>
      <c r="Y1450" s="2">
        <v>1392680589329</v>
      </c>
      <c r="Z1450">
        <v>113.1</v>
      </c>
      <c r="AA1450">
        <v>100.3</v>
      </c>
      <c r="AB1450">
        <v>23</v>
      </c>
      <c r="AC1450">
        <v>47.4</v>
      </c>
      <c r="AD1450">
        <v>25766605</v>
      </c>
    </row>
    <row r="1451" spans="1:30" x14ac:dyDescent="0.45">
      <c r="A1451">
        <v>1434</v>
      </c>
      <c r="B1451" s="6">
        <v>2100</v>
      </c>
      <c r="C1451" t="s">
        <v>347</v>
      </c>
      <c r="D1451" t="s">
        <v>4981</v>
      </c>
      <c r="E1451">
        <v>65</v>
      </c>
      <c r="F1451" t="s">
        <v>35</v>
      </c>
      <c r="G1451" t="s">
        <v>4982</v>
      </c>
      <c r="H1451" t="s">
        <v>4983</v>
      </c>
      <c r="I1451" t="s">
        <v>347</v>
      </c>
      <c r="J1451" t="s">
        <v>35</v>
      </c>
      <c r="K1451" t="s">
        <v>4984</v>
      </c>
      <c r="L1451" t="b">
        <v>1</v>
      </c>
      <c r="M1451" t="s">
        <v>29</v>
      </c>
      <c r="N1451" t="s">
        <v>8245</v>
      </c>
      <c r="O1451" s="10">
        <v>21101</v>
      </c>
      <c r="P1451" t="s">
        <v>4985</v>
      </c>
      <c r="Q1451" t="s">
        <v>1977</v>
      </c>
      <c r="R1451" t="s">
        <v>170</v>
      </c>
      <c r="S1451" s="8">
        <v>45020.209027777775</v>
      </c>
      <c r="T1451" t="s">
        <v>43</v>
      </c>
      <c r="U1451" t="s">
        <v>44</v>
      </c>
      <c r="V1451">
        <v>1957</v>
      </c>
      <c r="W1451" s="12">
        <v>117.24</v>
      </c>
      <c r="X1451">
        <v>7.5</v>
      </c>
      <c r="Y1451" s="14">
        <v>21427700000000</v>
      </c>
      <c r="Z1451">
        <v>88.2</v>
      </c>
      <c r="AA1451">
        <v>101.8</v>
      </c>
      <c r="AB1451">
        <v>9.6</v>
      </c>
      <c r="AC1451">
        <v>36.6</v>
      </c>
      <c r="AD1451">
        <v>328239523</v>
      </c>
    </row>
    <row r="1452" spans="1:30" hidden="1" x14ac:dyDescent="0.45">
      <c r="A1452">
        <v>1434</v>
      </c>
      <c r="B1452">
        <v>2100</v>
      </c>
      <c r="C1452" t="s">
        <v>23</v>
      </c>
      <c r="D1452" t="s">
        <v>4986</v>
      </c>
      <c r="E1452">
        <v>60</v>
      </c>
      <c r="F1452" t="s">
        <v>214</v>
      </c>
      <c r="G1452" t="s">
        <v>802</v>
      </c>
      <c r="H1452" t="s">
        <v>200</v>
      </c>
      <c r="I1452" t="s">
        <v>23</v>
      </c>
      <c r="J1452" t="s">
        <v>214</v>
      </c>
      <c r="L1452" t="b">
        <v>1</v>
      </c>
      <c r="M1452" t="s">
        <v>29</v>
      </c>
      <c r="N1452" t="s">
        <v>8245</v>
      </c>
      <c r="O1452" s="1">
        <v>22964</v>
      </c>
      <c r="P1452" t="s">
        <v>4987</v>
      </c>
      <c r="Q1452" t="s">
        <v>1157</v>
      </c>
      <c r="S1452" s="1">
        <v>45020.209027777775</v>
      </c>
      <c r="V1452">
        <v>1962</v>
      </c>
      <c r="W1452">
        <v>110.62</v>
      </c>
      <c r="X1452">
        <v>0.6</v>
      </c>
      <c r="Y1452" s="2">
        <v>2001244392042</v>
      </c>
      <c r="Z1452">
        <v>61.9</v>
      </c>
      <c r="AA1452">
        <v>101.9</v>
      </c>
      <c r="AB1452">
        <v>24.3</v>
      </c>
      <c r="AC1452">
        <v>59.1</v>
      </c>
      <c r="AD1452">
        <v>60297396</v>
      </c>
    </row>
    <row r="1453" spans="1:30" hidden="1" x14ac:dyDescent="0.45">
      <c r="A1453">
        <v>1434</v>
      </c>
      <c r="B1453">
        <v>2100</v>
      </c>
      <c r="C1453" t="s">
        <v>296</v>
      </c>
      <c r="D1453" t="s">
        <v>4988</v>
      </c>
      <c r="E1453">
        <v>59</v>
      </c>
      <c r="F1453" t="s">
        <v>128</v>
      </c>
      <c r="G1453" t="s">
        <v>4989</v>
      </c>
      <c r="H1453" t="s">
        <v>523</v>
      </c>
      <c r="I1453" t="s">
        <v>296</v>
      </c>
      <c r="J1453" t="s">
        <v>128</v>
      </c>
      <c r="L1453" t="b">
        <v>1</v>
      </c>
      <c r="M1453" t="s">
        <v>39</v>
      </c>
      <c r="N1453" t="s">
        <v>8245</v>
      </c>
      <c r="O1453" s="1">
        <v>23316</v>
      </c>
      <c r="P1453" t="s">
        <v>1725</v>
      </c>
      <c r="Q1453" t="s">
        <v>4990</v>
      </c>
      <c r="S1453" s="1">
        <v>45020.209027777775</v>
      </c>
      <c r="V1453">
        <v>1963</v>
      </c>
      <c r="W1453">
        <v>125.08</v>
      </c>
      <c r="X1453">
        <v>2.9</v>
      </c>
      <c r="Y1453" s="2">
        <v>19910000000000</v>
      </c>
      <c r="Z1453">
        <v>50.6</v>
      </c>
      <c r="AA1453">
        <v>100.2</v>
      </c>
      <c r="AB1453">
        <v>9.4</v>
      </c>
      <c r="AC1453">
        <v>59.2</v>
      </c>
      <c r="AD1453">
        <v>1397715000</v>
      </c>
    </row>
    <row r="1454" spans="1:30" x14ac:dyDescent="0.45">
      <c r="A1454">
        <v>1434</v>
      </c>
      <c r="B1454" s="6">
        <v>2100</v>
      </c>
      <c r="C1454" t="s">
        <v>347</v>
      </c>
      <c r="D1454" t="s">
        <v>4991</v>
      </c>
      <c r="E1454">
        <v>89</v>
      </c>
      <c r="F1454" t="s">
        <v>35</v>
      </c>
      <c r="G1454" t="s">
        <v>991</v>
      </c>
      <c r="H1454" t="s">
        <v>4992</v>
      </c>
      <c r="I1454" t="s">
        <v>347</v>
      </c>
      <c r="J1454" t="s">
        <v>35</v>
      </c>
      <c r="K1454" t="s">
        <v>4993</v>
      </c>
      <c r="L1454" t="b">
        <v>0</v>
      </c>
      <c r="M1454" t="s">
        <v>611</v>
      </c>
      <c r="N1454" t="s">
        <v>8245</v>
      </c>
      <c r="O1454" s="10">
        <v>12408</v>
      </c>
      <c r="P1454" t="s">
        <v>4994</v>
      </c>
      <c r="Q1454" t="s">
        <v>1560</v>
      </c>
      <c r="R1454" t="s">
        <v>1619</v>
      </c>
      <c r="S1454" s="8">
        <v>45020.209027777775</v>
      </c>
      <c r="T1454" t="s">
        <v>115</v>
      </c>
      <c r="U1454" t="s">
        <v>53</v>
      </c>
      <c r="V1454">
        <v>1933</v>
      </c>
      <c r="W1454" s="12">
        <v>117.24</v>
      </c>
      <c r="X1454">
        <v>7.5</v>
      </c>
      <c r="Y1454" s="14">
        <v>21427700000000</v>
      </c>
      <c r="Z1454">
        <v>88.2</v>
      </c>
      <c r="AA1454">
        <v>101.8</v>
      </c>
      <c r="AB1454">
        <v>9.6</v>
      </c>
      <c r="AC1454">
        <v>36.6</v>
      </c>
      <c r="AD1454">
        <v>328239523</v>
      </c>
    </row>
    <row r="1455" spans="1:30" hidden="1" x14ac:dyDescent="0.45">
      <c r="A1455">
        <v>1434</v>
      </c>
      <c r="B1455">
        <v>2100</v>
      </c>
      <c r="C1455" t="s">
        <v>347</v>
      </c>
      <c r="D1455" t="s">
        <v>4995</v>
      </c>
      <c r="E1455">
        <v>64</v>
      </c>
      <c r="F1455" t="s">
        <v>35</v>
      </c>
      <c r="G1455" t="s">
        <v>751</v>
      </c>
      <c r="H1455" t="s">
        <v>4996</v>
      </c>
      <c r="I1455" t="s">
        <v>347</v>
      </c>
      <c r="J1455" t="s">
        <v>35</v>
      </c>
      <c r="L1455" t="b">
        <v>1</v>
      </c>
      <c r="M1455" t="s">
        <v>258</v>
      </c>
      <c r="N1455" t="s">
        <v>8245</v>
      </c>
      <c r="O1455" s="1">
        <v>21303</v>
      </c>
      <c r="P1455" t="s">
        <v>4997</v>
      </c>
      <c r="Q1455" t="s">
        <v>4998</v>
      </c>
      <c r="S1455" s="1">
        <v>45020.209027777775</v>
      </c>
      <c r="T1455" t="s">
        <v>253</v>
      </c>
      <c r="U1455" t="s">
        <v>44</v>
      </c>
      <c r="V1455">
        <v>1958</v>
      </c>
      <c r="W1455">
        <v>117.24</v>
      </c>
      <c r="X1455">
        <v>7.5</v>
      </c>
      <c r="Y1455" s="2">
        <v>21427700000000</v>
      </c>
      <c r="Z1455">
        <v>88.2</v>
      </c>
      <c r="AA1455">
        <v>101.8</v>
      </c>
      <c r="AB1455">
        <v>9.6</v>
      </c>
      <c r="AC1455">
        <v>36.6</v>
      </c>
      <c r="AD1455">
        <v>328239523</v>
      </c>
    </row>
    <row r="1456" spans="1:30" hidden="1" x14ac:dyDescent="0.45">
      <c r="A1456">
        <v>1434</v>
      </c>
      <c r="B1456">
        <v>2100</v>
      </c>
      <c r="C1456" t="s">
        <v>402</v>
      </c>
      <c r="D1456" t="s">
        <v>4999</v>
      </c>
      <c r="E1456">
        <v>78</v>
      </c>
      <c r="F1456" t="s">
        <v>35</v>
      </c>
      <c r="G1456" t="s">
        <v>5000</v>
      </c>
      <c r="H1456" t="s">
        <v>5001</v>
      </c>
      <c r="I1456" t="s">
        <v>402</v>
      </c>
      <c r="J1456" t="s">
        <v>272</v>
      </c>
      <c r="L1456" t="b">
        <v>1</v>
      </c>
      <c r="M1456" t="s">
        <v>611</v>
      </c>
      <c r="N1456" t="s">
        <v>8245</v>
      </c>
      <c r="O1456" s="1">
        <v>16187</v>
      </c>
      <c r="P1456" t="s">
        <v>5002</v>
      </c>
      <c r="Q1456" t="s">
        <v>1719</v>
      </c>
      <c r="S1456" s="1">
        <v>45020.209027777775</v>
      </c>
      <c r="T1456" t="s">
        <v>1350</v>
      </c>
      <c r="U1456" t="s">
        <v>44</v>
      </c>
      <c r="V1456">
        <v>1944</v>
      </c>
      <c r="W1456">
        <v>117.24</v>
      </c>
      <c r="X1456">
        <v>7.5</v>
      </c>
      <c r="Y1456" s="2">
        <v>21427700000000</v>
      </c>
      <c r="Z1456">
        <v>88.2</v>
      </c>
      <c r="AA1456">
        <v>101.8</v>
      </c>
      <c r="AB1456">
        <v>9.6</v>
      </c>
      <c r="AC1456">
        <v>36.6</v>
      </c>
      <c r="AD1456">
        <v>328239523</v>
      </c>
    </row>
    <row r="1457" spans="1:30" hidden="1" x14ac:dyDescent="0.45">
      <c r="A1457">
        <v>1434</v>
      </c>
      <c r="B1457">
        <v>2100</v>
      </c>
      <c r="C1457" t="s">
        <v>91</v>
      </c>
      <c r="D1457" t="s">
        <v>5003</v>
      </c>
      <c r="E1457">
        <v>65</v>
      </c>
      <c r="F1457" t="s">
        <v>93</v>
      </c>
      <c r="G1457" t="s">
        <v>94</v>
      </c>
      <c r="H1457" t="s">
        <v>91</v>
      </c>
      <c r="I1457" t="s">
        <v>91</v>
      </c>
      <c r="J1457" t="s">
        <v>93</v>
      </c>
      <c r="L1457" t="b">
        <v>0</v>
      </c>
      <c r="M1457" t="s">
        <v>611</v>
      </c>
      <c r="N1457" t="s">
        <v>8245</v>
      </c>
      <c r="O1457" s="1">
        <v>21164</v>
      </c>
      <c r="P1457" t="s">
        <v>5004</v>
      </c>
      <c r="Q1457" t="s">
        <v>3712</v>
      </c>
      <c r="S1457" s="1">
        <v>45020.209027777775</v>
      </c>
      <c r="V1457">
        <v>1957</v>
      </c>
      <c r="W1457">
        <v>180.44</v>
      </c>
      <c r="X1457">
        <v>7.7</v>
      </c>
      <c r="Y1457" s="2">
        <v>2611000000000</v>
      </c>
      <c r="Z1457">
        <v>28.1</v>
      </c>
      <c r="AA1457">
        <v>113</v>
      </c>
      <c r="AB1457">
        <v>11.2</v>
      </c>
      <c r="AC1457">
        <v>49.7</v>
      </c>
      <c r="AD1457">
        <v>1366417754</v>
      </c>
    </row>
    <row r="1458" spans="1:30" hidden="1" x14ac:dyDescent="0.45">
      <c r="A1458">
        <v>1434</v>
      </c>
      <c r="B1458">
        <v>2100</v>
      </c>
      <c r="C1458" t="s">
        <v>91</v>
      </c>
      <c r="D1458" t="s">
        <v>5005</v>
      </c>
      <c r="E1458">
        <v>62</v>
      </c>
      <c r="F1458" t="s">
        <v>93</v>
      </c>
      <c r="G1458" t="s">
        <v>1376</v>
      </c>
      <c r="H1458" t="s">
        <v>91</v>
      </c>
      <c r="I1458" t="s">
        <v>91</v>
      </c>
      <c r="J1458" t="s">
        <v>93</v>
      </c>
      <c r="L1458" t="b">
        <v>0</v>
      </c>
      <c r="M1458" t="s">
        <v>39</v>
      </c>
      <c r="N1458" t="s">
        <v>8245</v>
      </c>
      <c r="O1458" s="1">
        <v>22310</v>
      </c>
      <c r="P1458" t="s">
        <v>5004</v>
      </c>
      <c r="Q1458" t="s">
        <v>2999</v>
      </c>
      <c r="S1458" s="1">
        <v>45020.209027777775</v>
      </c>
      <c r="V1458">
        <v>1961</v>
      </c>
      <c r="W1458">
        <v>180.44</v>
      </c>
      <c r="X1458">
        <v>7.7</v>
      </c>
      <c r="Y1458" s="2">
        <v>2611000000000</v>
      </c>
      <c r="Z1458">
        <v>28.1</v>
      </c>
      <c r="AA1458">
        <v>113</v>
      </c>
      <c r="AB1458">
        <v>11.2</v>
      </c>
      <c r="AC1458">
        <v>49.7</v>
      </c>
      <c r="AD1458">
        <v>1366417754</v>
      </c>
    </row>
    <row r="1459" spans="1:30" hidden="1" x14ac:dyDescent="0.45">
      <c r="A1459">
        <v>1434</v>
      </c>
      <c r="B1459">
        <v>2100</v>
      </c>
      <c r="C1459" t="s">
        <v>302</v>
      </c>
      <c r="D1459" t="s">
        <v>5006</v>
      </c>
      <c r="E1459">
        <v>67</v>
      </c>
      <c r="F1459" t="s">
        <v>35</v>
      </c>
      <c r="G1459" t="s">
        <v>78</v>
      </c>
      <c r="H1459" t="s">
        <v>304</v>
      </c>
      <c r="I1459" t="s">
        <v>302</v>
      </c>
      <c r="J1459" t="s">
        <v>35</v>
      </c>
      <c r="L1459" t="b">
        <v>0</v>
      </c>
      <c r="M1459" t="s">
        <v>39</v>
      </c>
      <c r="N1459" t="s">
        <v>8246</v>
      </c>
      <c r="O1459" s="1">
        <v>20299</v>
      </c>
      <c r="P1459" t="s">
        <v>5007</v>
      </c>
      <c r="Q1459" t="s">
        <v>2183</v>
      </c>
      <c r="S1459" s="1">
        <v>45020.209027777775</v>
      </c>
      <c r="T1459" t="s">
        <v>78</v>
      </c>
      <c r="U1459" t="s">
        <v>82</v>
      </c>
      <c r="V1459">
        <v>1955</v>
      </c>
      <c r="W1459">
        <v>117.24</v>
      </c>
      <c r="X1459">
        <v>7.5</v>
      </c>
      <c r="Y1459" s="2">
        <v>21427700000000</v>
      </c>
      <c r="Z1459">
        <v>88.2</v>
      </c>
      <c r="AA1459">
        <v>101.8</v>
      </c>
      <c r="AB1459">
        <v>9.6</v>
      </c>
      <c r="AC1459">
        <v>36.6</v>
      </c>
      <c r="AD1459">
        <v>328239523</v>
      </c>
    </row>
    <row r="1460" spans="1:30" hidden="1" x14ac:dyDescent="0.45">
      <c r="A1460">
        <v>1434</v>
      </c>
      <c r="B1460">
        <v>2100</v>
      </c>
      <c r="C1460" t="s">
        <v>23</v>
      </c>
      <c r="D1460" t="s">
        <v>5008</v>
      </c>
      <c r="E1460">
        <v>66</v>
      </c>
      <c r="F1460" t="s">
        <v>1297</v>
      </c>
      <c r="G1460" t="s">
        <v>1298</v>
      </c>
      <c r="H1460" t="s">
        <v>2022</v>
      </c>
      <c r="I1460" t="s">
        <v>23</v>
      </c>
      <c r="J1460" t="s">
        <v>1297</v>
      </c>
      <c r="L1460" t="b">
        <v>1</v>
      </c>
      <c r="M1460" t="s">
        <v>39</v>
      </c>
      <c r="N1460" t="s">
        <v>8245</v>
      </c>
      <c r="O1460" s="1">
        <v>20658</v>
      </c>
      <c r="P1460" t="s">
        <v>2595</v>
      </c>
      <c r="Q1460" t="s">
        <v>5009</v>
      </c>
      <c r="S1460" s="1">
        <v>45020.209027777775</v>
      </c>
      <c r="V1460">
        <v>1956</v>
      </c>
      <c r="W1460">
        <v>120.27</v>
      </c>
      <c r="X1460">
        <v>2.2000000000000002</v>
      </c>
      <c r="Y1460" s="2">
        <v>403336363636</v>
      </c>
      <c r="Z1460">
        <v>82</v>
      </c>
      <c r="AA1460">
        <v>100.3</v>
      </c>
      <c r="AB1460">
        <v>23.9</v>
      </c>
      <c r="AC1460">
        <v>36.200000000000003</v>
      </c>
      <c r="AD1460">
        <v>5347896</v>
      </c>
    </row>
    <row r="1461" spans="1:30" hidden="1" x14ac:dyDescent="0.45">
      <c r="A1461">
        <v>1434</v>
      </c>
      <c r="B1461">
        <v>2100</v>
      </c>
      <c r="C1461" t="s">
        <v>302</v>
      </c>
      <c r="D1461" t="s">
        <v>5010</v>
      </c>
      <c r="E1461">
        <v>56</v>
      </c>
      <c r="F1461" t="s">
        <v>205</v>
      </c>
      <c r="G1461" t="s">
        <v>284</v>
      </c>
      <c r="H1461" t="s">
        <v>1405</v>
      </c>
      <c r="I1461" t="s">
        <v>302</v>
      </c>
      <c r="J1461" t="s">
        <v>3941</v>
      </c>
      <c r="L1461" t="b">
        <v>0</v>
      </c>
      <c r="M1461" t="s">
        <v>611</v>
      </c>
      <c r="N1461" t="s">
        <v>8245</v>
      </c>
      <c r="O1461" s="1">
        <v>24223</v>
      </c>
      <c r="P1461" t="s">
        <v>5011</v>
      </c>
      <c r="Q1461" t="s">
        <v>5012</v>
      </c>
      <c r="S1461" s="1">
        <v>45020.209027777775</v>
      </c>
      <c r="V1461">
        <v>1966</v>
      </c>
      <c r="W1461">
        <v>99.55</v>
      </c>
      <c r="X1461">
        <v>0.4</v>
      </c>
      <c r="Y1461" s="2">
        <v>703082435360</v>
      </c>
      <c r="Z1461">
        <v>59.6</v>
      </c>
      <c r="AA1461">
        <v>105.2</v>
      </c>
      <c r="AB1461">
        <v>10.1</v>
      </c>
      <c r="AC1461">
        <v>28.8</v>
      </c>
      <c r="AD1461">
        <v>8574832</v>
      </c>
    </row>
    <row r="1462" spans="1:30" hidden="1" x14ac:dyDescent="0.45">
      <c r="A1462">
        <v>1434</v>
      </c>
      <c r="B1462">
        <v>2100</v>
      </c>
      <c r="C1462" t="s">
        <v>23</v>
      </c>
      <c r="D1462" t="s">
        <v>5013</v>
      </c>
      <c r="E1462">
        <v>72</v>
      </c>
      <c r="F1462" t="s">
        <v>117</v>
      </c>
      <c r="G1462" t="s">
        <v>3066</v>
      </c>
      <c r="H1462" t="s">
        <v>594</v>
      </c>
      <c r="I1462" t="s">
        <v>23</v>
      </c>
      <c r="J1462" t="s">
        <v>117</v>
      </c>
      <c r="L1462" t="b">
        <v>0</v>
      </c>
      <c r="M1462" t="s">
        <v>39</v>
      </c>
      <c r="N1462" t="s">
        <v>8246</v>
      </c>
      <c r="O1462" s="1">
        <v>18403</v>
      </c>
      <c r="P1462" t="s">
        <v>5014</v>
      </c>
      <c r="Q1462" t="s">
        <v>5015</v>
      </c>
      <c r="S1462" s="1">
        <v>45020.209027777775</v>
      </c>
      <c r="V1462">
        <v>1950</v>
      </c>
      <c r="W1462">
        <v>110.96</v>
      </c>
      <c r="X1462">
        <v>0.7</v>
      </c>
      <c r="Y1462" s="2">
        <v>1394116310769</v>
      </c>
      <c r="Z1462">
        <v>88.9</v>
      </c>
      <c r="AA1462">
        <v>102.7</v>
      </c>
      <c r="AB1462">
        <v>14.2</v>
      </c>
      <c r="AC1462">
        <v>47</v>
      </c>
      <c r="AD1462">
        <v>47076781</v>
      </c>
    </row>
    <row r="1463" spans="1:30" hidden="1" x14ac:dyDescent="0.45">
      <c r="A1463">
        <v>1434</v>
      </c>
      <c r="B1463">
        <v>2100</v>
      </c>
      <c r="C1463" t="s">
        <v>91</v>
      </c>
      <c r="D1463" t="s">
        <v>5016</v>
      </c>
      <c r="E1463">
        <v>80</v>
      </c>
      <c r="F1463" t="s">
        <v>1259</v>
      </c>
      <c r="G1463" t="s">
        <v>1260</v>
      </c>
      <c r="H1463" t="s">
        <v>91</v>
      </c>
      <c r="I1463" t="s">
        <v>91</v>
      </c>
      <c r="J1463" t="s">
        <v>1259</v>
      </c>
      <c r="L1463" t="b">
        <v>0</v>
      </c>
      <c r="M1463" t="s">
        <v>39</v>
      </c>
      <c r="N1463" t="s">
        <v>8245</v>
      </c>
      <c r="O1463" s="1">
        <v>15577</v>
      </c>
      <c r="P1463" t="s">
        <v>5017</v>
      </c>
      <c r="Q1463" t="s">
        <v>1745</v>
      </c>
      <c r="S1463" s="1">
        <v>45020.209027777775</v>
      </c>
      <c r="V1463">
        <v>1942</v>
      </c>
      <c r="W1463"/>
      <c r="Y1463"/>
    </row>
    <row r="1464" spans="1:30" hidden="1" x14ac:dyDescent="0.45">
      <c r="A1464">
        <v>1434</v>
      </c>
      <c r="B1464">
        <v>2100</v>
      </c>
      <c r="C1464" t="s">
        <v>296</v>
      </c>
      <c r="D1464" t="s">
        <v>5018</v>
      </c>
      <c r="E1464">
        <v>49</v>
      </c>
      <c r="F1464" t="s">
        <v>128</v>
      </c>
      <c r="G1464" t="s">
        <v>2006</v>
      </c>
      <c r="H1464" t="s">
        <v>4590</v>
      </c>
      <c r="I1464" t="s">
        <v>296</v>
      </c>
      <c r="J1464" t="s">
        <v>128</v>
      </c>
      <c r="L1464" t="b">
        <v>1</v>
      </c>
      <c r="M1464" t="s">
        <v>29</v>
      </c>
      <c r="N1464" t="s">
        <v>8245</v>
      </c>
      <c r="O1464" s="1">
        <v>26846</v>
      </c>
      <c r="P1464" t="s">
        <v>294</v>
      </c>
      <c r="Q1464" t="s">
        <v>2421</v>
      </c>
      <c r="S1464" s="1">
        <v>45020.209027777775</v>
      </c>
      <c r="V1464">
        <v>1973</v>
      </c>
      <c r="W1464">
        <v>125.08</v>
      </c>
      <c r="X1464">
        <v>2.9</v>
      </c>
      <c r="Y1464" s="2">
        <v>19910000000000</v>
      </c>
      <c r="Z1464">
        <v>50.6</v>
      </c>
      <c r="AA1464">
        <v>100.2</v>
      </c>
      <c r="AB1464">
        <v>9.4</v>
      </c>
      <c r="AC1464">
        <v>59.2</v>
      </c>
      <c r="AD1464">
        <v>1397715000</v>
      </c>
    </row>
    <row r="1465" spans="1:30" hidden="1" x14ac:dyDescent="0.45">
      <c r="A1465">
        <v>1434</v>
      </c>
      <c r="B1465">
        <v>2100</v>
      </c>
      <c r="C1465" t="s">
        <v>45</v>
      </c>
      <c r="D1465" t="s">
        <v>5019</v>
      </c>
      <c r="E1465">
        <v>40</v>
      </c>
      <c r="F1465" t="s">
        <v>35</v>
      </c>
      <c r="G1465" t="s">
        <v>5020</v>
      </c>
      <c r="H1465" t="s">
        <v>5021</v>
      </c>
      <c r="I1465" t="s">
        <v>45</v>
      </c>
      <c r="J1465" t="s">
        <v>35</v>
      </c>
      <c r="L1465" t="b">
        <v>1</v>
      </c>
      <c r="M1465" t="s">
        <v>29</v>
      </c>
      <c r="N1465" t="s">
        <v>8245</v>
      </c>
      <c r="O1465" s="1">
        <v>30358</v>
      </c>
      <c r="P1465" t="s">
        <v>5022</v>
      </c>
      <c r="Q1465" t="s">
        <v>5023</v>
      </c>
      <c r="S1465" s="1">
        <v>45020.209027777775</v>
      </c>
      <c r="T1465" t="s">
        <v>311</v>
      </c>
      <c r="U1465" t="s">
        <v>82</v>
      </c>
      <c r="V1465">
        <v>1983</v>
      </c>
      <c r="W1465">
        <v>117.24</v>
      </c>
      <c r="X1465">
        <v>7.5</v>
      </c>
      <c r="Y1465" s="2">
        <v>21427700000000</v>
      </c>
      <c r="Z1465">
        <v>88.2</v>
      </c>
      <c r="AA1465">
        <v>101.8</v>
      </c>
      <c r="AB1465">
        <v>9.6</v>
      </c>
      <c r="AC1465">
        <v>36.6</v>
      </c>
      <c r="AD1465">
        <v>328239523</v>
      </c>
    </row>
    <row r="1466" spans="1:30" hidden="1" x14ac:dyDescent="0.45">
      <c r="A1466">
        <v>1434</v>
      </c>
      <c r="B1466">
        <v>2100</v>
      </c>
      <c r="C1466" t="s">
        <v>45</v>
      </c>
      <c r="D1466" t="s">
        <v>5024</v>
      </c>
      <c r="E1466">
        <v>57</v>
      </c>
      <c r="F1466" t="s">
        <v>363</v>
      </c>
      <c r="G1466" t="s">
        <v>381</v>
      </c>
      <c r="H1466" t="s">
        <v>856</v>
      </c>
      <c r="I1466" t="s">
        <v>45</v>
      </c>
      <c r="J1466" t="s">
        <v>363</v>
      </c>
      <c r="L1466" t="b">
        <v>1</v>
      </c>
      <c r="M1466" t="s">
        <v>29</v>
      </c>
      <c r="N1466" t="s">
        <v>8245</v>
      </c>
      <c r="O1466" s="1">
        <v>24019</v>
      </c>
      <c r="P1466" t="s">
        <v>5025</v>
      </c>
      <c r="Q1466" t="s">
        <v>5026</v>
      </c>
      <c r="S1466" s="1">
        <v>45020.209027777775</v>
      </c>
      <c r="V1466">
        <v>1965</v>
      </c>
      <c r="W1466">
        <v>180.75</v>
      </c>
      <c r="X1466">
        <v>4.5</v>
      </c>
      <c r="Y1466" s="2">
        <v>1699876578871</v>
      </c>
      <c r="Z1466">
        <v>81.900000000000006</v>
      </c>
      <c r="AA1466">
        <v>102.6</v>
      </c>
      <c r="AB1466">
        <v>11.4</v>
      </c>
      <c r="AC1466">
        <v>46.2</v>
      </c>
      <c r="AD1466">
        <v>144373535</v>
      </c>
    </row>
    <row r="1467" spans="1:30" hidden="1" x14ac:dyDescent="0.45">
      <c r="A1467">
        <v>1434</v>
      </c>
      <c r="B1467">
        <v>2100</v>
      </c>
      <c r="C1467" t="s">
        <v>23</v>
      </c>
      <c r="D1467" t="s">
        <v>5027</v>
      </c>
      <c r="E1467">
        <v>48</v>
      </c>
      <c r="F1467" t="s">
        <v>686</v>
      </c>
      <c r="G1467" t="s">
        <v>5028</v>
      </c>
      <c r="H1467" t="s">
        <v>196</v>
      </c>
      <c r="I1467" t="s">
        <v>23</v>
      </c>
      <c r="J1467" t="s">
        <v>363</v>
      </c>
      <c r="L1467" t="b">
        <v>1</v>
      </c>
      <c r="M1467" t="s">
        <v>1332</v>
      </c>
      <c r="N1467" t="s">
        <v>8245</v>
      </c>
      <c r="O1467" s="1">
        <v>27397</v>
      </c>
      <c r="P1467" t="s">
        <v>5029</v>
      </c>
      <c r="Q1467" t="s">
        <v>5030</v>
      </c>
      <c r="S1467" s="1">
        <v>45020.209027777775</v>
      </c>
      <c r="V1467">
        <v>1975</v>
      </c>
      <c r="W1467">
        <v>102.51</v>
      </c>
      <c r="X1467">
        <v>0.3</v>
      </c>
      <c r="Y1467" s="2">
        <v>24564647935</v>
      </c>
      <c r="Z1467">
        <v>75.900000000000006</v>
      </c>
      <c r="AA1467">
        <v>99.3</v>
      </c>
      <c r="AB1467">
        <v>24.5</v>
      </c>
      <c r="AC1467">
        <v>22.4</v>
      </c>
      <c r="AD1467">
        <v>1198575</v>
      </c>
    </row>
    <row r="1468" spans="1:30" hidden="1" x14ac:dyDescent="0.45">
      <c r="A1468">
        <v>1434</v>
      </c>
      <c r="B1468">
        <v>2100</v>
      </c>
      <c r="C1468" t="s">
        <v>126</v>
      </c>
      <c r="D1468" t="s">
        <v>5031</v>
      </c>
      <c r="E1468">
        <v>47</v>
      </c>
      <c r="F1468" t="s">
        <v>363</v>
      </c>
      <c r="G1468" t="s">
        <v>381</v>
      </c>
      <c r="H1468" t="s">
        <v>196</v>
      </c>
      <c r="I1468" t="s">
        <v>126</v>
      </c>
      <c r="J1468" t="s">
        <v>363</v>
      </c>
      <c r="L1468" t="b">
        <v>1</v>
      </c>
      <c r="M1468" t="s">
        <v>258</v>
      </c>
      <c r="N1468" t="s">
        <v>8245</v>
      </c>
      <c r="O1468" s="1">
        <v>27600</v>
      </c>
      <c r="P1468" t="s">
        <v>5032</v>
      </c>
      <c r="Q1468" t="s">
        <v>926</v>
      </c>
      <c r="S1468" s="1">
        <v>45020.209027777775</v>
      </c>
      <c r="V1468">
        <v>1975</v>
      </c>
      <c r="W1468">
        <v>180.75</v>
      </c>
      <c r="X1468">
        <v>4.5</v>
      </c>
      <c r="Y1468" s="2">
        <v>1699876578871</v>
      </c>
      <c r="Z1468">
        <v>81.900000000000006</v>
      </c>
      <c r="AA1468">
        <v>102.6</v>
      </c>
      <c r="AB1468">
        <v>11.4</v>
      </c>
      <c r="AC1468">
        <v>46.2</v>
      </c>
      <c r="AD1468">
        <v>144373535</v>
      </c>
    </row>
    <row r="1469" spans="1:30" hidden="1" x14ac:dyDescent="0.45">
      <c r="A1469">
        <v>1434</v>
      </c>
      <c r="B1469">
        <v>2100</v>
      </c>
      <c r="C1469" t="s">
        <v>302</v>
      </c>
      <c r="D1469" t="s">
        <v>5033</v>
      </c>
      <c r="E1469">
        <v>71</v>
      </c>
      <c r="F1469" t="s">
        <v>228</v>
      </c>
      <c r="G1469" t="s">
        <v>228</v>
      </c>
      <c r="H1469" t="s">
        <v>304</v>
      </c>
      <c r="I1469" t="s">
        <v>302</v>
      </c>
      <c r="J1469" t="s">
        <v>228</v>
      </c>
      <c r="L1469" t="b">
        <v>0</v>
      </c>
      <c r="M1469" t="s">
        <v>29</v>
      </c>
      <c r="N1469" t="s">
        <v>8245</v>
      </c>
      <c r="O1469" s="1">
        <v>18907</v>
      </c>
      <c r="P1469" t="s">
        <v>4075</v>
      </c>
      <c r="Q1469" t="s">
        <v>358</v>
      </c>
      <c r="S1469" s="1">
        <v>45020.209027777775</v>
      </c>
      <c r="V1469">
        <v>1951</v>
      </c>
      <c r="W1469"/>
      <c r="Y1469"/>
    </row>
    <row r="1470" spans="1:30" hidden="1" x14ac:dyDescent="0.45">
      <c r="A1470">
        <v>1434</v>
      </c>
      <c r="B1470">
        <v>2100</v>
      </c>
      <c r="C1470" t="s">
        <v>296</v>
      </c>
      <c r="D1470" t="s">
        <v>5034</v>
      </c>
      <c r="F1470" t="s">
        <v>228</v>
      </c>
      <c r="G1470" t="s">
        <v>228</v>
      </c>
      <c r="H1470" t="s">
        <v>1782</v>
      </c>
      <c r="I1470" t="s">
        <v>296</v>
      </c>
      <c r="J1470" t="s">
        <v>228</v>
      </c>
      <c r="K1470" t="s">
        <v>5035</v>
      </c>
      <c r="L1470" t="b">
        <v>1</v>
      </c>
      <c r="M1470" t="s">
        <v>39</v>
      </c>
      <c r="N1470" t="s">
        <v>8246</v>
      </c>
      <c r="O1470"/>
      <c r="P1470" t="s">
        <v>2099</v>
      </c>
      <c r="Q1470" t="s">
        <v>5036</v>
      </c>
      <c r="R1470" t="s">
        <v>1478</v>
      </c>
      <c r="S1470" s="1">
        <v>45020.209027777775</v>
      </c>
      <c r="W1470"/>
      <c r="Y1470"/>
    </row>
    <row r="1471" spans="1:30" x14ac:dyDescent="0.45">
      <c r="A1471">
        <v>1434</v>
      </c>
      <c r="B1471" s="6">
        <v>2100</v>
      </c>
      <c r="C1471" t="s">
        <v>61</v>
      </c>
      <c r="D1471" t="s">
        <v>5037</v>
      </c>
      <c r="E1471">
        <v>62</v>
      </c>
      <c r="F1471" t="s">
        <v>35</v>
      </c>
      <c r="G1471" t="s">
        <v>78</v>
      </c>
      <c r="H1471" t="s">
        <v>248</v>
      </c>
      <c r="I1471" t="s">
        <v>61</v>
      </c>
      <c r="J1471" t="s">
        <v>35</v>
      </c>
      <c r="K1471" t="s">
        <v>5038</v>
      </c>
      <c r="L1471" t="b">
        <v>1</v>
      </c>
      <c r="M1471" t="s">
        <v>29</v>
      </c>
      <c r="N1471" t="s">
        <v>8245</v>
      </c>
      <c r="O1471" s="10">
        <v>22182</v>
      </c>
      <c r="P1471" t="s">
        <v>5039</v>
      </c>
      <c r="Q1471" t="s">
        <v>1461</v>
      </c>
      <c r="R1471" t="s">
        <v>192</v>
      </c>
      <c r="S1471" s="8">
        <v>45020.209027777775</v>
      </c>
      <c r="T1471" t="s">
        <v>78</v>
      </c>
      <c r="U1471" t="s">
        <v>82</v>
      </c>
      <c r="V1471">
        <v>1960</v>
      </c>
      <c r="W1471" s="12">
        <v>117.24</v>
      </c>
      <c r="X1471">
        <v>7.5</v>
      </c>
      <c r="Y1471" s="14">
        <v>21427700000000</v>
      </c>
      <c r="Z1471">
        <v>88.2</v>
      </c>
      <c r="AA1471">
        <v>101.8</v>
      </c>
      <c r="AB1471">
        <v>9.6</v>
      </c>
      <c r="AC1471">
        <v>36.6</v>
      </c>
      <c r="AD1471">
        <v>328239523</v>
      </c>
    </row>
    <row r="1472" spans="1:30" hidden="1" x14ac:dyDescent="0.45">
      <c r="A1472">
        <v>1434</v>
      </c>
      <c r="B1472">
        <v>2100</v>
      </c>
      <c r="C1472" t="s">
        <v>61</v>
      </c>
      <c r="D1472" t="s">
        <v>5040</v>
      </c>
      <c r="E1472">
        <v>82</v>
      </c>
      <c r="F1472" t="s">
        <v>25</v>
      </c>
      <c r="G1472" t="s">
        <v>1730</v>
      </c>
      <c r="H1472" t="s">
        <v>5041</v>
      </c>
      <c r="I1472" t="s">
        <v>61</v>
      </c>
      <c r="J1472" t="s">
        <v>25</v>
      </c>
      <c r="L1472" t="b">
        <v>1</v>
      </c>
      <c r="M1472" t="s">
        <v>39</v>
      </c>
      <c r="N1472" t="s">
        <v>8245</v>
      </c>
      <c r="O1472" s="1">
        <v>14810</v>
      </c>
      <c r="P1472" t="s">
        <v>5042</v>
      </c>
      <c r="Q1472" t="s">
        <v>2490</v>
      </c>
      <c r="S1472" s="1">
        <v>45020.209027777775</v>
      </c>
      <c r="V1472">
        <v>1940</v>
      </c>
      <c r="W1472">
        <v>110.05</v>
      </c>
      <c r="X1472">
        <v>1.1000000000000001</v>
      </c>
      <c r="Y1472" s="2">
        <v>2715518274227</v>
      </c>
      <c r="Z1472">
        <v>65.599999999999994</v>
      </c>
      <c r="AA1472">
        <v>102.5</v>
      </c>
      <c r="AB1472">
        <v>24.2</v>
      </c>
      <c r="AC1472">
        <v>60.7</v>
      </c>
      <c r="AD1472">
        <v>67059887</v>
      </c>
    </row>
    <row r="1473" spans="1:30" hidden="1" x14ac:dyDescent="0.45">
      <c r="A1473">
        <v>1434</v>
      </c>
      <c r="B1473">
        <v>2100</v>
      </c>
      <c r="C1473" t="s">
        <v>702</v>
      </c>
      <c r="D1473" t="s">
        <v>5043</v>
      </c>
      <c r="E1473">
        <v>67</v>
      </c>
      <c r="F1473" t="s">
        <v>35</v>
      </c>
      <c r="G1473" t="s">
        <v>3467</v>
      </c>
      <c r="H1473" t="s">
        <v>4865</v>
      </c>
      <c r="I1473" t="s">
        <v>702</v>
      </c>
      <c r="J1473" t="s">
        <v>35</v>
      </c>
      <c r="L1473" t="b">
        <v>1</v>
      </c>
      <c r="M1473" t="s">
        <v>29</v>
      </c>
      <c r="N1473" t="s">
        <v>8245</v>
      </c>
      <c r="O1473" s="1">
        <v>20462</v>
      </c>
      <c r="P1473" t="s">
        <v>5044</v>
      </c>
      <c r="Q1473" t="s">
        <v>3601</v>
      </c>
      <c r="S1473" s="1">
        <v>45020.209027777775</v>
      </c>
      <c r="T1473" t="s">
        <v>1681</v>
      </c>
      <c r="U1473" t="s">
        <v>44</v>
      </c>
      <c r="V1473">
        <v>1956</v>
      </c>
      <c r="W1473">
        <v>117.24</v>
      </c>
      <c r="X1473">
        <v>7.5</v>
      </c>
      <c r="Y1473" s="2">
        <v>21427700000000</v>
      </c>
      <c r="Z1473">
        <v>88.2</v>
      </c>
      <c r="AA1473">
        <v>101.8</v>
      </c>
      <c r="AB1473">
        <v>9.6</v>
      </c>
      <c r="AC1473">
        <v>36.6</v>
      </c>
      <c r="AD1473">
        <v>328239523</v>
      </c>
    </row>
    <row r="1474" spans="1:30" hidden="1" x14ac:dyDescent="0.45">
      <c r="A1474">
        <v>1434</v>
      </c>
      <c r="B1474">
        <v>2100</v>
      </c>
      <c r="C1474" t="s">
        <v>302</v>
      </c>
      <c r="D1474" t="s">
        <v>5045</v>
      </c>
      <c r="E1474">
        <v>82</v>
      </c>
      <c r="F1474" t="s">
        <v>1259</v>
      </c>
      <c r="G1474" t="s">
        <v>1260</v>
      </c>
      <c r="H1474" t="s">
        <v>304</v>
      </c>
      <c r="I1474" t="s">
        <v>302</v>
      </c>
      <c r="J1474" t="s">
        <v>1259</v>
      </c>
      <c r="L1474" t="b">
        <v>0</v>
      </c>
      <c r="M1474" t="s">
        <v>39</v>
      </c>
      <c r="N1474" t="s">
        <v>8246</v>
      </c>
      <c r="O1474" s="1">
        <v>14824.166666666666</v>
      </c>
      <c r="P1474" t="s">
        <v>1261</v>
      </c>
      <c r="Q1474" t="s">
        <v>5046</v>
      </c>
      <c r="S1474" s="1">
        <v>45020.375694444447</v>
      </c>
      <c r="V1474">
        <v>1940</v>
      </c>
      <c r="W1474"/>
      <c r="Y1474"/>
    </row>
    <row r="1475" spans="1:30" hidden="1" x14ac:dyDescent="0.45">
      <c r="A1475">
        <v>1434</v>
      </c>
      <c r="B1475">
        <v>2100</v>
      </c>
      <c r="C1475" t="s">
        <v>296</v>
      </c>
      <c r="D1475" t="s">
        <v>5047</v>
      </c>
      <c r="E1475">
        <v>60</v>
      </c>
      <c r="F1475" t="s">
        <v>128</v>
      </c>
      <c r="G1475" t="s">
        <v>234</v>
      </c>
      <c r="H1475" t="s">
        <v>5048</v>
      </c>
      <c r="I1475" t="s">
        <v>296</v>
      </c>
      <c r="J1475" t="s">
        <v>128</v>
      </c>
      <c r="L1475" t="b">
        <v>1</v>
      </c>
      <c r="M1475" t="s">
        <v>29</v>
      </c>
      <c r="N1475" t="s">
        <v>8245</v>
      </c>
      <c r="O1475" s="1">
        <v>22853</v>
      </c>
      <c r="P1475" t="s">
        <v>779</v>
      </c>
      <c r="Q1475" t="s">
        <v>5049</v>
      </c>
      <c r="S1475" s="1">
        <v>45020.209027777775</v>
      </c>
      <c r="V1475">
        <v>1962</v>
      </c>
      <c r="W1475">
        <v>125.08</v>
      </c>
      <c r="X1475">
        <v>2.9</v>
      </c>
      <c r="Y1475" s="2">
        <v>19910000000000</v>
      </c>
      <c r="Z1475">
        <v>50.6</v>
      </c>
      <c r="AA1475">
        <v>100.2</v>
      </c>
      <c r="AB1475">
        <v>9.4</v>
      </c>
      <c r="AC1475">
        <v>59.2</v>
      </c>
      <c r="AD1475">
        <v>1397715000</v>
      </c>
    </row>
    <row r="1476" spans="1:30" hidden="1" x14ac:dyDescent="0.45">
      <c r="A1476">
        <v>1434</v>
      </c>
      <c r="B1476">
        <v>2100</v>
      </c>
      <c r="C1476" t="s">
        <v>23</v>
      </c>
      <c r="D1476" t="s">
        <v>5050</v>
      </c>
      <c r="E1476">
        <v>49</v>
      </c>
      <c r="F1476" t="s">
        <v>686</v>
      </c>
      <c r="G1476" t="s">
        <v>5051</v>
      </c>
      <c r="H1476" t="s">
        <v>196</v>
      </c>
      <c r="I1476" t="s">
        <v>23</v>
      </c>
      <c r="J1476" t="s">
        <v>363</v>
      </c>
      <c r="L1476" t="b">
        <v>1</v>
      </c>
      <c r="M1476" t="s">
        <v>1332</v>
      </c>
      <c r="N1476" t="s">
        <v>8245</v>
      </c>
      <c r="O1476" s="1">
        <v>26807</v>
      </c>
      <c r="P1476" t="s">
        <v>5052</v>
      </c>
      <c r="Q1476" t="s">
        <v>125</v>
      </c>
      <c r="S1476" s="1">
        <v>45020.209027777775</v>
      </c>
      <c r="V1476">
        <v>1973</v>
      </c>
      <c r="W1476">
        <v>102.51</v>
      </c>
      <c r="X1476">
        <v>0.3</v>
      </c>
      <c r="Y1476" s="2">
        <v>24564647935</v>
      </c>
      <c r="Z1476">
        <v>75.900000000000006</v>
      </c>
      <c r="AA1476">
        <v>99.3</v>
      </c>
      <c r="AB1476">
        <v>24.5</v>
      </c>
      <c r="AC1476">
        <v>22.4</v>
      </c>
      <c r="AD1476">
        <v>1198575</v>
      </c>
    </row>
    <row r="1477" spans="1:30" hidden="1" x14ac:dyDescent="0.45">
      <c r="A1477">
        <v>1434</v>
      </c>
      <c r="B1477">
        <v>2100</v>
      </c>
      <c r="C1477" t="s">
        <v>126</v>
      </c>
      <c r="D1477" t="s">
        <v>5053</v>
      </c>
      <c r="E1477">
        <v>54</v>
      </c>
      <c r="F1477" t="s">
        <v>35</v>
      </c>
      <c r="G1477" t="s">
        <v>78</v>
      </c>
      <c r="H1477" t="s">
        <v>5054</v>
      </c>
      <c r="I1477" t="s">
        <v>126</v>
      </c>
      <c r="J1477" t="s">
        <v>35</v>
      </c>
      <c r="L1477" t="b">
        <v>1</v>
      </c>
      <c r="M1477" t="s">
        <v>39</v>
      </c>
      <c r="N1477" t="s">
        <v>8245</v>
      </c>
      <c r="O1477" s="1">
        <v>25109</v>
      </c>
      <c r="P1477" t="s">
        <v>5055</v>
      </c>
      <c r="Q1477" t="s">
        <v>520</v>
      </c>
      <c r="S1477" s="1">
        <v>45020.209027777775</v>
      </c>
      <c r="T1477" t="s">
        <v>78</v>
      </c>
      <c r="U1477" t="s">
        <v>82</v>
      </c>
      <c r="V1477">
        <v>1968</v>
      </c>
      <c r="W1477">
        <v>117.24</v>
      </c>
      <c r="X1477">
        <v>7.5</v>
      </c>
      <c r="Y1477" s="2">
        <v>21427700000000</v>
      </c>
      <c r="Z1477">
        <v>88.2</v>
      </c>
      <c r="AA1477">
        <v>101.8</v>
      </c>
      <c r="AB1477">
        <v>9.6</v>
      </c>
      <c r="AC1477">
        <v>36.6</v>
      </c>
      <c r="AD1477">
        <v>328239523</v>
      </c>
    </row>
    <row r="1478" spans="1:30" hidden="1" x14ac:dyDescent="0.45">
      <c r="A1478">
        <v>1434</v>
      </c>
      <c r="B1478">
        <v>2100</v>
      </c>
      <c r="C1478" t="s">
        <v>45</v>
      </c>
      <c r="D1478" t="s">
        <v>5056</v>
      </c>
      <c r="F1478" t="s">
        <v>128</v>
      </c>
      <c r="G1478" t="s">
        <v>187</v>
      </c>
      <c r="H1478" t="s">
        <v>1285</v>
      </c>
      <c r="I1478" t="s">
        <v>45</v>
      </c>
      <c r="J1478" t="s">
        <v>128</v>
      </c>
      <c r="L1478" t="b">
        <v>1</v>
      </c>
      <c r="M1478" t="s">
        <v>29</v>
      </c>
      <c r="N1478" t="s">
        <v>8246</v>
      </c>
      <c r="O1478"/>
      <c r="P1478" t="s">
        <v>237</v>
      </c>
      <c r="Q1478" t="s">
        <v>5057</v>
      </c>
      <c r="S1478" s="1">
        <v>45020.209027777775</v>
      </c>
      <c r="W1478">
        <v>125.08</v>
      </c>
      <c r="X1478">
        <v>2.9</v>
      </c>
      <c r="Y1478" s="2">
        <v>19910000000000</v>
      </c>
      <c r="Z1478">
        <v>50.6</v>
      </c>
      <c r="AA1478">
        <v>100.2</v>
      </c>
      <c r="AB1478">
        <v>9.4</v>
      </c>
      <c r="AC1478">
        <v>59.2</v>
      </c>
      <c r="AD1478">
        <v>1397715000</v>
      </c>
    </row>
    <row r="1479" spans="1:30" hidden="1" x14ac:dyDescent="0.45">
      <c r="A1479">
        <v>1434</v>
      </c>
      <c r="B1479">
        <v>2100</v>
      </c>
      <c r="C1479" t="s">
        <v>91</v>
      </c>
      <c r="D1479" t="s">
        <v>5058</v>
      </c>
      <c r="E1479">
        <v>67</v>
      </c>
      <c r="F1479" t="s">
        <v>93</v>
      </c>
      <c r="G1479" t="s">
        <v>94</v>
      </c>
      <c r="H1479" t="s">
        <v>91</v>
      </c>
      <c r="I1479" t="s">
        <v>91</v>
      </c>
      <c r="J1479" t="s">
        <v>93</v>
      </c>
      <c r="L1479" t="b">
        <v>0</v>
      </c>
      <c r="M1479" t="s">
        <v>29</v>
      </c>
      <c r="N1479" t="s">
        <v>8245</v>
      </c>
      <c r="O1479" s="1">
        <v>20210</v>
      </c>
      <c r="P1479" t="s">
        <v>5059</v>
      </c>
      <c r="Q1479" t="s">
        <v>4953</v>
      </c>
      <c r="S1479" s="1">
        <v>45020.209027777775</v>
      </c>
      <c r="V1479">
        <v>1955</v>
      </c>
      <c r="W1479">
        <v>180.44</v>
      </c>
      <c r="X1479">
        <v>7.7</v>
      </c>
      <c r="Y1479" s="2">
        <v>2611000000000</v>
      </c>
      <c r="Z1479">
        <v>28.1</v>
      </c>
      <c r="AA1479">
        <v>113</v>
      </c>
      <c r="AB1479">
        <v>11.2</v>
      </c>
      <c r="AC1479">
        <v>49.7</v>
      </c>
      <c r="AD1479">
        <v>1366417754</v>
      </c>
    </row>
    <row r="1480" spans="1:30" hidden="1" x14ac:dyDescent="0.45">
      <c r="A1480">
        <v>1434</v>
      </c>
      <c r="B1480">
        <v>2100</v>
      </c>
      <c r="C1480" t="s">
        <v>23</v>
      </c>
      <c r="D1480" t="s">
        <v>5060</v>
      </c>
      <c r="E1480">
        <v>72</v>
      </c>
      <c r="F1480" t="s">
        <v>93</v>
      </c>
      <c r="G1480" t="s">
        <v>94</v>
      </c>
      <c r="H1480" t="s">
        <v>5061</v>
      </c>
      <c r="I1480" t="s">
        <v>23</v>
      </c>
      <c r="J1480" t="s">
        <v>93</v>
      </c>
      <c r="L1480" t="b">
        <v>0</v>
      </c>
      <c r="M1480" t="s">
        <v>29</v>
      </c>
      <c r="N1480" t="s">
        <v>8245</v>
      </c>
      <c r="O1480" s="1">
        <v>18567</v>
      </c>
      <c r="P1480" t="s">
        <v>5062</v>
      </c>
      <c r="Q1480" t="s">
        <v>5063</v>
      </c>
      <c r="S1480" s="1">
        <v>45020.209027777775</v>
      </c>
      <c r="V1480">
        <v>1950</v>
      </c>
      <c r="W1480">
        <v>180.44</v>
      </c>
      <c r="X1480">
        <v>7.7</v>
      </c>
      <c r="Y1480" s="2">
        <v>2611000000000</v>
      </c>
      <c r="Z1480">
        <v>28.1</v>
      </c>
      <c r="AA1480">
        <v>113</v>
      </c>
      <c r="AB1480">
        <v>11.2</v>
      </c>
      <c r="AC1480">
        <v>49.7</v>
      </c>
      <c r="AD1480">
        <v>1366417754</v>
      </c>
    </row>
    <row r="1481" spans="1:30" hidden="1" x14ac:dyDescent="0.45">
      <c r="A1481">
        <v>1434</v>
      </c>
      <c r="B1481">
        <v>2100</v>
      </c>
      <c r="C1481" t="s">
        <v>91</v>
      </c>
      <c r="D1481" t="s">
        <v>5064</v>
      </c>
      <c r="E1481">
        <v>41</v>
      </c>
      <c r="F1481" t="s">
        <v>577</v>
      </c>
      <c r="G1481" t="s">
        <v>578</v>
      </c>
      <c r="H1481" t="s">
        <v>317</v>
      </c>
      <c r="I1481" t="s">
        <v>91</v>
      </c>
      <c r="J1481" t="s">
        <v>577</v>
      </c>
      <c r="L1481" t="b">
        <v>0</v>
      </c>
      <c r="M1481" t="s">
        <v>29</v>
      </c>
      <c r="N1481" t="s">
        <v>8246</v>
      </c>
      <c r="O1481" s="1">
        <v>29710</v>
      </c>
      <c r="P1481" t="s">
        <v>5065</v>
      </c>
      <c r="Q1481" t="s">
        <v>5066</v>
      </c>
      <c r="S1481" s="1">
        <v>45020.209027777775</v>
      </c>
      <c r="V1481">
        <v>1981</v>
      </c>
      <c r="W1481">
        <v>110.51</v>
      </c>
      <c r="X1481">
        <v>1.8</v>
      </c>
      <c r="Y1481" s="2">
        <v>530832908738</v>
      </c>
      <c r="Z1481">
        <v>67</v>
      </c>
      <c r="AA1481">
        <v>126.6</v>
      </c>
      <c r="AB1481">
        <v>27.9</v>
      </c>
      <c r="AC1481">
        <v>49.1</v>
      </c>
      <c r="AD1481">
        <v>10285453</v>
      </c>
    </row>
    <row r="1482" spans="1:30" hidden="1" x14ac:dyDescent="0.45">
      <c r="A1482">
        <v>1434</v>
      </c>
      <c r="B1482">
        <v>2100</v>
      </c>
      <c r="C1482" t="s">
        <v>402</v>
      </c>
      <c r="D1482" t="s">
        <v>5067</v>
      </c>
      <c r="E1482">
        <v>70</v>
      </c>
      <c r="F1482" t="s">
        <v>93</v>
      </c>
      <c r="G1482" t="s">
        <v>1015</v>
      </c>
      <c r="H1482" t="s">
        <v>3171</v>
      </c>
      <c r="I1482" t="s">
        <v>402</v>
      </c>
      <c r="J1482" t="s">
        <v>93</v>
      </c>
      <c r="K1482" t="s">
        <v>5068</v>
      </c>
      <c r="L1482" t="b">
        <v>1</v>
      </c>
      <c r="M1482" t="s">
        <v>39</v>
      </c>
      <c r="N1482" t="s">
        <v>8246</v>
      </c>
      <c r="O1482" s="1">
        <v>19441</v>
      </c>
      <c r="P1482" t="s">
        <v>5069</v>
      </c>
      <c r="Q1482" t="s">
        <v>5070</v>
      </c>
      <c r="R1482" t="s">
        <v>3236</v>
      </c>
      <c r="S1482" s="1">
        <v>45020.209027777775</v>
      </c>
      <c r="V1482">
        <v>1953</v>
      </c>
      <c r="W1482">
        <v>180.44</v>
      </c>
      <c r="X1482">
        <v>7.7</v>
      </c>
      <c r="Y1482" s="2">
        <v>2611000000000</v>
      </c>
      <c r="Z1482">
        <v>28.1</v>
      </c>
      <c r="AA1482">
        <v>113</v>
      </c>
      <c r="AB1482">
        <v>11.2</v>
      </c>
      <c r="AC1482">
        <v>49.7</v>
      </c>
      <c r="AD1482">
        <v>1366417754</v>
      </c>
    </row>
    <row r="1483" spans="1:30" hidden="1" x14ac:dyDescent="0.45">
      <c r="A1483">
        <v>1434</v>
      </c>
      <c r="B1483">
        <v>2100</v>
      </c>
      <c r="C1483" t="s">
        <v>33</v>
      </c>
      <c r="D1483" t="s">
        <v>5071</v>
      </c>
      <c r="E1483">
        <v>65</v>
      </c>
      <c r="F1483" t="s">
        <v>93</v>
      </c>
      <c r="G1483" t="s">
        <v>5072</v>
      </c>
      <c r="H1483" t="s">
        <v>752</v>
      </c>
      <c r="I1483" t="s">
        <v>33</v>
      </c>
      <c r="J1483" t="s">
        <v>93</v>
      </c>
      <c r="L1483" t="b">
        <v>0</v>
      </c>
      <c r="M1483" t="s">
        <v>39</v>
      </c>
      <c r="N1483" t="s">
        <v>8245</v>
      </c>
      <c r="O1483" s="1">
        <v>21131</v>
      </c>
      <c r="P1483" t="s">
        <v>5073</v>
      </c>
      <c r="Q1483" t="s">
        <v>5074</v>
      </c>
      <c r="S1483" s="1">
        <v>45020.209027777775</v>
      </c>
      <c r="V1483">
        <v>1957</v>
      </c>
      <c r="W1483">
        <v>180.44</v>
      </c>
      <c r="X1483">
        <v>7.7</v>
      </c>
      <c r="Y1483" s="2">
        <v>2611000000000</v>
      </c>
      <c r="Z1483">
        <v>28.1</v>
      </c>
      <c r="AA1483">
        <v>113</v>
      </c>
      <c r="AB1483">
        <v>11.2</v>
      </c>
      <c r="AC1483">
        <v>49.7</v>
      </c>
      <c r="AD1483">
        <v>1366417754</v>
      </c>
    </row>
    <row r="1484" spans="1:30" hidden="1" x14ac:dyDescent="0.45">
      <c r="A1484">
        <v>1434</v>
      </c>
      <c r="B1484">
        <v>2100</v>
      </c>
      <c r="C1484" t="s">
        <v>45</v>
      </c>
      <c r="D1484" t="s">
        <v>5075</v>
      </c>
      <c r="E1484">
        <v>43</v>
      </c>
      <c r="F1484" t="s">
        <v>128</v>
      </c>
      <c r="G1484" t="s">
        <v>187</v>
      </c>
      <c r="H1484" t="s">
        <v>293</v>
      </c>
      <c r="I1484" t="s">
        <v>45</v>
      </c>
      <c r="J1484" t="s">
        <v>128</v>
      </c>
      <c r="L1484" t="b">
        <v>1</v>
      </c>
      <c r="M1484" t="s">
        <v>39</v>
      </c>
      <c r="N1484" t="s">
        <v>8245</v>
      </c>
      <c r="O1484" s="1">
        <v>29221</v>
      </c>
      <c r="P1484" t="s">
        <v>5076</v>
      </c>
      <c r="Q1484" t="s">
        <v>5077</v>
      </c>
      <c r="S1484" s="1">
        <v>45020.209027777775</v>
      </c>
      <c r="V1484">
        <v>1980</v>
      </c>
      <c r="W1484">
        <v>125.08</v>
      </c>
      <c r="X1484">
        <v>2.9</v>
      </c>
      <c r="Y1484" s="2">
        <v>19910000000000</v>
      </c>
      <c r="Z1484">
        <v>50.6</v>
      </c>
      <c r="AA1484">
        <v>100.2</v>
      </c>
      <c r="AB1484">
        <v>9.4</v>
      </c>
      <c r="AC1484">
        <v>59.2</v>
      </c>
      <c r="AD1484">
        <v>1397715000</v>
      </c>
    </row>
    <row r="1485" spans="1:30" hidden="1" x14ac:dyDescent="0.45">
      <c r="A1485">
        <v>1434</v>
      </c>
      <c r="B1485">
        <v>2100</v>
      </c>
      <c r="C1485" t="s">
        <v>296</v>
      </c>
      <c r="D1485" t="s">
        <v>5078</v>
      </c>
      <c r="E1485">
        <v>80</v>
      </c>
      <c r="F1485" t="s">
        <v>1486</v>
      </c>
      <c r="G1485" t="s">
        <v>5079</v>
      </c>
      <c r="H1485" t="s">
        <v>3991</v>
      </c>
      <c r="I1485" t="s">
        <v>296</v>
      </c>
      <c r="J1485" t="s">
        <v>1486</v>
      </c>
      <c r="L1485" t="b">
        <v>1</v>
      </c>
      <c r="M1485" t="s">
        <v>39</v>
      </c>
      <c r="N1485" t="s">
        <v>8245</v>
      </c>
      <c r="O1485" s="1">
        <v>15515</v>
      </c>
      <c r="P1485" t="s">
        <v>5080</v>
      </c>
      <c r="Q1485" t="s">
        <v>5026</v>
      </c>
      <c r="S1485" s="1">
        <v>45020.209027777775</v>
      </c>
      <c r="V1485">
        <v>1942</v>
      </c>
      <c r="W1485"/>
      <c r="Y1485"/>
    </row>
    <row r="1486" spans="1:30" hidden="1" x14ac:dyDescent="0.45">
      <c r="A1486">
        <v>1434</v>
      </c>
      <c r="B1486">
        <v>2100</v>
      </c>
      <c r="C1486" t="s">
        <v>61</v>
      </c>
      <c r="D1486" t="s">
        <v>5081</v>
      </c>
      <c r="E1486">
        <v>60</v>
      </c>
      <c r="F1486" t="s">
        <v>363</v>
      </c>
      <c r="G1486" t="s">
        <v>381</v>
      </c>
      <c r="H1486" t="s">
        <v>5082</v>
      </c>
      <c r="I1486" t="s">
        <v>61</v>
      </c>
      <c r="J1486" t="s">
        <v>363</v>
      </c>
      <c r="L1486" t="b">
        <v>1</v>
      </c>
      <c r="M1486" t="s">
        <v>29</v>
      </c>
      <c r="N1486" t="s">
        <v>8245</v>
      </c>
      <c r="O1486" s="1">
        <v>22999</v>
      </c>
      <c r="P1486" t="s">
        <v>5083</v>
      </c>
      <c r="Q1486" t="s">
        <v>1040</v>
      </c>
      <c r="S1486" s="1">
        <v>45020.209027777775</v>
      </c>
      <c r="V1486">
        <v>1962</v>
      </c>
      <c r="W1486">
        <v>180.75</v>
      </c>
      <c r="X1486">
        <v>4.5</v>
      </c>
      <c r="Y1486" s="2">
        <v>1699876578871</v>
      </c>
      <c r="Z1486">
        <v>81.900000000000006</v>
      </c>
      <c r="AA1486">
        <v>102.6</v>
      </c>
      <c r="AB1486">
        <v>11.4</v>
      </c>
      <c r="AC1486">
        <v>46.2</v>
      </c>
      <c r="AD1486">
        <v>144373535</v>
      </c>
    </row>
    <row r="1487" spans="1:30" hidden="1" x14ac:dyDescent="0.45">
      <c r="A1487">
        <v>1434</v>
      </c>
      <c r="B1487">
        <v>2100</v>
      </c>
      <c r="C1487" t="s">
        <v>296</v>
      </c>
      <c r="D1487" t="s">
        <v>5084</v>
      </c>
      <c r="E1487">
        <v>66</v>
      </c>
      <c r="F1487" t="s">
        <v>128</v>
      </c>
      <c r="G1487" t="s">
        <v>2006</v>
      </c>
      <c r="H1487" t="s">
        <v>5085</v>
      </c>
      <c r="I1487" t="s">
        <v>296</v>
      </c>
      <c r="J1487" t="s">
        <v>128</v>
      </c>
      <c r="L1487" t="b">
        <v>1</v>
      </c>
      <c r="M1487" t="s">
        <v>29</v>
      </c>
      <c r="N1487" t="s">
        <v>8245</v>
      </c>
      <c r="O1487" s="1">
        <v>20838</v>
      </c>
      <c r="P1487" t="s">
        <v>4850</v>
      </c>
      <c r="Q1487" t="s">
        <v>5086</v>
      </c>
      <c r="S1487" s="1">
        <v>45020.209027777775</v>
      </c>
      <c r="V1487">
        <v>1957</v>
      </c>
      <c r="W1487">
        <v>125.08</v>
      </c>
      <c r="X1487">
        <v>2.9</v>
      </c>
      <c r="Y1487" s="2">
        <v>19910000000000</v>
      </c>
      <c r="Z1487">
        <v>50.6</v>
      </c>
      <c r="AA1487">
        <v>100.2</v>
      </c>
      <c r="AB1487">
        <v>9.4</v>
      </c>
      <c r="AC1487">
        <v>59.2</v>
      </c>
      <c r="AD1487">
        <v>1397715000</v>
      </c>
    </row>
    <row r="1488" spans="1:30" hidden="1" x14ac:dyDescent="0.45">
      <c r="A1488">
        <v>1434</v>
      </c>
      <c r="B1488">
        <v>2100</v>
      </c>
      <c r="C1488" t="s">
        <v>689</v>
      </c>
      <c r="D1488" t="s">
        <v>5087</v>
      </c>
      <c r="E1488">
        <v>76</v>
      </c>
      <c r="F1488" t="s">
        <v>117</v>
      </c>
      <c r="G1488" t="s">
        <v>2480</v>
      </c>
      <c r="H1488" t="s">
        <v>2481</v>
      </c>
      <c r="I1488" t="s">
        <v>689</v>
      </c>
      <c r="J1488" t="s">
        <v>117</v>
      </c>
      <c r="L1488" t="b">
        <v>1</v>
      </c>
      <c r="M1488" t="s">
        <v>29</v>
      </c>
      <c r="N1488" t="s">
        <v>8245</v>
      </c>
      <c r="O1488" s="1">
        <v>17234</v>
      </c>
      <c r="P1488" t="s">
        <v>5088</v>
      </c>
      <c r="Q1488" t="s">
        <v>5089</v>
      </c>
      <c r="S1488" s="1">
        <v>45020.209027777775</v>
      </c>
      <c r="V1488">
        <v>1947</v>
      </c>
      <c r="W1488">
        <v>110.96</v>
      </c>
      <c r="X1488">
        <v>0.7</v>
      </c>
      <c r="Y1488" s="2">
        <v>1394116310769</v>
      </c>
      <c r="Z1488">
        <v>88.9</v>
      </c>
      <c r="AA1488">
        <v>102.7</v>
      </c>
      <c r="AB1488">
        <v>14.2</v>
      </c>
      <c r="AC1488">
        <v>47</v>
      </c>
      <c r="AD1488">
        <v>47076781</v>
      </c>
    </row>
    <row r="1489" spans="1:30" hidden="1" x14ac:dyDescent="0.45">
      <c r="A1489">
        <v>1434</v>
      </c>
      <c r="B1489">
        <v>2100</v>
      </c>
      <c r="C1489" t="s">
        <v>326</v>
      </c>
      <c r="D1489" t="s">
        <v>5090</v>
      </c>
      <c r="E1489">
        <v>62</v>
      </c>
      <c r="F1489" t="s">
        <v>1855</v>
      </c>
      <c r="G1489" t="s">
        <v>5091</v>
      </c>
      <c r="H1489" t="s">
        <v>5092</v>
      </c>
      <c r="I1489" t="s">
        <v>326</v>
      </c>
      <c r="J1489" t="s">
        <v>1855</v>
      </c>
      <c r="L1489" t="b">
        <v>1</v>
      </c>
      <c r="M1489" t="s">
        <v>29</v>
      </c>
      <c r="N1489" t="s">
        <v>8245</v>
      </c>
      <c r="O1489" s="1">
        <v>22264</v>
      </c>
      <c r="P1489" t="s">
        <v>5093</v>
      </c>
      <c r="Q1489" t="s">
        <v>5094</v>
      </c>
      <c r="S1489" s="1">
        <v>45020.209027777775</v>
      </c>
      <c r="V1489">
        <v>1960</v>
      </c>
      <c r="W1489">
        <v>281.66000000000003</v>
      </c>
      <c r="X1489">
        <v>7.9</v>
      </c>
      <c r="Y1489" s="2">
        <v>153781069118</v>
      </c>
      <c r="Z1489">
        <v>82.7</v>
      </c>
      <c r="AA1489">
        <v>99</v>
      </c>
      <c r="AB1489">
        <v>20.100000000000001</v>
      </c>
      <c r="AC1489">
        <v>45.2</v>
      </c>
      <c r="AD1489">
        <v>44385155</v>
      </c>
    </row>
    <row r="1490" spans="1:30" hidden="1" x14ac:dyDescent="0.45">
      <c r="A1490">
        <v>1434</v>
      </c>
      <c r="B1490">
        <v>2100</v>
      </c>
      <c r="C1490" t="s">
        <v>45</v>
      </c>
      <c r="D1490" t="s">
        <v>5095</v>
      </c>
      <c r="E1490">
        <v>40</v>
      </c>
      <c r="F1490" t="s">
        <v>35</v>
      </c>
      <c r="H1490" t="s">
        <v>293</v>
      </c>
      <c r="I1490" t="s">
        <v>45</v>
      </c>
      <c r="J1490" t="s">
        <v>35</v>
      </c>
      <c r="L1490" t="b">
        <v>1</v>
      </c>
      <c r="M1490" t="s">
        <v>29</v>
      </c>
      <c r="N1490" t="s">
        <v>8245</v>
      </c>
      <c r="O1490" s="1">
        <v>30101</v>
      </c>
      <c r="P1490" t="s">
        <v>5096</v>
      </c>
      <c r="Q1490" t="s">
        <v>431</v>
      </c>
      <c r="S1490" s="1">
        <v>45020.209027777775</v>
      </c>
      <c r="T1490" t="s">
        <v>253</v>
      </c>
      <c r="U1490" t="s">
        <v>44</v>
      </c>
      <c r="V1490">
        <v>1982</v>
      </c>
      <c r="W1490">
        <v>117.24</v>
      </c>
      <c r="X1490">
        <v>7.5</v>
      </c>
      <c r="Y1490" s="2">
        <v>21427700000000</v>
      </c>
      <c r="Z1490">
        <v>88.2</v>
      </c>
      <c r="AA1490">
        <v>101.8</v>
      </c>
      <c r="AB1490">
        <v>9.6</v>
      </c>
      <c r="AC1490">
        <v>36.6</v>
      </c>
      <c r="AD1490">
        <v>328239523</v>
      </c>
    </row>
    <row r="1491" spans="1:30" hidden="1" x14ac:dyDescent="0.45">
      <c r="A1491">
        <v>1434</v>
      </c>
      <c r="B1491">
        <v>2100</v>
      </c>
      <c r="C1491" t="s">
        <v>45</v>
      </c>
      <c r="D1491" t="s">
        <v>5097</v>
      </c>
      <c r="E1491">
        <v>41</v>
      </c>
      <c r="F1491" t="s">
        <v>93</v>
      </c>
      <c r="G1491" t="s">
        <v>1015</v>
      </c>
      <c r="H1491" t="s">
        <v>5098</v>
      </c>
      <c r="I1491" t="s">
        <v>45</v>
      </c>
      <c r="J1491" t="s">
        <v>93</v>
      </c>
      <c r="L1491" t="b">
        <v>1</v>
      </c>
      <c r="M1491" t="s">
        <v>39</v>
      </c>
      <c r="N1491" t="s">
        <v>8245</v>
      </c>
      <c r="O1491" s="1">
        <v>29773</v>
      </c>
      <c r="P1491" t="s">
        <v>5099</v>
      </c>
      <c r="Q1491" t="s">
        <v>5100</v>
      </c>
      <c r="S1491" s="1">
        <v>45020.209027777775</v>
      </c>
      <c r="V1491">
        <v>1981</v>
      </c>
      <c r="W1491">
        <v>180.44</v>
      </c>
      <c r="X1491">
        <v>7.7</v>
      </c>
      <c r="Y1491" s="2">
        <v>2611000000000</v>
      </c>
      <c r="Z1491">
        <v>28.1</v>
      </c>
      <c r="AA1491">
        <v>113</v>
      </c>
      <c r="AB1491">
        <v>11.2</v>
      </c>
      <c r="AC1491">
        <v>49.7</v>
      </c>
      <c r="AD1491">
        <v>1366417754</v>
      </c>
    </row>
    <row r="1492" spans="1:30" hidden="1" x14ac:dyDescent="0.45">
      <c r="A1492">
        <v>1434</v>
      </c>
      <c r="B1492">
        <v>2100</v>
      </c>
      <c r="C1492" t="s">
        <v>689</v>
      </c>
      <c r="D1492" t="s">
        <v>5101</v>
      </c>
      <c r="E1492">
        <v>65</v>
      </c>
      <c r="F1492" t="s">
        <v>93</v>
      </c>
      <c r="G1492" t="s">
        <v>2223</v>
      </c>
      <c r="H1492" t="s">
        <v>5102</v>
      </c>
      <c r="I1492" t="s">
        <v>689</v>
      </c>
      <c r="J1492" t="s">
        <v>93</v>
      </c>
      <c r="L1492" t="b">
        <v>1</v>
      </c>
      <c r="M1492" t="s">
        <v>29</v>
      </c>
      <c r="N1492" t="s">
        <v>8245</v>
      </c>
      <c r="O1492" s="1">
        <v>21062</v>
      </c>
      <c r="P1492" t="s">
        <v>4862</v>
      </c>
      <c r="Q1492" t="s">
        <v>5103</v>
      </c>
      <c r="S1492" s="1">
        <v>45020.209027777775</v>
      </c>
      <c r="V1492">
        <v>1957</v>
      </c>
      <c r="W1492">
        <v>180.44</v>
      </c>
      <c r="X1492">
        <v>7.7</v>
      </c>
      <c r="Y1492" s="2">
        <v>2611000000000</v>
      </c>
      <c r="Z1492">
        <v>28.1</v>
      </c>
      <c r="AA1492">
        <v>113</v>
      </c>
      <c r="AB1492">
        <v>11.2</v>
      </c>
      <c r="AC1492">
        <v>49.7</v>
      </c>
      <c r="AD1492">
        <v>1366417754</v>
      </c>
    </row>
    <row r="1493" spans="1:30" hidden="1" x14ac:dyDescent="0.45">
      <c r="A1493">
        <v>1434</v>
      </c>
      <c r="B1493">
        <v>2100</v>
      </c>
      <c r="C1493" t="s">
        <v>23</v>
      </c>
      <c r="D1493" t="s">
        <v>5104</v>
      </c>
      <c r="E1493">
        <v>41</v>
      </c>
      <c r="F1493" t="s">
        <v>35</v>
      </c>
      <c r="G1493" t="s">
        <v>964</v>
      </c>
      <c r="H1493" t="s">
        <v>5105</v>
      </c>
      <c r="I1493" t="s">
        <v>23</v>
      </c>
      <c r="J1493" t="s">
        <v>35</v>
      </c>
      <c r="L1493" t="b">
        <v>1</v>
      </c>
      <c r="M1493" t="s">
        <v>29</v>
      </c>
      <c r="N1493" t="s">
        <v>8245</v>
      </c>
      <c r="O1493" s="1">
        <v>29804</v>
      </c>
      <c r="P1493" t="s">
        <v>5106</v>
      </c>
      <c r="Q1493" t="s">
        <v>1068</v>
      </c>
      <c r="S1493" s="1">
        <v>45020.209027777775</v>
      </c>
      <c r="T1493" t="s">
        <v>115</v>
      </c>
      <c r="U1493" t="s">
        <v>53</v>
      </c>
      <c r="V1493">
        <v>1981</v>
      </c>
      <c r="W1493">
        <v>117.24</v>
      </c>
      <c r="X1493">
        <v>7.5</v>
      </c>
      <c r="Y1493" s="2">
        <v>21427700000000</v>
      </c>
      <c r="Z1493">
        <v>88.2</v>
      </c>
      <c r="AA1493">
        <v>101.8</v>
      </c>
      <c r="AB1493">
        <v>9.6</v>
      </c>
      <c r="AC1493">
        <v>36.6</v>
      </c>
      <c r="AD1493">
        <v>328239523</v>
      </c>
    </row>
    <row r="1494" spans="1:30" hidden="1" x14ac:dyDescent="0.45">
      <c r="A1494">
        <v>1434</v>
      </c>
      <c r="B1494">
        <v>2100</v>
      </c>
      <c r="C1494" t="s">
        <v>402</v>
      </c>
      <c r="D1494" t="s">
        <v>5107</v>
      </c>
      <c r="E1494">
        <v>49</v>
      </c>
      <c r="F1494" t="s">
        <v>128</v>
      </c>
      <c r="G1494" t="s">
        <v>187</v>
      </c>
      <c r="H1494" t="s">
        <v>5108</v>
      </c>
      <c r="I1494" t="s">
        <v>402</v>
      </c>
      <c r="J1494" t="s">
        <v>128</v>
      </c>
      <c r="L1494" t="b">
        <v>1</v>
      </c>
      <c r="M1494" t="s">
        <v>29</v>
      </c>
      <c r="N1494" t="s">
        <v>8245</v>
      </c>
      <c r="O1494" s="1">
        <v>27030</v>
      </c>
      <c r="P1494" t="s">
        <v>1266</v>
      </c>
      <c r="Q1494" t="s">
        <v>5109</v>
      </c>
      <c r="S1494" s="1">
        <v>45020.209027777775</v>
      </c>
      <c r="V1494">
        <v>1974</v>
      </c>
      <c r="W1494">
        <v>125.08</v>
      </c>
      <c r="X1494">
        <v>2.9</v>
      </c>
      <c r="Y1494" s="2">
        <v>19910000000000</v>
      </c>
      <c r="Z1494">
        <v>50.6</v>
      </c>
      <c r="AA1494">
        <v>100.2</v>
      </c>
      <c r="AB1494">
        <v>9.4</v>
      </c>
      <c r="AC1494">
        <v>59.2</v>
      </c>
      <c r="AD1494">
        <v>1397715000</v>
      </c>
    </row>
    <row r="1495" spans="1:30" hidden="1" x14ac:dyDescent="0.45">
      <c r="A1495">
        <v>1434</v>
      </c>
      <c r="B1495">
        <v>2100</v>
      </c>
      <c r="C1495" t="s">
        <v>61</v>
      </c>
      <c r="D1495" t="s">
        <v>5110</v>
      </c>
      <c r="E1495">
        <v>73</v>
      </c>
      <c r="F1495" t="s">
        <v>360</v>
      </c>
      <c r="G1495" t="s">
        <v>767</v>
      </c>
      <c r="H1495" t="s">
        <v>317</v>
      </c>
      <c r="I1495" t="s">
        <v>61</v>
      </c>
      <c r="J1495" t="s">
        <v>628</v>
      </c>
      <c r="L1495" t="b">
        <v>1</v>
      </c>
      <c r="M1495" t="s">
        <v>29</v>
      </c>
      <c r="N1495" t="s">
        <v>8245</v>
      </c>
      <c r="O1495" s="1">
        <v>18105</v>
      </c>
      <c r="P1495" t="s">
        <v>5111</v>
      </c>
      <c r="Q1495" t="s">
        <v>5112</v>
      </c>
      <c r="S1495" s="1">
        <v>45020.209027777775</v>
      </c>
      <c r="V1495">
        <v>1949</v>
      </c>
      <c r="W1495">
        <v>114.52</v>
      </c>
      <c r="X1495">
        <v>-1.9</v>
      </c>
      <c r="Y1495" s="2">
        <v>421142267938</v>
      </c>
      <c r="Z1495">
        <v>36.799999999999997</v>
      </c>
      <c r="AA1495">
        <v>108.4</v>
      </c>
      <c r="AB1495">
        <v>0.1</v>
      </c>
      <c r="AC1495">
        <v>15.9</v>
      </c>
      <c r="AD1495">
        <v>9770529</v>
      </c>
    </row>
    <row r="1496" spans="1:30" hidden="1" x14ac:dyDescent="0.45">
      <c r="A1496">
        <v>1434</v>
      </c>
      <c r="B1496">
        <v>2100</v>
      </c>
      <c r="C1496" t="s">
        <v>126</v>
      </c>
      <c r="D1496" t="s">
        <v>5113</v>
      </c>
      <c r="E1496">
        <v>53</v>
      </c>
      <c r="F1496" t="s">
        <v>574</v>
      </c>
      <c r="G1496" t="s">
        <v>574</v>
      </c>
      <c r="H1496" t="s">
        <v>1344</v>
      </c>
      <c r="I1496" t="s">
        <v>126</v>
      </c>
      <c r="J1496" t="s">
        <v>574</v>
      </c>
      <c r="L1496" t="b">
        <v>1</v>
      </c>
      <c r="M1496" t="s">
        <v>29</v>
      </c>
      <c r="N1496" t="s">
        <v>8246</v>
      </c>
      <c r="O1496"/>
      <c r="P1496" t="s">
        <v>5114</v>
      </c>
      <c r="Q1496" t="s">
        <v>1600</v>
      </c>
      <c r="S1496" s="1">
        <v>45020.209027777775</v>
      </c>
      <c r="W1496">
        <v>114.41</v>
      </c>
      <c r="X1496">
        <v>0.6</v>
      </c>
      <c r="Y1496" s="2">
        <v>372062527489</v>
      </c>
      <c r="Z1496">
        <v>84.8</v>
      </c>
      <c r="AA1496">
        <v>100.6</v>
      </c>
      <c r="AB1496">
        <v>13.1</v>
      </c>
      <c r="AC1496">
        <v>21</v>
      </c>
      <c r="AD1496">
        <v>5703569</v>
      </c>
    </row>
    <row r="1497" spans="1:30" hidden="1" x14ac:dyDescent="0.45">
      <c r="A1497">
        <v>1434</v>
      </c>
      <c r="B1497">
        <v>2100</v>
      </c>
      <c r="C1497" t="s">
        <v>402</v>
      </c>
      <c r="D1497" t="s">
        <v>5115</v>
      </c>
      <c r="E1497">
        <v>75</v>
      </c>
      <c r="F1497" t="s">
        <v>35</v>
      </c>
      <c r="G1497" t="s">
        <v>5116</v>
      </c>
      <c r="H1497" t="s">
        <v>1919</v>
      </c>
      <c r="I1497" t="s">
        <v>402</v>
      </c>
      <c r="J1497" t="s">
        <v>35</v>
      </c>
      <c r="L1497" t="b">
        <v>1</v>
      </c>
      <c r="M1497" t="s">
        <v>611</v>
      </c>
      <c r="N1497" t="s">
        <v>8245</v>
      </c>
      <c r="O1497" s="1">
        <v>17586</v>
      </c>
      <c r="P1497" t="s">
        <v>3608</v>
      </c>
      <c r="Q1497" t="s">
        <v>4613</v>
      </c>
      <c r="S1497" s="1">
        <v>45020.209027777775</v>
      </c>
      <c r="T1497" t="s">
        <v>427</v>
      </c>
      <c r="U1497" t="s">
        <v>82</v>
      </c>
      <c r="V1497">
        <v>1948</v>
      </c>
      <c r="W1497">
        <v>117.24</v>
      </c>
      <c r="X1497">
        <v>7.5</v>
      </c>
      <c r="Y1497" s="2">
        <v>21427700000000</v>
      </c>
      <c r="Z1497">
        <v>88.2</v>
      </c>
      <c r="AA1497">
        <v>101.8</v>
      </c>
      <c r="AB1497">
        <v>9.6</v>
      </c>
      <c r="AC1497">
        <v>36.6</v>
      </c>
      <c r="AD1497">
        <v>328239523</v>
      </c>
    </row>
    <row r="1498" spans="1:30" hidden="1" x14ac:dyDescent="0.45">
      <c r="A1498">
        <v>1434</v>
      </c>
      <c r="B1498">
        <v>2100</v>
      </c>
      <c r="C1498" t="s">
        <v>33</v>
      </c>
      <c r="D1498" t="s">
        <v>5117</v>
      </c>
      <c r="E1498">
        <v>70</v>
      </c>
      <c r="F1498" t="s">
        <v>93</v>
      </c>
      <c r="G1498" t="s">
        <v>4546</v>
      </c>
      <c r="H1498" t="s">
        <v>5118</v>
      </c>
      <c r="I1498" t="s">
        <v>33</v>
      </c>
      <c r="J1498" t="s">
        <v>93</v>
      </c>
      <c r="L1498" t="b">
        <v>0</v>
      </c>
      <c r="M1498" t="s">
        <v>29</v>
      </c>
      <c r="N1498" t="s">
        <v>8245</v>
      </c>
      <c r="O1498" s="1">
        <v>19339</v>
      </c>
      <c r="P1498" t="s">
        <v>5119</v>
      </c>
      <c r="Q1498" t="s">
        <v>5120</v>
      </c>
      <c r="S1498" s="1">
        <v>45020.209027777775</v>
      </c>
      <c r="V1498">
        <v>1952</v>
      </c>
      <c r="W1498">
        <v>180.44</v>
      </c>
      <c r="X1498">
        <v>7.7</v>
      </c>
      <c r="Y1498" s="2">
        <v>2611000000000</v>
      </c>
      <c r="Z1498">
        <v>28.1</v>
      </c>
      <c r="AA1498">
        <v>113</v>
      </c>
      <c r="AB1498">
        <v>11.2</v>
      </c>
      <c r="AC1498">
        <v>49.7</v>
      </c>
      <c r="AD1498">
        <v>1366417754</v>
      </c>
    </row>
    <row r="1499" spans="1:30" x14ac:dyDescent="0.45">
      <c r="A1499">
        <v>1434</v>
      </c>
      <c r="B1499" s="6">
        <v>2100</v>
      </c>
      <c r="C1499" t="s">
        <v>23</v>
      </c>
      <c r="D1499" t="s">
        <v>5121</v>
      </c>
      <c r="E1499">
        <v>68</v>
      </c>
      <c r="F1499" t="s">
        <v>35</v>
      </c>
      <c r="G1499" t="s">
        <v>5122</v>
      </c>
      <c r="H1499" t="s">
        <v>5123</v>
      </c>
      <c r="I1499" t="s">
        <v>23</v>
      </c>
      <c r="J1499" t="s">
        <v>35</v>
      </c>
      <c r="K1499" t="s">
        <v>5123</v>
      </c>
      <c r="L1499" t="b">
        <v>1</v>
      </c>
      <c r="M1499" t="s">
        <v>29</v>
      </c>
      <c r="N1499" t="s">
        <v>8245</v>
      </c>
      <c r="O1499" s="10">
        <v>20085</v>
      </c>
      <c r="P1499" t="s">
        <v>5124</v>
      </c>
      <c r="Q1499" t="s">
        <v>1550</v>
      </c>
      <c r="R1499" t="s">
        <v>32</v>
      </c>
      <c r="S1499" s="8">
        <v>45020.209027777775</v>
      </c>
      <c r="T1499" t="s">
        <v>311</v>
      </c>
      <c r="U1499" t="s">
        <v>82</v>
      </c>
      <c r="V1499">
        <v>1954</v>
      </c>
      <c r="W1499" s="12">
        <v>117.24</v>
      </c>
      <c r="X1499">
        <v>7.5</v>
      </c>
      <c r="Y1499" s="14">
        <v>21427700000000</v>
      </c>
      <c r="Z1499">
        <v>88.2</v>
      </c>
      <c r="AA1499">
        <v>101.8</v>
      </c>
      <c r="AB1499">
        <v>9.6</v>
      </c>
      <c r="AC1499">
        <v>36.6</v>
      </c>
      <c r="AD1499">
        <v>328239523</v>
      </c>
    </row>
    <row r="1500" spans="1:30" hidden="1" x14ac:dyDescent="0.45">
      <c r="A1500">
        <v>1434</v>
      </c>
      <c r="B1500">
        <v>2100</v>
      </c>
      <c r="C1500" t="s">
        <v>126</v>
      </c>
      <c r="D1500" t="s">
        <v>5125</v>
      </c>
      <c r="E1500">
        <v>73</v>
      </c>
      <c r="F1500" t="s">
        <v>128</v>
      </c>
      <c r="G1500" t="s">
        <v>5126</v>
      </c>
      <c r="H1500" t="s">
        <v>5127</v>
      </c>
      <c r="I1500" t="s">
        <v>126</v>
      </c>
      <c r="J1500" t="s">
        <v>128</v>
      </c>
      <c r="L1500" t="b">
        <v>1</v>
      </c>
      <c r="M1500" t="s">
        <v>39</v>
      </c>
      <c r="N1500" t="s">
        <v>8245</v>
      </c>
      <c r="O1500" s="1">
        <v>18323</v>
      </c>
      <c r="P1500" t="s">
        <v>945</v>
      </c>
      <c r="Q1500" t="s">
        <v>5128</v>
      </c>
      <c r="S1500" s="1">
        <v>45020.209027777775</v>
      </c>
      <c r="V1500">
        <v>1950</v>
      </c>
      <c r="W1500">
        <v>125.08</v>
      </c>
      <c r="X1500">
        <v>2.9</v>
      </c>
      <c r="Y1500" s="2">
        <v>19910000000000</v>
      </c>
      <c r="Z1500">
        <v>50.6</v>
      </c>
      <c r="AA1500">
        <v>100.2</v>
      </c>
      <c r="AB1500">
        <v>9.4</v>
      </c>
      <c r="AC1500">
        <v>59.2</v>
      </c>
      <c r="AD1500">
        <v>1397715000</v>
      </c>
    </row>
    <row r="1501" spans="1:30" hidden="1" x14ac:dyDescent="0.45">
      <c r="A1501">
        <v>1434</v>
      </c>
      <c r="B1501">
        <v>2100</v>
      </c>
      <c r="C1501" t="s">
        <v>61</v>
      </c>
      <c r="D1501" t="s">
        <v>5129</v>
      </c>
      <c r="E1501">
        <v>55</v>
      </c>
      <c r="F1501" t="s">
        <v>363</v>
      </c>
      <c r="G1501" t="s">
        <v>381</v>
      </c>
      <c r="H1501" t="s">
        <v>304</v>
      </c>
      <c r="I1501" t="s">
        <v>61</v>
      </c>
      <c r="J1501" t="s">
        <v>363</v>
      </c>
      <c r="L1501" t="b">
        <v>1</v>
      </c>
      <c r="M1501" t="s">
        <v>39</v>
      </c>
      <c r="N1501" t="s">
        <v>8245</v>
      </c>
      <c r="O1501" s="1">
        <v>24883</v>
      </c>
      <c r="P1501" t="s">
        <v>5130</v>
      </c>
      <c r="Q1501" t="s">
        <v>1040</v>
      </c>
      <c r="S1501" s="1">
        <v>45020.209027777775</v>
      </c>
      <c r="V1501">
        <v>1968</v>
      </c>
      <c r="W1501">
        <v>180.75</v>
      </c>
      <c r="X1501">
        <v>4.5</v>
      </c>
      <c r="Y1501" s="2">
        <v>1699876578871</v>
      </c>
      <c r="Z1501">
        <v>81.900000000000006</v>
      </c>
      <c r="AA1501">
        <v>102.6</v>
      </c>
      <c r="AB1501">
        <v>11.4</v>
      </c>
      <c r="AC1501">
        <v>46.2</v>
      </c>
      <c r="AD1501">
        <v>144373535</v>
      </c>
    </row>
    <row r="1502" spans="1:30" hidden="1" x14ac:dyDescent="0.45">
      <c r="A1502">
        <v>1434</v>
      </c>
      <c r="B1502">
        <v>2100</v>
      </c>
      <c r="C1502" t="s">
        <v>23</v>
      </c>
      <c r="D1502" t="s">
        <v>5131</v>
      </c>
      <c r="E1502">
        <v>56</v>
      </c>
      <c r="F1502" t="s">
        <v>194</v>
      </c>
      <c r="G1502" t="s">
        <v>5132</v>
      </c>
      <c r="H1502" t="s">
        <v>4669</v>
      </c>
      <c r="I1502" t="s">
        <v>23</v>
      </c>
      <c r="J1502" t="s">
        <v>194</v>
      </c>
      <c r="L1502" t="b">
        <v>1</v>
      </c>
      <c r="M1502" t="s">
        <v>39</v>
      </c>
      <c r="N1502" t="s">
        <v>8245</v>
      </c>
      <c r="O1502" s="1">
        <v>24203</v>
      </c>
      <c r="P1502" t="s">
        <v>5133</v>
      </c>
      <c r="Q1502" t="s">
        <v>5134</v>
      </c>
      <c r="S1502" s="1">
        <v>45020.209027777775</v>
      </c>
      <c r="V1502">
        <v>1966</v>
      </c>
      <c r="W1502">
        <v>112.85</v>
      </c>
      <c r="X1502">
        <v>1.4</v>
      </c>
      <c r="Y1502" s="2">
        <v>3845630030824</v>
      </c>
      <c r="Z1502">
        <v>70.2</v>
      </c>
      <c r="AA1502">
        <v>104</v>
      </c>
      <c r="AB1502">
        <v>11.5</v>
      </c>
      <c r="AC1502">
        <v>48.8</v>
      </c>
      <c r="AD1502">
        <v>83132799</v>
      </c>
    </row>
    <row r="1503" spans="1:30" hidden="1" x14ac:dyDescent="0.45">
      <c r="A1503">
        <v>1434</v>
      </c>
      <c r="B1503">
        <v>2100</v>
      </c>
      <c r="C1503" t="s">
        <v>126</v>
      </c>
      <c r="D1503" t="s">
        <v>5135</v>
      </c>
      <c r="E1503">
        <v>74</v>
      </c>
      <c r="F1503" t="s">
        <v>35</v>
      </c>
      <c r="G1503" t="s">
        <v>2529</v>
      </c>
      <c r="H1503" t="s">
        <v>4308</v>
      </c>
      <c r="I1503" t="s">
        <v>126</v>
      </c>
      <c r="J1503" t="s">
        <v>35</v>
      </c>
      <c r="L1503" t="b">
        <v>0</v>
      </c>
      <c r="M1503" t="s">
        <v>258</v>
      </c>
      <c r="N1503" t="s">
        <v>8246</v>
      </c>
      <c r="O1503" s="1">
        <v>17963</v>
      </c>
      <c r="P1503" t="s">
        <v>4309</v>
      </c>
      <c r="Q1503" t="s">
        <v>5136</v>
      </c>
      <c r="S1503" s="1">
        <v>45020.209027777775</v>
      </c>
      <c r="T1503" t="s">
        <v>154</v>
      </c>
      <c r="U1503" t="s">
        <v>44</v>
      </c>
      <c r="V1503">
        <v>1949</v>
      </c>
      <c r="W1503">
        <v>117.24</v>
      </c>
      <c r="X1503">
        <v>7.5</v>
      </c>
      <c r="Y1503" s="2">
        <v>21427700000000</v>
      </c>
      <c r="Z1503">
        <v>88.2</v>
      </c>
      <c r="AA1503">
        <v>101.8</v>
      </c>
      <c r="AB1503">
        <v>9.6</v>
      </c>
      <c r="AC1503">
        <v>36.6</v>
      </c>
      <c r="AD1503">
        <v>328239523</v>
      </c>
    </row>
    <row r="1504" spans="1:30" x14ac:dyDescent="0.45">
      <c r="A1504">
        <v>1434</v>
      </c>
      <c r="B1504" s="6">
        <v>2100</v>
      </c>
      <c r="C1504" t="s">
        <v>126</v>
      </c>
      <c r="D1504" t="s">
        <v>5137</v>
      </c>
      <c r="E1504">
        <v>50</v>
      </c>
      <c r="F1504" t="s">
        <v>35</v>
      </c>
      <c r="G1504" t="s">
        <v>5138</v>
      </c>
      <c r="H1504" t="s">
        <v>5139</v>
      </c>
      <c r="I1504" t="s">
        <v>126</v>
      </c>
      <c r="J1504" t="s">
        <v>2037</v>
      </c>
      <c r="K1504" t="s">
        <v>5140</v>
      </c>
      <c r="L1504" t="b">
        <v>1</v>
      </c>
      <c r="M1504" t="s">
        <v>39</v>
      </c>
      <c r="N1504" t="s">
        <v>8245</v>
      </c>
      <c r="O1504" s="10">
        <v>26598</v>
      </c>
      <c r="P1504" t="s">
        <v>5141</v>
      </c>
      <c r="Q1504" t="s">
        <v>5142</v>
      </c>
      <c r="R1504" t="s">
        <v>938</v>
      </c>
      <c r="S1504" s="8">
        <v>45020.209027777775</v>
      </c>
      <c r="T1504" t="s">
        <v>78</v>
      </c>
      <c r="U1504" t="s">
        <v>82</v>
      </c>
      <c r="V1504">
        <v>1972</v>
      </c>
      <c r="W1504" s="12">
        <v>117.24</v>
      </c>
      <c r="X1504">
        <v>7.5</v>
      </c>
      <c r="Y1504" s="14">
        <v>21427700000000</v>
      </c>
      <c r="Z1504">
        <v>88.2</v>
      </c>
      <c r="AA1504">
        <v>101.8</v>
      </c>
      <c r="AB1504">
        <v>9.6</v>
      </c>
      <c r="AC1504">
        <v>36.6</v>
      </c>
      <c r="AD1504">
        <v>328239523</v>
      </c>
    </row>
    <row r="1505" spans="1:30" hidden="1" x14ac:dyDescent="0.45">
      <c r="A1505">
        <v>1434</v>
      </c>
      <c r="B1505">
        <v>2100</v>
      </c>
      <c r="C1505" t="s">
        <v>689</v>
      </c>
      <c r="D1505" t="s">
        <v>5143</v>
      </c>
      <c r="E1505">
        <v>54</v>
      </c>
      <c r="F1505" t="s">
        <v>128</v>
      </c>
      <c r="G1505" t="s">
        <v>187</v>
      </c>
      <c r="H1505" t="s">
        <v>5144</v>
      </c>
      <c r="I1505" t="s">
        <v>689</v>
      </c>
      <c r="J1505" t="s">
        <v>128</v>
      </c>
      <c r="L1505" t="b">
        <v>1</v>
      </c>
      <c r="M1505" t="s">
        <v>39</v>
      </c>
      <c r="N1505" t="s">
        <v>8245</v>
      </c>
      <c r="O1505" s="1">
        <v>24959</v>
      </c>
      <c r="P1505" t="s">
        <v>439</v>
      </c>
      <c r="Q1505" t="s">
        <v>5145</v>
      </c>
      <c r="S1505" s="1">
        <v>45020.209027777775</v>
      </c>
      <c r="V1505">
        <v>1968</v>
      </c>
      <c r="W1505">
        <v>125.08</v>
      </c>
      <c r="X1505">
        <v>2.9</v>
      </c>
      <c r="Y1505" s="2">
        <v>19910000000000</v>
      </c>
      <c r="Z1505">
        <v>50.6</v>
      </c>
      <c r="AA1505">
        <v>100.2</v>
      </c>
      <c r="AB1505">
        <v>9.4</v>
      </c>
      <c r="AC1505">
        <v>59.2</v>
      </c>
      <c r="AD1505">
        <v>1397715000</v>
      </c>
    </row>
    <row r="1506" spans="1:30" hidden="1" x14ac:dyDescent="0.45">
      <c r="A1506">
        <v>1434</v>
      </c>
      <c r="B1506">
        <v>2100</v>
      </c>
      <c r="C1506" t="s">
        <v>126</v>
      </c>
      <c r="D1506" t="s">
        <v>5146</v>
      </c>
      <c r="E1506">
        <v>69</v>
      </c>
      <c r="F1506" t="s">
        <v>128</v>
      </c>
      <c r="G1506" t="s">
        <v>3088</v>
      </c>
      <c r="H1506" t="s">
        <v>1843</v>
      </c>
      <c r="I1506" t="s">
        <v>126</v>
      </c>
      <c r="J1506" t="s">
        <v>1259</v>
      </c>
      <c r="L1506" t="b">
        <v>1</v>
      </c>
      <c r="M1506" t="s">
        <v>29</v>
      </c>
      <c r="N1506" t="s">
        <v>8245</v>
      </c>
      <c r="O1506" s="1">
        <v>19541</v>
      </c>
      <c r="P1506" t="s">
        <v>440</v>
      </c>
      <c r="Q1506" t="s">
        <v>5147</v>
      </c>
      <c r="S1506" s="1">
        <v>45020.209027777775</v>
      </c>
      <c r="V1506">
        <v>1953</v>
      </c>
      <c r="W1506">
        <v>125.08</v>
      </c>
      <c r="X1506">
        <v>2.9</v>
      </c>
      <c r="Y1506" s="2">
        <v>19910000000000</v>
      </c>
      <c r="Z1506">
        <v>50.6</v>
      </c>
      <c r="AA1506">
        <v>100.2</v>
      </c>
      <c r="AB1506">
        <v>9.4</v>
      </c>
      <c r="AC1506">
        <v>59.2</v>
      </c>
      <c r="AD1506">
        <v>1397715000</v>
      </c>
    </row>
    <row r="1507" spans="1:30" hidden="1" x14ac:dyDescent="0.45">
      <c r="A1507">
        <v>1434</v>
      </c>
      <c r="B1507">
        <v>2100</v>
      </c>
      <c r="C1507" t="s">
        <v>126</v>
      </c>
      <c r="D1507" t="s">
        <v>5148</v>
      </c>
      <c r="E1507">
        <v>66</v>
      </c>
      <c r="F1507" t="s">
        <v>1259</v>
      </c>
      <c r="G1507" t="s">
        <v>1260</v>
      </c>
      <c r="H1507" t="s">
        <v>1843</v>
      </c>
      <c r="I1507" t="s">
        <v>126</v>
      </c>
      <c r="J1507" t="s">
        <v>1259</v>
      </c>
      <c r="L1507" t="b">
        <v>1</v>
      </c>
      <c r="M1507" t="s">
        <v>29</v>
      </c>
      <c r="N1507" t="s">
        <v>8245</v>
      </c>
      <c r="O1507" s="1">
        <v>20887</v>
      </c>
      <c r="P1507" t="s">
        <v>440</v>
      </c>
      <c r="Q1507" t="s">
        <v>5149</v>
      </c>
      <c r="S1507" s="1">
        <v>45020.209027777775</v>
      </c>
      <c r="V1507">
        <v>1957</v>
      </c>
      <c r="W1507"/>
      <c r="Y1507"/>
    </row>
    <row r="1508" spans="1:30" hidden="1" x14ac:dyDescent="0.45">
      <c r="A1508">
        <v>1434</v>
      </c>
      <c r="B1508">
        <v>2100</v>
      </c>
      <c r="C1508" t="s">
        <v>126</v>
      </c>
      <c r="D1508" t="s">
        <v>5150</v>
      </c>
      <c r="E1508">
        <v>64</v>
      </c>
      <c r="F1508" t="s">
        <v>128</v>
      </c>
      <c r="G1508" t="s">
        <v>292</v>
      </c>
      <c r="H1508" t="s">
        <v>1843</v>
      </c>
      <c r="I1508" t="s">
        <v>126</v>
      </c>
      <c r="J1508" t="s">
        <v>1259</v>
      </c>
      <c r="L1508" t="b">
        <v>1</v>
      </c>
      <c r="M1508" t="s">
        <v>29</v>
      </c>
      <c r="N1508" t="s">
        <v>8245</v>
      </c>
      <c r="O1508" s="1">
        <v>21551</v>
      </c>
      <c r="P1508" t="s">
        <v>440</v>
      </c>
      <c r="Q1508" t="s">
        <v>5151</v>
      </c>
      <c r="S1508" s="1">
        <v>45020.209027777775</v>
      </c>
      <c r="V1508">
        <v>1959</v>
      </c>
      <c r="W1508">
        <v>125.08</v>
      </c>
      <c r="X1508">
        <v>2.9</v>
      </c>
      <c r="Y1508" s="2">
        <v>19910000000000</v>
      </c>
      <c r="Z1508">
        <v>50.6</v>
      </c>
      <c r="AA1508">
        <v>100.2</v>
      </c>
      <c r="AB1508">
        <v>9.4</v>
      </c>
      <c r="AC1508">
        <v>59.2</v>
      </c>
      <c r="AD1508">
        <v>1397715000</v>
      </c>
    </row>
    <row r="1509" spans="1:30" hidden="1" x14ac:dyDescent="0.45">
      <c r="A1509">
        <v>1434</v>
      </c>
      <c r="B1509">
        <v>2100</v>
      </c>
      <c r="C1509" t="s">
        <v>126</v>
      </c>
      <c r="D1509" t="s">
        <v>5152</v>
      </c>
      <c r="E1509">
        <v>68</v>
      </c>
      <c r="F1509" t="s">
        <v>1259</v>
      </c>
      <c r="G1509" t="s">
        <v>1260</v>
      </c>
      <c r="H1509" t="s">
        <v>1843</v>
      </c>
      <c r="I1509" t="s">
        <v>126</v>
      </c>
      <c r="J1509" t="s">
        <v>1259</v>
      </c>
      <c r="L1509" t="b">
        <v>1</v>
      </c>
      <c r="M1509" t="s">
        <v>29</v>
      </c>
      <c r="N1509" t="s">
        <v>8245</v>
      </c>
      <c r="O1509" s="1">
        <v>20124</v>
      </c>
      <c r="P1509" t="s">
        <v>440</v>
      </c>
      <c r="Q1509" t="s">
        <v>5153</v>
      </c>
      <c r="S1509" s="1">
        <v>45020.209027777775</v>
      </c>
      <c r="V1509">
        <v>1955</v>
      </c>
      <c r="W1509"/>
      <c r="Y1509"/>
    </row>
    <row r="1510" spans="1:30" x14ac:dyDescent="0.45">
      <c r="A1510">
        <v>1434</v>
      </c>
      <c r="B1510" s="6">
        <v>2100</v>
      </c>
      <c r="C1510" t="s">
        <v>239</v>
      </c>
      <c r="D1510" t="s">
        <v>5154</v>
      </c>
      <c r="E1510">
        <v>80</v>
      </c>
      <c r="F1510" t="s">
        <v>35</v>
      </c>
      <c r="G1510" t="s">
        <v>241</v>
      </c>
      <c r="H1510" t="s">
        <v>3512</v>
      </c>
      <c r="I1510" t="s">
        <v>239</v>
      </c>
      <c r="J1510" t="s">
        <v>35</v>
      </c>
      <c r="K1510" t="s">
        <v>5155</v>
      </c>
      <c r="L1510" t="b">
        <v>1</v>
      </c>
      <c r="M1510" t="s">
        <v>29</v>
      </c>
      <c r="N1510" t="s">
        <v>8246</v>
      </c>
      <c r="O1510" s="10">
        <v>15459</v>
      </c>
      <c r="P1510" t="s">
        <v>3514</v>
      </c>
      <c r="Q1510" t="s">
        <v>5156</v>
      </c>
      <c r="R1510" t="s">
        <v>5157</v>
      </c>
      <c r="S1510" s="8">
        <v>45020.209027777775</v>
      </c>
      <c r="T1510" t="s">
        <v>245</v>
      </c>
      <c r="U1510" t="s">
        <v>53</v>
      </c>
      <c r="V1510">
        <v>1942</v>
      </c>
      <c r="W1510" s="12">
        <v>117.24</v>
      </c>
      <c r="X1510">
        <v>7.5</v>
      </c>
      <c r="Y1510" s="14">
        <v>21427700000000</v>
      </c>
      <c r="Z1510">
        <v>88.2</v>
      </c>
      <c r="AA1510">
        <v>101.8</v>
      </c>
      <c r="AB1510">
        <v>9.6</v>
      </c>
      <c r="AC1510">
        <v>36.6</v>
      </c>
      <c r="AD1510">
        <v>328239523</v>
      </c>
    </row>
    <row r="1511" spans="1:30" hidden="1" x14ac:dyDescent="0.45">
      <c r="A1511">
        <v>1434</v>
      </c>
      <c r="B1511">
        <v>2100</v>
      </c>
      <c r="C1511" t="s">
        <v>33</v>
      </c>
      <c r="D1511" t="s">
        <v>5158</v>
      </c>
      <c r="E1511">
        <v>53</v>
      </c>
      <c r="F1511" t="s">
        <v>128</v>
      </c>
      <c r="G1511" t="s">
        <v>960</v>
      </c>
      <c r="H1511" t="s">
        <v>752</v>
      </c>
      <c r="I1511" t="s">
        <v>33</v>
      </c>
      <c r="J1511" t="s">
        <v>128</v>
      </c>
      <c r="L1511" t="b">
        <v>1</v>
      </c>
      <c r="M1511" t="s">
        <v>29</v>
      </c>
      <c r="N1511" t="s">
        <v>8245</v>
      </c>
      <c r="O1511" s="1">
        <v>25628</v>
      </c>
      <c r="P1511" t="s">
        <v>646</v>
      </c>
      <c r="Q1511" t="s">
        <v>5159</v>
      </c>
      <c r="S1511" s="1">
        <v>45020.209027777775</v>
      </c>
      <c r="V1511">
        <v>1970</v>
      </c>
      <c r="W1511">
        <v>125.08</v>
      </c>
      <c r="X1511">
        <v>2.9</v>
      </c>
      <c r="Y1511" s="2">
        <v>19910000000000</v>
      </c>
      <c r="Z1511">
        <v>50.6</v>
      </c>
      <c r="AA1511">
        <v>100.2</v>
      </c>
      <c r="AB1511">
        <v>9.4</v>
      </c>
      <c r="AC1511">
        <v>59.2</v>
      </c>
      <c r="AD1511">
        <v>1397715000</v>
      </c>
    </row>
    <row r="1512" spans="1:30" hidden="1" x14ac:dyDescent="0.45">
      <c r="A1512">
        <v>1434</v>
      </c>
      <c r="B1512">
        <v>2100</v>
      </c>
      <c r="C1512" t="s">
        <v>23</v>
      </c>
      <c r="D1512" t="s">
        <v>5160</v>
      </c>
      <c r="E1512">
        <v>73</v>
      </c>
      <c r="F1512" t="s">
        <v>228</v>
      </c>
      <c r="G1512" t="s">
        <v>228</v>
      </c>
      <c r="H1512" t="s">
        <v>196</v>
      </c>
      <c r="I1512" t="s">
        <v>23</v>
      </c>
      <c r="J1512" t="s">
        <v>228</v>
      </c>
      <c r="L1512" t="b">
        <v>1</v>
      </c>
      <c r="M1512" t="s">
        <v>29</v>
      </c>
      <c r="N1512" t="s">
        <v>8245</v>
      </c>
      <c r="O1512" s="1">
        <v>18233</v>
      </c>
      <c r="P1512" t="s">
        <v>5161</v>
      </c>
      <c r="Q1512" t="s">
        <v>81</v>
      </c>
      <c r="S1512" s="1">
        <v>45020.209027777775</v>
      </c>
      <c r="V1512">
        <v>1949</v>
      </c>
      <c r="W1512"/>
      <c r="Y1512"/>
    </row>
    <row r="1513" spans="1:30" hidden="1" x14ac:dyDescent="0.45">
      <c r="A1513">
        <v>1434</v>
      </c>
      <c r="B1513">
        <v>2100</v>
      </c>
      <c r="C1513" t="s">
        <v>296</v>
      </c>
      <c r="D1513" t="s">
        <v>5162</v>
      </c>
      <c r="E1513">
        <v>57</v>
      </c>
      <c r="F1513" t="s">
        <v>128</v>
      </c>
      <c r="G1513" t="s">
        <v>960</v>
      </c>
      <c r="H1513" t="s">
        <v>2856</v>
      </c>
      <c r="I1513" t="s">
        <v>296</v>
      </c>
      <c r="J1513" t="s">
        <v>128</v>
      </c>
      <c r="L1513" t="b">
        <v>1</v>
      </c>
      <c r="M1513" t="s">
        <v>39</v>
      </c>
      <c r="N1513" t="s">
        <v>8245</v>
      </c>
      <c r="O1513" s="1">
        <v>24047</v>
      </c>
      <c r="P1513" t="s">
        <v>2314</v>
      </c>
      <c r="Q1513" t="s">
        <v>5163</v>
      </c>
      <c r="S1513" s="1">
        <v>45020.209027777775</v>
      </c>
      <c r="V1513">
        <v>1965</v>
      </c>
      <c r="W1513">
        <v>125.08</v>
      </c>
      <c r="X1513">
        <v>2.9</v>
      </c>
      <c r="Y1513" s="2">
        <v>19910000000000</v>
      </c>
      <c r="Z1513">
        <v>50.6</v>
      </c>
      <c r="AA1513">
        <v>100.2</v>
      </c>
      <c r="AB1513">
        <v>9.4</v>
      </c>
      <c r="AC1513">
        <v>59.2</v>
      </c>
      <c r="AD1513">
        <v>1397715000</v>
      </c>
    </row>
    <row r="1514" spans="1:30" hidden="1" x14ac:dyDescent="0.45">
      <c r="A1514">
        <v>1434</v>
      </c>
      <c r="B1514">
        <v>2100</v>
      </c>
      <c r="C1514" t="s">
        <v>296</v>
      </c>
      <c r="D1514" t="s">
        <v>5164</v>
      </c>
      <c r="E1514">
        <v>72</v>
      </c>
      <c r="F1514" t="s">
        <v>128</v>
      </c>
      <c r="G1514" t="s">
        <v>2006</v>
      </c>
      <c r="H1514" t="s">
        <v>5165</v>
      </c>
      <c r="I1514" t="s">
        <v>296</v>
      </c>
      <c r="J1514" t="s">
        <v>128</v>
      </c>
      <c r="L1514" t="b">
        <v>1</v>
      </c>
      <c r="M1514" t="s">
        <v>29</v>
      </c>
      <c r="N1514" t="s">
        <v>8245</v>
      </c>
      <c r="O1514" s="1">
        <v>18582</v>
      </c>
      <c r="P1514" t="s">
        <v>3281</v>
      </c>
      <c r="Q1514" t="s">
        <v>5166</v>
      </c>
      <c r="S1514" s="1">
        <v>45020.209027777775</v>
      </c>
      <c r="V1514">
        <v>1950</v>
      </c>
      <c r="W1514">
        <v>125.08</v>
      </c>
      <c r="X1514">
        <v>2.9</v>
      </c>
      <c r="Y1514" s="2">
        <v>19910000000000</v>
      </c>
      <c r="Z1514">
        <v>50.6</v>
      </c>
      <c r="AA1514">
        <v>100.2</v>
      </c>
      <c r="AB1514">
        <v>9.4</v>
      </c>
      <c r="AC1514">
        <v>59.2</v>
      </c>
      <c r="AD1514">
        <v>1397715000</v>
      </c>
    </row>
    <row r="1515" spans="1:30" hidden="1" x14ac:dyDescent="0.45">
      <c r="A1515">
        <v>1434</v>
      </c>
      <c r="B1515">
        <v>2100</v>
      </c>
      <c r="C1515" t="s">
        <v>296</v>
      </c>
      <c r="D1515" t="s">
        <v>5167</v>
      </c>
      <c r="E1515">
        <v>49</v>
      </c>
      <c r="F1515" t="s">
        <v>128</v>
      </c>
      <c r="G1515" t="s">
        <v>292</v>
      </c>
      <c r="H1515" t="s">
        <v>399</v>
      </c>
      <c r="I1515" t="s">
        <v>296</v>
      </c>
      <c r="J1515" t="s">
        <v>164</v>
      </c>
      <c r="L1515" t="b">
        <v>1</v>
      </c>
      <c r="M1515" t="s">
        <v>39</v>
      </c>
      <c r="N1515" t="s">
        <v>8246</v>
      </c>
      <c r="O1515" s="1">
        <v>27120</v>
      </c>
      <c r="P1515" t="s">
        <v>190</v>
      </c>
      <c r="Q1515" t="s">
        <v>5168</v>
      </c>
      <c r="S1515" s="1">
        <v>45020.209027777775</v>
      </c>
      <c r="V1515">
        <v>1974</v>
      </c>
      <c r="W1515">
        <v>125.08</v>
      </c>
      <c r="X1515">
        <v>2.9</v>
      </c>
      <c r="Y1515" s="2">
        <v>19910000000000</v>
      </c>
      <c r="Z1515">
        <v>50.6</v>
      </c>
      <c r="AA1515">
        <v>100.2</v>
      </c>
      <c r="AB1515">
        <v>9.4</v>
      </c>
      <c r="AC1515">
        <v>59.2</v>
      </c>
      <c r="AD1515">
        <v>1397715000</v>
      </c>
    </row>
    <row r="1516" spans="1:30" hidden="1" x14ac:dyDescent="0.45">
      <c r="A1516">
        <v>1434</v>
      </c>
      <c r="B1516">
        <v>2100</v>
      </c>
      <c r="C1516" t="s">
        <v>402</v>
      </c>
      <c r="D1516" t="s">
        <v>5169</v>
      </c>
      <c r="E1516">
        <v>57</v>
      </c>
      <c r="F1516" t="s">
        <v>128</v>
      </c>
      <c r="G1516" t="s">
        <v>1126</v>
      </c>
      <c r="H1516" t="s">
        <v>610</v>
      </c>
      <c r="I1516" t="s">
        <v>402</v>
      </c>
      <c r="J1516" t="s">
        <v>574</v>
      </c>
      <c r="L1516" t="b">
        <v>0</v>
      </c>
      <c r="M1516" t="s">
        <v>39</v>
      </c>
      <c r="N1516" t="s">
        <v>8245</v>
      </c>
      <c r="O1516" s="1">
        <v>24108</v>
      </c>
      <c r="P1516" t="s">
        <v>850</v>
      </c>
      <c r="Q1516" t="s">
        <v>2270</v>
      </c>
      <c r="S1516" s="1">
        <v>45020.209027777775</v>
      </c>
      <c r="V1516">
        <v>1966</v>
      </c>
      <c r="W1516">
        <v>125.08</v>
      </c>
      <c r="X1516">
        <v>2.9</v>
      </c>
      <c r="Y1516" s="2">
        <v>19910000000000</v>
      </c>
      <c r="Z1516">
        <v>50.6</v>
      </c>
      <c r="AA1516">
        <v>100.2</v>
      </c>
      <c r="AB1516">
        <v>9.4</v>
      </c>
      <c r="AC1516">
        <v>59.2</v>
      </c>
      <c r="AD1516">
        <v>1397715000</v>
      </c>
    </row>
    <row r="1517" spans="1:30" hidden="1" x14ac:dyDescent="0.45">
      <c r="A1517">
        <v>1516</v>
      </c>
      <c r="B1517">
        <v>2000</v>
      </c>
      <c r="C1517" t="s">
        <v>689</v>
      </c>
      <c r="D1517" t="s">
        <v>5170</v>
      </c>
      <c r="E1517">
        <v>80</v>
      </c>
      <c r="F1517" t="s">
        <v>93</v>
      </c>
      <c r="G1517" t="s">
        <v>404</v>
      </c>
      <c r="H1517" t="s">
        <v>3805</v>
      </c>
      <c r="I1517" t="s">
        <v>689</v>
      </c>
      <c r="J1517" t="s">
        <v>93</v>
      </c>
      <c r="L1517" t="b">
        <v>0</v>
      </c>
      <c r="M1517" t="s">
        <v>29</v>
      </c>
      <c r="N1517" t="s">
        <v>8246</v>
      </c>
      <c r="O1517" s="1">
        <v>15554</v>
      </c>
      <c r="P1517" t="s">
        <v>5171</v>
      </c>
      <c r="Q1517" t="s">
        <v>5172</v>
      </c>
      <c r="S1517" s="1">
        <v>45020.209027777775</v>
      </c>
      <c r="V1517">
        <v>1942</v>
      </c>
      <c r="W1517">
        <v>180.44</v>
      </c>
      <c r="X1517">
        <v>7.7</v>
      </c>
      <c r="Y1517" s="2">
        <v>2611000000000</v>
      </c>
      <c r="Z1517">
        <v>28.1</v>
      </c>
      <c r="AA1517">
        <v>113</v>
      </c>
      <c r="AB1517">
        <v>11.2</v>
      </c>
      <c r="AC1517">
        <v>49.7</v>
      </c>
      <c r="AD1517">
        <v>1366417754</v>
      </c>
    </row>
    <row r="1518" spans="1:30" hidden="1" x14ac:dyDescent="0.45">
      <c r="A1518">
        <v>1516</v>
      </c>
      <c r="B1518">
        <v>2000</v>
      </c>
      <c r="C1518" t="s">
        <v>23</v>
      </c>
      <c r="D1518" t="s">
        <v>5173</v>
      </c>
      <c r="E1518">
        <v>94</v>
      </c>
      <c r="F1518" t="s">
        <v>272</v>
      </c>
      <c r="G1518" t="s">
        <v>273</v>
      </c>
      <c r="H1518" t="s">
        <v>622</v>
      </c>
      <c r="I1518" t="s">
        <v>23</v>
      </c>
      <c r="J1518" t="s">
        <v>1365</v>
      </c>
      <c r="L1518" t="b">
        <v>1</v>
      </c>
      <c r="M1518" t="s">
        <v>39</v>
      </c>
      <c r="N1518" t="s">
        <v>8245</v>
      </c>
      <c r="O1518" s="1">
        <v>10620</v>
      </c>
      <c r="P1518" t="s">
        <v>5174</v>
      </c>
      <c r="Q1518" t="s">
        <v>3049</v>
      </c>
      <c r="S1518" s="1">
        <v>45020.209027777775</v>
      </c>
      <c r="V1518">
        <v>1929</v>
      </c>
      <c r="W1518">
        <v>119.62</v>
      </c>
      <c r="X1518">
        <v>1.7</v>
      </c>
      <c r="Y1518" s="2">
        <v>2827113184696</v>
      </c>
      <c r="Z1518">
        <v>60</v>
      </c>
      <c r="AA1518">
        <v>101.2</v>
      </c>
      <c r="AB1518">
        <v>25.5</v>
      </c>
      <c r="AC1518">
        <v>30.6</v>
      </c>
      <c r="AD1518">
        <v>66834405</v>
      </c>
    </row>
    <row r="1519" spans="1:30" hidden="1" x14ac:dyDescent="0.45">
      <c r="A1519">
        <v>1516</v>
      </c>
      <c r="B1519">
        <v>2000</v>
      </c>
      <c r="C1519" t="s">
        <v>45</v>
      </c>
      <c r="D1519" t="s">
        <v>5175</v>
      </c>
      <c r="E1519">
        <v>49</v>
      </c>
      <c r="F1519" t="s">
        <v>272</v>
      </c>
      <c r="G1519" t="s">
        <v>273</v>
      </c>
      <c r="H1519" t="s">
        <v>5176</v>
      </c>
      <c r="I1519" t="s">
        <v>45</v>
      </c>
      <c r="J1519" t="s">
        <v>272</v>
      </c>
      <c r="L1519" t="b">
        <v>1</v>
      </c>
      <c r="M1519" t="s">
        <v>611</v>
      </c>
      <c r="N1519" t="s">
        <v>8245</v>
      </c>
      <c r="O1519" s="1">
        <v>27063</v>
      </c>
      <c r="P1519" t="s">
        <v>5177</v>
      </c>
      <c r="Q1519" t="s">
        <v>365</v>
      </c>
      <c r="S1519" s="1">
        <v>45020.209027777775</v>
      </c>
      <c r="V1519">
        <v>1974</v>
      </c>
      <c r="W1519">
        <v>119.62</v>
      </c>
      <c r="X1519">
        <v>1.7</v>
      </c>
      <c r="Y1519" s="2">
        <v>2827113184696</v>
      </c>
      <c r="Z1519">
        <v>60</v>
      </c>
      <c r="AA1519">
        <v>101.2</v>
      </c>
      <c r="AB1519">
        <v>25.5</v>
      </c>
      <c r="AC1519">
        <v>30.6</v>
      </c>
      <c r="AD1519">
        <v>66834405</v>
      </c>
    </row>
    <row r="1520" spans="1:30" hidden="1" x14ac:dyDescent="0.45">
      <c r="A1520">
        <v>1516</v>
      </c>
      <c r="B1520">
        <v>2000</v>
      </c>
      <c r="C1520" t="s">
        <v>61</v>
      </c>
      <c r="D1520" t="s">
        <v>5178</v>
      </c>
      <c r="E1520">
        <v>77</v>
      </c>
      <c r="F1520" t="s">
        <v>5179</v>
      </c>
      <c r="G1520" t="s">
        <v>5179</v>
      </c>
      <c r="H1520" t="s">
        <v>5180</v>
      </c>
      <c r="I1520" t="s">
        <v>61</v>
      </c>
      <c r="J1520" t="s">
        <v>272</v>
      </c>
      <c r="L1520" t="b">
        <v>1</v>
      </c>
      <c r="M1520" t="s">
        <v>39</v>
      </c>
      <c r="N1520" t="s">
        <v>8245</v>
      </c>
      <c r="O1520" s="1">
        <v>16803</v>
      </c>
      <c r="P1520" t="s">
        <v>5181</v>
      </c>
      <c r="Q1520" t="s">
        <v>81</v>
      </c>
      <c r="S1520" s="1">
        <v>45020.209027777775</v>
      </c>
      <c r="V1520">
        <v>1946</v>
      </c>
      <c r="W1520"/>
      <c r="Y1520"/>
    </row>
    <row r="1521" spans="1:30" hidden="1" x14ac:dyDescent="0.45">
      <c r="A1521">
        <v>1516</v>
      </c>
      <c r="B1521">
        <v>2000</v>
      </c>
      <c r="C1521" t="s">
        <v>45</v>
      </c>
      <c r="D1521" t="s">
        <v>5182</v>
      </c>
      <c r="E1521">
        <v>62</v>
      </c>
      <c r="F1521" t="s">
        <v>567</v>
      </c>
      <c r="G1521" t="s">
        <v>568</v>
      </c>
      <c r="H1521" t="s">
        <v>856</v>
      </c>
      <c r="I1521" t="s">
        <v>45</v>
      </c>
      <c r="J1521" t="s">
        <v>567</v>
      </c>
      <c r="L1521" t="b">
        <v>1</v>
      </c>
      <c r="M1521" t="s">
        <v>39</v>
      </c>
      <c r="N1521" t="s">
        <v>8245</v>
      </c>
      <c r="O1521" s="1">
        <v>22051</v>
      </c>
      <c r="P1521" t="s">
        <v>5183</v>
      </c>
      <c r="Q1521" t="s">
        <v>770</v>
      </c>
      <c r="S1521" s="1">
        <v>45020.209027777775</v>
      </c>
      <c r="V1521">
        <v>1960</v>
      </c>
      <c r="W1521">
        <v>116.48</v>
      </c>
      <c r="X1521">
        <v>2.8</v>
      </c>
      <c r="Y1521" s="2">
        <v>246489245495</v>
      </c>
      <c r="Z1521">
        <v>64.099999999999994</v>
      </c>
      <c r="AA1521">
        <v>100.7</v>
      </c>
      <c r="AB1521">
        <v>14.9</v>
      </c>
      <c r="AC1521">
        <v>46.1</v>
      </c>
      <c r="AD1521">
        <v>10669709</v>
      </c>
    </row>
    <row r="1522" spans="1:30" hidden="1" x14ac:dyDescent="0.45">
      <c r="A1522">
        <v>1516</v>
      </c>
      <c r="B1522">
        <v>2000</v>
      </c>
      <c r="C1522" t="s">
        <v>402</v>
      </c>
      <c r="D1522" t="s">
        <v>5184</v>
      </c>
      <c r="E1522">
        <v>66</v>
      </c>
      <c r="F1522" t="s">
        <v>194</v>
      </c>
      <c r="H1522" t="s">
        <v>610</v>
      </c>
      <c r="I1522" t="s">
        <v>402</v>
      </c>
      <c r="J1522" t="s">
        <v>194</v>
      </c>
      <c r="L1522" t="b">
        <v>1</v>
      </c>
      <c r="M1522" t="s">
        <v>39</v>
      </c>
      <c r="N1522" t="s">
        <v>8245</v>
      </c>
      <c r="O1522" s="1">
        <v>20566</v>
      </c>
      <c r="P1522" t="s">
        <v>5185</v>
      </c>
      <c r="Q1522" t="s">
        <v>5186</v>
      </c>
      <c r="S1522" s="1">
        <v>45020.209027777775</v>
      </c>
      <c r="V1522">
        <v>1956</v>
      </c>
      <c r="W1522">
        <v>112.85</v>
      </c>
      <c r="X1522">
        <v>1.4</v>
      </c>
      <c r="Y1522" s="2">
        <v>3845630030824</v>
      </c>
      <c r="Z1522">
        <v>70.2</v>
      </c>
      <c r="AA1522">
        <v>104</v>
      </c>
      <c r="AB1522">
        <v>11.5</v>
      </c>
      <c r="AC1522">
        <v>48.8</v>
      </c>
      <c r="AD1522">
        <v>83132799</v>
      </c>
    </row>
    <row r="1523" spans="1:30" hidden="1" x14ac:dyDescent="0.45">
      <c r="A1523">
        <v>1516</v>
      </c>
      <c r="B1523">
        <v>2000</v>
      </c>
      <c r="C1523" t="s">
        <v>296</v>
      </c>
      <c r="D1523" t="s">
        <v>5187</v>
      </c>
      <c r="E1523">
        <v>44</v>
      </c>
      <c r="F1523" t="s">
        <v>128</v>
      </c>
      <c r="G1523" t="s">
        <v>4441</v>
      </c>
      <c r="H1523" t="s">
        <v>442</v>
      </c>
      <c r="I1523" t="s">
        <v>296</v>
      </c>
      <c r="J1523" t="s">
        <v>128</v>
      </c>
      <c r="L1523" t="b">
        <v>1</v>
      </c>
      <c r="M1523" t="s">
        <v>611</v>
      </c>
      <c r="N1523" t="s">
        <v>8245</v>
      </c>
      <c r="O1523" s="1">
        <v>28640</v>
      </c>
      <c r="P1523" t="s">
        <v>1304</v>
      </c>
      <c r="Q1523" t="s">
        <v>5188</v>
      </c>
      <c r="S1523" s="1">
        <v>45020.209027777775</v>
      </c>
      <c r="V1523">
        <v>1978</v>
      </c>
      <c r="W1523">
        <v>125.08</v>
      </c>
      <c r="X1523">
        <v>2.9</v>
      </c>
      <c r="Y1523" s="2">
        <v>19910000000000</v>
      </c>
      <c r="Z1523">
        <v>50.6</v>
      </c>
      <c r="AA1523">
        <v>100.2</v>
      </c>
      <c r="AB1523">
        <v>9.4</v>
      </c>
      <c r="AC1523">
        <v>59.2</v>
      </c>
      <c r="AD1523">
        <v>1397715000</v>
      </c>
    </row>
    <row r="1524" spans="1:30" hidden="1" x14ac:dyDescent="0.45">
      <c r="A1524">
        <v>1516</v>
      </c>
      <c r="B1524">
        <v>2000</v>
      </c>
      <c r="C1524" t="s">
        <v>296</v>
      </c>
      <c r="D1524" t="s">
        <v>5189</v>
      </c>
      <c r="E1524">
        <v>52</v>
      </c>
      <c r="F1524" t="s">
        <v>128</v>
      </c>
      <c r="G1524" t="s">
        <v>292</v>
      </c>
      <c r="H1524" t="s">
        <v>5190</v>
      </c>
      <c r="I1524" t="s">
        <v>296</v>
      </c>
      <c r="J1524" t="s">
        <v>128</v>
      </c>
      <c r="L1524" t="b">
        <v>1</v>
      </c>
      <c r="M1524" t="s">
        <v>39</v>
      </c>
      <c r="N1524" t="s">
        <v>8245</v>
      </c>
      <c r="O1524" s="1">
        <v>25750</v>
      </c>
      <c r="P1524" t="s">
        <v>679</v>
      </c>
      <c r="Q1524" t="s">
        <v>5191</v>
      </c>
      <c r="S1524" s="1">
        <v>45020.209027777775</v>
      </c>
      <c r="V1524">
        <v>1970</v>
      </c>
      <c r="W1524">
        <v>125.08</v>
      </c>
      <c r="X1524">
        <v>2.9</v>
      </c>
      <c r="Y1524" s="2">
        <v>19910000000000</v>
      </c>
      <c r="Z1524">
        <v>50.6</v>
      </c>
      <c r="AA1524">
        <v>100.2</v>
      </c>
      <c r="AB1524">
        <v>9.4</v>
      </c>
      <c r="AC1524">
        <v>59.2</v>
      </c>
      <c r="AD1524">
        <v>1397715000</v>
      </c>
    </row>
    <row r="1525" spans="1:30" hidden="1" x14ac:dyDescent="0.45">
      <c r="A1525">
        <v>1516</v>
      </c>
      <c r="B1525">
        <v>2000</v>
      </c>
      <c r="C1525" t="s">
        <v>91</v>
      </c>
      <c r="D1525" t="s">
        <v>5192</v>
      </c>
      <c r="E1525">
        <v>71</v>
      </c>
      <c r="F1525" t="s">
        <v>628</v>
      </c>
      <c r="G1525" t="s">
        <v>629</v>
      </c>
      <c r="H1525" t="s">
        <v>91</v>
      </c>
      <c r="I1525" t="s">
        <v>91</v>
      </c>
      <c r="J1525" t="s">
        <v>628</v>
      </c>
      <c r="L1525" t="b">
        <v>0</v>
      </c>
      <c r="M1525" t="s">
        <v>29</v>
      </c>
      <c r="N1525" t="s">
        <v>8245</v>
      </c>
      <c r="O1525" s="1">
        <v>18994</v>
      </c>
      <c r="P1525" t="s">
        <v>1832</v>
      </c>
      <c r="Q1525" t="s">
        <v>5193</v>
      </c>
      <c r="S1525" s="1">
        <v>45020.209027777775</v>
      </c>
      <c r="V1525">
        <v>1952</v>
      </c>
      <c r="W1525">
        <v>113.27</v>
      </c>
      <c r="X1525">
        <v>0.7</v>
      </c>
      <c r="Y1525" s="2">
        <v>543649976166</v>
      </c>
      <c r="Z1525">
        <v>49.3</v>
      </c>
      <c r="AA1525">
        <v>99.8</v>
      </c>
      <c r="AB1525">
        <v>14.9</v>
      </c>
      <c r="AC1525">
        <v>29.5</v>
      </c>
      <c r="AD1525">
        <v>69625582</v>
      </c>
    </row>
    <row r="1526" spans="1:30" hidden="1" x14ac:dyDescent="0.45">
      <c r="A1526">
        <v>1516</v>
      </c>
      <c r="B1526">
        <v>2000</v>
      </c>
      <c r="C1526" t="s">
        <v>91</v>
      </c>
      <c r="D1526" t="s">
        <v>5194</v>
      </c>
      <c r="E1526">
        <v>69</v>
      </c>
      <c r="F1526" t="s">
        <v>128</v>
      </c>
      <c r="G1526" t="s">
        <v>129</v>
      </c>
      <c r="H1526" t="s">
        <v>5195</v>
      </c>
      <c r="I1526" t="s">
        <v>91</v>
      </c>
      <c r="J1526" t="s">
        <v>128</v>
      </c>
      <c r="L1526" t="b">
        <v>1</v>
      </c>
      <c r="M1526" t="s">
        <v>39</v>
      </c>
      <c r="N1526" t="s">
        <v>8245</v>
      </c>
      <c r="O1526" s="1">
        <v>19500</v>
      </c>
      <c r="P1526" t="s">
        <v>5196</v>
      </c>
      <c r="Q1526" t="s">
        <v>5197</v>
      </c>
      <c r="S1526" s="1">
        <v>45020.209027777775</v>
      </c>
      <c r="V1526">
        <v>1953</v>
      </c>
      <c r="W1526">
        <v>125.08</v>
      </c>
      <c r="X1526">
        <v>2.9</v>
      </c>
      <c r="Y1526" s="2">
        <v>19910000000000</v>
      </c>
      <c r="Z1526">
        <v>50.6</v>
      </c>
      <c r="AA1526">
        <v>100.2</v>
      </c>
      <c r="AB1526">
        <v>9.4</v>
      </c>
      <c r="AC1526">
        <v>59.2</v>
      </c>
      <c r="AD1526">
        <v>1397715000</v>
      </c>
    </row>
    <row r="1527" spans="1:30" hidden="1" x14ac:dyDescent="0.45">
      <c r="A1527">
        <v>1516</v>
      </c>
      <c r="B1527">
        <v>2000</v>
      </c>
      <c r="C1527" t="s">
        <v>126</v>
      </c>
      <c r="D1527" t="s">
        <v>5198</v>
      </c>
      <c r="E1527">
        <v>88</v>
      </c>
      <c r="F1527" t="s">
        <v>487</v>
      </c>
      <c r="G1527" t="s">
        <v>487</v>
      </c>
      <c r="H1527" t="s">
        <v>213</v>
      </c>
      <c r="I1527" t="s">
        <v>126</v>
      </c>
      <c r="J1527" t="s">
        <v>214</v>
      </c>
      <c r="L1527" t="b">
        <v>0</v>
      </c>
      <c r="M1527" t="s">
        <v>611</v>
      </c>
      <c r="N1527" t="s">
        <v>8246</v>
      </c>
      <c r="O1527" s="1">
        <v>12785</v>
      </c>
      <c r="P1527" t="s">
        <v>5199</v>
      </c>
      <c r="Q1527" t="s">
        <v>5200</v>
      </c>
      <c r="S1527" s="1">
        <v>45020.209027777775</v>
      </c>
      <c r="V1527">
        <v>1935</v>
      </c>
      <c r="W1527"/>
      <c r="Y1527" s="2">
        <v>7184844193</v>
      </c>
      <c r="AD1527">
        <v>38964</v>
      </c>
    </row>
    <row r="1528" spans="1:30" hidden="1" x14ac:dyDescent="0.45">
      <c r="A1528">
        <v>1516</v>
      </c>
      <c r="B1528">
        <v>2000</v>
      </c>
      <c r="C1528" t="s">
        <v>91</v>
      </c>
      <c r="D1528" t="s">
        <v>5201</v>
      </c>
      <c r="E1528">
        <v>85</v>
      </c>
      <c r="F1528" t="s">
        <v>35</v>
      </c>
      <c r="G1528" t="s">
        <v>870</v>
      </c>
      <c r="H1528" t="s">
        <v>5202</v>
      </c>
      <c r="I1528" t="s">
        <v>91</v>
      </c>
      <c r="J1528" t="s">
        <v>35</v>
      </c>
      <c r="L1528" t="b">
        <v>1</v>
      </c>
      <c r="M1528" t="s">
        <v>39</v>
      </c>
      <c r="N1528" t="s">
        <v>8245</v>
      </c>
      <c r="O1528" s="1">
        <v>13620</v>
      </c>
      <c r="P1528" t="s">
        <v>5203</v>
      </c>
      <c r="Q1528" t="s">
        <v>338</v>
      </c>
      <c r="S1528" s="1">
        <v>45020.209027777775</v>
      </c>
      <c r="T1528" t="s">
        <v>43</v>
      </c>
      <c r="U1528" t="s">
        <v>44</v>
      </c>
      <c r="V1528">
        <v>1937</v>
      </c>
      <c r="W1528">
        <v>117.24</v>
      </c>
      <c r="X1528">
        <v>7.5</v>
      </c>
      <c r="Y1528" s="2">
        <v>21427700000000</v>
      </c>
      <c r="Z1528">
        <v>88.2</v>
      </c>
      <c r="AA1528">
        <v>101.8</v>
      </c>
      <c r="AB1528">
        <v>9.6</v>
      </c>
      <c r="AC1528">
        <v>36.6</v>
      </c>
      <c r="AD1528">
        <v>328239523</v>
      </c>
    </row>
    <row r="1529" spans="1:30" hidden="1" x14ac:dyDescent="0.45">
      <c r="A1529">
        <v>1516</v>
      </c>
      <c r="B1529">
        <v>2000</v>
      </c>
      <c r="C1529" t="s">
        <v>402</v>
      </c>
      <c r="D1529" t="s">
        <v>5204</v>
      </c>
      <c r="E1529">
        <v>51</v>
      </c>
      <c r="F1529" t="s">
        <v>487</v>
      </c>
      <c r="G1529" t="s">
        <v>487</v>
      </c>
      <c r="H1529" t="s">
        <v>610</v>
      </c>
      <c r="I1529" t="s">
        <v>402</v>
      </c>
      <c r="J1529" t="s">
        <v>205</v>
      </c>
      <c r="L1529" t="b">
        <v>0</v>
      </c>
      <c r="M1529" t="s">
        <v>39</v>
      </c>
      <c r="N1529" t="s">
        <v>8245</v>
      </c>
      <c r="O1529" s="1">
        <v>26355</v>
      </c>
      <c r="P1529" t="s">
        <v>5205</v>
      </c>
      <c r="Q1529" t="s">
        <v>5206</v>
      </c>
      <c r="S1529" s="1">
        <v>45020.209027777775</v>
      </c>
      <c r="V1529">
        <v>1972</v>
      </c>
      <c r="W1529"/>
      <c r="Y1529" s="2">
        <v>7184844193</v>
      </c>
      <c r="AD1529">
        <v>38964</v>
      </c>
    </row>
    <row r="1530" spans="1:30" hidden="1" x14ac:dyDescent="0.45">
      <c r="A1530">
        <v>1516</v>
      </c>
      <c r="B1530">
        <v>2000</v>
      </c>
      <c r="C1530" t="s">
        <v>302</v>
      </c>
      <c r="D1530" t="s">
        <v>5207</v>
      </c>
      <c r="E1530">
        <v>68</v>
      </c>
      <c r="F1530" t="s">
        <v>35</v>
      </c>
      <c r="G1530" t="s">
        <v>5208</v>
      </c>
      <c r="H1530" t="s">
        <v>304</v>
      </c>
      <c r="I1530" t="s">
        <v>302</v>
      </c>
      <c r="J1530" t="s">
        <v>35</v>
      </c>
      <c r="L1530" t="b">
        <v>0</v>
      </c>
      <c r="M1530" t="s">
        <v>39</v>
      </c>
      <c r="N1530" t="s">
        <v>8246</v>
      </c>
      <c r="O1530" s="1">
        <v>19833</v>
      </c>
      <c r="P1530" t="s">
        <v>5209</v>
      </c>
      <c r="Q1530" t="s">
        <v>5210</v>
      </c>
      <c r="S1530" s="1">
        <v>45020.209027777775</v>
      </c>
      <c r="T1530" t="s">
        <v>78</v>
      </c>
      <c r="U1530" t="s">
        <v>82</v>
      </c>
      <c r="V1530">
        <v>1954</v>
      </c>
      <c r="W1530">
        <v>117.24</v>
      </c>
      <c r="X1530">
        <v>7.5</v>
      </c>
      <c r="Y1530" s="2">
        <v>21427700000000</v>
      </c>
      <c r="Z1530">
        <v>88.2</v>
      </c>
      <c r="AA1530">
        <v>101.8</v>
      </c>
      <c r="AB1530">
        <v>9.6</v>
      </c>
      <c r="AC1530">
        <v>36.6</v>
      </c>
      <c r="AD1530">
        <v>328239523</v>
      </c>
    </row>
    <row r="1531" spans="1:30" hidden="1" x14ac:dyDescent="0.45">
      <c r="A1531">
        <v>1516</v>
      </c>
      <c r="B1531">
        <v>2000</v>
      </c>
      <c r="C1531" t="s">
        <v>326</v>
      </c>
      <c r="D1531" t="s">
        <v>5211</v>
      </c>
      <c r="E1531">
        <v>47</v>
      </c>
      <c r="F1531" t="s">
        <v>272</v>
      </c>
      <c r="G1531" t="s">
        <v>273</v>
      </c>
      <c r="H1531" t="s">
        <v>330</v>
      </c>
      <c r="I1531" t="s">
        <v>326</v>
      </c>
      <c r="J1531" t="s">
        <v>328</v>
      </c>
      <c r="L1531" t="b">
        <v>0</v>
      </c>
      <c r="M1531" t="s">
        <v>39</v>
      </c>
      <c r="N1531" t="s">
        <v>8245</v>
      </c>
      <c r="O1531" s="1">
        <v>27761</v>
      </c>
      <c r="P1531" t="s">
        <v>5212</v>
      </c>
      <c r="Q1531" t="s">
        <v>225</v>
      </c>
      <c r="S1531" s="1">
        <v>45020.209027777775</v>
      </c>
      <c r="V1531">
        <v>1976</v>
      </c>
      <c r="W1531">
        <v>119.62</v>
      </c>
      <c r="X1531">
        <v>1.7</v>
      </c>
      <c r="Y1531" s="2">
        <v>2827113184696</v>
      </c>
      <c r="Z1531">
        <v>60</v>
      </c>
      <c r="AA1531">
        <v>101.2</v>
      </c>
      <c r="AB1531">
        <v>25.5</v>
      </c>
      <c r="AC1531">
        <v>30.6</v>
      </c>
      <c r="AD1531">
        <v>66834405</v>
      </c>
    </row>
    <row r="1532" spans="1:30" hidden="1" x14ac:dyDescent="0.45">
      <c r="A1532">
        <v>1516</v>
      </c>
      <c r="B1532">
        <v>2000</v>
      </c>
      <c r="C1532" t="s">
        <v>45</v>
      </c>
      <c r="D1532" t="s">
        <v>5213</v>
      </c>
      <c r="E1532">
        <v>58</v>
      </c>
      <c r="F1532" t="s">
        <v>128</v>
      </c>
      <c r="G1532" t="s">
        <v>129</v>
      </c>
      <c r="H1532" t="s">
        <v>45</v>
      </c>
      <c r="I1532" t="s">
        <v>45</v>
      </c>
      <c r="J1532" t="s">
        <v>128</v>
      </c>
      <c r="L1532" t="b">
        <v>1</v>
      </c>
      <c r="M1532" t="s">
        <v>39</v>
      </c>
      <c r="N1532" t="s">
        <v>8245</v>
      </c>
      <c r="O1532" s="1">
        <v>23807</v>
      </c>
      <c r="P1532" t="s">
        <v>2526</v>
      </c>
      <c r="Q1532" t="s">
        <v>5214</v>
      </c>
      <c r="S1532" s="1">
        <v>45020.209027777775</v>
      </c>
      <c r="V1532">
        <v>1965</v>
      </c>
      <c r="W1532">
        <v>125.08</v>
      </c>
      <c r="X1532">
        <v>2.9</v>
      </c>
      <c r="Y1532" s="2">
        <v>19910000000000</v>
      </c>
      <c r="Z1532">
        <v>50.6</v>
      </c>
      <c r="AA1532">
        <v>100.2</v>
      </c>
      <c r="AB1532">
        <v>9.4</v>
      </c>
      <c r="AC1532">
        <v>59.2</v>
      </c>
      <c r="AD1532">
        <v>1397715000</v>
      </c>
    </row>
    <row r="1533" spans="1:30" hidden="1" x14ac:dyDescent="0.45">
      <c r="A1533">
        <v>1516</v>
      </c>
      <c r="B1533">
        <v>2000</v>
      </c>
      <c r="C1533" t="s">
        <v>296</v>
      </c>
      <c r="D1533" t="s">
        <v>5215</v>
      </c>
      <c r="E1533">
        <v>62</v>
      </c>
      <c r="F1533" t="s">
        <v>228</v>
      </c>
      <c r="G1533" t="s">
        <v>228</v>
      </c>
      <c r="H1533" t="s">
        <v>5216</v>
      </c>
      <c r="I1533" t="s">
        <v>296</v>
      </c>
      <c r="J1533" t="s">
        <v>228</v>
      </c>
      <c r="L1533" t="b">
        <v>1</v>
      </c>
      <c r="M1533" t="s">
        <v>39</v>
      </c>
      <c r="N1533" t="s">
        <v>8245</v>
      </c>
      <c r="O1533" s="1">
        <v>22221</v>
      </c>
      <c r="P1533" t="s">
        <v>294</v>
      </c>
      <c r="Q1533" t="s">
        <v>5217</v>
      </c>
      <c r="S1533" s="1">
        <v>45020.209027777775</v>
      </c>
      <c r="V1533">
        <v>1960</v>
      </c>
      <c r="W1533"/>
      <c r="Y1533"/>
    </row>
    <row r="1534" spans="1:30" hidden="1" x14ac:dyDescent="0.45">
      <c r="A1534">
        <v>1516</v>
      </c>
      <c r="B1534">
        <v>2000</v>
      </c>
      <c r="C1534" t="s">
        <v>76</v>
      </c>
      <c r="D1534" t="s">
        <v>5218</v>
      </c>
      <c r="E1534">
        <v>64</v>
      </c>
      <c r="F1534" t="s">
        <v>128</v>
      </c>
      <c r="G1534" t="s">
        <v>129</v>
      </c>
      <c r="H1534" t="s">
        <v>5219</v>
      </c>
      <c r="I1534" t="s">
        <v>76</v>
      </c>
      <c r="J1534" t="s">
        <v>128</v>
      </c>
      <c r="L1534" t="b">
        <v>1</v>
      </c>
      <c r="M1534" t="s">
        <v>29</v>
      </c>
      <c r="N1534" t="s">
        <v>8245</v>
      </c>
      <c r="O1534" s="1">
        <v>21504</v>
      </c>
      <c r="P1534" t="s">
        <v>294</v>
      </c>
      <c r="Q1534" t="s">
        <v>5220</v>
      </c>
      <c r="S1534" s="1">
        <v>45020.209027777775</v>
      </c>
      <c r="V1534">
        <v>1958</v>
      </c>
      <c r="W1534">
        <v>125.08</v>
      </c>
      <c r="X1534">
        <v>2.9</v>
      </c>
      <c r="Y1534" s="2">
        <v>19910000000000</v>
      </c>
      <c r="Z1534">
        <v>50.6</v>
      </c>
      <c r="AA1534">
        <v>100.2</v>
      </c>
      <c r="AB1534">
        <v>9.4</v>
      </c>
      <c r="AC1534">
        <v>59.2</v>
      </c>
      <c r="AD1534">
        <v>1397715000</v>
      </c>
    </row>
    <row r="1535" spans="1:30" hidden="1" x14ac:dyDescent="0.45">
      <c r="A1535">
        <v>1516</v>
      </c>
      <c r="B1535">
        <v>2000</v>
      </c>
      <c r="C1535" t="s">
        <v>61</v>
      </c>
      <c r="D1535" t="s">
        <v>5221</v>
      </c>
      <c r="E1535">
        <v>55</v>
      </c>
      <c r="F1535" t="s">
        <v>35</v>
      </c>
      <c r="G1535" t="s">
        <v>4541</v>
      </c>
      <c r="H1535" t="s">
        <v>1839</v>
      </c>
      <c r="I1535" t="s">
        <v>61</v>
      </c>
      <c r="J1535" t="s">
        <v>35</v>
      </c>
      <c r="L1535" t="b">
        <v>1</v>
      </c>
      <c r="M1535" t="s">
        <v>258</v>
      </c>
      <c r="N1535" t="s">
        <v>8245</v>
      </c>
      <c r="O1535" s="1">
        <v>24864</v>
      </c>
      <c r="P1535" t="s">
        <v>3696</v>
      </c>
      <c r="Q1535" t="s">
        <v>2997</v>
      </c>
      <c r="S1535" s="1">
        <v>45020.209027777775</v>
      </c>
      <c r="T1535" t="s">
        <v>253</v>
      </c>
      <c r="U1535" t="s">
        <v>44</v>
      </c>
      <c r="V1535">
        <v>1968</v>
      </c>
      <c r="W1535">
        <v>117.24</v>
      </c>
      <c r="X1535">
        <v>7.5</v>
      </c>
      <c r="Y1535" s="2">
        <v>21427700000000</v>
      </c>
      <c r="Z1535">
        <v>88.2</v>
      </c>
      <c r="AA1535">
        <v>101.8</v>
      </c>
      <c r="AB1535">
        <v>9.6</v>
      </c>
      <c r="AC1535">
        <v>36.6</v>
      </c>
      <c r="AD1535">
        <v>328239523</v>
      </c>
    </row>
    <row r="1536" spans="1:30" hidden="1" x14ac:dyDescent="0.45">
      <c r="A1536">
        <v>1516</v>
      </c>
      <c r="B1536">
        <v>2000</v>
      </c>
      <c r="C1536" t="s">
        <v>702</v>
      </c>
      <c r="D1536" t="s">
        <v>5222</v>
      </c>
      <c r="E1536">
        <v>60</v>
      </c>
      <c r="F1536" t="s">
        <v>35</v>
      </c>
      <c r="G1536" t="s">
        <v>5223</v>
      </c>
      <c r="H1536" t="s">
        <v>5224</v>
      </c>
      <c r="I1536" t="s">
        <v>702</v>
      </c>
      <c r="J1536" t="s">
        <v>35</v>
      </c>
      <c r="L1536" t="b">
        <v>1</v>
      </c>
      <c r="M1536" t="s">
        <v>29</v>
      </c>
      <c r="N1536" t="s">
        <v>8245</v>
      </c>
      <c r="O1536" s="1">
        <v>23059</v>
      </c>
      <c r="P1536" t="s">
        <v>5225</v>
      </c>
      <c r="Q1536" t="s">
        <v>81</v>
      </c>
      <c r="R1536" t="s">
        <v>3628</v>
      </c>
      <c r="S1536" s="1">
        <v>45020.209027777775</v>
      </c>
      <c r="T1536" t="s">
        <v>253</v>
      </c>
      <c r="U1536" t="s">
        <v>44</v>
      </c>
      <c r="V1536">
        <v>1963</v>
      </c>
      <c r="W1536">
        <v>117.24</v>
      </c>
      <c r="X1536">
        <v>7.5</v>
      </c>
      <c r="Y1536" s="2">
        <v>21427700000000</v>
      </c>
      <c r="Z1536">
        <v>88.2</v>
      </c>
      <c r="AA1536">
        <v>101.8</v>
      </c>
      <c r="AB1536">
        <v>9.6</v>
      </c>
      <c r="AC1536">
        <v>36.6</v>
      </c>
      <c r="AD1536">
        <v>328239523</v>
      </c>
    </row>
    <row r="1537" spans="1:30" hidden="1" x14ac:dyDescent="0.45">
      <c r="A1537">
        <v>1516</v>
      </c>
      <c r="B1537">
        <v>2000</v>
      </c>
      <c r="C1537" t="s">
        <v>302</v>
      </c>
      <c r="D1537" t="s">
        <v>5226</v>
      </c>
      <c r="E1537">
        <v>77</v>
      </c>
      <c r="F1537" t="s">
        <v>35</v>
      </c>
      <c r="G1537" t="s">
        <v>78</v>
      </c>
      <c r="H1537" t="s">
        <v>304</v>
      </c>
      <c r="I1537" t="s">
        <v>302</v>
      </c>
      <c r="J1537" t="s">
        <v>35</v>
      </c>
      <c r="L1537" t="b">
        <v>0</v>
      </c>
      <c r="M1537" t="s">
        <v>39</v>
      </c>
      <c r="N1537" t="s">
        <v>8246</v>
      </c>
      <c r="O1537" s="1">
        <v>16639</v>
      </c>
      <c r="P1537" t="s">
        <v>5227</v>
      </c>
      <c r="Q1537" t="s">
        <v>695</v>
      </c>
      <c r="S1537" s="1">
        <v>45020.209027777775</v>
      </c>
      <c r="T1537" t="s">
        <v>78</v>
      </c>
      <c r="U1537" t="s">
        <v>82</v>
      </c>
      <c r="V1537">
        <v>1945</v>
      </c>
      <c r="W1537">
        <v>117.24</v>
      </c>
      <c r="X1537">
        <v>7.5</v>
      </c>
      <c r="Y1537" s="2">
        <v>21427700000000</v>
      </c>
      <c r="Z1537">
        <v>88.2</v>
      </c>
      <c r="AA1537">
        <v>101.8</v>
      </c>
      <c r="AB1537">
        <v>9.6</v>
      </c>
      <c r="AC1537">
        <v>36.6</v>
      </c>
      <c r="AD1537">
        <v>328239523</v>
      </c>
    </row>
    <row r="1538" spans="1:30" hidden="1" x14ac:dyDescent="0.45">
      <c r="A1538">
        <v>1516</v>
      </c>
      <c r="B1538">
        <v>2000</v>
      </c>
      <c r="C1538" t="s">
        <v>45</v>
      </c>
      <c r="D1538" t="s">
        <v>5228</v>
      </c>
      <c r="E1538">
        <v>57</v>
      </c>
      <c r="F1538" t="s">
        <v>490</v>
      </c>
      <c r="G1538" t="s">
        <v>1737</v>
      </c>
      <c r="H1538" t="s">
        <v>2171</v>
      </c>
      <c r="I1538" t="s">
        <v>45</v>
      </c>
      <c r="J1538" t="s">
        <v>490</v>
      </c>
      <c r="L1538" t="b">
        <v>1</v>
      </c>
      <c r="M1538" t="s">
        <v>39</v>
      </c>
      <c r="N1538" t="s">
        <v>8245</v>
      </c>
      <c r="O1538" s="1">
        <v>24180</v>
      </c>
      <c r="P1538" t="s">
        <v>5229</v>
      </c>
      <c r="Q1538" t="s">
        <v>5230</v>
      </c>
      <c r="S1538" s="1">
        <v>45020.209027777775</v>
      </c>
      <c r="V1538">
        <v>1966</v>
      </c>
      <c r="W1538">
        <v>108.15</v>
      </c>
      <c r="X1538">
        <v>0.8</v>
      </c>
      <c r="Y1538" s="2">
        <v>395098666122</v>
      </c>
      <c r="Z1538">
        <v>63.4</v>
      </c>
      <c r="AA1538">
        <v>104.9</v>
      </c>
      <c r="AB1538">
        <v>23.1</v>
      </c>
      <c r="AC1538">
        <v>25.3</v>
      </c>
      <c r="AD1538">
        <v>9053300</v>
      </c>
    </row>
    <row r="1539" spans="1:30" hidden="1" x14ac:dyDescent="0.45">
      <c r="A1539">
        <v>1516</v>
      </c>
      <c r="B1539">
        <v>2000</v>
      </c>
      <c r="C1539" t="s">
        <v>402</v>
      </c>
      <c r="D1539" t="s">
        <v>5231</v>
      </c>
      <c r="E1539">
        <v>77</v>
      </c>
      <c r="F1539" t="s">
        <v>2660</v>
      </c>
      <c r="G1539" t="s">
        <v>5232</v>
      </c>
      <c r="H1539" t="s">
        <v>5233</v>
      </c>
      <c r="I1539" t="s">
        <v>402</v>
      </c>
      <c r="J1539" t="s">
        <v>2660</v>
      </c>
      <c r="L1539" t="b">
        <v>1</v>
      </c>
      <c r="M1539" t="s">
        <v>29</v>
      </c>
      <c r="N1539" t="s">
        <v>8245</v>
      </c>
      <c r="O1539" s="1">
        <v>16821</v>
      </c>
      <c r="P1539" t="s">
        <v>5234</v>
      </c>
      <c r="Q1539" t="s">
        <v>5235</v>
      </c>
      <c r="S1539" s="1">
        <v>45020.209027777775</v>
      </c>
      <c r="V1539">
        <v>1946</v>
      </c>
      <c r="W1539">
        <v>112.33</v>
      </c>
      <c r="X1539">
        <v>1</v>
      </c>
      <c r="Y1539" s="2">
        <v>268761201365</v>
      </c>
      <c r="Z1539">
        <v>88.2</v>
      </c>
      <c r="AA1539">
        <v>100.2</v>
      </c>
      <c r="AB1539">
        <v>20.8</v>
      </c>
      <c r="AC1539">
        <v>36.6</v>
      </c>
      <c r="AD1539">
        <v>5520314</v>
      </c>
    </row>
    <row r="1540" spans="1:30" hidden="1" x14ac:dyDescent="0.45">
      <c r="A1540">
        <v>1516</v>
      </c>
      <c r="B1540">
        <v>2000</v>
      </c>
      <c r="C1540" t="s">
        <v>45</v>
      </c>
      <c r="D1540" t="s">
        <v>5236</v>
      </c>
      <c r="E1540">
        <v>50</v>
      </c>
      <c r="F1540" t="s">
        <v>228</v>
      </c>
      <c r="G1540" t="s">
        <v>228</v>
      </c>
      <c r="H1540" t="s">
        <v>293</v>
      </c>
      <c r="I1540" t="s">
        <v>45</v>
      </c>
      <c r="J1540" t="s">
        <v>228</v>
      </c>
      <c r="L1540" t="b">
        <v>1</v>
      </c>
      <c r="M1540" t="s">
        <v>39</v>
      </c>
      <c r="N1540" t="s">
        <v>8245</v>
      </c>
      <c r="O1540" s="1">
        <v>26755</v>
      </c>
      <c r="P1540" t="s">
        <v>716</v>
      </c>
      <c r="Q1540" t="s">
        <v>2173</v>
      </c>
      <c r="S1540" s="1">
        <v>45020.209027777775</v>
      </c>
      <c r="V1540">
        <v>1973</v>
      </c>
      <c r="W1540"/>
      <c r="Y1540"/>
    </row>
    <row r="1541" spans="1:30" hidden="1" x14ac:dyDescent="0.45">
      <c r="A1541">
        <v>1516</v>
      </c>
      <c r="B1541">
        <v>2000</v>
      </c>
      <c r="C1541" t="s">
        <v>45</v>
      </c>
      <c r="D1541" t="s">
        <v>5237</v>
      </c>
      <c r="E1541">
        <v>57</v>
      </c>
      <c r="F1541" t="s">
        <v>128</v>
      </c>
      <c r="G1541" t="s">
        <v>3098</v>
      </c>
      <c r="H1541" t="s">
        <v>5238</v>
      </c>
      <c r="I1541" t="s">
        <v>45</v>
      </c>
      <c r="J1541" t="s">
        <v>128</v>
      </c>
      <c r="L1541" t="b">
        <v>1</v>
      </c>
      <c r="M1541" t="s">
        <v>39</v>
      </c>
      <c r="N1541" t="s">
        <v>8245</v>
      </c>
      <c r="O1541" s="1">
        <v>24102</v>
      </c>
      <c r="P1541" t="s">
        <v>230</v>
      </c>
      <c r="Q1541" t="s">
        <v>2421</v>
      </c>
      <c r="S1541" s="1">
        <v>45020.209027777775</v>
      </c>
      <c r="V1541">
        <v>1965</v>
      </c>
      <c r="W1541">
        <v>125.08</v>
      </c>
      <c r="X1541">
        <v>2.9</v>
      </c>
      <c r="Y1541" s="2">
        <v>19910000000000</v>
      </c>
      <c r="Z1541">
        <v>50.6</v>
      </c>
      <c r="AA1541">
        <v>100.2</v>
      </c>
      <c r="AB1541">
        <v>9.4</v>
      </c>
      <c r="AC1541">
        <v>59.2</v>
      </c>
      <c r="AD1541">
        <v>1397715000</v>
      </c>
    </row>
    <row r="1542" spans="1:30" hidden="1" x14ac:dyDescent="0.45">
      <c r="A1542">
        <v>1516</v>
      </c>
      <c r="B1542">
        <v>2000</v>
      </c>
      <c r="C1542" t="s">
        <v>45</v>
      </c>
      <c r="D1542" t="s">
        <v>5239</v>
      </c>
      <c r="E1542">
        <v>40</v>
      </c>
      <c r="F1542" t="s">
        <v>128</v>
      </c>
      <c r="G1542" t="s">
        <v>187</v>
      </c>
      <c r="H1542" t="s">
        <v>188</v>
      </c>
      <c r="I1542" t="s">
        <v>45</v>
      </c>
      <c r="J1542" t="s">
        <v>128</v>
      </c>
      <c r="L1542" t="b">
        <v>1</v>
      </c>
      <c r="M1542" t="s">
        <v>39</v>
      </c>
      <c r="N1542" t="s">
        <v>8245</v>
      </c>
      <c r="O1542" s="1">
        <v>30317</v>
      </c>
      <c r="P1542" t="s">
        <v>1446</v>
      </c>
      <c r="Q1542" t="s">
        <v>5240</v>
      </c>
      <c r="S1542" s="1">
        <v>45020.209027777775</v>
      </c>
      <c r="V1542">
        <v>1983</v>
      </c>
      <c r="W1542">
        <v>125.08</v>
      </c>
      <c r="X1542">
        <v>2.9</v>
      </c>
      <c r="Y1542" s="2">
        <v>19910000000000</v>
      </c>
      <c r="Z1542">
        <v>50.6</v>
      </c>
      <c r="AA1542">
        <v>100.2</v>
      </c>
      <c r="AB1542">
        <v>9.4</v>
      </c>
      <c r="AC1542">
        <v>59.2</v>
      </c>
      <c r="AD1542">
        <v>1397715000</v>
      </c>
    </row>
    <row r="1543" spans="1:30" hidden="1" x14ac:dyDescent="0.45">
      <c r="A1543">
        <v>1516</v>
      </c>
      <c r="B1543">
        <v>2000</v>
      </c>
      <c r="C1543" t="s">
        <v>296</v>
      </c>
      <c r="D1543" t="s">
        <v>5241</v>
      </c>
      <c r="E1543">
        <v>58</v>
      </c>
      <c r="F1543" t="s">
        <v>128</v>
      </c>
      <c r="G1543" t="s">
        <v>388</v>
      </c>
      <c r="H1543" t="s">
        <v>5085</v>
      </c>
      <c r="I1543" t="s">
        <v>296</v>
      </c>
      <c r="J1543" t="s">
        <v>128</v>
      </c>
      <c r="L1543" t="b">
        <v>0</v>
      </c>
      <c r="M1543" t="s">
        <v>39</v>
      </c>
      <c r="N1543" t="s">
        <v>8245</v>
      </c>
      <c r="O1543" s="1">
        <v>23743</v>
      </c>
      <c r="P1543" t="s">
        <v>1446</v>
      </c>
      <c r="Q1543" t="s">
        <v>5242</v>
      </c>
      <c r="S1543" s="1">
        <v>45020.209027777775</v>
      </c>
      <c r="V1543">
        <v>1965</v>
      </c>
      <c r="W1543">
        <v>125.08</v>
      </c>
      <c r="X1543">
        <v>2.9</v>
      </c>
      <c r="Y1543" s="2">
        <v>19910000000000</v>
      </c>
      <c r="Z1543">
        <v>50.6</v>
      </c>
      <c r="AA1543">
        <v>100.2</v>
      </c>
      <c r="AB1543">
        <v>9.4</v>
      </c>
      <c r="AC1543">
        <v>59.2</v>
      </c>
      <c r="AD1543">
        <v>1397715000</v>
      </c>
    </row>
    <row r="1544" spans="1:30" hidden="1" x14ac:dyDescent="0.45">
      <c r="A1544">
        <v>1516</v>
      </c>
      <c r="B1544">
        <v>2000</v>
      </c>
      <c r="C1544" t="s">
        <v>347</v>
      </c>
      <c r="D1544" t="s">
        <v>5243</v>
      </c>
      <c r="E1544">
        <v>61</v>
      </c>
      <c r="F1544" t="s">
        <v>128</v>
      </c>
      <c r="G1544" t="s">
        <v>5244</v>
      </c>
      <c r="H1544" t="s">
        <v>5245</v>
      </c>
      <c r="I1544" t="s">
        <v>347</v>
      </c>
      <c r="J1544" t="s">
        <v>128</v>
      </c>
      <c r="L1544" t="b">
        <v>1</v>
      </c>
      <c r="M1544" t="s">
        <v>39</v>
      </c>
      <c r="N1544" t="s">
        <v>8245</v>
      </c>
      <c r="O1544" s="1">
        <v>22433</v>
      </c>
      <c r="P1544" t="s">
        <v>1261</v>
      </c>
      <c r="Q1544" t="s">
        <v>5246</v>
      </c>
      <c r="S1544" s="1">
        <v>45020.209027777775</v>
      </c>
      <c r="V1544">
        <v>1961</v>
      </c>
      <c r="W1544">
        <v>125.08</v>
      </c>
      <c r="X1544">
        <v>2.9</v>
      </c>
      <c r="Y1544" s="2">
        <v>19910000000000</v>
      </c>
      <c r="Z1544">
        <v>50.6</v>
      </c>
      <c r="AA1544">
        <v>100.2</v>
      </c>
      <c r="AB1544">
        <v>9.4</v>
      </c>
      <c r="AC1544">
        <v>59.2</v>
      </c>
      <c r="AD1544">
        <v>1397715000</v>
      </c>
    </row>
    <row r="1545" spans="1:30" hidden="1" x14ac:dyDescent="0.45">
      <c r="A1545">
        <v>1516</v>
      </c>
      <c r="B1545">
        <v>2000</v>
      </c>
      <c r="C1545" t="s">
        <v>296</v>
      </c>
      <c r="D1545" t="s">
        <v>5247</v>
      </c>
      <c r="E1545">
        <v>64</v>
      </c>
      <c r="F1545" t="s">
        <v>628</v>
      </c>
      <c r="G1545" t="s">
        <v>629</v>
      </c>
      <c r="H1545" t="s">
        <v>1256</v>
      </c>
      <c r="I1545" t="s">
        <v>296</v>
      </c>
      <c r="J1545" t="s">
        <v>93</v>
      </c>
      <c r="L1545" t="b">
        <v>0</v>
      </c>
      <c r="M1545" t="s">
        <v>39</v>
      </c>
      <c r="N1545" t="s">
        <v>8245</v>
      </c>
      <c r="O1545" s="1">
        <v>21516</v>
      </c>
      <c r="P1545" t="s">
        <v>1352</v>
      </c>
      <c r="Q1545" t="s">
        <v>5248</v>
      </c>
      <c r="S1545" s="1">
        <v>45020.209027777775</v>
      </c>
      <c r="V1545">
        <v>1958</v>
      </c>
      <c r="W1545">
        <v>113.27</v>
      </c>
      <c r="X1545">
        <v>0.7</v>
      </c>
      <c r="Y1545" s="2">
        <v>543649976166</v>
      </c>
      <c r="Z1545">
        <v>49.3</v>
      </c>
      <c r="AA1545">
        <v>99.8</v>
      </c>
      <c r="AB1545">
        <v>14.9</v>
      </c>
      <c r="AC1545">
        <v>29.5</v>
      </c>
      <c r="AD1545">
        <v>69625582</v>
      </c>
    </row>
    <row r="1546" spans="1:30" hidden="1" x14ac:dyDescent="0.45">
      <c r="A1546">
        <v>1516</v>
      </c>
      <c r="B1546">
        <v>2000</v>
      </c>
      <c r="C1546" t="s">
        <v>302</v>
      </c>
      <c r="D1546" t="s">
        <v>5249</v>
      </c>
      <c r="E1546">
        <v>73</v>
      </c>
      <c r="F1546" t="s">
        <v>164</v>
      </c>
      <c r="G1546" t="s">
        <v>2744</v>
      </c>
      <c r="H1546" t="s">
        <v>304</v>
      </c>
      <c r="I1546" t="s">
        <v>302</v>
      </c>
      <c r="J1546" t="s">
        <v>164</v>
      </c>
      <c r="L1546" t="b">
        <v>1</v>
      </c>
      <c r="M1546" t="s">
        <v>29</v>
      </c>
      <c r="N1546" t="s">
        <v>8245</v>
      </c>
      <c r="O1546" s="1">
        <v>18149</v>
      </c>
      <c r="P1546" t="s">
        <v>5250</v>
      </c>
      <c r="Q1546" t="s">
        <v>74</v>
      </c>
      <c r="S1546" s="1">
        <v>45020.209027777775</v>
      </c>
      <c r="V1546">
        <v>1949</v>
      </c>
      <c r="W1546">
        <v>116.76</v>
      </c>
      <c r="X1546">
        <v>1.9</v>
      </c>
      <c r="Y1546" s="2">
        <v>1736425629520</v>
      </c>
      <c r="Z1546">
        <v>68.900000000000006</v>
      </c>
      <c r="AA1546">
        <v>100.9</v>
      </c>
      <c r="AB1546">
        <v>12.8</v>
      </c>
      <c r="AC1546">
        <v>24.5</v>
      </c>
      <c r="AD1546">
        <v>36991981</v>
      </c>
    </row>
    <row r="1547" spans="1:30" hidden="1" x14ac:dyDescent="0.45">
      <c r="A1547">
        <v>1516</v>
      </c>
      <c r="B1547">
        <v>2000</v>
      </c>
      <c r="C1547" t="s">
        <v>61</v>
      </c>
      <c r="D1547" t="s">
        <v>5251</v>
      </c>
      <c r="E1547">
        <v>63</v>
      </c>
      <c r="F1547" t="s">
        <v>490</v>
      </c>
      <c r="G1547" t="s">
        <v>1737</v>
      </c>
      <c r="H1547" t="s">
        <v>317</v>
      </c>
      <c r="I1547" t="s">
        <v>61</v>
      </c>
      <c r="J1547" t="s">
        <v>363</v>
      </c>
      <c r="L1547" t="b">
        <v>1</v>
      </c>
      <c r="M1547" t="s">
        <v>39</v>
      </c>
      <c r="N1547" t="s">
        <v>8245</v>
      </c>
      <c r="O1547" s="1">
        <v>21944</v>
      </c>
      <c r="P1547" t="s">
        <v>5252</v>
      </c>
      <c r="Q1547" t="s">
        <v>1040</v>
      </c>
      <c r="S1547" s="1">
        <v>45020.209027777775</v>
      </c>
      <c r="V1547">
        <v>1960</v>
      </c>
      <c r="W1547">
        <v>108.15</v>
      </c>
      <c r="X1547">
        <v>0.8</v>
      </c>
      <c r="Y1547" s="2">
        <v>395098666122</v>
      </c>
      <c r="Z1547">
        <v>63.4</v>
      </c>
      <c r="AA1547">
        <v>104.9</v>
      </c>
      <c r="AB1547">
        <v>23.1</v>
      </c>
      <c r="AC1547">
        <v>25.3</v>
      </c>
      <c r="AD1547">
        <v>9053300</v>
      </c>
    </row>
    <row r="1548" spans="1:30" hidden="1" x14ac:dyDescent="0.45">
      <c r="A1548">
        <v>1516</v>
      </c>
      <c r="B1548">
        <v>2000</v>
      </c>
      <c r="C1548" t="s">
        <v>83</v>
      </c>
      <c r="D1548" t="s">
        <v>5253</v>
      </c>
      <c r="E1548">
        <v>73</v>
      </c>
      <c r="F1548" t="s">
        <v>35</v>
      </c>
      <c r="G1548" t="s">
        <v>100</v>
      </c>
      <c r="H1548" t="s">
        <v>83</v>
      </c>
      <c r="I1548" t="s">
        <v>83</v>
      </c>
      <c r="J1548" t="s">
        <v>35</v>
      </c>
      <c r="L1548" t="b">
        <v>0</v>
      </c>
      <c r="M1548" t="s">
        <v>39</v>
      </c>
      <c r="N1548" t="s">
        <v>8245</v>
      </c>
      <c r="O1548" s="1">
        <v>18121</v>
      </c>
      <c r="P1548" t="s">
        <v>5254</v>
      </c>
      <c r="Q1548" t="s">
        <v>5255</v>
      </c>
      <c r="S1548" s="1">
        <v>45020.209027777775</v>
      </c>
      <c r="T1548" t="s">
        <v>52</v>
      </c>
      <c r="U1548" t="s">
        <v>53</v>
      </c>
      <c r="V1548">
        <v>1949</v>
      </c>
      <c r="W1548">
        <v>117.24</v>
      </c>
      <c r="X1548">
        <v>7.5</v>
      </c>
      <c r="Y1548" s="2">
        <v>21427700000000</v>
      </c>
      <c r="Z1548">
        <v>88.2</v>
      </c>
      <c r="AA1548">
        <v>101.8</v>
      </c>
      <c r="AB1548">
        <v>9.6</v>
      </c>
      <c r="AC1548">
        <v>36.6</v>
      </c>
      <c r="AD1548">
        <v>328239523</v>
      </c>
    </row>
    <row r="1549" spans="1:30" hidden="1" x14ac:dyDescent="0.45">
      <c r="A1549">
        <v>1516</v>
      </c>
      <c r="B1549">
        <v>2000</v>
      </c>
      <c r="C1549" t="s">
        <v>296</v>
      </c>
      <c r="D1549" t="s">
        <v>5256</v>
      </c>
      <c r="E1549">
        <v>59</v>
      </c>
      <c r="F1549" t="s">
        <v>128</v>
      </c>
      <c r="G1549" t="s">
        <v>2459</v>
      </c>
      <c r="H1549" t="s">
        <v>5257</v>
      </c>
      <c r="I1549" t="s">
        <v>296</v>
      </c>
      <c r="J1549" t="s">
        <v>128</v>
      </c>
      <c r="L1549" t="b">
        <v>1</v>
      </c>
      <c r="M1549" t="s">
        <v>39</v>
      </c>
      <c r="N1549" t="s">
        <v>8245</v>
      </c>
      <c r="O1549" s="1">
        <v>23201</v>
      </c>
      <c r="P1549" t="s">
        <v>5258</v>
      </c>
      <c r="Q1549" t="s">
        <v>5259</v>
      </c>
      <c r="S1549" s="1">
        <v>45020.209027777775</v>
      </c>
      <c r="V1549">
        <v>1963</v>
      </c>
      <c r="W1549">
        <v>125.08</v>
      </c>
      <c r="X1549">
        <v>2.9</v>
      </c>
      <c r="Y1549" s="2">
        <v>19910000000000</v>
      </c>
      <c r="Z1549">
        <v>50.6</v>
      </c>
      <c r="AA1549">
        <v>100.2</v>
      </c>
      <c r="AB1549">
        <v>9.4</v>
      </c>
      <c r="AC1549">
        <v>59.2</v>
      </c>
      <c r="AD1549">
        <v>1397715000</v>
      </c>
    </row>
    <row r="1550" spans="1:30" hidden="1" x14ac:dyDescent="0.45">
      <c r="A1550">
        <v>1516</v>
      </c>
      <c r="B1550">
        <v>2000</v>
      </c>
      <c r="C1550" t="s">
        <v>436</v>
      </c>
      <c r="D1550" t="s">
        <v>5260</v>
      </c>
      <c r="E1550">
        <v>47</v>
      </c>
      <c r="F1550" t="s">
        <v>128</v>
      </c>
      <c r="G1550" t="s">
        <v>292</v>
      </c>
      <c r="H1550" t="s">
        <v>203</v>
      </c>
      <c r="I1550" t="s">
        <v>436</v>
      </c>
      <c r="J1550" t="s">
        <v>128</v>
      </c>
      <c r="L1550" t="b">
        <v>1</v>
      </c>
      <c r="M1550" t="s">
        <v>39</v>
      </c>
      <c r="N1550" t="s">
        <v>8245</v>
      </c>
      <c r="O1550" s="1">
        <v>27783</v>
      </c>
      <c r="P1550" t="s">
        <v>5261</v>
      </c>
      <c r="Q1550" t="s">
        <v>5262</v>
      </c>
      <c r="S1550" s="1">
        <v>45020.209027777775</v>
      </c>
      <c r="V1550">
        <v>1976</v>
      </c>
      <c r="W1550">
        <v>125.08</v>
      </c>
      <c r="X1550">
        <v>2.9</v>
      </c>
      <c r="Y1550" s="2">
        <v>19910000000000</v>
      </c>
      <c r="Z1550">
        <v>50.6</v>
      </c>
      <c r="AA1550">
        <v>100.2</v>
      </c>
      <c r="AB1550">
        <v>9.4</v>
      </c>
      <c r="AC1550">
        <v>59.2</v>
      </c>
      <c r="AD1550">
        <v>1397715000</v>
      </c>
    </row>
    <row r="1551" spans="1:30" hidden="1" x14ac:dyDescent="0.45">
      <c r="A1551">
        <v>1516</v>
      </c>
      <c r="B1551">
        <v>2000</v>
      </c>
      <c r="C1551" t="s">
        <v>61</v>
      </c>
      <c r="D1551" t="s">
        <v>5263</v>
      </c>
      <c r="E1551">
        <v>75</v>
      </c>
      <c r="F1551" t="s">
        <v>574</v>
      </c>
      <c r="G1551" t="s">
        <v>574</v>
      </c>
      <c r="H1551" t="s">
        <v>317</v>
      </c>
      <c r="I1551" t="s">
        <v>61</v>
      </c>
      <c r="J1551" t="s">
        <v>574</v>
      </c>
      <c r="L1551" t="b">
        <v>0</v>
      </c>
      <c r="M1551" t="s">
        <v>29</v>
      </c>
      <c r="N1551" t="s">
        <v>8245</v>
      </c>
      <c r="O1551" s="1">
        <v>17613</v>
      </c>
      <c r="P1551" t="s">
        <v>5264</v>
      </c>
      <c r="Q1551" t="s">
        <v>5265</v>
      </c>
      <c r="S1551" s="1">
        <v>45020.209027777775</v>
      </c>
      <c r="V1551">
        <v>1948</v>
      </c>
      <c r="W1551">
        <v>114.41</v>
      </c>
      <c r="X1551">
        <v>0.6</v>
      </c>
      <c r="Y1551" s="2">
        <v>372062527489</v>
      </c>
      <c r="Z1551">
        <v>84.8</v>
      </c>
      <c r="AA1551">
        <v>100.6</v>
      </c>
      <c r="AB1551">
        <v>13.1</v>
      </c>
      <c r="AC1551">
        <v>21</v>
      </c>
      <c r="AD1551">
        <v>5703569</v>
      </c>
    </row>
    <row r="1552" spans="1:30" hidden="1" x14ac:dyDescent="0.45">
      <c r="A1552">
        <v>1516</v>
      </c>
      <c r="B1552">
        <v>2000</v>
      </c>
      <c r="C1552" t="s">
        <v>326</v>
      </c>
      <c r="D1552" t="s">
        <v>5266</v>
      </c>
      <c r="E1552">
        <v>69</v>
      </c>
      <c r="F1552" t="s">
        <v>328</v>
      </c>
      <c r="G1552" t="s">
        <v>5267</v>
      </c>
      <c r="H1552" t="s">
        <v>330</v>
      </c>
      <c r="I1552" t="s">
        <v>326</v>
      </c>
      <c r="J1552" t="s">
        <v>328</v>
      </c>
      <c r="L1552" t="b">
        <v>1</v>
      </c>
      <c r="M1552" t="s">
        <v>39</v>
      </c>
      <c r="N1552" t="s">
        <v>8245</v>
      </c>
      <c r="O1552" s="1">
        <v>19809</v>
      </c>
      <c r="P1552" t="s">
        <v>3457</v>
      </c>
      <c r="Q1552" t="s">
        <v>1867</v>
      </c>
      <c r="S1552" s="1">
        <v>45020.209027777775</v>
      </c>
      <c r="V1552">
        <v>1954</v>
      </c>
      <c r="W1552">
        <v>119.8</v>
      </c>
      <c r="X1552">
        <v>1.6</v>
      </c>
      <c r="Y1552" s="2">
        <v>1392680589329</v>
      </c>
      <c r="Z1552">
        <v>113.1</v>
      </c>
      <c r="AA1552">
        <v>100.3</v>
      </c>
      <c r="AB1552">
        <v>23</v>
      </c>
      <c r="AC1552">
        <v>47.4</v>
      </c>
      <c r="AD1552">
        <v>25766605</v>
      </c>
    </row>
    <row r="1553" spans="1:30" hidden="1" x14ac:dyDescent="0.45">
      <c r="A1553">
        <v>1516</v>
      </c>
      <c r="B1553">
        <v>2000</v>
      </c>
      <c r="C1553" t="s">
        <v>45</v>
      </c>
      <c r="D1553" t="s">
        <v>5268</v>
      </c>
      <c r="E1553">
        <v>48</v>
      </c>
      <c r="F1553" t="s">
        <v>35</v>
      </c>
      <c r="G1553" t="s">
        <v>5269</v>
      </c>
      <c r="H1553" t="s">
        <v>2705</v>
      </c>
      <c r="I1553" t="s">
        <v>45</v>
      </c>
      <c r="J1553" t="s">
        <v>35</v>
      </c>
      <c r="L1553" t="b">
        <v>1</v>
      </c>
      <c r="M1553" t="s">
        <v>39</v>
      </c>
      <c r="N1553" t="s">
        <v>8245</v>
      </c>
      <c r="O1553" s="1">
        <v>27395</v>
      </c>
      <c r="P1553" t="s">
        <v>5270</v>
      </c>
      <c r="Q1553" t="s">
        <v>5271</v>
      </c>
      <c r="S1553" s="1">
        <v>45020.209027777775</v>
      </c>
      <c r="T1553" t="s">
        <v>2752</v>
      </c>
      <c r="U1553" t="s">
        <v>53</v>
      </c>
      <c r="V1553">
        <v>1975</v>
      </c>
      <c r="W1553">
        <v>117.24</v>
      </c>
      <c r="X1553">
        <v>7.5</v>
      </c>
      <c r="Y1553" s="2">
        <v>21427700000000</v>
      </c>
      <c r="Z1553">
        <v>88.2</v>
      </c>
      <c r="AA1553">
        <v>101.8</v>
      </c>
      <c r="AB1553">
        <v>9.6</v>
      </c>
      <c r="AC1553">
        <v>36.6</v>
      </c>
      <c r="AD1553">
        <v>328239523</v>
      </c>
    </row>
    <row r="1554" spans="1:30" hidden="1" x14ac:dyDescent="0.45">
      <c r="A1554">
        <v>1516</v>
      </c>
      <c r="B1554">
        <v>2000</v>
      </c>
      <c r="C1554" t="s">
        <v>436</v>
      </c>
      <c r="D1554" t="s">
        <v>5272</v>
      </c>
      <c r="E1554">
        <v>69</v>
      </c>
      <c r="F1554" t="s">
        <v>35</v>
      </c>
      <c r="G1554" t="s">
        <v>1717</v>
      </c>
      <c r="H1554" t="s">
        <v>1909</v>
      </c>
      <c r="I1554" t="s">
        <v>436</v>
      </c>
      <c r="J1554" t="s">
        <v>35</v>
      </c>
      <c r="L1554" t="b">
        <v>0</v>
      </c>
      <c r="M1554" t="s">
        <v>611</v>
      </c>
      <c r="N1554" t="s">
        <v>8246</v>
      </c>
      <c r="O1554" s="1">
        <v>19616</v>
      </c>
      <c r="P1554" t="s">
        <v>1910</v>
      </c>
      <c r="Q1554" t="s">
        <v>5273</v>
      </c>
      <c r="S1554" s="1">
        <v>45020.209027777775</v>
      </c>
      <c r="T1554" t="s">
        <v>1720</v>
      </c>
      <c r="U1554" t="s">
        <v>53</v>
      </c>
      <c r="V1554">
        <v>1953</v>
      </c>
      <c r="W1554">
        <v>117.24</v>
      </c>
      <c r="X1554">
        <v>7.5</v>
      </c>
      <c r="Y1554" s="2">
        <v>21427700000000</v>
      </c>
      <c r="Z1554">
        <v>88.2</v>
      </c>
      <c r="AA1554">
        <v>101.8</v>
      </c>
      <c r="AB1554">
        <v>9.6</v>
      </c>
      <c r="AC1554">
        <v>36.6</v>
      </c>
      <c r="AD1554">
        <v>328239523</v>
      </c>
    </row>
    <row r="1555" spans="1:30" hidden="1" x14ac:dyDescent="0.45">
      <c r="A1555">
        <v>1516</v>
      </c>
      <c r="B1555">
        <v>2000</v>
      </c>
      <c r="C1555" t="s">
        <v>689</v>
      </c>
      <c r="D1555" t="s">
        <v>5274</v>
      </c>
      <c r="E1555">
        <v>53</v>
      </c>
      <c r="F1555" t="s">
        <v>93</v>
      </c>
      <c r="G1555" t="s">
        <v>2223</v>
      </c>
      <c r="H1555" t="s">
        <v>5102</v>
      </c>
      <c r="I1555" t="s">
        <v>689</v>
      </c>
      <c r="J1555" t="s">
        <v>93</v>
      </c>
      <c r="L1555" t="b">
        <v>1</v>
      </c>
      <c r="M1555" t="s">
        <v>29</v>
      </c>
      <c r="N1555" t="s">
        <v>8245</v>
      </c>
      <c r="O1555" s="1">
        <v>25384</v>
      </c>
      <c r="P1555" t="s">
        <v>4862</v>
      </c>
      <c r="Q1555" t="s">
        <v>5275</v>
      </c>
      <c r="S1555" s="1">
        <v>45020.209027777775</v>
      </c>
      <c r="V1555">
        <v>1969</v>
      </c>
      <c r="W1555">
        <v>180.44</v>
      </c>
      <c r="X1555">
        <v>7.7</v>
      </c>
      <c r="Y1555" s="2">
        <v>2611000000000</v>
      </c>
      <c r="Z1555">
        <v>28.1</v>
      </c>
      <c r="AA1555">
        <v>113</v>
      </c>
      <c r="AB1555">
        <v>11.2</v>
      </c>
      <c r="AC1555">
        <v>49.7</v>
      </c>
      <c r="AD1555">
        <v>1366417754</v>
      </c>
    </row>
    <row r="1556" spans="1:30" hidden="1" x14ac:dyDescent="0.45">
      <c r="A1556">
        <v>1516</v>
      </c>
      <c r="B1556">
        <v>2000</v>
      </c>
      <c r="C1556" t="s">
        <v>326</v>
      </c>
      <c r="D1556" t="s">
        <v>5276</v>
      </c>
      <c r="E1556">
        <v>46</v>
      </c>
      <c r="F1556" t="s">
        <v>328</v>
      </c>
      <c r="G1556" t="s">
        <v>5267</v>
      </c>
      <c r="H1556" t="s">
        <v>330</v>
      </c>
      <c r="I1556" t="s">
        <v>326</v>
      </c>
      <c r="J1556" t="s">
        <v>328</v>
      </c>
      <c r="L1556" t="b">
        <v>0</v>
      </c>
      <c r="M1556" t="s">
        <v>39</v>
      </c>
      <c r="N1556" t="s">
        <v>8246</v>
      </c>
      <c r="O1556" s="1">
        <v>28203</v>
      </c>
      <c r="P1556" t="s">
        <v>332</v>
      </c>
      <c r="Q1556" t="s">
        <v>5277</v>
      </c>
      <c r="S1556" s="1">
        <v>45020.209027777775</v>
      </c>
      <c r="V1556">
        <v>1977</v>
      </c>
      <c r="W1556">
        <v>119.8</v>
      </c>
      <c r="X1556">
        <v>1.6</v>
      </c>
      <c r="Y1556" s="2">
        <v>1392680589329</v>
      </c>
      <c r="Z1556">
        <v>113.1</v>
      </c>
      <c r="AA1556">
        <v>100.3</v>
      </c>
      <c r="AB1556">
        <v>23</v>
      </c>
      <c r="AC1556">
        <v>47.4</v>
      </c>
      <c r="AD1556">
        <v>25766605</v>
      </c>
    </row>
    <row r="1557" spans="1:30" hidden="1" x14ac:dyDescent="0.45">
      <c r="A1557">
        <v>1516</v>
      </c>
      <c r="B1557">
        <v>2000</v>
      </c>
      <c r="C1557" t="s">
        <v>326</v>
      </c>
      <c r="D1557" t="s">
        <v>5278</v>
      </c>
      <c r="E1557">
        <v>36</v>
      </c>
      <c r="F1557" t="s">
        <v>328</v>
      </c>
      <c r="G1557" t="s">
        <v>724</v>
      </c>
      <c r="H1557" t="s">
        <v>330</v>
      </c>
      <c r="I1557" t="s">
        <v>326</v>
      </c>
      <c r="J1557" t="s">
        <v>328</v>
      </c>
      <c r="L1557" t="b">
        <v>0</v>
      </c>
      <c r="M1557" t="s">
        <v>39</v>
      </c>
      <c r="N1557" t="s">
        <v>8246</v>
      </c>
      <c r="O1557" s="1">
        <v>31661</v>
      </c>
      <c r="P1557" t="s">
        <v>332</v>
      </c>
      <c r="Q1557" t="s">
        <v>5279</v>
      </c>
      <c r="S1557" s="1">
        <v>45020.209027777775</v>
      </c>
      <c r="V1557">
        <v>1986</v>
      </c>
      <c r="W1557">
        <v>119.8</v>
      </c>
      <c r="X1557">
        <v>1.6</v>
      </c>
      <c r="Y1557" s="2">
        <v>1392680589329</v>
      </c>
      <c r="Z1557">
        <v>113.1</v>
      </c>
      <c r="AA1557">
        <v>100.3</v>
      </c>
      <c r="AB1557">
        <v>23</v>
      </c>
      <c r="AC1557">
        <v>47.4</v>
      </c>
      <c r="AD1557">
        <v>25766605</v>
      </c>
    </row>
    <row r="1558" spans="1:30" hidden="1" x14ac:dyDescent="0.45">
      <c r="A1558">
        <v>1516</v>
      </c>
      <c r="B1558">
        <v>2000</v>
      </c>
      <c r="C1558" t="s">
        <v>61</v>
      </c>
      <c r="D1558" t="s">
        <v>5280</v>
      </c>
      <c r="E1558">
        <v>87</v>
      </c>
      <c r="F1558" t="s">
        <v>35</v>
      </c>
      <c r="G1558" t="s">
        <v>5281</v>
      </c>
      <c r="H1558" t="s">
        <v>5282</v>
      </c>
      <c r="I1558" t="s">
        <v>61</v>
      </c>
      <c r="J1558" t="s">
        <v>35</v>
      </c>
      <c r="L1558" t="b">
        <v>1</v>
      </c>
      <c r="M1558" t="s">
        <v>39</v>
      </c>
      <c r="N1558" t="s">
        <v>8245</v>
      </c>
      <c r="O1558" s="1">
        <v>13141</v>
      </c>
      <c r="P1558" t="s">
        <v>5283</v>
      </c>
      <c r="Q1558" t="s">
        <v>5284</v>
      </c>
      <c r="S1558" s="1">
        <v>45020.209027777775</v>
      </c>
      <c r="T1558" t="s">
        <v>5285</v>
      </c>
      <c r="U1558" t="s">
        <v>69</v>
      </c>
      <c r="V1558">
        <v>1935</v>
      </c>
      <c r="W1558">
        <v>117.24</v>
      </c>
      <c r="X1558">
        <v>7.5</v>
      </c>
      <c r="Y1558" s="2">
        <v>21427700000000</v>
      </c>
      <c r="Z1558">
        <v>88.2</v>
      </c>
      <c r="AA1558">
        <v>101.8</v>
      </c>
      <c r="AB1558">
        <v>9.6</v>
      </c>
      <c r="AC1558">
        <v>36.6</v>
      </c>
      <c r="AD1558">
        <v>328239523</v>
      </c>
    </row>
    <row r="1559" spans="1:30" hidden="1" x14ac:dyDescent="0.45">
      <c r="A1559">
        <v>1516</v>
      </c>
      <c r="B1559">
        <v>2000</v>
      </c>
      <c r="C1559" t="s">
        <v>296</v>
      </c>
      <c r="D1559" t="s">
        <v>5286</v>
      </c>
      <c r="E1559">
        <v>71</v>
      </c>
      <c r="F1559" t="s">
        <v>93</v>
      </c>
      <c r="G1559" t="s">
        <v>176</v>
      </c>
      <c r="H1559" t="s">
        <v>3805</v>
      </c>
      <c r="I1559" t="s">
        <v>296</v>
      </c>
      <c r="J1559" t="s">
        <v>93</v>
      </c>
      <c r="L1559" t="b">
        <v>1</v>
      </c>
      <c r="M1559" t="s">
        <v>29</v>
      </c>
      <c r="N1559" t="s">
        <v>8245</v>
      </c>
      <c r="O1559" s="1">
        <v>18908</v>
      </c>
      <c r="P1559" t="s">
        <v>5287</v>
      </c>
      <c r="Q1559" t="s">
        <v>5288</v>
      </c>
      <c r="S1559" s="1">
        <v>45020.209027777775</v>
      </c>
      <c r="V1559">
        <v>1951</v>
      </c>
      <c r="W1559">
        <v>180.44</v>
      </c>
      <c r="X1559">
        <v>7.7</v>
      </c>
      <c r="Y1559" s="2">
        <v>2611000000000</v>
      </c>
      <c r="Z1559">
        <v>28.1</v>
      </c>
      <c r="AA1559">
        <v>113</v>
      </c>
      <c r="AB1559">
        <v>11.2</v>
      </c>
      <c r="AC1559">
        <v>49.7</v>
      </c>
      <c r="AD1559">
        <v>1366417754</v>
      </c>
    </row>
    <row r="1560" spans="1:30" hidden="1" x14ac:dyDescent="0.45">
      <c r="A1560">
        <v>1516</v>
      </c>
      <c r="B1560">
        <v>2000</v>
      </c>
      <c r="C1560" t="s">
        <v>76</v>
      </c>
      <c r="D1560" t="s">
        <v>5289</v>
      </c>
      <c r="E1560">
        <v>66</v>
      </c>
      <c r="F1560" t="s">
        <v>1761</v>
      </c>
      <c r="G1560" t="s">
        <v>5290</v>
      </c>
      <c r="H1560" t="s">
        <v>5291</v>
      </c>
      <c r="I1560" t="s">
        <v>76</v>
      </c>
      <c r="J1560" t="s">
        <v>1761</v>
      </c>
      <c r="L1560" t="b">
        <v>1</v>
      </c>
      <c r="M1560" t="s">
        <v>39</v>
      </c>
      <c r="N1560" t="s">
        <v>8245</v>
      </c>
      <c r="O1560" s="1">
        <v>20671</v>
      </c>
      <c r="P1560" t="s">
        <v>5292</v>
      </c>
      <c r="Q1560" t="s">
        <v>5293</v>
      </c>
      <c r="S1560" s="1">
        <v>45020.209027777775</v>
      </c>
      <c r="V1560">
        <v>1956</v>
      </c>
      <c r="W1560">
        <v>114.11</v>
      </c>
      <c r="X1560">
        <v>2.2000000000000002</v>
      </c>
      <c r="Y1560" s="2">
        <v>592164400688</v>
      </c>
      <c r="Z1560">
        <v>67.8</v>
      </c>
      <c r="AA1560">
        <v>100</v>
      </c>
      <c r="AB1560">
        <v>17.399999999999999</v>
      </c>
      <c r="AC1560">
        <v>40.799999999999997</v>
      </c>
      <c r="AD1560">
        <v>37970874</v>
      </c>
    </row>
    <row r="1561" spans="1:30" hidden="1" x14ac:dyDescent="0.45">
      <c r="A1561">
        <v>1516</v>
      </c>
      <c r="B1561">
        <v>2000</v>
      </c>
      <c r="C1561" t="s">
        <v>296</v>
      </c>
      <c r="D1561" t="s">
        <v>5294</v>
      </c>
      <c r="E1561">
        <v>30</v>
      </c>
      <c r="H1561" t="s">
        <v>5295</v>
      </c>
      <c r="I1561" t="s">
        <v>296</v>
      </c>
      <c r="J1561" t="s">
        <v>567</v>
      </c>
      <c r="L1561" t="b">
        <v>0</v>
      </c>
      <c r="M1561" t="s">
        <v>258</v>
      </c>
      <c r="N1561" t="s">
        <v>8245</v>
      </c>
      <c r="O1561" s="1">
        <v>33820</v>
      </c>
      <c r="P1561" t="s">
        <v>5296</v>
      </c>
      <c r="Q1561" t="s">
        <v>1764</v>
      </c>
      <c r="S1561" s="1">
        <v>45020.209027777775</v>
      </c>
      <c r="V1561">
        <v>1992</v>
      </c>
      <c r="W1561"/>
      <c r="Y1561"/>
    </row>
    <row r="1562" spans="1:30" hidden="1" x14ac:dyDescent="0.45">
      <c r="A1562">
        <v>1516</v>
      </c>
      <c r="B1562">
        <v>2000</v>
      </c>
      <c r="C1562" t="s">
        <v>23</v>
      </c>
      <c r="D1562" t="s">
        <v>5297</v>
      </c>
      <c r="E1562">
        <v>67</v>
      </c>
      <c r="F1562" t="s">
        <v>194</v>
      </c>
      <c r="G1562" t="s">
        <v>5298</v>
      </c>
      <c r="H1562" t="s">
        <v>3555</v>
      </c>
      <c r="I1562" t="s">
        <v>23</v>
      </c>
      <c r="J1562" t="s">
        <v>194</v>
      </c>
      <c r="L1562" t="b">
        <v>0</v>
      </c>
      <c r="M1562" t="s">
        <v>611</v>
      </c>
      <c r="N1562" t="s">
        <v>8246</v>
      </c>
      <c r="O1562" s="1">
        <v>20239</v>
      </c>
      <c r="P1562" t="s">
        <v>5299</v>
      </c>
      <c r="Q1562" t="s">
        <v>5300</v>
      </c>
      <c r="S1562" s="1">
        <v>45020.209027777775</v>
      </c>
      <c r="V1562">
        <v>1955</v>
      </c>
      <c r="W1562">
        <v>112.85</v>
      </c>
      <c r="X1562">
        <v>1.4</v>
      </c>
      <c r="Y1562" s="2">
        <v>3845630030824</v>
      </c>
      <c r="Z1562">
        <v>70.2</v>
      </c>
      <c r="AA1562">
        <v>104</v>
      </c>
      <c r="AB1562">
        <v>11.5</v>
      </c>
      <c r="AC1562">
        <v>48.8</v>
      </c>
      <c r="AD1562">
        <v>83132799</v>
      </c>
    </row>
    <row r="1563" spans="1:30" hidden="1" x14ac:dyDescent="0.45">
      <c r="A1563">
        <v>1516</v>
      </c>
      <c r="B1563">
        <v>2000</v>
      </c>
      <c r="C1563" t="s">
        <v>45</v>
      </c>
      <c r="D1563" t="s">
        <v>5301</v>
      </c>
      <c r="E1563">
        <v>69</v>
      </c>
      <c r="F1563" t="s">
        <v>349</v>
      </c>
      <c r="G1563" t="s">
        <v>350</v>
      </c>
      <c r="H1563" t="s">
        <v>5302</v>
      </c>
      <c r="I1563" t="s">
        <v>45</v>
      </c>
      <c r="J1563" t="s">
        <v>349</v>
      </c>
      <c r="L1563" t="b">
        <v>1</v>
      </c>
      <c r="M1563" t="s">
        <v>39</v>
      </c>
      <c r="N1563" t="s">
        <v>8245</v>
      </c>
      <c r="O1563" s="1">
        <v>19625</v>
      </c>
      <c r="P1563" t="s">
        <v>5303</v>
      </c>
      <c r="Q1563" t="s">
        <v>5304</v>
      </c>
      <c r="S1563" s="1">
        <v>45020.209027777775</v>
      </c>
      <c r="V1563">
        <v>1953</v>
      </c>
      <c r="W1563">
        <v>151.18</v>
      </c>
      <c r="X1563">
        <v>3</v>
      </c>
      <c r="Y1563" s="2">
        <v>1119190780753</v>
      </c>
      <c r="Z1563">
        <v>36.299999999999997</v>
      </c>
      <c r="AA1563">
        <v>106.4</v>
      </c>
      <c r="AB1563">
        <v>10.199999999999999</v>
      </c>
      <c r="AC1563">
        <v>30.1</v>
      </c>
      <c r="AD1563">
        <v>270203917</v>
      </c>
    </row>
    <row r="1564" spans="1:30" hidden="1" x14ac:dyDescent="0.45">
      <c r="A1564">
        <v>1516</v>
      </c>
      <c r="B1564">
        <v>2000</v>
      </c>
      <c r="C1564" t="s">
        <v>702</v>
      </c>
      <c r="D1564" t="s">
        <v>5305</v>
      </c>
      <c r="E1564">
        <v>77</v>
      </c>
      <c r="F1564" t="s">
        <v>164</v>
      </c>
      <c r="G1564" t="s">
        <v>165</v>
      </c>
      <c r="H1564" t="s">
        <v>702</v>
      </c>
      <c r="I1564" t="s">
        <v>702</v>
      </c>
      <c r="J1564" t="s">
        <v>164</v>
      </c>
      <c r="L1564" t="b">
        <v>1</v>
      </c>
      <c r="M1564" t="s">
        <v>258</v>
      </c>
      <c r="N1564" t="s">
        <v>8245</v>
      </c>
      <c r="O1564" s="1">
        <v>16619</v>
      </c>
      <c r="P1564" t="s">
        <v>5306</v>
      </c>
      <c r="Q1564" t="s">
        <v>58</v>
      </c>
      <c r="S1564" s="1">
        <v>45020.209027777775</v>
      </c>
      <c r="V1564">
        <v>1945</v>
      </c>
      <c r="W1564">
        <v>116.76</v>
      </c>
      <c r="X1564">
        <v>1.9</v>
      </c>
      <c r="Y1564" s="2">
        <v>1736425629520</v>
      </c>
      <c r="Z1564">
        <v>68.900000000000006</v>
      </c>
      <c r="AA1564">
        <v>100.9</v>
      </c>
      <c r="AB1564">
        <v>12.8</v>
      </c>
      <c r="AC1564">
        <v>24.5</v>
      </c>
      <c r="AD1564">
        <v>36991981</v>
      </c>
    </row>
    <row r="1565" spans="1:30" hidden="1" x14ac:dyDescent="0.45">
      <c r="A1565">
        <v>1516</v>
      </c>
      <c r="B1565">
        <v>2000</v>
      </c>
      <c r="C1565" t="s">
        <v>61</v>
      </c>
      <c r="D1565" t="s">
        <v>5307</v>
      </c>
      <c r="E1565">
        <v>76</v>
      </c>
      <c r="F1565" t="s">
        <v>628</v>
      </c>
      <c r="G1565" t="s">
        <v>629</v>
      </c>
      <c r="H1565" t="s">
        <v>317</v>
      </c>
      <c r="I1565" t="s">
        <v>61</v>
      </c>
      <c r="J1565" t="s">
        <v>628</v>
      </c>
      <c r="L1565" t="b">
        <v>1</v>
      </c>
      <c r="M1565" t="s">
        <v>611</v>
      </c>
      <c r="N1565" t="s">
        <v>8245</v>
      </c>
      <c r="O1565" s="1">
        <v>17168</v>
      </c>
      <c r="P1565" t="s">
        <v>5308</v>
      </c>
      <c r="Q1565" t="s">
        <v>5309</v>
      </c>
      <c r="S1565" s="1">
        <v>45020.209027777775</v>
      </c>
      <c r="V1565">
        <v>1947</v>
      </c>
      <c r="W1565">
        <v>113.27</v>
      </c>
      <c r="X1565">
        <v>0.7</v>
      </c>
      <c r="Y1565" s="2">
        <v>543649976166</v>
      </c>
      <c r="Z1565">
        <v>49.3</v>
      </c>
      <c r="AA1565">
        <v>99.8</v>
      </c>
      <c r="AB1565">
        <v>14.9</v>
      </c>
      <c r="AC1565">
        <v>29.5</v>
      </c>
      <c r="AD1565">
        <v>69625582</v>
      </c>
    </row>
    <row r="1566" spans="1:30" hidden="1" x14ac:dyDescent="0.45">
      <c r="A1566">
        <v>1516</v>
      </c>
      <c r="B1566">
        <v>2000</v>
      </c>
      <c r="C1566" t="s">
        <v>61</v>
      </c>
      <c r="D1566" t="s">
        <v>5310</v>
      </c>
      <c r="E1566">
        <v>83</v>
      </c>
      <c r="F1566" t="s">
        <v>5311</v>
      </c>
      <c r="G1566" t="s">
        <v>5312</v>
      </c>
      <c r="H1566" t="s">
        <v>5313</v>
      </c>
      <c r="I1566" t="s">
        <v>61</v>
      </c>
      <c r="J1566" t="s">
        <v>5311</v>
      </c>
      <c r="L1566" t="b">
        <v>1</v>
      </c>
      <c r="M1566" t="s">
        <v>29</v>
      </c>
      <c r="N1566" t="s">
        <v>8245</v>
      </c>
      <c r="O1566" s="1">
        <v>14374</v>
      </c>
      <c r="P1566" t="s">
        <v>5314</v>
      </c>
      <c r="Q1566" t="s">
        <v>5315</v>
      </c>
      <c r="S1566" s="1">
        <v>45020.209027777775</v>
      </c>
      <c r="V1566">
        <v>1939</v>
      </c>
      <c r="W1566">
        <v>123.78</v>
      </c>
      <c r="X1566">
        <v>3.8</v>
      </c>
      <c r="Y1566" s="2">
        <v>250077444017</v>
      </c>
      <c r="Z1566">
        <v>49.4</v>
      </c>
      <c r="AA1566">
        <v>85.2</v>
      </c>
      <c r="AB1566">
        <v>14.6</v>
      </c>
      <c r="AC1566">
        <v>20</v>
      </c>
      <c r="AD1566">
        <v>19356544</v>
      </c>
    </row>
    <row r="1567" spans="1:30" hidden="1" x14ac:dyDescent="0.45">
      <c r="A1567">
        <v>1516</v>
      </c>
      <c r="B1567">
        <v>2000</v>
      </c>
      <c r="C1567" t="s">
        <v>326</v>
      </c>
      <c r="D1567" t="s">
        <v>5316</v>
      </c>
      <c r="E1567">
        <v>37</v>
      </c>
      <c r="F1567" t="s">
        <v>35</v>
      </c>
      <c r="G1567" t="s">
        <v>78</v>
      </c>
      <c r="H1567" t="s">
        <v>330</v>
      </c>
      <c r="I1567" t="s">
        <v>326</v>
      </c>
      <c r="J1567" t="s">
        <v>328</v>
      </c>
      <c r="L1567" t="b">
        <v>0</v>
      </c>
      <c r="M1567" t="s">
        <v>39</v>
      </c>
      <c r="N1567" t="s">
        <v>8246</v>
      </c>
      <c r="O1567" s="1">
        <v>31272</v>
      </c>
      <c r="P1567" t="s">
        <v>5317</v>
      </c>
      <c r="Q1567" t="s">
        <v>5318</v>
      </c>
      <c r="S1567" s="1">
        <v>45020.209027777775</v>
      </c>
      <c r="T1567" t="s">
        <v>78</v>
      </c>
      <c r="U1567" t="s">
        <v>82</v>
      </c>
      <c r="V1567">
        <v>1985</v>
      </c>
      <c r="W1567">
        <v>117.24</v>
      </c>
      <c r="X1567">
        <v>7.5</v>
      </c>
      <c r="Y1567" s="2">
        <v>21427700000000</v>
      </c>
      <c r="Z1567">
        <v>88.2</v>
      </c>
      <c r="AA1567">
        <v>101.8</v>
      </c>
      <c r="AB1567">
        <v>9.6</v>
      </c>
      <c r="AC1567">
        <v>36.6</v>
      </c>
      <c r="AD1567">
        <v>328239523</v>
      </c>
    </row>
    <row r="1568" spans="1:30" hidden="1" x14ac:dyDescent="0.45">
      <c r="A1568">
        <v>1516</v>
      </c>
      <c r="B1568">
        <v>2000</v>
      </c>
      <c r="C1568" t="s">
        <v>296</v>
      </c>
      <c r="D1568" t="s">
        <v>5319</v>
      </c>
      <c r="E1568">
        <v>82</v>
      </c>
      <c r="F1568" t="s">
        <v>35</v>
      </c>
      <c r="G1568" t="s">
        <v>5320</v>
      </c>
      <c r="H1568" t="s">
        <v>5321</v>
      </c>
      <c r="I1568" t="s">
        <v>296</v>
      </c>
      <c r="J1568" t="s">
        <v>35</v>
      </c>
      <c r="L1568" t="b">
        <v>1</v>
      </c>
      <c r="M1568" t="s">
        <v>39</v>
      </c>
      <c r="N1568" t="s">
        <v>8245</v>
      </c>
      <c r="O1568" s="1">
        <v>14977</v>
      </c>
      <c r="P1568" t="s">
        <v>5322</v>
      </c>
      <c r="Q1568" t="s">
        <v>338</v>
      </c>
      <c r="S1568" s="1">
        <v>45020.209027777775</v>
      </c>
      <c r="T1568" t="s">
        <v>521</v>
      </c>
      <c r="U1568" t="s">
        <v>69</v>
      </c>
      <c r="V1568">
        <v>1941</v>
      </c>
      <c r="W1568">
        <v>117.24</v>
      </c>
      <c r="X1568">
        <v>7.5</v>
      </c>
      <c r="Y1568" s="2">
        <v>21427700000000</v>
      </c>
      <c r="Z1568">
        <v>88.2</v>
      </c>
      <c r="AA1568">
        <v>101.8</v>
      </c>
      <c r="AB1568">
        <v>9.6</v>
      </c>
      <c r="AC1568">
        <v>36.6</v>
      </c>
      <c r="AD1568">
        <v>328239523</v>
      </c>
    </row>
    <row r="1569" spans="1:30" hidden="1" x14ac:dyDescent="0.45">
      <c r="A1569">
        <v>1516</v>
      </c>
      <c r="B1569">
        <v>2000</v>
      </c>
      <c r="C1569" t="s">
        <v>23</v>
      </c>
      <c r="D1569" t="s">
        <v>5323</v>
      </c>
      <c r="E1569">
        <v>46</v>
      </c>
      <c r="H1569" t="s">
        <v>293</v>
      </c>
      <c r="I1569" t="s">
        <v>23</v>
      </c>
      <c r="J1569" t="s">
        <v>567</v>
      </c>
      <c r="L1569" t="b">
        <v>1</v>
      </c>
      <c r="M1569" t="s">
        <v>258</v>
      </c>
      <c r="N1569" t="s">
        <v>8245</v>
      </c>
      <c r="O1569" s="1">
        <v>28057</v>
      </c>
      <c r="P1569" t="s">
        <v>5324</v>
      </c>
      <c r="Q1569" t="s">
        <v>5325</v>
      </c>
      <c r="S1569" s="1">
        <v>45020.209027777775</v>
      </c>
      <c r="V1569">
        <v>1976</v>
      </c>
      <c r="W1569"/>
      <c r="Y1569"/>
    </row>
    <row r="1570" spans="1:30" hidden="1" x14ac:dyDescent="0.45">
      <c r="A1570">
        <v>1516</v>
      </c>
      <c r="B1570">
        <v>2000</v>
      </c>
      <c r="C1570" t="s">
        <v>45</v>
      </c>
      <c r="D1570" t="s">
        <v>5326</v>
      </c>
      <c r="E1570">
        <v>57</v>
      </c>
      <c r="F1570" t="s">
        <v>128</v>
      </c>
      <c r="G1570" t="s">
        <v>234</v>
      </c>
      <c r="H1570" t="s">
        <v>5327</v>
      </c>
      <c r="I1570" t="s">
        <v>45</v>
      </c>
      <c r="J1570" t="s">
        <v>128</v>
      </c>
      <c r="L1570" t="b">
        <v>1</v>
      </c>
      <c r="M1570" t="s">
        <v>39</v>
      </c>
      <c r="N1570" t="s">
        <v>8245</v>
      </c>
      <c r="O1570" s="1">
        <v>24105</v>
      </c>
      <c r="P1570" t="s">
        <v>190</v>
      </c>
      <c r="Q1570" t="s">
        <v>2374</v>
      </c>
      <c r="S1570" s="1">
        <v>45020.209027777775</v>
      </c>
      <c r="V1570">
        <v>1965</v>
      </c>
      <c r="W1570">
        <v>125.08</v>
      </c>
      <c r="X1570">
        <v>2.9</v>
      </c>
      <c r="Y1570" s="2">
        <v>19910000000000</v>
      </c>
      <c r="Z1570">
        <v>50.6</v>
      </c>
      <c r="AA1570">
        <v>100.2</v>
      </c>
      <c r="AB1570">
        <v>9.4</v>
      </c>
      <c r="AC1570">
        <v>59.2</v>
      </c>
      <c r="AD1570">
        <v>1397715000</v>
      </c>
    </row>
    <row r="1571" spans="1:30" hidden="1" x14ac:dyDescent="0.45">
      <c r="A1571">
        <v>1516</v>
      </c>
      <c r="B1571">
        <v>2000</v>
      </c>
      <c r="C1571" t="s">
        <v>45</v>
      </c>
      <c r="D1571" t="s">
        <v>5328</v>
      </c>
      <c r="E1571">
        <v>57</v>
      </c>
      <c r="F1571" t="s">
        <v>128</v>
      </c>
      <c r="G1571" t="s">
        <v>187</v>
      </c>
      <c r="H1571" t="s">
        <v>5238</v>
      </c>
      <c r="I1571" t="s">
        <v>45</v>
      </c>
      <c r="J1571" t="s">
        <v>128</v>
      </c>
      <c r="L1571" t="b">
        <v>1</v>
      </c>
      <c r="M1571" t="s">
        <v>39</v>
      </c>
      <c r="N1571" t="s">
        <v>8245</v>
      </c>
      <c r="O1571" s="1">
        <v>24108</v>
      </c>
      <c r="P1571" t="s">
        <v>190</v>
      </c>
      <c r="Q1571" t="s">
        <v>5329</v>
      </c>
      <c r="S1571" s="1">
        <v>45020.209027777775</v>
      </c>
      <c r="V1571">
        <v>1966</v>
      </c>
      <c r="W1571">
        <v>125.08</v>
      </c>
      <c r="X1571">
        <v>2.9</v>
      </c>
      <c r="Y1571" s="2">
        <v>19910000000000</v>
      </c>
      <c r="Z1571">
        <v>50.6</v>
      </c>
      <c r="AA1571">
        <v>100.2</v>
      </c>
      <c r="AB1571">
        <v>9.4</v>
      </c>
      <c r="AC1571">
        <v>59.2</v>
      </c>
      <c r="AD1571">
        <v>1397715000</v>
      </c>
    </row>
    <row r="1572" spans="1:30" hidden="1" x14ac:dyDescent="0.45">
      <c r="A1572">
        <v>1516</v>
      </c>
      <c r="B1572">
        <v>2000</v>
      </c>
      <c r="C1572" t="s">
        <v>296</v>
      </c>
      <c r="D1572" t="s">
        <v>5330</v>
      </c>
      <c r="E1572">
        <v>73</v>
      </c>
      <c r="F1572" t="s">
        <v>128</v>
      </c>
      <c r="G1572" t="s">
        <v>5331</v>
      </c>
      <c r="H1572" t="s">
        <v>1394</v>
      </c>
      <c r="I1572" t="s">
        <v>296</v>
      </c>
      <c r="J1572" t="s">
        <v>128</v>
      </c>
      <c r="L1572" t="b">
        <v>1</v>
      </c>
      <c r="M1572" t="s">
        <v>39</v>
      </c>
      <c r="N1572" t="s">
        <v>8245</v>
      </c>
      <c r="O1572" s="1">
        <v>18233</v>
      </c>
      <c r="P1572" t="s">
        <v>190</v>
      </c>
      <c r="Q1572" t="s">
        <v>5332</v>
      </c>
      <c r="S1572" s="1">
        <v>45020.209027777775</v>
      </c>
      <c r="V1572">
        <v>1949</v>
      </c>
      <c r="W1572">
        <v>125.08</v>
      </c>
      <c r="X1572">
        <v>2.9</v>
      </c>
      <c r="Y1572" s="2">
        <v>19910000000000</v>
      </c>
      <c r="Z1572">
        <v>50.6</v>
      </c>
      <c r="AA1572">
        <v>100.2</v>
      </c>
      <c r="AB1572">
        <v>9.4</v>
      </c>
      <c r="AC1572">
        <v>59.2</v>
      </c>
      <c r="AD1572">
        <v>1397715000</v>
      </c>
    </row>
    <row r="1573" spans="1:30" hidden="1" x14ac:dyDescent="0.45">
      <c r="A1573">
        <v>1516</v>
      </c>
      <c r="B1573">
        <v>2000</v>
      </c>
      <c r="C1573" t="s">
        <v>45</v>
      </c>
      <c r="D1573" t="s">
        <v>5333</v>
      </c>
      <c r="E1573">
        <v>48</v>
      </c>
      <c r="F1573" t="s">
        <v>128</v>
      </c>
      <c r="G1573" t="s">
        <v>187</v>
      </c>
      <c r="H1573" t="s">
        <v>856</v>
      </c>
      <c r="I1573" t="s">
        <v>45</v>
      </c>
      <c r="J1573" t="s">
        <v>128</v>
      </c>
      <c r="L1573" t="b">
        <v>1</v>
      </c>
      <c r="M1573" t="s">
        <v>39</v>
      </c>
      <c r="N1573" t="s">
        <v>8245</v>
      </c>
      <c r="O1573" s="1">
        <v>27181</v>
      </c>
      <c r="P1573" t="s">
        <v>850</v>
      </c>
      <c r="Q1573" t="s">
        <v>5334</v>
      </c>
      <c r="S1573" s="1">
        <v>45020.209027777775</v>
      </c>
      <c r="V1573">
        <v>1974</v>
      </c>
      <c r="W1573">
        <v>125.08</v>
      </c>
      <c r="X1573">
        <v>2.9</v>
      </c>
      <c r="Y1573" s="2">
        <v>19910000000000</v>
      </c>
      <c r="Z1573">
        <v>50.6</v>
      </c>
      <c r="AA1573">
        <v>100.2</v>
      </c>
      <c r="AB1573">
        <v>9.4</v>
      </c>
      <c r="AC1573">
        <v>59.2</v>
      </c>
      <c r="AD1573">
        <v>1397715000</v>
      </c>
    </row>
    <row r="1574" spans="1:30" hidden="1" x14ac:dyDescent="0.45">
      <c r="A1574">
        <v>1516</v>
      </c>
      <c r="B1574">
        <v>2000</v>
      </c>
      <c r="C1574" t="s">
        <v>347</v>
      </c>
      <c r="D1574" t="s">
        <v>5335</v>
      </c>
      <c r="E1574">
        <v>46</v>
      </c>
      <c r="F1574" t="s">
        <v>128</v>
      </c>
      <c r="G1574" t="s">
        <v>234</v>
      </c>
      <c r="H1574" t="s">
        <v>5336</v>
      </c>
      <c r="I1574" t="s">
        <v>347</v>
      </c>
      <c r="J1574" t="s">
        <v>128</v>
      </c>
      <c r="L1574" t="b">
        <v>1</v>
      </c>
      <c r="M1574" t="s">
        <v>39</v>
      </c>
      <c r="N1574" t="s">
        <v>8245</v>
      </c>
      <c r="O1574" s="1">
        <v>27942</v>
      </c>
      <c r="P1574" t="s">
        <v>1784</v>
      </c>
      <c r="Q1574" t="s">
        <v>1703</v>
      </c>
      <c r="S1574" s="1">
        <v>45020.209027777775</v>
      </c>
      <c r="V1574">
        <v>1976</v>
      </c>
      <c r="W1574">
        <v>125.08</v>
      </c>
      <c r="X1574">
        <v>2.9</v>
      </c>
      <c r="Y1574" s="2">
        <v>19910000000000</v>
      </c>
      <c r="Z1574">
        <v>50.6</v>
      </c>
      <c r="AA1574">
        <v>100.2</v>
      </c>
      <c r="AB1574">
        <v>9.4</v>
      </c>
      <c r="AC1574">
        <v>59.2</v>
      </c>
      <c r="AD1574">
        <v>1397715000</v>
      </c>
    </row>
    <row r="1575" spans="1:30" hidden="1" x14ac:dyDescent="0.45">
      <c r="A1575">
        <v>1516</v>
      </c>
      <c r="B1575">
        <v>2000</v>
      </c>
      <c r="C1575" t="s">
        <v>402</v>
      </c>
      <c r="D1575" t="s">
        <v>5337</v>
      </c>
      <c r="E1575">
        <v>59</v>
      </c>
      <c r="F1575" t="s">
        <v>128</v>
      </c>
      <c r="G1575" t="s">
        <v>292</v>
      </c>
      <c r="H1575" t="s">
        <v>402</v>
      </c>
      <c r="I1575" t="s">
        <v>402</v>
      </c>
      <c r="J1575" t="s">
        <v>128</v>
      </c>
      <c r="L1575" t="b">
        <v>1</v>
      </c>
      <c r="M1575" t="s">
        <v>29</v>
      </c>
      <c r="N1575" t="s">
        <v>8245</v>
      </c>
      <c r="O1575" s="1">
        <v>23377</v>
      </c>
      <c r="P1575" t="s">
        <v>2217</v>
      </c>
      <c r="Q1575" t="s">
        <v>4417</v>
      </c>
      <c r="S1575" s="1">
        <v>45020.209027777775</v>
      </c>
      <c r="V1575">
        <v>1964</v>
      </c>
      <c r="W1575">
        <v>125.08</v>
      </c>
      <c r="X1575">
        <v>2.9</v>
      </c>
      <c r="Y1575" s="2">
        <v>19910000000000</v>
      </c>
      <c r="Z1575">
        <v>50.6</v>
      </c>
      <c r="AA1575">
        <v>100.2</v>
      </c>
      <c r="AB1575">
        <v>9.4</v>
      </c>
      <c r="AC1575">
        <v>59.2</v>
      </c>
      <c r="AD1575">
        <v>1397715000</v>
      </c>
    </row>
    <row r="1576" spans="1:30" hidden="1" x14ac:dyDescent="0.45">
      <c r="A1576">
        <v>1575</v>
      </c>
      <c r="B1576">
        <v>1900</v>
      </c>
      <c r="C1576" t="s">
        <v>91</v>
      </c>
      <c r="D1576" t="s">
        <v>5338</v>
      </c>
      <c r="E1576">
        <v>74</v>
      </c>
      <c r="F1576" t="s">
        <v>393</v>
      </c>
      <c r="G1576" t="s">
        <v>394</v>
      </c>
      <c r="H1576" t="s">
        <v>5339</v>
      </c>
      <c r="I1576" t="s">
        <v>91</v>
      </c>
      <c r="J1576" t="s">
        <v>393</v>
      </c>
      <c r="L1576" t="b">
        <v>0</v>
      </c>
      <c r="M1576" t="s">
        <v>29</v>
      </c>
      <c r="N1576" t="s">
        <v>8245</v>
      </c>
      <c r="O1576" s="1">
        <v>17744</v>
      </c>
      <c r="P1576" t="s">
        <v>5340</v>
      </c>
      <c r="Q1576" t="s">
        <v>5341</v>
      </c>
      <c r="S1576" s="1">
        <v>45020.209027777775</v>
      </c>
      <c r="V1576">
        <v>1948</v>
      </c>
      <c r="W1576">
        <v>131.91</v>
      </c>
      <c r="X1576">
        <v>2.6</v>
      </c>
      <c r="Y1576" s="2">
        <v>282318159745</v>
      </c>
      <c r="Z1576">
        <v>88.5</v>
      </c>
      <c r="AA1576">
        <v>101.4</v>
      </c>
      <c r="AB1576">
        <v>18.2</v>
      </c>
      <c r="AC1576">
        <v>34</v>
      </c>
      <c r="AD1576">
        <v>18952038</v>
      </c>
    </row>
    <row r="1577" spans="1:30" hidden="1" x14ac:dyDescent="0.45">
      <c r="A1577">
        <v>1575</v>
      </c>
      <c r="B1577">
        <v>1900</v>
      </c>
      <c r="C1577" t="s">
        <v>347</v>
      </c>
      <c r="D1577" t="s">
        <v>5342</v>
      </c>
      <c r="E1577">
        <v>56</v>
      </c>
      <c r="F1577" t="s">
        <v>2660</v>
      </c>
      <c r="G1577" t="s">
        <v>5232</v>
      </c>
      <c r="H1577" t="s">
        <v>503</v>
      </c>
      <c r="I1577" t="s">
        <v>347</v>
      </c>
      <c r="J1577" t="s">
        <v>2660</v>
      </c>
      <c r="L1577" t="b">
        <v>1</v>
      </c>
      <c r="M1577" t="s">
        <v>29</v>
      </c>
      <c r="N1577" t="s">
        <v>8245</v>
      </c>
      <c r="O1577" s="1">
        <v>24459</v>
      </c>
      <c r="P1577" t="s">
        <v>5343</v>
      </c>
      <c r="Q1577" t="s">
        <v>5344</v>
      </c>
      <c r="S1577" s="1">
        <v>45020.209027777775</v>
      </c>
      <c r="V1577">
        <v>1966</v>
      </c>
      <c r="W1577">
        <v>112.33</v>
      </c>
      <c r="X1577">
        <v>1</v>
      </c>
      <c r="Y1577" s="2">
        <v>268761201365</v>
      </c>
      <c r="Z1577">
        <v>88.2</v>
      </c>
      <c r="AA1577">
        <v>100.2</v>
      </c>
      <c r="AB1577">
        <v>20.8</v>
      </c>
      <c r="AC1577">
        <v>36.6</v>
      </c>
      <c r="AD1577">
        <v>5520314</v>
      </c>
    </row>
    <row r="1578" spans="1:30" hidden="1" x14ac:dyDescent="0.45">
      <c r="A1578">
        <v>1575</v>
      </c>
      <c r="B1578">
        <v>1900</v>
      </c>
      <c r="C1578" t="s">
        <v>702</v>
      </c>
      <c r="D1578" t="s">
        <v>5345</v>
      </c>
      <c r="E1578">
        <v>53</v>
      </c>
      <c r="F1578" t="s">
        <v>35</v>
      </c>
      <c r="G1578" t="s">
        <v>78</v>
      </c>
      <c r="H1578" t="s">
        <v>702</v>
      </c>
      <c r="I1578" t="s">
        <v>702</v>
      </c>
      <c r="J1578" t="s">
        <v>35</v>
      </c>
      <c r="L1578" t="b">
        <v>1</v>
      </c>
      <c r="M1578" t="s">
        <v>258</v>
      </c>
      <c r="N1578" t="s">
        <v>8245</v>
      </c>
      <c r="O1578" s="1">
        <v>25453</v>
      </c>
      <c r="P1578" t="s">
        <v>5346</v>
      </c>
      <c r="Q1578" t="s">
        <v>169</v>
      </c>
      <c r="S1578" s="1">
        <v>45020.209027777775</v>
      </c>
      <c r="T1578" t="s">
        <v>78</v>
      </c>
      <c r="U1578" t="s">
        <v>82</v>
      </c>
      <c r="V1578">
        <v>1969</v>
      </c>
      <c r="W1578">
        <v>117.24</v>
      </c>
      <c r="X1578">
        <v>7.5</v>
      </c>
      <c r="Y1578" s="2">
        <v>21427700000000</v>
      </c>
      <c r="Z1578">
        <v>88.2</v>
      </c>
      <c r="AA1578">
        <v>101.8</v>
      </c>
      <c r="AB1578">
        <v>9.6</v>
      </c>
      <c r="AC1578">
        <v>36.6</v>
      </c>
      <c r="AD1578">
        <v>328239523</v>
      </c>
    </row>
    <row r="1579" spans="1:30" hidden="1" x14ac:dyDescent="0.45">
      <c r="A1579">
        <v>1575</v>
      </c>
      <c r="B1579">
        <v>1900</v>
      </c>
      <c r="C1579" t="s">
        <v>61</v>
      </c>
      <c r="D1579" t="s">
        <v>5347</v>
      </c>
      <c r="E1579">
        <v>87</v>
      </c>
      <c r="F1579" t="s">
        <v>558</v>
      </c>
      <c r="G1579" t="s">
        <v>2682</v>
      </c>
      <c r="H1579" t="s">
        <v>557</v>
      </c>
      <c r="I1579" t="s">
        <v>61</v>
      </c>
      <c r="J1579" t="s">
        <v>558</v>
      </c>
      <c r="L1579" t="b">
        <v>1</v>
      </c>
      <c r="M1579" t="s">
        <v>39</v>
      </c>
      <c r="N1579" t="s">
        <v>8245</v>
      </c>
      <c r="O1579" s="1">
        <v>13181</v>
      </c>
      <c r="P1579" t="s">
        <v>5348</v>
      </c>
      <c r="Q1579" t="s">
        <v>3338</v>
      </c>
      <c r="S1579" s="1">
        <v>45020.209027777775</v>
      </c>
      <c r="V1579">
        <v>1936</v>
      </c>
      <c r="W1579">
        <v>167.4</v>
      </c>
      <c r="X1579">
        <v>3.7</v>
      </c>
      <c r="Y1579" s="2">
        <v>1839758040766</v>
      </c>
      <c r="Z1579">
        <v>51.3</v>
      </c>
      <c r="AA1579">
        <v>115.4</v>
      </c>
      <c r="AB1579">
        <v>14.2</v>
      </c>
      <c r="AC1579">
        <v>65.099999999999994</v>
      </c>
      <c r="AD1579">
        <v>212559417</v>
      </c>
    </row>
    <row r="1580" spans="1:30" hidden="1" x14ac:dyDescent="0.45">
      <c r="A1580">
        <v>1575</v>
      </c>
      <c r="B1580">
        <v>1900</v>
      </c>
      <c r="C1580" t="s">
        <v>347</v>
      </c>
      <c r="D1580" t="s">
        <v>5349</v>
      </c>
      <c r="E1580">
        <v>55</v>
      </c>
      <c r="F1580" t="s">
        <v>363</v>
      </c>
      <c r="G1580" t="s">
        <v>5350</v>
      </c>
      <c r="H1580" t="s">
        <v>513</v>
      </c>
      <c r="I1580" t="s">
        <v>347</v>
      </c>
      <c r="J1580" t="s">
        <v>363</v>
      </c>
      <c r="L1580" t="b">
        <v>1</v>
      </c>
      <c r="M1580" t="s">
        <v>29</v>
      </c>
      <c r="N1580" t="s">
        <v>8245</v>
      </c>
      <c r="O1580" s="1">
        <v>24662</v>
      </c>
      <c r="P1580" t="s">
        <v>5351</v>
      </c>
      <c r="Q1580" t="s">
        <v>5352</v>
      </c>
      <c r="S1580" s="1">
        <v>45020.209027777775</v>
      </c>
      <c r="V1580">
        <v>1967</v>
      </c>
      <c r="W1580">
        <v>180.75</v>
      </c>
      <c r="X1580">
        <v>4.5</v>
      </c>
      <c r="Y1580" s="2">
        <v>1699876578871</v>
      </c>
      <c r="Z1580">
        <v>81.900000000000006</v>
      </c>
      <c r="AA1580">
        <v>102.6</v>
      </c>
      <c r="AB1580">
        <v>11.4</v>
      </c>
      <c r="AC1580">
        <v>46.2</v>
      </c>
      <c r="AD1580">
        <v>144373535</v>
      </c>
    </row>
    <row r="1581" spans="1:30" hidden="1" x14ac:dyDescent="0.45">
      <c r="A1581">
        <v>1575</v>
      </c>
      <c r="B1581">
        <v>1900</v>
      </c>
      <c r="C1581" t="s">
        <v>23</v>
      </c>
      <c r="D1581" t="s">
        <v>5353</v>
      </c>
      <c r="E1581">
        <v>82</v>
      </c>
      <c r="F1581" t="s">
        <v>214</v>
      </c>
      <c r="G1581" t="s">
        <v>2878</v>
      </c>
      <c r="H1581" t="s">
        <v>200</v>
      </c>
      <c r="I1581" t="s">
        <v>23</v>
      </c>
      <c r="J1581" t="s">
        <v>214</v>
      </c>
      <c r="L1581" t="b">
        <v>0</v>
      </c>
      <c r="M1581" t="s">
        <v>611</v>
      </c>
      <c r="N1581" t="s">
        <v>8245</v>
      </c>
      <c r="O1581" s="1">
        <v>14992</v>
      </c>
      <c r="P1581" t="s">
        <v>5354</v>
      </c>
      <c r="Q1581" t="s">
        <v>5355</v>
      </c>
      <c r="S1581" s="1">
        <v>45020.209027777775</v>
      </c>
      <c r="V1581">
        <v>1941</v>
      </c>
      <c r="W1581">
        <v>110.62</v>
      </c>
      <c r="X1581">
        <v>0.6</v>
      </c>
      <c r="Y1581" s="2">
        <v>2001244392042</v>
      </c>
      <c r="Z1581">
        <v>61.9</v>
      </c>
      <c r="AA1581">
        <v>101.9</v>
      </c>
      <c r="AB1581">
        <v>24.3</v>
      </c>
      <c r="AC1581">
        <v>59.1</v>
      </c>
      <c r="AD1581">
        <v>60297396</v>
      </c>
    </row>
    <row r="1582" spans="1:30" hidden="1" x14ac:dyDescent="0.45">
      <c r="A1582">
        <v>1575</v>
      </c>
      <c r="B1582">
        <v>1900</v>
      </c>
      <c r="C1582" t="s">
        <v>23</v>
      </c>
      <c r="D1582" t="s">
        <v>5356</v>
      </c>
      <c r="E1582">
        <v>71</v>
      </c>
      <c r="F1582" t="s">
        <v>35</v>
      </c>
      <c r="G1582" t="s">
        <v>1331</v>
      </c>
      <c r="H1582" t="s">
        <v>594</v>
      </c>
      <c r="I1582" t="s">
        <v>23</v>
      </c>
      <c r="J1582" t="s">
        <v>35</v>
      </c>
      <c r="L1582" t="b">
        <v>0</v>
      </c>
      <c r="M1582" t="s">
        <v>258</v>
      </c>
      <c r="N1582" t="s">
        <v>8245</v>
      </c>
      <c r="O1582" s="1">
        <v>19088</v>
      </c>
      <c r="P1582" t="s">
        <v>1333</v>
      </c>
      <c r="Q1582" t="s">
        <v>2983</v>
      </c>
      <c r="S1582" s="1">
        <v>45020.209027777775</v>
      </c>
      <c r="T1582" t="s">
        <v>43</v>
      </c>
      <c r="U1582" t="s">
        <v>44</v>
      </c>
      <c r="V1582">
        <v>1952</v>
      </c>
      <c r="W1582">
        <v>117.24</v>
      </c>
      <c r="X1582">
        <v>7.5</v>
      </c>
      <c r="Y1582" s="2">
        <v>21427700000000</v>
      </c>
      <c r="Z1582">
        <v>88.2</v>
      </c>
      <c r="AA1582">
        <v>101.8</v>
      </c>
      <c r="AB1582">
        <v>9.6</v>
      </c>
      <c r="AC1582">
        <v>36.6</v>
      </c>
      <c r="AD1582">
        <v>328239523</v>
      </c>
    </row>
    <row r="1583" spans="1:30" hidden="1" x14ac:dyDescent="0.45">
      <c r="A1583">
        <v>1575</v>
      </c>
      <c r="B1583">
        <v>1900</v>
      </c>
      <c r="C1583" t="s">
        <v>23</v>
      </c>
      <c r="D1583" t="s">
        <v>5357</v>
      </c>
      <c r="E1583">
        <v>67</v>
      </c>
      <c r="H1583" t="s">
        <v>594</v>
      </c>
      <c r="I1583" t="s">
        <v>23</v>
      </c>
      <c r="J1583" t="s">
        <v>35</v>
      </c>
      <c r="L1583" t="b">
        <v>0</v>
      </c>
      <c r="M1583" t="s">
        <v>258</v>
      </c>
      <c r="N1583" t="s">
        <v>8245</v>
      </c>
      <c r="O1583" s="1">
        <v>20233</v>
      </c>
      <c r="P1583" t="s">
        <v>1333</v>
      </c>
      <c r="Q1583" t="s">
        <v>320</v>
      </c>
      <c r="S1583" s="1">
        <v>45020.209027777775</v>
      </c>
      <c r="V1583">
        <v>1955</v>
      </c>
      <c r="W1583"/>
      <c r="Y1583"/>
    </row>
    <row r="1584" spans="1:30" hidden="1" x14ac:dyDescent="0.45">
      <c r="A1584">
        <v>1575</v>
      </c>
      <c r="B1584">
        <v>1900</v>
      </c>
      <c r="C1584" t="s">
        <v>23</v>
      </c>
      <c r="D1584" t="s">
        <v>5358</v>
      </c>
      <c r="E1584">
        <v>56</v>
      </c>
      <c r="F1584" t="s">
        <v>128</v>
      </c>
      <c r="G1584" t="s">
        <v>292</v>
      </c>
      <c r="H1584" t="s">
        <v>5144</v>
      </c>
      <c r="I1584" t="s">
        <v>23</v>
      </c>
      <c r="J1584" t="s">
        <v>128</v>
      </c>
      <c r="L1584" t="b">
        <v>1</v>
      </c>
      <c r="M1584" t="s">
        <v>39</v>
      </c>
      <c r="N1584" t="s">
        <v>8245</v>
      </c>
      <c r="O1584" s="1">
        <v>24306</v>
      </c>
      <c r="P1584" t="s">
        <v>5359</v>
      </c>
      <c r="Q1584" t="s">
        <v>5360</v>
      </c>
      <c r="S1584" s="1">
        <v>45020.209027777775</v>
      </c>
      <c r="V1584">
        <v>1966</v>
      </c>
      <c r="W1584">
        <v>125.08</v>
      </c>
      <c r="X1584">
        <v>2.9</v>
      </c>
      <c r="Y1584" s="2">
        <v>19910000000000</v>
      </c>
      <c r="Z1584">
        <v>50.6</v>
      </c>
      <c r="AA1584">
        <v>100.2</v>
      </c>
      <c r="AB1584">
        <v>9.4</v>
      </c>
      <c r="AC1584">
        <v>59.2</v>
      </c>
      <c r="AD1584">
        <v>1397715000</v>
      </c>
    </row>
    <row r="1585" spans="1:30" hidden="1" x14ac:dyDescent="0.45">
      <c r="A1585">
        <v>1575</v>
      </c>
      <c r="B1585">
        <v>1900</v>
      </c>
      <c r="C1585" t="s">
        <v>296</v>
      </c>
      <c r="D1585" t="s">
        <v>5361</v>
      </c>
      <c r="E1585">
        <v>52</v>
      </c>
      <c r="F1585" t="s">
        <v>128</v>
      </c>
      <c r="G1585" t="s">
        <v>292</v>
      </c>
      <c r="H1585" t="s">
        <v>5190</v>
      </c>
      <c r="I1585" t="s">
        <v>296</v>
      </c>
      <c r="J1585" t="s">
        <v>128</v>
      </c>
      <c r="L1585" t="b">
        <v>1</v>
      </c>
      <c r="M1585" t="s">
        <v>39</v>
      </c>
      <c r="N1585" t="s">
        <v>8245</v>
      </c>
      <c r="O1585" s="1">
        <v>25750</v>
      </c>
      <c r="P1585" t="s">
        <v>679</v>
      </c>
      <c r="Q1585" t="s">
        <v>5362</v>
      </c>
      <c r="S1585" s="1">
        <v>45020.209027777775</v>
      </c>
      <c r="V1585">
        <v>1970</v>
      </c>
      <c r="W1585">
        <v>125.08</v>
      </c>
      <c r="X1585">
        <v>2.9</v>
      </c>
      <c r="Y1585" s="2">
        <v>19910000000000</v>
      </c>
      <c r="Z1585">
        <v>50.6</v>
      </c>
      <c r="AA1585">
        <v>100.2</v>
      </c>
      <c r="AB1585">
        <v>9.4</v>
      </c>
      <c r="AC1585">
        <v>59.2</v>
      </c>
      <c r="AD1585">
        <v>1397715000</v>
      </c>
    </row>
    <row r="1586" spans="1:30" hidden="1" x14ac:dyDescent="0.45">
      <c r="A1586">
        <v>1575</v>
      </c>
      <c r="B1586">
        <v>1900</v>
      </c>
      <c r="C1586" t="s">
        <v>347</v>
      </c>
      <c r="D1586" t="s">
        <v>5363</v>
      </c>
      <c r="F1586" t="s">
        <v>128</v>
      </c>
      <c r="G1586" t="s">
        <v>261</v>
      </c>
      <c r="H1586" t="s">
        <v>262</v>
      </c>
      <c r="I1586" t="s">
        <v>347</v>
      </c>
      <c r="J1586" t="s">
        <v>128</v>
      </c>
      <c r="L1586" t="b">
        <v>1</v>
      </c>
      <c r="M1586" t="s">
        <v>39</v>
      </c>
      <c r="N1586" t="s">
        <v>8246</v>
      </c>
      <c r="O1586"/>
      <c r="P1586" t="s">
        <v>679</v>
      </c>
      <c r="Q1586" t="s">
        <v>5364</v>
      </c>
      <c r="S1586" s="1">
        <v>45020.209027777775</v>
      </c>
      <c r="W1586">
        <v>125.08</v>
      </c>
      <c r="X1586">
        <v>2.9</v>
      </c>
      <c r="Y1586" s="2">
        <v>19910000000000</v>
      </c>
      <c r="Z1586">
        <v>50.6</v>
      </c>
      <c r="AA1586">
        <v>100.2</v>
      </c>
      <c r="AB1586">
        <v>9.4</v>
      </c>
      <c r="AC1586">
        <v>59.2</v>
      </c>
      <c r="AD1586">
        <v>1397715000</v>
      </c>
    </row>
    <row r="1587" spans="1:30" hidden="1" x14ac:dyDescent="0.45">
      <c r="A1587">
        <v>1575</v>
      </c>
      <c r="B1587">
        <v>1900</v>
      </c>
      <c r="C1587" t="s">
        <v>45</v>
      </c>
      <c r="D1587" t="s">
        <v>5365</v>
      </c>
      <c r="E1587">
        <v>57</v>
      </c>
      <c r="F1587" t="s">
        <v>128</v>
      </c>
      <c r="G1587" t="s">
        <v>2921</v>
      </c>
      <c r="H1587" t="s">
        <v>5366</v>
      </c>
      <c r="I1587" t="s">
        <v>45</v>
      </c>
      <c r="J1587" t="s">
        <v>128</v>
      </c>
      <c r="L1587" t="b">
        <v>1</v>
      </c>
      <c r="M1587" t="s">
        <v>39</v>
      </c>
      <c r="N1587" t="s">
        <v>8245</v>
      </c>
      <c r="O1587" s="1">
        <v>24114</v>
      </c>
      <c r="P1587" t="s">
        <v>679</v>
      </c>
      <c r="Q1587" t="s">
        <v>5367</v>
      </c>
      <c r="S1587" s="1">
        <v>45020.209027777775</v>
      </c>
      <c r="V1587">
        <v>1966</v>
      </c>
      <c r="W1587">
        <v>125.08</v>
      </c>
      <c r="X1587">
        <v>2.9</v>
      </c>
      <c r="Y1587" s="2">
        <v>19910000000000</v>
      </c>
      <c r="Z1587">
        <v>50.6</v>
      </c>
      <c r="AA1587">
        <v>100.2</v>
      </c>
      <c r="AB1587">
        <v>9.4</v>
      </c>
      <c r="AC1587">
        <v>59.2</v>
      </c>
      <c r="AD1587">
        <v>1397715000</v>
      </c>
    </row>
    <row r="1588" spans="1:30" hidden="1" x14ac:dyDescent="0.45">
      <c r="A1588">
        <v>1575</v>
      </c>
      <c r="B1588">
        <v>1900</v>
      </c>
      <c r="C1588" t="s">
        <v>91</v>
      </c>
      <c r="D1588" t="s">
        <v>5368</v>
      </c>
      <c r="F1588" t="s">
        <v>628</v>
      </c>
      <c r="G1588" t="s">
        <v>629</v>
      </c>
      <c r="H1588" t="s">
        <v>91</v>
      </c>
      <c r="I1588" t="s">
        <v>91</v>
      </c>
      <c r="J1588" t="s">
        <v>628</v>
      </c>
      <c r="L1588" t="b">
        <v>0</v>
      </c>
      <c r="M1588" t="s">
        <v>29</v>
      </c>
      <c r="N1588" t="s">
        <v>8245</v>
      </c>
      <c r="O1588"/>
      <c r="P1588" t="s">
        <v>5369</v>
      </c>
      <c r="Q1588" t="s">
        <v>5370</v>
      </c>
      <c r="S1588" s="1">
        <v>45020.209027777775</v>
      </c>
      <c r="W1588">
        <v>113.27</v>
      </c>
      <c r="X1588">
        <v>0.7</v>
      </c>
      <c r="Y1588" s="2">
        <v>543649976166</v>
      </c>
      <c r="Z1588">
        <v>49.3</v>
      </c>
      <c r="AA1588">
        <v>99.8</v>
      </c>
      <c r="AB1588">
        <v>14.9</v>
      </c>
      <c r="AC1588">
        <v>29.5</v>
      </c>
      <c r="AD1588">
        <v>69625582</v>
      </c>
    </row>
    <row r="1589" spans="1:30" hidden="1" x14ac:dyDescent="0.45">
      <c r="A1589">
        <v>1575</v>
      </c>
      <c r="B1589">
        <v>1900</v>
      </c>
      <c r="C1589" t="s">
        <v>91</v>
      </c>
      <c r="D1589" t="s">
        <v>5371</v>
      </c>
      <c r="E1589">
        <v>74</v>
      </c>
      <c r="F1589" t="s">
        <v>628</v>
      </c>
      <c r="G1589" t="s">
        <v>629</v>
      </c>
      <c r="H1589" t="s">
        <v>91</v>
      </c>
      <c r="I1589" t="s">
        <v>91</v>
      </c>
      <c r="J1589" t="s">
        <v>628</v>
      </c>
      <c r="L1589" t="b">
        <v>0</v>
      </c>
      <c r="M1589" t="s">
        <v>1332</v>
      </c>
      <c r="N1589" t="s">
        <v>8245</v>
      </c>
      <c r="O1589" s="1">
        <v>17827</v>
      </c>
      <c r="P1589" t="s">
        <v>5372</v>
      </c>
      <c r="Q1589" t="s">
        <v>5373</v>
      </c>
      <c r="S1589" s="1">
        <v>45020.209027777775</v>
      </c>
      <c r="V1589">
        <v>1948</v>
      </c>
      <c r="W1589">
        <v>113.27</v>
      </c>
      <c r="X1589">
        <v>0.7</v>
      </c>
      <c r="Y1589" s="2">
        <v>543649976166</v>
      </c>
      <c r="Z1589">
        <v>49.3</v>
      </c>
      <c r="AA1589">
        <v>99.8</v>
      </c>
      <c r="AB1589">
        <v>14.9</v>
      </c>
      <c r="AC1589">
        <v>29.5</v>
      </c>
      <c r="AD1589">
        <v>69625582</v>
      </c>
    </row>
    <row r="1590" spans="1:30" hidden="1" x14ac:dyDescent="0.45">
      <c r="A1590">
        <v>1575</v>
      </c>
      <c r="B1590">
        <v>1900</v>
      </c>
      <c r="C1590" t="s">
        <v>126</v>
      </c>
      <c r="D1590" t="s">
        <v>5374</v>
      </c>
      <c r="E1590">
        <v>60</v>
      </c>
      <c r="F1590" t="s">
        <v>35</v>
      </c>
      <c r="G1590" t="s">
        <v>5375</v>
      </c>
      <c r="H1590" t="s">
        <v>1509</v>
      </c>
      <c r="I1590" t="s">
        <v>126</v>
      </c>
      <c r="J1590" t="s">
        <v>35</v>
      </c>
      <c r="L1590" t="b">
        <v>0</v>
      </c>
      <c r="M1590" t="s">
        <v>39</v>
      </c>
      <c r="N1590" t="s">
        <v>8246</v>
      </c>
      <c r="O1590" s="1">
        <v>23012</v>
      </c>
      <c r="P1590" t="s">
        <v>5376</v>
      </c>
      <c r="Q1590" t="s">
        <v>2204</v>
      </c>
      <c r="S1590" s="1">
        <v>45020.209027777775</v>
      </c>
      <c r="T1590" t="s">
        <v>479</v>
      </c>
      <c r="U1590" t="s">
        <v>82</v>
      </c>
      <c r="V1590">
        <v>1963</v>
      </c>
      <c r="W1590">
        <v>117.24</v>
      </c>
      <c r="X1590">
        <v>7.5</v>
      </c>
      <c r="Y1590" s="2">
        <v>21427700000000</v>
      </c>
      <c r="Z1590">
        <v>88.2</v>
      </c>
      <c r="AA1590">
        <v>101.8</v>
      </c>
      <c r="AB1590">
        <v>9.6</v>
      </c>
      <c r="AC1590">
        <v>36.6</v>
      </c>
      <c r="AD1590">
        <v>328239523</v>
      </c>
    </row>
    <row r="1591" spans="1:30" hidden="1" x14ac:dyDescent="0.45">
      <c r="A1591">
        <v>1575</v>
      </c>
      <c r="B1591">
        <v>1900</v>
      </c>
      <c r="C1591" t="s">
        <v>126</v>
      </c>
      <c r="D1591" t="s">
        <v>5377</v>
      </c>
      <c r="E1591">
        <v>57</v>
      </c>
      <c r="F1591" t="s">
        <v>117</v>
      </c>
      <c r="G1591" t="s">
        <v>2480</v>
      </c>
      <c r="H1591" t="s">
        <v>5378</v>
      </c>
      <c r="I1591" t="s">
        <v>126</v>
      </c>
      <c r="J1591" t="s">
        <v>117</v>
      </c>
      <c r="L1591" t="b">
        <v>0</v>
      </c>
      <c r="M1591" t="s">
        <v>29</v>
      </c>
      <c r="N1591" t="s">
        <v>8246</v>
      </c>
      <c r="O1591" s="1">
        <v>24108</v>
      </c>
      <c r="P1591" t="s">
        <v>5379</v>
      </c>
      <c r="Q1591" t="s">
        <v>5380</v>
      </c>
      <c r="S1591" s="1">
        <v>45020.209027777775</v>
      </c>
      <c r="V1591">
        <v>1966</v>
      </c>
      <c r="W1591">
        <v>110.96</v>
      </c>
      <c r="X1591">
        <v>0.7</v>
      </c>
      <c r="Y1591" s="2">
        <v>1394116310769</v>
      </c>
      <c r="Z1591">
        <v>88.9</v>
      </c>
      <c r="AA1591">
        <v>102.7</v>
      </c>
      <c r="AB1591">
        <v>14.2</v>
      </c>
      <c r="AC1591">
        <v>47</v>
      </c>
      <c r="AD1591">
        <v>47076781</v>
      </c>
    </row>
    <row r="1592" spans="1:30" hidden="1" x14ac:dyDescent="0.45">
      <c r="A1592">
        <v>1575</v>
      </c>
      <c r="B1592">
        <v>1900</v>
      </c>
      <c r="C1592" t="s">
        <v>702</v>
      </c>
      <c r="D1592" t="s">
        <v>5381</v>
      </c>
      <c r="E1592">
        <v>67</v>
      </c>
      <c r="F1592" t="s">
        <v>35</v>
      </c>
      <c r="G1592" t="s">
        <v>1231</v>
      </c>
      <c r="H1592" t="s">
        <v>5382</v>
      </c>
      <c r="I1592" t="s">
        <v>702</v>
      </c>
      <c r="J1592" t="s">
        <v>35</v>
      </c>
      <c r="L1592" t="b">
        <v>0</v>
      </c>
      <c r="M1592" t="s">
        <v>258</v>
      </c>
      <c r="N1592" t="s">
        <v>8245</v>
      </c>
      <c r="O1592" s="1">
        <v>20227</v>
      </c>
      <c r="P1592" t="s">
        <v>2221</v>
      </c>
      <c r="Q1592" t="s">
        <v>137</v>
      </c>
      <c r="S1592" s="1">
        <v>45020.209027777775</v>
      </c>
      <c r="T1592" t="s">
        <v>245</v>
      </c>
      <c r="U1592" t="s">
        <v>53</v>
      </c>
      <c r="V1592">
        <v>1955</v>
      </c>
      <c r="W1592">
        <v>117.24</v>
      </c>
      <c r="X1592">
        <v>7.5</v>
      </c>
      <c r="Y1592" s="2">
        <v>21427700000000</v>
      </c>
      <c r="Z1592">
        <v>88.2</v>
      </c>
      <c r="AA1592">
        <v>101.8</v>
      </c>
      <c r="AB1592">
        <v>9.6</v>
      </c>
      <c r="AC1592">
        <v>36.6</v>
      </c>
      <c r="AD1592">
        <v>328239523</v>
      </c>
    </row>
    <row r="1593" spans="1:30" x14ac:dyDescent="0.45">
      <c r="A1593">
        <v>1575</v>
      </c>
      <c r="B1593" s="6">
        <v>1900</v>
      </c>
      <c r="C1593" t="s">
        <v>61</v>
      </c>
      <c r="D1593" t="s">
        <v>5383</v>
      </c>
      <c r="E1593">
        <v>63</v>
      </c>
      <c r="F1593" t="s">
        <v>35</v>
      </c>
      <c r="G1593" t="s">
        <v>5384</v>
      </c>
      <c r="H1593" t="s">
        <v>248</v>
      </c>
      <c r="I1593" t="s">
        <v>61</v>
      </c>
      <c r="J1593" t="s">
        <v>35</v>
      </c>
      <c r="K1593" t="s">
        <v>5385</v>
      </c>
      <c r="L1593" t="b">
        <v>1</v>
      </c>
      <c r="M1593" t="s">
        <v>611</v>
      </c>
      <c r="N1593" t="s">
        <v>8245</v>
      </c>
      <c r="O1593" s="10">
        <v>21692</v>
      </c>
      <c r="P1593" t="s">
        <v>5386</v>
      </c>
      <c r="Q1593" t="s">
        <v>401</v>
      </c>
      <c r="R1593" t="s">
        <v>192</v>
      </c>
      <c r="S1593" s="8">
        <v>45020.209027777775</v>
      </c>
      <c r="T1593" t="s">
        <v>78</v>
      </c>
      <c r="U1593" t="s">
        <v>82</v>
      </c>
      <c r="V1593">
        <v>1959</v>
      </c>
      <c r="W1593" s="12">
        <v>117.24</v>
      </c>
      <c r="X1593">
        <v>7.5</v>
      </c>
      <c r="Y1593" s="14">
        <v>21427700000000</v>
      </c>
      <c r="Z1593">
        <v>88.2</v>
      </c>
      <c r="AA1593">
        <v>101.8</v>
      </c>
      <c r="AB1593">
        <v>9.6</v>
      </c>
      <c r="AC1593">
        <v>36.6</v>
      </c>
      <c r="AD1593">
        <v>328239523</v>
      </c>
    </row>
    <row r="1594" spans="1:30" hidden="1" x14ac:dyDescent="0.45">
      <c r="A1594">
        <v>1575</v>
      </c>
      <c r="B1594">
        <v>1900</v>
      </c>
      <c r="C1594" t="s">
        <v>402</v>
      </c>
      <c r="D1594" t="s">
        <v>5387</v>
      </c>
      <c r="E1594">
        <v>53</v>
      </c>
      <c r="F1594" t="s">
        <v>128</v>
      </c>
      <c r="G1594" t="s">
        <v>5388</v>
      </c>
      <c r="H1594" t="s">
        <v>645</v>
      </c>
      <c r="I1594" t="s">
        <v>402</v>
      </c>
      <c r="J1594" t="s">
        <v>128</v>
      </c>
      <c r="L1594" t="b">
        <v>1</v>
      </c>
      <c r="M1594" t="s">
        <v>39</v>
      </c>
      <c r="N1594" t="s">
        <v>8245</v>
      </c>
      <c r="O1594"/>
      <c r="P1594" t="s">
        <v>3405</v>
      </c>
      <c r="Q1594" t="s">
        <v>2374</v>
      </c>
      <c r="S1594" s="1">
        <v>45020.209027777775</v>
      </c>
      <c r="W1594">
        <v>125.08</v>
      </c>
      <c r="X1594">
        <v>2.9</v>
      </c>
      <c r="Y1594" s="2">
        <v>19910000000000</v>
      </c>
      <c r="Z1594">
        <v>50.6</v>
      </c>
      <c r="AA1594">
        <v>100.2</v>
      </c>
      <c r="AB1594">
        <v>9.4</v>
      </c>
      <c r="AC1594">
        <v>59.2</v>
      </c>
      <c r="AD1594">
        <v>1397715000</v>
      </c>
    </row>
    <row r="1595" spans="1:30" hidden="1" x14ac:dyDescent="0.45">
      <c r="A1595">
        <v>1575</v>
      </c>
      <c r="B1595">
        <v>1900</v>
      </c>
      <c r="C1595" t="s">
        <v>33</v>
      </c>
      <c r="D1595" t="s">
        <v>5389</v>
      </c>
      <c r="F1595" t="s">
        <v>194</v>
      </c>
      <c r="G1595" t="s">
        <v>5390</v>
      </c>
      <c r="H1595" t="s">
        <v>752</v>
      </c>
      <c r="I1595" t="s">
        <v>33</v>
      </c>
      <c r="J1595" t="s">
        <v>194</v>
      </c>
      <c r="L1595" t="b">
        <v>0</v>
      </c>
      <c r="M1595" t="s">
        <v>29</v>
      </c>
      <c r="N1595" t="s">
        <v>8245</v>
      </c>
      <c r="O1595"/>
      <c r="P1595" t="s">
        <v>5391</v>
      </c>
      <c r="Q1595" t="s">
        <v>5392</v>
      </c>
      <c r="S1595" s="1">
        <v>45020.209027777775</v>
      </c>
      <c r="W1595">
        <v>112.85</v>
      </c>
      <c r="X1595">
        <v>1.4</v>
      </c>
      <c r="Y1595" s="2">
        <v>3845630030824</v>
      </c>
      <c r="Z1595">
        <v>70.2</v>
      </c>
      <c r="AA1595">
        <v>104</v>
      </c>
      <c r="AB1595">
        <v>11.5</v>
      </c>
      <c r="AC1595">
        <v>48.8</v>
      </c>
      <c r="AD1595">
        <v>83132799</v>
      </c>
    </row>
    <row r="1596" spans="1:30" hidden="1" x14ac:dyDescent="0.45">
      <c r="A1596">
        <v>1575</v>
      </c>
      <c r="B1596">
        <v>1900</v>
      </c>
      <c r="C1596" t="s">
        <v>91</v>
      </c>
      <c r="D1596" t="s">
        <v>5393</v>
      </c>
      <c r="E1596">
        <v>73</v>
      </c>
      <c r="F1596" t="s">
        <v>2037</v>
      </c>
      <c r="G1596" t="s">
        <v>2038</v>
      </c>
      <c r="H1596" t="s">
        <v>5394</v>
      </c>
      <c r="I1596" t="s">
        <v>91</v>
      </c>
      <c r="J1596" t="s">
        <v>2037</v>
      </c>
      <c r="L1596" t="b">
        <v>0</v>
      </c>
      <c r="M1596" t="s">
        <v>29</v>
      </c>
      <c r="N1596" t="s">
        <v>8245</v>
      </c>
      <c r="O1596" s="1">
        <v>18257</v>
      </c>
      <c r="P1596" t="s">
        <v>5395</v>
      </c>
      <c r="Q1596" t="s">
        <v>5396</v>
      </c>
      <c r="S1596" s="1">
        <v>45020.209027777775</v>
      </c>
      <c r="V1596">
        <v>1949</v>
      </c>
      <c r="W1596">
        <v>234.44</v>
      </c>
      <c r="X1596">
        <v>15.2</v>
      </c>
      <c r="Y1596" s="2">
        <v>754411708203</v>
      </c>
      <c r="Z1596">
        <v>23.9</v>
      </c>
      <c r="AA1596">
        <v>93.2</v>
      </c>
      <c r="AB1596">
        <v>17.899999999999999</v>
      </c>
      <c r="AC1596">
        <v>42.3</v>
      </c>
      <c r="AD1596">
        <v>83429615</v>
      </c>
    </row>
    <row r="1597" spans="1:30" hidden="1" x14ac:dyDescent="0.45">
      <c r="A1597">
        <v>1575</v>
      </c>
      <c r="B1597">
        <v>1900</v>
      </c>
      <c r="C1597" t="s">
        <v>91</v>
      </c>
      <c r="D1597" t="s">
        <v>5397</v>
      </c>
      <c r="E1597">
        <v>68</v>
      </c>
      <c r="F1597" t="s">
        <v>2037</v>
      </c>
      <c r="G1597" t="s">
        <v>2038</v>
      </c>
      <c r="H1597" t="s">
        <v>5394</v>
      </c>
      <c r="I1597" t="s">
        <v>91</v>
      </c>
      <c r="J1597" t="s">
        <v>2037</v>
      </c>
      <c r="L1597" t="b">
        <v>0</v>
      </c>
      <c r="M1597" t="s">
        <v>29</v>
      </c>
      <c r="N1597" t="s">
        <v>8245</v>
      </c>
      <c r="O1597" s="1">
        <v>19890</v>
      </c>
      <c r="P1597" t="s">
        <v>5395</v>
      </c>
      <c r="Q1597" t="s">
        <v>5398</v>
      </c>
      <c r="S1597" s="1">
        <v>45020.209027777775</v>
      </c>
      <c r="V1597">
        <v>1954</v>
      </c>
      <c r="W1597">
        <v>234.44</v>
      </c>
      <c r="X1597">
        <v>15.2</v>
      </c>
      <c r="Y1597" s="2">
        <v>754411708203</v>
      </c>
      <c r="Z1597">
        <v>23.9</v>
      </c>
      <c r="AA1597">
        <v>93.2</v>
      </c>
      <c r="AB1597">
        <v>17.899999999999999</v>
      </c>
      <c r="AC1597">
        <v>42.3</v>
      </c>
      <c r="AD1597">
        <v>83429615</v>
      </c>
    </row>
    <row r="1598" spans="1:30" hidden="1" x14ac:dyDescent="0.45">
      <c r="A1598">
        <v>1575</v>
      </c>
      <c r="B1598">
        <v>1900</v>
      </c>
      <c r="C1598" t="s">
        <v>91</v>
      </c>
      <c r="D1598" t="s">
        <v>5399</v>
      </c>
      <c r="E1598">
        <v>90</v>
      </c>
      <c r="F1598" t="s">
        <v>2231</v>
      </c>
      <c r="G1598" t="s">
        <v>2232</v>
      </c>
      <c r="H1598" t="s">
        <v>5400</v>
      </c>
      <c r="I1598" t="s">
        <v>91</v>
      </c>
      <c r="J1598" t="s">
        <v>2231</v>
      </c>
      <c r="L1598" t="b">
        <v>1</v>
      </c>
      <c r="M1598" t="s">
        <v>29</v>
      </c>
      <c r="N1598" t="s">
        <v>8245</v>
      </c>
      <c r="O1598" s="1">
        <v>12027</v>
      </c>
      <c r="P1598" t="s">
        <v>5401</v>
      </c>
      <c r="Q1598" t="s">
        <v>879</v>
      </c>
      <c r="S1598" s="1">
        <v>45020.209027777775</v>
      </c>
      <c r="V1598">
        <v>1932</v>
      </c>
      <c r="W1598">
        <v>232.75</v>
      </c>
      <c r="X1598">
        <v>53.5</v>
      </c>
      <c r="Y1598" s="2">
        <v>449663446954</v>
      </c>
      <c r="Z1598">
        <v>90</v>
      </c>
      <c r="AA1598">
        <v>109.7</v>
      </c>
      <c r="AB1598">
        <v>10.1</v>
      </c>
      <c r="AC1598">
        <v>106.3</v>
      </c>
      <c r="AD1598">
        <v>44938712</v>
      </c>
    </row>
    <row r="1599" spans="1:30" hidden="1" x14ac:dyDescent="0.45">
      <c r="A1599">
        <v>1575</v>
      </c>
      <c r="B1599">
        <v>1900</v>
      </c>
      <c r="C1599" t="s">
        <v>302</v>
      </c>
      <c r="D1599" t="s">
        <v>5402</v>
      </c>
      <c r="E1599">
        <v>65</v>
      </c>
      <c r="F1599" t="s">
        <v>228</v>
      </c>
      <c r="G1599" t="s">
        <v>228</v>
      </c>
      <c r="H1599" t="s">
        <v>304</v>
      </c>
      <c r="I1599" t="s">
        <v>302</v>
      </c>
      <c r="J1599" t="s">
        <v>228</v>
      </c>
      <c r="L1599" t="b">
        <v>0</v>
      </c>
      <c r="M1599" t="s">
        <v>258</v>
      </c>
      <c r="N1599" t="s">
        <v>8245</v>
      </c>
      <c r="O1599" s="1">
        <v>20969</v>
      </c>
      <c r="P1599" t="s">
        <v>5403</v>
      </c>
      <c r="Q1599" t="s">
        <v>169</v>
      </c>
      <c r="S1599" s="1">
        <v>45020.209027777775</v>
      </c>
      <c r="V1599">
        <v>1957</v>
      </c>
      <c r="W1599"/>
      <c r="Y1599"/>
    </row>
    <row r="1600" spans="1:30" hidden="1" x14ac:dyDescent="0.45">
      <c r="A1600">
        <v>1575</v>
      </c>
      <c r="B1600">
        <v>1900</v>
      </c>
      <c r="C1600" t="s">
        <v>23</v>
      </c>
      <c r="D1600" t="s">
        <v>5404</v>
      </c>
      <c r="E1600">
        <v>59</v>
      </c>
      <c r="F1600" t="s">
        <v>128</v>
      </c>
      <c r="G1600" t="s">
        <v>5405</v>
      </c>
      <c r="H1600" t="s">
        <v>3555</v>
      </c>
      <c r="I1600" t="s">
        <v>23</v>
      </c>
      <c r="J1600" t="s">
        <v>164</v>
      </c>
      <c r="L1600" t="b">
        <v>1</v>
      </c>
      <c r="M1600" t="s">
        <v>39</v>
      </c>
      <c r="N1600" t="s">
        <v>8245</v>
      </c>
      <c r="O1600" s="1">
        <v>23316</v>
      </c>
      <c r="P1600" t="s">
        <v>2721</v>
      </c>
      <c r="Q1600" t="s">
        <v>5406</v>
      </c>
      <c r="S1600" s="1">
        <v>45020.209027777775</v>
      </c>
      <c r="V1600">
        <v>1963</v>
      </c>
      <c r="W1600">
        <v>125.08</v>
      </c>
      <c r="X1600">
        <v>2.9</v>
      </c>
      <c r="Y1600" s="2">
        <v>19910000000000</v>
      </c>
      <c r="Z1600">
        <v>50.6</v>
      </c>
      <c r="AA1600">
        <v>100.2</v>
      </c>
      <c r="AB1600">
        <v>9.4</v>
      </c>
      <c r="AC1600">
        <v>59.2</v>
      </c>
      <c r="AD1600">
        <v>1397715000</v>
      </c>
    </row>
    <row r="1601" spans="1:30" hidden="1" x14ac:dyDescent="0.45">
      <c r="A1601">
        <v>1575</v>
      </c>
      <c r="B1601">
        <v>1900</v>
      </c>
      <c r="C1601" t="s">
        <v>296</v>
      </c>
      <c r="D1601" t="s">
        <v>5407</v>
      </c>
      <c r="E1601">
        <v>81</v>
      </c>
      <c r="F1601" t="s">
        <v>93</v>
      </c>
      <c r="G1601" t="s">
        <v>343</v>
      </c>
      <c r="H1601" t="s">
        <v>2724</v>
      </c>
      <c r="I1601" t="s">
        <v>296</v>
      </c>
      <c r="J1601" t="s">
        <v>93</v>
      </c>
      <c r="L1601" t="b">
        <v>0</v>
      </c>
      <c r="M1601" t="s">
        <v>29</v>
      </c>
      <c r="N1601" t="s">
        <v>8245</v>
      </c>
      <c r="O1601" s="1">
        <v>15354</v>
      </c>
      <c r="P1601" t="s">
        <v>2725</v>
      </c>
      <c r="Q1601" t="s">
        <v>5408</v>
      </c>
      <c r="S1601" s="1">
        <v>45020.209027777775</v>
      </c>
      <c r="V1601">
        <v>1942</v>
      </c>
      <c r="W1601">
        <v>180.44</v>
      </c>
      <c r="X1601">
        <v>7.7</v>
      </c>
      <c r="Y1601" s="2">
        <v>2611000000000</v>
      </c>
      <c r="Z1601">
        <v>28.1</v>
      </c>
      <c r="AA1601">
        <v>113</v>
      </c>
      <c r="AB1601">
        <v>11.2</v>
      </c>
      <c r="AC1601">
        <v>49.7</v>
      </c>
      <c r="AD1601">
        <v>1366417754</v>
      </c>
    </row>
    <row r="1602" spans="1:30" hidden="1" x14ac:dyDescent="0.45">
      <c r="A1602">
        <v>1575</v>
      </c>
      <c r="B1602">
        <v>1900</v>
      </c>
      <c r="C1602" t="s">
        <v>91</v>
      </c>
      <c r="D1602" t="s">
        <v>5409</v>
      </c>
      <c r="E1602">
        <v>39</v>
      </c>
      <c r="F1602" t="s">
        <v>205</v>
      </c>
      <c r="G1602" t="s">
        <v>5410</v>
      </c>
      <c r="H1602" t="s">
        <v>2720</v>
      </c>
      <c r="I1602" t="s">
        <v>91</v>
      </c>
      <c r="J1602" t="s">
        <v>1297</v>
      </c>
      <c r="L1602" t="b">
        <v>0</v>
      </c>
      <c r="M1602" t="s">
        <v>39</v>
      </c>
      <c r="N1602" t="s">
        <v>8246</v>
      </c>
      <c r="O1602" s="1">
        <v>30682</v>
      </c>
      <c r="P1602" t="s">
        <v>5411</v>
      </c>
      <c r="Q1602" t="s">
        <v>5412</v>
      </c>
      <c r="S1602" s="1">
        <v>45020.209027777775</v>
      </c>
      <c r="V1602">
        <v>1984</v>
      </c>
      <c r="W1602">
        <v>99.55</v>
      </c>
      <c r="X1602">
        <v>0.4</v>
      </c>
      <c r="Y1602" s="2">
        <v>703082435360</v>
      </c>
      <c r="Z1602">
        <v>59.6</v>
      </c>
      <c r="AA1602">
        <v>105.2</v>
      </c>
      <c r="AB1602">
        <v>10.1</v>
      </c>
      <c r="AC1602">
        <v>28.8</v>
      </c>
      <c r="AD1602">
        <v>8574832</v>
      </c>
    </row>
    <row r="1603" spans="1:30" hidden="1" x14ac:dyDescent="0.45">
      <c r="A1603">
        <v>1575</v>
      </c>
      <c r="B1603">
        <v>1900</v>
      </c>
      <c r="C1603" t="s">
        <v>61</v>
      </c>
      <c r="D1603" t="s">
        <v>5413</v>
      </c>
      <c r="E1603">
        <v>81</v>
      </c>
      <c r="F1603" t="s">
        <v>85</v>
      </c>
      <c r="G1603" t="s">
        <v>86</v>
      </c>
      <c r="H1603" t="s">
        <v>5414</v>
      </c>
      <c r="I1603" t="s">
        <v>61</v>
      </c>
      <c r="J1603" t="s">
        <v>85</v>
      </c>
      <c r="L1603" t="b">
        <v>1</v>
      </c>
      <c r="M1603" t="s">
        <v>611</v>
      </c>
      <c r="N1603" t="s">
        <v>8245</v>
      </c>
      <c r="O1603" s="1">
        <v>15424</v>
      </c>
      <c r="P1603" t="s">
        <v>5415</v>
      </c>
      <c r="Q1603" t="s">
        <v>5341</v>
      </c>
      <c r="S1603" s="1">
        <v>45020.209027777775</v>
      </c>
      <c r="V1603">
        <v>1942</v>
      </c>
      <c r="W1603">
        <v>141.54</v>
      </c>
      <c r="X1603">
        <v>3.6</v>
      </c>
      <c r="Y1603" s="2">
        <v>1258286717125</v>
      </c>
      <c r="Z1603">
        <v>40.200000000000003</v>
      </c>
      <c r="AA1603">
        <v>105.8</v>
      </c>
      <c r="AB1603">
        <v>13.1</v>
      </c>
      <c r="AC1603">
        <v>55.1</v>
      </c>
      <c r="AD1603">
        <v>126014024</v>
      </c>
    </row>
    <row r="1604" spans="1:30" x14ac:dyDescent="0.45">
      <c r="A1604">
        <v>1575</v>
      </c>
      <c r="B1604" s="6">
        <v>1900</v>
      </c>
      <c r="C1604" t="s">
        <v>45</v>
      </c>
      <c r="D1604" t="s">
        <v>5416</v>
      </c>
      <c r="E1604">
        <v>55</v>
      </c>
      <c r="F1604" t="s">
        <v>35</v>
      </c>
      <c r="G1604" t="s">
        <v>110</v>
      </c>
      <c r="H1604" t="s">
        <v>5417</v>
      </c>
      <c r="I1604" t="s">
        <v>45</v>
      </c>
      <c r="J1604" t="s">
        <v>35</v>
      </c>
      <c r="K1604" t="s">
        <v>5418</v>
      </c>
      <c r="L1604" t="b">
        <v>1</v>
      </c>
      <c r="M1604" t="s">
        <v>39</v>
      </c>
      <c r="N1604" t="s">
        <v>8245</v>
      </c>
      <c r="O1604" s="10">
        <v>24689</v>
      </c>
      <c r="P1604" t="s">
        <v>5419</v>
      </c>
      <c r="Q1604" t="s">
        <v>5420</v>
      </c>
      <c r="R1604" t="s">
        <v>5421</v>
      </c>
      <c r="S1604" s="8">
        <v>45020.209027777775</v>
      </c>
      <c r="T1604" t="s">
        <v>115</v>
      </c>
      <c r="U1604" t="s">
        <v>53</v>
      </c>
      <c r="V1604">
        <v>1967</v>
      </c>
      <c r="W1604" s="12">
        <v>117.24</v>
      </c>
      <c r="X1604">
        <v>7.5</v>
      </c>
      <c r="Y1604" s="14">
        <v>21427700000000</v>
      </c>
      <c r="Z1604">
        <v>88.2</v>
      </c>
      <c r="AA1604">
        <v>101.8</v>
      </c>
      <c r="AB1604">
        <v>9.6</v>
      </c>
      <c r="AC1604">
        <v>36.6</v>
      </c>
      <c r="AD1604">
        <v>328239523</v>
      </c>
    </row>
    <row r="1605" spans="1:30" hidden="1" x14ac:dyDescent="0.45">
      <c r="A1605">
        <v>1575</v>
      </c>
      <c r="B1605">
        <v>1900</v>
      </c>
      <c r="C1605" t="s">
        <v>296</v>
      </c>
      <c r="D1605" t="s">
        <v>5422</v>
      </c>
      <c r="E1605">
        <v>64</v>
      </c>
      <c r="F1605" t="s">
        <v>128</v>
      </c>
      <c r="G1605" t="s">
        <v>5423</v>
      </c>
      <c r="H1605" t="s">
        <v>399</v>
      </c>
      <c r="I1605" t="s">
        <v>296</v>
      </c>
      <c r="J1605" t="s">
        <v>128</v>
      </c>
      <c r="L1605" t="b">
        <v>1</v>
      </c>
      <c r="M1605" t="s">
        <v>29</v>
      </c>
      <c r="N1605" t="s">
        <v>8245</v>
      </c>
      <c r="O1605" s="1">
        <v>21551</v>
      </c>
      <c r="P1605" t="s">
        <v>2526</v>
      </c>
      <c r="Q1605" t="s">
        <v>5424</v>
      </c>
      <c r="S1605" s="1">
        <v>45020.209027777775</v>
      </c>
      <c r="V1605">
        <v>1959</v>
      </c>
      <c r="W1605">
        <v>125.08</v>
      </c>
      <c r="X1605">
        <v>2.9</v>
      </c>
      <c r="Y1605" s="2">
        <v>19910000000000</v>
      </c>
      <c r="Z1605">
        <v>50.6</v>
      </c>
      <c r="AA1605">
        <v>100.2</v>
      </c>
      <c r="AB1605">
        <v>9.4</v>
      </c>
      <c r="AC1605">
        <v>59.2</v>
      </c>
      <c r="AD1605">
        <v>1397715000</v>
      </c>
    </row>
    <row r="1606" spans="1:30" hidden="1" x14ac:dyDescent="0.45">
      <c r="A1606">
        <v>1575</v>
      </c>
      <c r="B1606">
        <v>1900</v>
      </c>
      <c r="C1606" t="s">
        <v>302</v>
      </c>
      <c r="D1606" t="s">
        <v>5425</v>
      </c>
      <c r="E1606">
        <v>63</v>
      </c>
      <c r="F1606" t="s">
        <v>35</v>
      </c>
      <c r="G1606" t="s">
        <v>224</v>
      </c>
      <c r="H1606" t="s">
        <v>5426</v>
      </c>
      <c r="I1606" t="s">
        <v>302</v>
      </c>
      <c r="J1606" t="s">
        <v>35</v>
      </c>
      <c r="L1606" t="b">
        <v>0</v>
      </c>
      <c r="M1606" t="s">
        <v>39</v>
      </c>
      <c r="N1606" t="s">
        <v>8245</v>
      </c>
      <c r="O1606" s="1">
        <v>21697</v>
      </c>
      <c r="P1606" t="s">
        <v>5427</v>
      </c>
      <c r="Q1606" t="s">
        <v>5428</v>
      </c>
      <c r="S1606" s="1">
        <v>45020.209027777775</v>
      </c>
      <c r="T1606" t="s">
        <v>226</v>
      </c>
      <c r="U1606" t="s">
        <v>44</v>
      </c>
      <c r="V1606">
        <v>1959</v>
      </c>
      <c r="W1606">
        <v>117.24</v>
      </c>
      <c r="X1606">
        <v>7.5</v>
      </c>
      <c r="Y1606" s="2">
        <v>21427700000000</v>
      </c>
      <c r="Z1606">
        <v>88.2</v>
      </c>
      <c r="AA1606">
        <v>101.8</v>
      </c>
      <c r="AB1606">
        <v>9.6</v>
      </c>
      <c r="AC1606">
        <v>36.6</v>
      </c>
      <c r="AD1606">
        <v>328239523</v>
      </c>
    </row>
    <row r="1607" spans="1:30" hidden="1" x14ac:dyDescent="0.45">
      <c r="A1607">
        <v>1575</v>
      </c>
      <c r="B1607">
        <v>1900</v>
      </c>
      <c r="C1607" t="s">
        <v>302</v>
      </c>
      <c r="D1607" t="s">
        <v>5429</v>
      </c>
      <c r="E1607">
        <v>72</v>
      </c>
      <c r="F1607" t="s">
        <v>228</v>
      </c>
      <c r="G1607" t="s">
        <v>228</v>
      </c>
      <c r="H1607" t="s">
        <v>304</v>
      </c>
      <c r="I1607" t="s">
        <v>302</v>
      </c>
      <c r="J1607" t="s">
        <v>228</v>
      </c>
      <c r="L1607" t="b">
        <v>1</v>
      </c>
      <c r="M1607" t="s">
        <v>39</v>
      </c>
      <c r="N1607" t="s">
        <v>8245</v>
      </c>
      <c r="O1607" s="1">
        <v>18445</v>
      </c>
      <c r="P1607" t="s">
        <v>3693</v>
      </c>
      <c r="Q1607" t="s">
        <v>5430</v>
      </c>
      <c r="S1607" s="1">
        <v>45020.209027777775</v>
      </c>
      <c r="V1607">
        <v>1950</v>
      </c>
      <c r="W1607"/>
      <c r="Y1607"/>
    </row>
    <row r="1608" spans="1:30" hidden="1" x14ac:dyDescent="0.45">
      <c r="A1608">
        <v>1575</v>
      </c>
      <c r="B1608">
        <v>1900</v>
      </c>
      <c r="C1608" t="s">
        <v>61</v>
      </c>
      <c r="D1608" t="s">
        <v>5431</v>
      </c>
      <c r="E1608">
        <v>64</v>
      </c>
      <c r="F1608" t="s">
        <v>35</v>
      </c>
      <c r="G1608" t="s">
        <v>751</v>
      </c>
      <c r="H1608" t="s">
        <v>930</v>
      </c>
      <c r="I1608" t="s">
        <v>61</v>
      </c>
      <c r="J1608" t="s">
        <v>35</v>
      </c>
      <c r="L1608" t="b">
        <v>1</v>
      </c>
      <c r="M1608" t="s">
        <v>29</v>
      </c>
      <c r="N1608" t="s">
        <v>8245</v>
      </c>
      <c r="O1608" s="1">
        <v>21590</v>
      </c>
      <c r="P1608" t="s">
        <v>5432</v>
      </c>
      <c r="Q1608" t="s">
        <v>373</v>
      </c>
      <c r="R1608" t="s">
        <v>688</v>
      </c>
      <c r="S1608" s="1">
        <v>45020.209027777775</v>
      </c>
      <c r="T1608" t="s">
        <v>253</v>
      </c>
      <c r="U1608" t="s">
        <v>44</v>
      </c>
      <c r="V1608">
        <v>1959</v>
      </c>
      <c r="W1608">
        <v>117.24</v>
      </c>
      <c r="X1608">
        <v>7.5</v>
      </c>
      <c r="Y1608" s="2">
        <v>21427700000000</v>
      </c>
      <c r="Z1608">
        <v>88.2</v>
      </c>
      <c r="AA1608">
        <v>101.8</v>
      </c>
      <c r="AB1608">
        <v>9.6</v>
      </c>
      <c r="AC1608">
        <v>36.6</v>
      </c>
      <c r="AD1608">
        <v>328239523</v>
      </c>
    </row>
    <row r="1609" spans="1:30" hidden="1" x14ac:dyDescent="0.45">
      <c r="A1609">
        <v>1575</v>
      </c>
      <c r="B1609">
        <v>1900</v>
      </c>
      <c r="C1609" t="s">
        <v>61</v>
      </c>
      <c r="D1609" t="s">
        <v>5433</v>
      </c>
      <c r="E1609">
        <v>77</v>
      </c>
      <c r="F1609" t="s">
        <v>35</v>
      </c>
      <c r="G1609" t="s">
        <v>5434</v>
      </c>
      <c r="H1609" t="s">
        <v>317</v>
      </c>
      <c r="I1609" t="s">
        <v>61</v>
      </c>
      <c r="J1609" t="s">
        <v>35</v>
      </c>
      <c r="L1609" t="b">
        <v>1</v>
      </c>
      <c r="M1609" t="s">
        <v>29</v>
      </c>
      <c r="N1609" t="s">
        <v>8245</v>
      </c>
      <c r="O1609" s="1">
        <v>16803</v>
      </c>
      <c r="P1609" t="s">
        <v>5435</v>
      </c>
      <c r="Q1609" t="s">
        <v>1068</v>
      </c>
      <c r="S1609" s="1">
        <v>45020.209027777775</v>
      </c>
      <c r="T1609" t="s">
        <v>115</v>
      </c>
      <c r="U1609" t="s">
        <v>53</v>
      </c>
      <c r="V1609">
        <v>1946</v>
      </c>
      <c r="W1609">
        <v>117.24</v>
      </c>
      <c r="X1609">
        <v>7.5</v>
      </c>
      <c r="Y1609" s="2">
        <v>21427700000000</v>
      </c>
      <c r="Z1609">
        <v>88.2</v>
      </c>
      <c r="AA1609">
        <v>101.8</v>
      </c>
      <c r="AB1609">
        <v>9.6</v>
      </c>
      <c r="AC1609">
        <v>36.6</v>
      </c>
      <c r="AD1609">
        <v>328239523</v>
      </c>
    </row>
    <row r="1610" spans="1:30" hidden="1" x14ac:dyDescent="0.45">
      <c r="A1610">
        <v>1575</v>
      </c>
      <c r="B1610">
        <v>1900</v>
      </c>
      <c r="C1610" t="s">
        <v>61</v>
      </c>
      <c r="D1610" t="s">
        <v>5436</v>
      </c>
      <c r="E1610">
        <v>45</v>
      </c>
      <c r="F1610" t="s">
        <v>272</v>
      </c>
      <c r="G1610" t="s">
        <v>273</v>
      </c>
      <c r="H1610" t="s">
        <v>91</v>
      </c>
      <c r="I1610" t="s">
        <v>61</v>
      </c>
      <c r="J1610" t="s">
        <v>1761</v>
      </c>
      <c r="L1610" t="b">
        <v>0</v>
      </c>
      <c r="M1610" t="s">
        <v>29</v>
      </c>
      <c r="N1610" t="s">
        <v>8246</v>
      </c>
      <c r="O1610" s="1">
        <v>28336</v>
      </c>
      <c r="P1610" t="s">
        <v>5437</v>
      </c>
      <c r="Q1610" t="s">
        <v>5438</v>
      </c>
      <c r="S1610" s="1">
        <v>45020.209027777775</v>
      </c>
      <c r="V1610">
        <v>1977</v>
      </c>
      <c r="W1610">
        <v>119.62</v>
      </c>
      <c r="X1610">
        <v>1.7</v>
      </c>
      <c r="Y1610" s="2">
        <v>2827113184696</v>
      </c>
      <c r="Z1610">
        <v>60</v>
      </c>
      <c r="AA1610">
        <v>101.2</v>
      </c>
      <c r="AB1610">
        <v>25.5</v>
      </c>
      <c r="AC1610">
        <v>30.6</v>
      </c>
      <c r="AD1610">
        <v>66834405</v>
      </c>
    </row>
    <row r="1611" spans="1:30" x14ac:dyDescent="0.45">
      <c r="A1611">
        <v>1575</v>
      </c>
      <c r="B1611" s="6">
        <v>1900</v>
      </c>
      <c r="C1611" t="s">
        <v>61</v>
      </c>
      <c r="D1611" t="s">
        <v>5439</v>
      </c>
      <c r="E1611">
        <v>60</v>
      </c>
      <c r="F1611" t="s">
        <v>35</v>
      </c>
      <c r="G1611" t="s">
        <v>1223</v>
      </c>
      <c r="H1611" t="s">
        <v>5440</v>
      </c>
      <c r="I1611" t="s">
        <v>61</v>
      </c>
      <c r="J1611" t="s">
        <v>35</v>
      </c>
      <c r="K1611" t="s">
        <v>5441</v>
      </c>
      <c r="L1611" t="b">
        <v>1</v>
      </c>
      <c r="M1611" t="s">
        <v>29</v>
      </c>
      <c r="N1611" t="s">
        <v>8245</v>
      </c>
      <c r="O1611" s="10">
        <v>22846</v>
      </c>
      <c r="P1611" t="s">
        <v>5442</v>
      </c>
      <c r="Q1611" t="s">
        <v>1550</v>
      </c>
      <c r="R1611" t="s">
        <v>192</v>
      </c>
      <c r="S1611" s="8">
        <v>45020.209027777775</v>
      </c>
      <c r="T1611" t="s">
        <v>253</v>
      </c>
      <c r="U1611" t="s">
        <v>44</v>
      </c>
      <c r="V1611">
        <v>1962</v>
      </c>
      <c r="W1611" s="12">
        <v>117.24</v>
      </c>
      <c r="X1611">
        <v>7.5</v>
      </c>
      <c r="Y1611" s="14">
        <v>21427700000000</v>
      </c>
      <c r="Z1611">
        <v>88.2</v>
      </c>
      <c r="AA1611">
        <v>101.8</v>
      </c>
      <c r="AB1611">
        <v>9.6</v>
      </c>
      <c r="AC1611">
        <v>36.6</v>
      </c>
      <c r="AD1611">
        <v>328239523</v>
      </c>
    </row>
    <row r="1612" spans="1:30" hidden="1" x14ac:dyDescent="0.45">
      <c r="A1612">
        <v>1575</v>
      </c>
      <c r="B1612">
        <v>1900</v>
      </c>
      <c r="C1612" t="s">
        <v>91</v>
      </c>
      <c r="D1612" t="s">
        <v>5443</v>
      </c>
      <c r="F1612" t="s">
        <v>628</v>
      </c>
      <c r="G1612" t="s">
        <v>629</v>
      </c>
      <c r="H1612" t="s">
        <v>91</v>
      </c>
      <c r="I1612" t="s">
        <v>91</v>
      </c>
      <c r="J1612" t="s">
        <v>628</v>
      </c>
      <c r="L1612" t="b">
        <v>0</v>
      </c>
      <c r="M1612" t="s">
        <v>258</v>
      </c>
      <c r="N1612" t="s">
        <v>8245</v>
      </c>
      <c r="O1612"/>
      <c r="P1612" t="s">
        <v>5444</v>
      </c>
      <c r="Q1612" t="s">
        <v>5445</v>
      </c>
      <c r="S1612" s="1">
        <v>45020.209027777775</v>
      </c>
      <c r="W1612">
        <v>113.27</v>
      </c>
      <c r="X1612">
        <v>0.7</v>
      </c>
      <c r="Y1612" s="2">
        <v>543649976166</v>
      </c>
      <c r="Z1612">
        <v>49.3</v>
      </c>
      <c r="AA1612">
        <v>99.8</v>
      </c>
      <c r="AB1612">
        <v>14.9</v>
      </c>
      <c r="AC1612">
        <v>29.5</v>
      </c>
      <c r="AD1612">
        <v>69625582</v>
      </c>
    </row>
    <row r="1613" spans="1:30" x14ac:dyDescent="0.45">
      <c r="A1613">
        <v>1575</v>
      </c>
      <c r="B1613" s="6">
        <v>1900</v>
      </c>
      <c r="C1613" t="s">
        <v>126</v>
      </c>
      <c r="D1613" t="s">
        <v>5446</v>
      </c>
      <c r="E1613">
        <v>85</v>
      </c>
      <c r="F1613" t="s">
        <v>35</v>
      </c>
      <c r="G1613" t="s">
        <v>5447</v>
      </c>
      <c r="H1613" t="s">
        <v>418</v>
      </c>
      <c r="I1613" t="s">
        <v>126</v>
      </c>
      <c r="J1613" t="s">
        <v>35</v>
      </c>
      <c r="K1613" t="s">
        <v>5448</v>
      </c>
      <c r="L1613" t="b">
        <v>0</v>
      </c>
      <c r="M1613" t="s">
        <v>39</v>
      </c>
      <c r="N1613" t="s">
        <v>8245</v>
      </c>
      <c r="O1613" s="10">
        <v>13841</v>
      </c>
      <c r="P1613" t="s">
        <v>5449</v>
      </c>
      <c r="Q1613" t="s">
        <v>401</v>
      </c>
      <c r="R1613" t="s">
        <v>170</v>
      </c>
      <c r="S1613" s="8">
        <v>45020.209027777775</v>
      </c>
      <c r="T1613" t="s">
        <v>820</v>
      </c>
      <c r="U1613" t="s">
        <v>53</v>
      </c>
      <c r="V1613">
        <v>1937</v>
      </c>
      <c r="W1613" s="12">
        <v>117.24</v>
      </c>
      <c r="X1613">
        <v>7.5</v>
      </c>
      <c r="Y1613" s="14">
        <v>21427700000000</v>
      </c>
      <c r="Z1613">
        <v>88.2</v>
      </c>
      <c r="AA1613">
        <v>101.8</v>
      </c>
      <c r="AB1613">
        <v>9.6</v>
      </c>
      <c r="AC1613">
        <v>36.6</v>
      </c>
      <c r="AD1613">
        <v>328239523</v>
      </c>
    </row>
    <row r="1614" spans="1:30" hidden="1" x14ac:dyDescent="0.45">
      <c r="A1614">
        <v>1575</v>
      </c>
      <c r="B1614">
        <v>1900</v>
      </c>
      <c r="C1614" t="s">
        <v>302</v>
      </c>
      <c r="D1614" t="s">
        <v>5450</v>
      </c>
      <c r="E1614">
        <v>61</v>
      </c>
      <c r="F1614" t="s">
        <v>35</v>
      </c>
      <c r="G1614" t="s">
        <v>5451</v>
      </c>
      <c r="H1614" t="s">
        <v>304</v>
      </c>
      <c r="I1614" t="s">
        <v>302</v>
      </c>
      <c r="J1614" t="s">
        <v>35</v>
      </c>
      <c r="L1614" t="b">
        <v>1</v>
      </c>
      <c r="M1614" t="s">
        <v>611</v>
      </c>
      <c r="N1614" t="s">
        <v>8245</v>
      </c>
      <c r="O1614" s="1">
        <v>22606</v>
      </c>
      <c r="P1614" t="s">
        <v>5452</v>
      </c>
      <c r="Q1614" t="s">
        <v>169</v>
      </c>
      <c r="S1614" s="1">
        <v>45020.209027777775</v>
      </c>
      <c r="T1614" t="s">
        <v>78</v>
      </c>
      <c r="U1614" t="s">
        <v>82</v>
      </c>
      <c r="V1614">
        <v>1961</v>
      </c>
      <c r="W1614">
        <v>117.24</v>
      </c>
      <c r="X1614">
        <v>7.5</v>
      </c>
      <c r="Y1614" s="2">
        <v>21427700000000</v>
      </c>
      <c r="Z1614">
        <v>88.2</v>
      </c>
      <c r="AA1614">
        <v>101.8</v>
      </c>
      <c r="AB1614">
        <v>9.6</v>
      </c>
      <c r="AC1614">
        <v>36.6</v>
      </c>
      <c r="AD1614">
        <v>328239523</v>
      </c>
    </row>
    <row r="1615" spans="1:30" hidden="1" x14ac:dyDescent="0.45">
      <c r="A1615">
        <v>1575</v>
      </c>
      <c r="B1615">
        <v>1900</v>
      </c>
      <c r="C1615" t="s">
        <v>302</v>
      </c>
      <c r="D1615" t="s">
        <v>5453</v>
      </c>
      <c r="E1615">
        <v>56</v>
      </c>
      <c r="F1615" t="s">
        <v>128</v>
      </c>
      <c r="G1615" t="s">
        <v>187</v>
      </c>
      <c r="H1615" t="s">
        <v>304</v>
      </c>
      <c r="I1615" t="s">
        <v>302</v>
      </c>
      <c r="J1615" t="s">
        <v>228</v>
      </c>
      <c r="L1615" t="b">
        <v>1</v>
      </c>
      <c r="M1615" t="s">
        <v>611</v>
      </c>
      <c r="N1615" t="s">
        <v>8245</v>
      </c>
      <c r="O1615" s="1">
        <v>24381</v>
      </c>
      <c r="P1615" t="s">
        <v>1261</v>
      </c>
      <c r="Q1615" t="s">
        <v>5454</v>
      </c>
      <c r="S1615" s="1">
        <v>45020.209027777775</v>
      </c>
      <c r="V1615">
        <v>1966</v>
      </c>
      <c r="W1615">
        <v>125.08</v>
      </c>
      <c r="X1615">
        <v>2.9</v>
      </c>
      <c r="Y1615" s="2">
        <v>19910000000000</v>
      </c>
      <c r="Z1615">
        <v>50.6</v>
      </c>
      <c r="AA1615">
        <v>100.2</v>
      </c>
      <c r="AB1615">
        <v>9.4</v>
      </c>
      <c r="AC1615">
        <v>59.2</v>
      </c>
      <c r="AD1615">
        <v>1397715000</v>
      </c>
    </row>
    <row r="1616" spans="1:30" hidden="1" x14ac:dyDescent="0.45">
      <c r="A1616">
        <v>1575</v>
      </c>
      <c r="B1616">
        <v>1900</v>
      </c>
      <c r="C1616" t="s">
        <v>126</v>
      </c>
      <c r="D1616" t="s">
        <v>5455</v>
      </c>
      <c r="E1616">
        <v>69</v>
      </c>
      <c r="F1616" t="s">
        <v>35</v>
      </c>
      <c r="G1616" t="s">
        <v>964</v>
      </c>
      <c r="H1616" t="s">
        <v>1509</v>
      </c>
      <c r="I1616" t="s">
        <v>126</v>
      </c>
      <c r="J1616" t="s">
        <v>35</v>
      </c>
      <c r="L1616" t="b">
        <v>0</v>
      </c>
      <c r="M1616" t="s">
        <v>39</v>
      </c>
      <c r="N1616" t="s">
        <v>8246</v>
      </c>
      <c r="O1616" s="1">
        <v>19725</v>
      </c>
      <c r="P1616" t="s">
        <v>5456</v>
      </c>
      <c r="Q1616" t="s">
        <v>5457</v>
      </c>
      <c r="S1616" s="1">
        <v>45020.209027777775</v>
      </c>
      <c r="T1616" t="s">
        <v>115</v>
      </c>
      <c r="U1616" t="s">
        <v>53</v>
      </c>
      <c r="V1616">
        <v>1954</v>
      </c>
      <c r="W1616">
        <v>117.24</v>
      </c>
      <c r="X1616">
        <v>7.5</v>
      </c>
      <c r="Y1616" s="2">
        <v>21427700000000</v>
      </c>
      <c r="Z1616">
        <v>88.2</v>
      </c>
      <c r="AA1616">
        <v>101.8</v>
      </c>
      <c r="AB1616">
        <v>9.6</v>
      </c>
      <c r="AC1616">
        <v>36.6</v>
      </c>
      <c r="AD1616">
        <v>328239523</v>
      </c>
    </row>
    <row r="1617" spans="1:30" hidden="1" x14ac:dyDescent="0.45">
      <c r="A1617">
        <v>1575</v>
      </c>
      <c r="B1617">
        <v>1900</v>
      </c>
      <c r="C1617" t="s">
        <v>83</v>
      </c>
      <c r="D1617" t="s">
        <v>5458</v>
      </c>
      <c r="E1617">
        <v>62</v>
      </c>
      <c r="F1617" t="s">
        <v>272</v>
      </c>
      <c r="G1617" t="s">
        <v>273</v>
      </c>
      <c r="H1617" t="s">
        <v>83</v>
      </c>
      <c r="I1617" t="s">
        <v>83</v>
      </c>
      <c r="J1617" t="s">
        <v>5459</v>
      </c>
      <c r="L1617" t="b">
        <v>1</v>
      </c>
      <c r="M1617" t="s">
        <v>39</v>
      </c>
      <c r="N1617" t="s">
        <v>8245</v>
      </c>
      <c r="O1617" s="1">
        <v>22310</v>
      </c>
      <c r="P1617" t="s">
        <v>5460</v>
      </c>
      <c r="Q1617" t="s">
        <v>5461</v>
      </c>
      <c r="S1617" s="1">
        <v>45020.209027777775</v>
      </c>
      <c r="V1617">
        <v>1961</v>
      </c>
      <c r="W1617">
        <v>119.62</v>
      </c>
      <c r="X1617">
        <v>1.7</v>
      </c>
      <c r="Y1617" s="2">
        <v>2827113184696</v>
      </c>
      <c r="Z1617">
        <v>60</v>
      </c>
      <c r="AA1617">
        <v>101.2</v>
      </c>
      <c r="AB1617">
        <v>25.5</v>
      </c>
      <c r="AC1617">
        <v>30.6</v>
      </c>
      <c r="AD1617">
        <v>66834405</v>
      </c>
    </row>
    <row r="1618" spans="1:30" hidden="1" x14ac:dyDescent="0.45">
      <c r="A1618">
        <v>1575</v>
      </c>
      <c r="B1618">
        <v>1900</v>
      </c>
      <c r="C1618" t="s">
        <v>23</v>
      </c>
      <c r="D1618" t="s">
        <v>5462</v>
      </c>
      <c r="E1618">
        <v>89</v>
      </c>
      <c r="F1618" t="s">
        <v>228</v>
      </c>
      <c r="G1618" t="s">
        <v>228</v>
      </c>
      <c r="H1618" t="s">
        <v>196</v>
      </c>
      <c r="I1618" t="s">
        <v>23</v>
      </c>
      <c r="J1618" t="s">
        <v>272</v>
      </c>
      <c r="L1618" t="b">
        <v>1</v>
      </c>
      <c r="M1618" t="s">
        <v>39</v>
      </c>
      <c r="N1618" t="s">
        <v>8245</v>
      </c>
      <c r="O1618" s="1">
        <v>12197</v>
      </c>
      <c r="P1618" t="s">
        <v>2750</v>
      </c>
      <c r="Q1618" t="s">
        <v>619</v>
      </c>
      <c r="S1618" s="1">
        <v>45020.209027777775</v>
      </c>
      <c r="V1618">
        <v>1933</v>
      </c>
      <c r="W1618"/>
      <c r="Y1618"/>
    </row>
    <row r="1619" spans="1:30" hidden="1" x14ac:dyDescent="0.45">
      <c r="A1619">
        <v>1575</v>
      </c>
      <c r="B1619">
        <v>1900</v>
      </c>
      <c r="C1619" t="s">
        <v>45</v>
      </c>
      <c r="D1619" t="s">
        <v>5463</v>
      </c>
      <c r="E1619">
        <v>55</v>
      </c>
      <c r="F1619" t="s">
        <v>272</v>
      </c>
      <c r="G1619" t="s">
        <v>5464</v>
      </c>
      <c r="H1619" t="s">
        <v>5465</v>
      </c>
      <c r="I1619" t="s">
        <v>45</v>
      </c>
      <c r="J1619" t="s">
        <v>272</v>
      </c>
      <c r="L1619" t="b">
        <v>1</v>
      </c>
      <c r="M1619" t="s">
        <v>29</v>
      </c>
      <c r="N1619" t="s">
        <v>8245</v>
      </c>
      <c r="O1619" s="1">
        <v>24685</v>
      </c>
      <c r="P1619" t="s">
        <v>5466</v>
      </c>
      <c r="Q1619" t="s">
        <v>1686</v>
      </c>
      <c r="S1619" s="1">
        <v>45020.209027777775</v>
      </c>
      <c r="V1619">
        <v>1967</v>
      </c>
      <c r="W1619">
        <v>119.62</v>
      </c>
      <c r="X1619">
        <v>1.7</v>
      </c>
      <c r="Y1619" s="2">
        <v>2827113184696</v>
      </c>
      <c r="Z1619">
        <v>60</v>
      </c>
      <c r="AA1619">
        <v>101.2</v>
      </c>
      <c r="AB1619">
        <v>25.5</v>
      </c>
      <c r="AC1619">
        <v>30.6</v>
      </c>
      <c r="AD1619">
        <v>66834405</v>
      </c>
    </row>
    <row r="1620" spans="1:30" hidden="1" x14ac:dyDescent="0.45">
      <c r="A1620">
        <v>1575</v>
      </c>
      <c r="B1620">
        <v>1900</v>
      </c>
      <c r="C1620" t="s">
        <v>126</v>
      </c>
      <c r="D1620" t="s">
        <v>5467</v>
      </c>
      <c r="E1620">
        <v>74</v>
      </c>
      <c r="F1620" t="s">
        <v>266</v>
      </c>
      <c r="G1620" t="s">
        <v>267</v>
      </c>
      <c r="H1620" t="s">
        <v>1344</v>
      </c>
      <c r="I1620" t="s">
        <v>126</v>
      </c>
      <c r="J1620" t="s">
        <v>266</v>
      </c>
      <c r="L1620" t="b">
        <v>1</v>
      </c>
      <c r="M1620" t="s">
        <v>29</v>
      </c>
      <c r="N1620" t="s">
        <v>8245</v>
      </c>
      <c r="O1620" s="1">
        <v>17715</v>
      </c>
      <c r="P1620" t="s">
        <v>5468</v>
      </c>
      <c r="Q1620" t="s">
        <v>5469</v>
      </c>
      <c r="S1620" s="1">
        <v>45020.209027777775</v>
      </c>
      <c r="V1620">
        <v>1948</v>
      </c>
      <c r="W1620">
        <v>105.48</v>
      </c>
      <c r="X1620">
        <v>0.5</v>
      </c>
      <c r="Y1620" s="2">
        <v>5081769542380</v>
      </c>
      <c r="Z1620">
        <v>63.2</v>
      </c>
      <c r="AA1620">
        <v>98.8</v>
      </c>
      <c r="AB1620">
        <v>11.9</v>
      </c>
      <c r="AC1620">
        <v>46.7</v>
      </c>
      <c r="AD1620">
        <v>126226568</v>
      </c>
    </row>
    <row r="1621" spans="1:30" hidden="1" x14ac:dyDescent="0.45">
      <c r="A1621">
        <v>1575</v>
      </c>
      <c r="B1621">
        <v>1900</v>
      </c>
      <c r="C1621" t="s">
        <v>296</v>
      </c>
      <c r="D1621" t="s">
        <v>5470</v>
      </c>
      <c r="E1621">
        <v>65</v>
      </c>
      <c r="F1621" t="s">
        <v>93</v>
      </c>
      <c r="G1621" t="s">
        <v>94</v>
      </c>
      <c r="H1621" t="s">
        <v>3967</v>
      </c>
      <c r="I1621" t="s">
        <v>296</v>
      </c>
      <c r="J1621" t="s">
        <v>93</v>
      </c>
      <c r="L1621" t="b">
        <v>0</v>
      </c>
      <c r="M1621" t="s">
        <v>39</v>
      </c>
      <c r="N1621" t="s">
        <v>8245</v>
      </c>
      <c r="O1621" s="1">
        <v>20994</v>
      </c>
      <c r="P1621" t="s">
        <v>3968</v>
      </c>
      <c r="Q1621" t="s">
        <v>3725</v>
      </c>
      <c r="S1621" s="1">
        <v>45020.209027777775</v>
      </c>
      <c r="V1621">
        <v>1957</v>
      </c>
      <c r="W1621">
        <v>180.44</v>
      </c>
      <c r="X1621">
        <v>7.7</v>
      </c>
      <c r="Y1621" s="2">
        <v>2611000000000</v>
      </c>
      <c r="Z1621">
        <v>28.1</v>
      </c>
      <c r="AA1621">
        <v>113</v>
      </c>
      <c r="AB1621">
        <v>11.2</v>
      </c>
      <c r="AC1621">
        <v>49.7</v>
      </c>
      <c r="AD1621">
        <v>1366417754</v>
      </c>
    </row>
    <row r="1622" spans="1:30" hidden="1" x14ac:dyDescent="0.45">
      <c r="A1622">
        <v>1575</v>
      </c>
      <c r="B1622">
        <v>1900</v>
      </c>
      <c r="C1622" t="s">
        <v>296</v>
      </c>
      <c r="D1622" t="s">
        <v>5471</v>
      </c>
      <c r="E1622">
        <v>84</v>
      </c>
      <c r="F1622" t="s">
        <v>93</v>
      </c>
      <c r="G1622" t="s">
        <v>94</v>
      </c>
      <c r="H1622" t="s">
        <v>3967</v>
      </c>
      <c r="I1622" t="s">
        <v>296</v>
      </c>
      <c r="J1622" t="s">
        <v>93</v>
      </c>
      <c r="L1622" t="b">
        <v>0</v>
      </c>
      <c r="M1622" t="s">
        <v>39</v>
      </c>
      <c r="N1622" t="s">
        <v>8245</v>
      </c>
      <c r="O1622" s="1">
        <v>13987</v>
      </c>
      <c r="P1622" t="s">
        <v>3968</v>
      </c>
      <c r="Q1622" t="s">
        <v>5472</v>
      </c>
      <c r="S1622" s="1">
        <v>45020.209027777775</v>
      </c>
      <c r="V1622">
        <v>1938</v>
      </c>
      <c r="W1622">
        <v>180.44</v>
      </c>
      <c r="X1622">
        <v>7.7</v>
      </c>
      <c r="Y1622" s="2">
        <v>2611000000000</v>
      </c>
      <c r="Z1622">
        <v>28.1</v>
      </c>
      <c r="AA1622">
        <v>113</v>
      </c>
      <c r="AB1622">
        <v>11.2</v>
      </c>
      <c r="AC1622">
        <v>49.7</v>
      </c>
      <c r="AD1622">
        <v>1366417754</v>
      </c>
    </row>
    <row r="1623" spans="1:30" x14ac:dyDescent="0.45">
      <c r="A1623">
        <v>1575</v>
      </c>
      <c r="B1623" s="6">
        <v>1900</v>
      </c>
      <c r="C1623" t="s">
        <v>61</v>
      </c>
      <c r="D1623" t="s">
        <v>5473</v>
      </c>
      <c r="E1623">
        <v>72</v>
      </c>
      <c r="F1623" t="s">
        <v>35</v>
      </c>
      <c r="G1623" t="s">
        <v>433</v>
      </c>
      <c r="H1623" t="s">
        <v>1909</v>
      </c>
      <c r="I1623" t="s">
        <v>61</v>
      </c>
      <c r="J1623" t="s">
        <v>35</v>
      </c>
      <c r="K1623" t="s">
        <v>5474</v>
      </c>
      <c r="L1623" t="b">
        <v>0</v>
      </c>
      <c r="M1623" t="s">
        <v>39</v>
      </c>
      <c r="N1623" t="s">
        <v>8246</v>
      </c>
      <c r="O1623" s="10">
        <v>18488</v>
      </c>
      <c r="P1623" t="s">
        <v>1910</v>
      </c>
      <c r="Q1623" t="s">
        <v>5475</v>
      </c>
      <c r="R1623" t="s">
        <v>42</v>
      </c>
      <c r="S1623" s="8">
        <v>45020.209027777775</v>
      </c>
      <c r="T1623" t="s">
        <v>435</v>
      </c>
      <c r="U1623" t="s">
        <v>69</v>
      </c>
      <c r="V1623">
        <v>1950</v>
      </c>
      <c r="W1623" s="12">
        <v>117.24</v>
      </c>
      <c r="X1623">
        <v>7.5</v>
      </c>
      <c r="Y1623" s="14">
        <v>21427700000000</v>
      </c>
      <c r="Z1623">
        <v>88.2</v>
      </c>
      <c r="AA1623">
        <v>101.8</v>
      </c>
      <c r="AB1623">
        <v>9.6</v>
      </c>
      <c r="AC1623">
        <v>36.6</v>
      </c>
      <c r="AD1623">
        <v>328239523</v>
      </c>
    </row>
    <row r="1624" spans="1:30" hidden="1" x14ac:dyDescent="0.45">
      <c r="A1624">
        <v>1575</v>
      </c>
      <c r="B1624">
        <v>1900</v>
      </c>
      <c r="C1624" t="s">
        <v>23</v>
      </c>
      <c r="D1624" t="s">
        <v>5476</v>
      </c>
      <c r="E1624">
        <v>80</v>
      </c>
      <c r="F1624" t="s">
        <v>93</v>
      </c>
      <c r="G1624" t="s">
        <v>4546</v>
      </c>
      <c r="H1624" t="s">
        <v>5477</v>
      </c>
      <c r="I1624" t="s">
        <v>23</v>
      </c>
      <c r="J1624" t="s">
        <v>93</v>
      </c>
      <c r="L1624" t="b">
        <v>1</v>
      </c>
      <c r="M1624" t="s">
        <v>29</v>
      </c>
      <c r="N1624" t="s">
        <v>8245</v>
      </c>
      <c r="O1624" s="1">
        <v>15619</v>
      </c>
      <c r="P1624" t="s">
        <v>5478</v>
      </c>
      <c r="Q1624" t="s">
        <v>5479</v>
      </c>
      <c r="S1624" s="1">
        <v>45020.209027777775</v>
      </c>
      <c r="V1624">
        <v>1942</v>
      </c>
      <c r="W1624">
        <v>180.44</v>
      </c>
      <c r="X1624">
        <v>7.7</v>
      </c>
      <c r="Y1624" s="2">
        <v>2611000000000</v>
      </c>
      <c r="Z1624">
        <v>28.1</v>
      </c>
      <c r="AA1624">
        <v>113</v>
      </c>
      <c r="AB1624">
        <v>11.2</v>
      </c>
      <c r="AC1624">
        <v>49.7</v>
      </c>
      <c r="AD1624">
        <v>1366417754</v>
      </c>
    </row>
    <row r="1625" spans="1:30" hidden="1" x14ac:dyDescent="0.45">
      <c r="A1625">
        <v>1575</v>
      </c>
      <c r="B1625">
        <v>1900</v>
      </c>
      <c r="C1625" t="s">
        <v>296</v>
      </c>
      <c r="D1625" t="s">
        <v>5480</v>
      </c>
      <c r="E1625">
        <v>66</v>
      </c>
      <c r="F1625" t="s">
        <v>128</v>
      </c>
      <c r="G1625" t="s">
        <v>129</v>
      </c>
      <c r="H1625" t="s">
        <v>2012</v>
      </c>
      <c r="I1625" t="s">
        <v>296</v>
      </c>
      <c r="J1625" t="s">
        <v>128</v>
      </c>
      <c r="L1625" t="b">
        <v>1</v>
      </c>
      <c r="M1625" t="s">
        <v>39</v>
      </c>
      <c r="N1625" t="s">
        <v>8245</v>
      </c>
      <c r="O1625" s="1">
        <v>20668</v>
      </c>
      <c r="P1625" t="s">
        <v>5481</v>
      </c>
      <c r="Q1625" t="s">
        <v>1087</v>
      </c>
      <c r="S1625" s="1">
        <v>45020.209027777775</v>
      </c>
      <c r="V1625">
        <v>1956</v>
      </c>
      <c r="W1625">
        <v>125.08</v>
      </c>
      <c r="X1625">
        <v>2.9</v>
      </c>
      <c r="Y1625" s="2">
        <v>19910000000000</v>
      </c>
      <c r="Z1625">
        <v>50.6</v>
      </c>
      <c r="AA1625">
        <v>100.2</v>
      </c>
      <c r="AB1625">
        <v>9.4</v>
      </c>
      <c r="AC1625">
        <v>59.2</v>
      </c>
      <c r="AD1625">
        <v>1397715000</v>
      </c>
    </row>
    <row r="1626" spans="1:30" x14ac:dyDescent="0.45">
      <c r="A1626">
        <v>1575</v>
      </c>
      <c r="B1626" s="6">
        <v>1900</v>
      </c>
      <c r="C1626" t="s">
        <v>61</v>
      </c>
      <c r="D1626" t="s">
        <v>5482</v>
      </c>
      <c r="E1626">
        <v>53</v>
      </c>
      <c r="F1626" t="s">
        <v>35</v>
      </c>
      <c r="G1626" t="s">
        <v>5483</v>
      </c>
      <c r="H1626" t="s">
        <v>248</v>
      </c>
      <c r="I1626" t="s">
        <v>61</v>
      </c>
      <c r="J1626" t="s">
        <v>35</v>
      </c>
      <c r="K1626" t="s">
        <v>5484</v>
      </c>
      <c r="L1626" t="b">
        <v>1</v>
      </c>
      <c r="M1626" t="s">
        <v>611</v>
      </c>
      <c r="N1626" t="s">
        <v>8245</v>
      </c>
      <c r="O1626" s="10">
        <v>25497</v>
      </c>
      <c r="P1626" t="s">
        <v>5485</v>
      </c>
      <c r="Q1626" t="s">
        <v>58</v>
      </c>
      <c r="R1626" t="s">
        <v>688</v>
      </c>
      <c r="S1626" s="8">
        <v>45020.209027777775</v>
      </c>
      <c r="T1626" t="s">
        <v>1254</v>
      </c>
      <c r="U1626" t="s">
        <v>82</v>
      </c>
      <c r="V1626">
        <v>1969</v>
      </c>
      <c r="W1626" s="12">
        <v>117.24</v>
      </c>
      <c r="X1626">
        <v>7.5</v>
      </c>
      <c r="Y1626" s="14">
        <v>21427700000000</v>
      </c>
      <c r="Z1626">
        <v>88.2</v>
      </c>
      <c r="AA1626">
        <v>101.8</v>
      </c>
      <c r="AB1626">
        <v>9.6</v>
      </c>
      <c r="AC1626">
        <v>36.6</v>
      </c>
      <c r="AD1626">
        <v>328239523</v>
      </c>
    </row>
    <row r="1627" spans="1:30" hidden="1" x14ac:dyDescent="0.45">
      <c r="A1627">
        <v>1575</v>
      </c>
      <c r="B1627">
        <v>1900</v>
      </c>
      <c r="C1627" t="s">
        <v>689</v>
      </c>
      <c r="D1627" t="s">
        <v>5486</v>
      </c>
      <c r="E1627">
        <v>81</v>
      </c>
      <c r="F1627" t="s">
        <v>35</v>
      </c>
      <c r="G1627" t="s">
        <v>355</v>
      </c>
      <c r="H1627" t="s">
        <v>5487</v>
      </c>
      <c r="I1627" t="s">
        <v>689</v>
      </c>
      <c r="J1627" t="s">
        <v>35</v>
      </c>
      <c r="L1627" t="b">
        <v>1</v>
      </c>
      <c r="M1627" t="s">
        <v>611</v>
      </c>
      <c r="N1627" t="s">
        <v>8245</v>
      </c>
      <c r="O1627" s="1">
        <v>15380</v>
      </c>
      <c r="P1627" t="s">
        <v>5488</v>
      </c>
      <c r="Q1627" t="s">
        <v>5489</v>
      </c>
      <c r="S1627" s="1">
        <v>45020.209027777775</v>
      </c>
      <c r="T1627" t="s">
        <v>253</v>
      </c>
      <c r="U1627" t="s">
        <v>44</v>
      </c>
      <c r="V1627">
        <v>1942</v>
      </c>
      <c r="W1627">
        <v>117.24</v>
      </c>
      <c r="X1627">
        <v>7.5</v>
      </c>
      <c r="Y1627" s="2">
        <v>21427700000000</v>
      </c>
      <c r="Z1627">
        <v>88.2</v>
      </c>
      <c r="AA1627">
        <v>101.8</v>
      </c>
      <c r="AB1627">
        <v>9.6</v>
      </c>
      <c r="AC1627">
        <v>36.6</v>
      </c>
      <c r="AD1627">
        <v>328239523</v>
      </c>
    </row>
    <row r="1628" spans="1:30" hidden="1" x14ac:dyDescent="0.45">
      <c r="A1628">
        <v>1575</v>
      </c>
      <c r="B1628">
        <v>1900</v>
      </c>
      <c r="C1628" t="s">
        <v>347</v>
      </c>
      <c r="D1628" t="s">
        <v>5490</v>
      </c>
      <c r="F1628" t="s">
        <v>128</v>
      </c>
      <c r="G1628" t="s">
        <v>129</v>
      </c>
      <c r="H1628" t="s">
        <v>5491</v>
      </c>
      <c r="I1628" t="s">
        <v>347</v>
      </c>
      <c r="J1628" t="s">
        <v>128</v>
      </c>
      <c r="L1628" t="b">
        <v>1</v>
      </c>
      <c r="M1628" t="s">
        <v>29</v>
      </c>
      <c r="N1628" t="s">
        <v>8245</v>
      </c>
      <c r="O1628"/>
      <c r="P1628" t="s">
        <v>5492</v>
      </c>
      <c r="Q1628" t="s">
        <v>5493</v>
      </c>
      <c r="S1628" s="1">
        <v>45020.209027777775</v>
      </c>
      <c r="W1628">
        <v>125.08</v>
      </c>
      <c r="X1628">
        <v>2.9</v>
      </c>
      <c r="Y1628" s="2">
        <v>19910000000000</v>
      </c>
      <c r="Z1628">
        <v>50.6</v>
      </c>
      <c r="AA1628">
        <v>100.2</v>
      </c>
      <c r="AB1628">
        <v>9.4</v>
      </c>
      <c r="AC1628">
        <v>59.2</v>
      </c>
      <c r="AD1628">
        <v>1397715000</v>
      </c>
    </row>
    <row r="1629" spans="1:30" hidden="1" x14ac:dyDescent="0.45">
      <c r="A1629">
        <v>1575</v>
      </c>
      <c r="B1629">
        <v>1900</v>
      </c>
      <c r="C1629" t="s">
        <v>296</v>
      </c>
      <c r="D1629" t="s">
        <v>5494</v>
      </c>
      <c r="E1629">
        <v>68</v>
      </c>
      <c r="F1629" t="s">
        <v>128</v>
      </c>
      <c r="G1629" t="s">
        <v>129</v>
      </c>
      <c r="H1629" t="s">
        <v>91</v>
      </c>
      <c r="I1629" t="s">
        <v>296</v>
      </c>
      <c r="J1629" t="s">
        <v>128</v>
      </c>
      <c r="L1629" t="b">
        <v>1</v>
      </c>
      <c r="M1629" t="s">
        <v>29</v>
      </c>
      <c r="N1629" t="s">
        <v>8245</v>
      </c>
      <c r="O1629" s="1">
        <v>19968</v>
      </c>
      <c r="P1629" t="s">
        <v>5492</v>
      </c>
      <c r="Q1629" t="s">
        <v>5495</v>
      </c>
      <c r="S1629" s="1">
        <v>45020.209027777775</v>
      </c>
      <c r="V1629">
        <v>1954</v>
      </c>
      <c r="W1629">
        <v>125.08</v>
      </c>
      <c r="X1629">
        <v>2.9</v>
      </c>
      <c r="Y1629" s="2">
        <v>19910000000000</v>
      </c>
      <c r="Z1629">
        <v>50.6</v>
      </c>
      <c r="AA1629">
        <v>100.2</v>
      </c>
      <c r="AB1629">
        <v>9.4</v>
      </c>
      <c r="AC1629">
        <v>59.2</v>
      </c>
      <c r="AD1629">
        <v>1397715000</v>
      </c>
    </row>
    <row r="1630" spans="1:30" hidden="1" x14ac:dyDescent="0.45">
      <c r="A1630">
        <v>1575</v>
      </c>
      <c r="B1630">
        <v>1900</v>
      </c>
      <c r="C1630" t="s">
        <v>45</v>
      </c>
      <c r="D1630" t="s">
        <v>5496</v>
      </c>
      <c r="E1630">
        <v>60</v>
      </c>
      <c r="F1630" t="s">
        <v>128</v>
      </c>
      <c r="G1630" t="s">
        <v>2855</v>
      </c>
      <c r="H1630" t="s">
        <v>442</v>
      </c>
      <c r="I1630" t="s">
        <v>45</v>
      </c>
      <c r="J1630" t="s">
        <v>35</v>
      </c>
      <c r="L1630" t="b">
        <v>1</v>
      </c>
      <c r="M1630" t="s">
        <v>39</v>
      </c>
      <c r="N1630" t="s">
        <v>8245</v>
      </c>
      <c r="O1630" s="1">
        <v>23012</v>
      </c>
      <c r="P1630" t="s">
        <v>3350</v>
      </c>
      <c r="Q1630" t="s">
        <v>2592</v>
      </c>
      <c r="S1630" s="1">
        <v>45020.209027777775</v>
      </c>
      <c r="V1630">
        <v>1963</v>
      </c>
      <c r="W1630">
        <v>125.08</v>
      </c>
      <c r="X1630">
        <v>2.9</v>
      </c>
      <c r="Y1630" s="2">
        <v>19910000000000</v>
      </c>
      <c r="Z1630">
        <v>50.6</v>
      </c>
      <c r="AA1630">
        <v>100.2</v>
      </c>
      <c r="AB1630">
        <v>9.4</v>
      </c>
      <c r="AC1630">
        <v>59.2</v>
      </c>
      <c r="AD1630">
        <v>1397715000</v>
      </c>
    </row>
    <row r="1631" spans="1:30" hidden="1" x14ac:dyDescent="0.45">
      <c r="A1631">
        <v>1575</v>
      </c>
      <c r="B1631">
        <v>1900</v>
      </c>
      <c r="C1631" t="s">
        <v>296</v>
      </c>
      <c r="D1631" t="s">
        <v>5497</v>
      </c>
      <c r="E1631">
        <v>95</v>
      </c>
      <c r="F1631" t="s">
        <v>1259</v>
      </c>
      <c r="G1631" t="s">
        <v>5498</v>
      </c>
      <c r="H1631" t="s">
        <v>5321</v>
      </c>
      <c r="I1631" t="s">
        <v>296</v>
      </c>
      <c r="J1631" t="s">
        <v>1259</v>
      </c>
      <c r="L1631" t="b">
        <v>1</v>
      </c>
      <c r="M1631" t="s">
        <v>39</v>
      </c>
      <c r="N1631" t="s">
        <v>8245</v>
      </c>
      <c r="O1631" s="1">
        <v>10259</v>
      </c>
      <c r="P1631" t="s">
        <v>1266</v>
      </c>
      <c r="Q1631" t="s">
        <v>5499</v>
      </c>
      <c r="S1631" s="1">
        <v>45020.209027777775</v>
      </c>
      <c r="V1631">
        <v>1928</v>
      </c>
      <c r="W1631"/>
      <c r="Y1631"/>
    </row>
    <row r="1632" spans="1:30" hidden="1" x14ac:dyDescent="0.45">
      <c r="A1632">
        <v>1575</v>
      </c>
      <c r="B1632">
        <v>1900</v>
      </c>
      <c r="C1632" t="s">
        <v>61</v>
      </c>
      <c r="D1632" t="s">
        <v>5500</v>
      </c>
      <c r="E1632">
        <v>73</v>
      </c>
      <c r="F1632" t="s">
        <v>349</v>
      </c>
      <c r="G1632" t="s">
        <v>5501</v>
      </c>
      <c r="H1632" t="s">
        <v>317</v>
      </c>
      <c r="I1632" t="s">
        <v>61</v>
      </c>
      <c r="J1632" t="s">
        <v>349</v>
      </c>
      <c r="L1632" t="b">
        <v>1</v>
      </c>
      <c r="M1632" t="s">
        <v>39</v>
      </c>
      <c r="N1632" t="s">
        <v>8245</v>
      </c>
      <c r="O1632" s="1">
        <v>18320</v>
      </c>
      <c r="P1632" t="s">
        <v>5502</v>
      </c>
      <c r="Q1632" t="s">
        <v>608</v>
      </c>
      <c r="S1632" s="1">
        <v>45020.209027777775</v>
      </c>
      <c r="V1632">
        <v>1950</v>
      </c>
      <c r="W1632">
        <v>151.18</v>
      </c>
      <c r="X1632">
        <v>3</v>
      </c>
      <c r="Y1632" s="2">
        <v>1119190780753</v>
      </c>
      <c r="Z1632">
        <v>36.299999999999997</v>
      </c>
      <c r="AA1632">
        <v>106.4</v>
      </c>
      <c r="AB1632">
        <v>10.199999999999999</v>
      </c>
      <c r="AC1632">
        <v>30.1</v>
      </c>
      <c r="AD1632">
        <v>270203917</v>
      </c>
    </row>
    <row r="1633" spans="1:30" hidden="1" x14ac:dyDescent="0.45">
      <c r="A1633">
        <v>1575</v>
      </c>
      <c r="B1633">
        <v>1900</v>
      </c>
      <c r="C1633" t="s">
        <v>126</v>
      </c>
      <c r="D1633" t="s">
        <v>5503</v>
      </c>
      <c r="E1633">
        <v>63</v>
      </c>
      <c r="F1633" t="s">
        <v>35</v>
      </c>
      <c r="G1633" t="s">
        <v>474</v>
      </c>
      <c r="H1633" t="s">
        <v>1509</v>
      </c>
      <c r="I1633" t="s">
        <v>126</v>
      </c>
      <c r="J1633" t="s">
        <v>35</v>
      </c>
      <c r="L1633" t="b">
        <v>0</v>
      </c>
      <c r="M1633" t="s">
        <v>39</v>
      </c>
      <c r="N1633" t="s">
        <v>8246</v>
      </c>
      <c r="O1633" s="1">
        <v>21916</v>
      </c>
      <c r="P1633" t="s">
        <v>5504</v>
      </c>
      <c r="Q1633" t="s">
        <v>5505</v>
      </c>
      <c r="S1633" s="1">
        <v>45020.209027777775</v>
      </c>
      <c r="T1633" t="s">
        <v>479</v>
      </c>
      <c r="U1633" t="s">
        <v>82</v>
      </c>
      <c r="V1633">
        <v>1960</v>
      </c>
      <c r="W1633">
        <v>117.24</v>
      </c>
      <c r="X1633">
        <v>7.5</v>
      </c>
      <c r="Y1633" s="2">
        <v>21427700000000</v>
      </c>
      <c r="Z1633">
        <v>88.2</v>
      </c>
      <c r="AA1633">
        <v>101.8</v>
      </c>
      <c r="AB1633">
        <v>9.6</v>
      </c>
      <c r="AC1633">
        <v>36.6</v>
      </c>
      <c r="AD1633">
        <v>328239523</v>
      </c>
    </row>
    <row r="1634" spans="1:30" hidden="1" x14ac:dyDescent="0.45">
      <c r="A1634">
        <v>1575</v>
      </c>
      <c r="B1634">
        <v>1900</v>
      </c>
      <c r="C1634" t="s">
        <v>91</v>
      </c>
      <c r="D1634" t="s">
        <v>5506</v>
      </c>
      <c r="E1634">
        <v>70</v>
      </c>
      <c r="F1634" t="s">
        <v>1111</v>
      </c>
      <c r="G1634" t="s">
        <v>1112</v>
      </c>
      <c r="H1634" t="s">
        <v>91</v>
      </c>
      <c r="I1634" t="s">
        <v>91</v>
      </c>
      <c r="J1634" t="s">
        <v>1111</v>
      </c>
      <c r="L1634" t="b">
        <v>0</v>
      </c>
      <c r="M1634" t="s">
        <v>39</v>
      </c>
      <c r="N1634" t="s">
        <v>8246</v>
      </c>
      <c r="O1634" s="1">
        <v>19146</v>
      </c>
      <c r="P1634" t="s">
        <v>4456</v>
      </c>
      <c r="Q1634" t="s">
        <v>1011</v>
      </c>
      <c r="S1634" s="1">
        <v>45020.209027777775</v>
      </c>
      <c r="V1634">
        <v>1952</v>
      </c>
      <c r="W1634">
        <v>129.61000000000001</v>
      </c>
      <c r="X1634">
        <v>2.5</v>
      </c>
      <c r="Y1634" s="2">
        <v>376795508680</v>
      </c>
      <c r="Z1634">
        <v>35.5</v>
      </c>
      <c r="AA1634">
        <v>107.5</v>
      </c>
      <c r="AB1634">
        <v>14</v>
      </c>
      <c r="AC1634">
        <v>43.1</v>
      </c>
      <c r="AD1634">
        <v>108116615</v>
      </c>
    </row>
    <row r="1635" spans="1:30" hidden="1" x14ac:dyDescent="0.45">
      <c r="A1635">
        <v>1575</v>
      </c>
      <c r="B1635">
        <v>1900</v>
      </c>
      <c r="C1635" t="s">
        <v>296</v>
      </c>
      <c r="D1635" t="s">
        <v>5507</v>
      </c>
      <c r="E1635">
        <v>60</v>
      </c>
      <c r="F1635" t="s">
        <v>349</v>
      </c>
      <c r="G1635" t="s">
        <v>5501</v>
      </c>
      <c r="H1635" t="s">
        <v>659</v>
      </c>
      <c r="I1635" t="s">
        <v>296</v>
      </c>
      <c r="J1635" t="s">
        <v>349</v>
      </c>
      <c r="L1635" t="b">
        <v>0</v>
      </c>
      <c r="M1635" t="s">
        <v>285</v>
      </c>
      <c r="N1635" t="s">
        <v>8245</v>
      </c>
      <c r="O1635" s="1">
        <v>22906</v>
      </c>
      <c r="P1635" t="s">
        <v>5508</v>
      </c>
      <c r="Q1635" t="s">
        <v>5509</v>
      </c>
      <c r="S1635" s="1">
        <v>45020.209027777775</v>
      </c>
      <c r="V1635">
        <v>1962</v>
      </c>
      <c r="W1635">
        <v>151.18</v>
      </c>
      <c r="X1635">
        <v>3</v>
      </c>
      <c r="Y1635" s="2">
        <v>1119190780753</v>
      </c>
      <c r="Z1635">
        <v>36.299999999999997</v>
      </c>
      <c r="AA1635">
        <v>106.4</v>
      </c>
      <c r="AB1635">
        <v>10.199999999999999</v>
      </c>
      <c r="AC1635">
        <v>30.1</v>
      </c>
      <c r="AD1635">
        <v>270203917</v>
      </c>
    </row>
    <row r="1636" spans="1:30" hidden="1" x14ac:dyDescent="0.45">
      <c r="A1636">
        <v>1575</v>
      </c>
      <c r="B1636">
        <v>1900</v>
      </c>
      <c r="C1636" t="s">
        <v>689</v>
      </c>
      <c r="D1636" t="s">
        <v>5510</v>
      </c>
      <c r="E1636">
        <v>64</v>
      </c>
      <c r="F1636" t="s">
        <v>2037</v>
      </c>
      <c r="G1636" t="s">
        <v>2038</v>
      </c>
      <c r="H1636" t="s">
        <v>2481</v>
      </c>
      <c r="I1636" t="s">
        <v>689</v>
      </c>
      <c r="J1636" t="s">
        <v>2037</v>
      </c>
      <c r="L1636" t="b">
        <v>0</v>
      </c>
      <c r="M1636" t="s">
        <v>29</v>
      </c>
      <c r="N1636" t="s">
        <v>8245</v>
      </c>
      <c r="O1636" s="1">
        <v>21329</v>
      </c>
      <c r="P1636" t="s">
        <v>5511</v>
      </c>
      <c r="Q1636" t="s">
        <v>5512</v>
      </c>
      <c r="S1636" s="1">
        <v>45020.209027777775</v>
      </c>
      <c r="V1636">
        <v>1958</v>
      </c>
      <c r="W1636">
        <v>234.44</v>
      </c>
      <c r="X1636">
        <v>15.2</v>
      </c>
      <c r="Y1636" s="2">
        <v>754411708203</v>
      </c>
      <c r="Z1636">
        <v>23.9</v>
      </c>
      <c r="AA1636">
        <v>93.2</v>
      </c>
      <c r="AB1636">
        <v>17.899999999999999</v>
      </c>
      <c r="AC1636">
        <v>42.3</v>
      </c>
      <c r="AD1636">
        <v>83429615</v>
      </c>
    </row>
    <row r="1637" spans="1:30" hidden="1" x14ac:dyDescent="0.45">
      <c r="A1637">
        <v>1575</v>
      </c>
      <c r="B1637">
        <v>1900</v>
      </c>
      <c r="C1637" t="s">
        <v>23</v>
      </c>
      <c r="D1637" t="s">
        <v>5513</v>
      </c>
      <c r="E1637">
        <v>76</v>
      </c>
      <c r="F1637" t="s">
        <v>266</v>
      </c>
      <c r="G1637" t="s">
        <v>5514</v>
      </c>
      <c r="H1637" t="s">
        <v>1155</v>
      </c>
      <c r="I1637" t="s">
        <v>23</v>
      </c>
      <c r="J1637" t="s">
        <v>266</v>
      </c>
      <c r="L1637" t="b">
        <v>1</v>
      </c>
      <c r="M1637" t="s">
        <v>39</v>
      </c>
      <c r="N1637" t="s">
        <v>8245</v>
      </c>
      <c r="O1637" s="1">
        <v>17204</v>
      </c>
      <c r="P1637" t="s">
        <v>5515</v>
      </c>
      <c r="Q1637" t="s">
        <v>5516</v>
      </c>
      <c r="S1637" s="1">
        <v>45020.209027777775</v>
      </c>
      <c r="V1637">
        <v>1947</v>
      </c>
      <c r="W1637">
        <v>105.48</v>
      </c>
      <c r="X1637">
        <v>0.5</v>
      </c>
      <c r="Y1637" s="2">
        <v>5081769542380</v>
      </c>
      <c r="Z1637">
        <v>63.2</v>
      </c>
      <c r="AA1637">
        <v>98.8</v>
      </c>
      <c r="AB1637">
        <v>11.9</v>
      </c>
      <c r="AC1637">
        <v>46.7</v>
      </c>
      <c r="AD1637">
        <v>126226568</v>
      </c>
    </row>
    <row r="1638" spans="1:30" hidden="1" x14ac:dyDescent="0.45">
      <c r="A1638">
        <v>1575</v>
      </c>
      <c r="B1638">
        <v>1900</v>
      </c>
      <c r="C1638" t="s">
        <v>347</v>
      </c>
      <c r="D1638" t="s">
        <v>5517</v>
      </c>
      <c r="E1638">
        <v>90</v>
      </c>
      <c r="F1638" t="s">
        <v>1887</v>
      </c>
      <c r="G1638" t="s">
        <v>5518</v>
      </c>
      <c r="H1638" t="s">
        <v>5519</v>
      </c>
      <c r="I1638" t="s">
        <v>347</v>
      </c>
      <c r="J1638" t="s">
        <v>1887</v>
      </c>
      <c r="L1638" t="b">
        <v>1</v>
      </c>
      <c r="M1638" t="s">
        <v>29</v>
      </c>
      <c r="N1638" t="s">
        <v>8245</v>
      </c>
      <c r="O1638" s="1">
        <v>12055</v>
      </c>
      <c r="P1638" t="s">
        <v>5520</v>
      </c>
      <c r="Q1638" t="s">
        <v>5521</v>
      </c>
      <c r="S1638" s="1">
        <v>45020.209027777775</v>
      </c>
      <c r="V1638">
        <v>1933</v>
      </c>
      <c r="W1638">
        <v>101.87</v>
      </c>
      <c r="X1638">
        <v>0.2</v>
      </c>
      <c r="Y1638" s="2">
        <v>209852761469</v>
      </c>
      <c r="Z1638">
        <v>136.6</v>
      </c>
      <c r="AA1638">
        <v>99.6</v>
      </c>
      <c r="AB1638">
        <v>26.2</v>
      </c>
      <c r="AC1638">
        <v>51.9</v>
      </c>
      <c r="AD1638">
        <v>10716322</v>
      </c>
    </row>
    <row r="1639" spans="1:30" hidden="1" x14ac:dyDescent="0.45">
      <c r="A1639">
        <v>1575</v>
      </c>
      <c r="B1639">
        <v>1900</v>
      </c>
      <c r="C1639" t="s">
        <v>302</v>
      </c>
      <c r="D1639" t="s">
        <v>5522</v>
      </c>
      <c r="E1639">
        <v>57</v>
      </c>
      <c r="F1639" t="s">
        <v>93</v>
      </c>
      <c r="G1639" t="s">
        <v>1015</v>
      </c>
      <c r="H1639" t="s">
        <v>304</v>
      </c>
      <c r="I1639" t="s">
        <v>302</v>
      </c>
      <c r="J1639" t="s">
        <v>93</v>
      </c>
      <c r="L1639" t="b">
        <v>0</v>
      </c>
      <c r="M1639" t="s">
        <v>39</v>
      </c>
      <c r="N1639" t="s">
        <v>8245</v>
      </c>
      <c r="O1639" s="1">
        <v>24156</v>
      </c>
      <c r="P1639" t="s">
        <v>5523</v>
      </c>
      <c r="Q1639" t="s">
        <v>5524</v>
      </c>
      <c r="S1639" s="1">
        <v>45020.209027777775</v>
      </c>
      <c r="V1639">
        <v>1966</v>
      </c>
      <c r="W1639">
        <v>180.44</v>
      </c>
      <c r="X1639">
        <v>7.7</v>
      </c>
      <c r="Y1639" s="2">
        <v>2611000000000</v>
      </c>
      <c r="Z1639">
        <v>28.1</v>
      </c>
      <c r="AA1639">
        <v>113</v>
      </c>
      <c r="AB1639">
        <v>11.2</v>
      </c>
      <c r="AC1639">
        <v>49.7</v>
      </c>
      <c r="AD1639">
        <v>1366417754</v>
      </c>
    </row>
    <row r="1640" spans="1:30" hidden="1" x14ac:dyDescent="0.45">
      <c r="A1640">
        <v>1575</v>
      </c>
      <c r="B1640">
        <v>1900</v>
      </c>
      <c r="C1640" t="s">
        <v>302</v>
      </c>
      <c r="D1640" t="s">
        <v>5525</v>
      </c>
      <c r="E1640">
        <v>67</v>
      </c>
      <c r="F1640" t="s">
        <v>128</v>
      </c>
      <c r="G1640" t="s">
        <v>5526</v>
      </c>
      <c r="H1640" t="s">
        <v>304</v>
      </c>
      <c r="I1640" t="s">
        <v>302</v>
      </c>
      <c r="J1640" t="s">
        <v>128</v>
      </c>
      <c r="L1640" t="b">
        <v>1</v>
      </c>
      <c r="M1640" t="s">
        <v>611</v>
      </c>
      <c r="N1640" t="s">
        <v>8245</v>
      </c>
      <c r="O1640" s="1">
        <v>20455</v>
      </c>
      <c r="P1640" t="s">
        <v>439</v>
      </c>
      <c r="Q1640" t="s">
        <v>5527</v>
      </c>
      <c r="S1640" s="1">
        <v>45020.209027777775</v>
      </c>
      <c r="V1640">
        <v>1956</v>
      </c>
      <c r="W1640">
        <v>125.08</v>
      </c>
      <c r="X1640">
        <v>2.9</v>
      </c>
      <c r="Y1640" s="2">
        <v>19910000000000</v>
      </c>
      <c r="Z1640">
        <v>50.6</v>
      </c>
      <c r="AA1640">
        <v>100.2</v>
      </c>
      <c r="AB1640">
        <v>9.4</v>
      </c>
      <c r="AC1640">
        <v>59.2</v>
      </c>
      <c r="AD1640">
        <v>1397715000</v>
      </c>
    </row>
    <row r="1641" spans="1:30" hidden="1" x14ac:dyDescent="0.45">
      <c r="A1641">
        <v>1575</v>
      </c>
      <c r="B1641">
        <v>1900</v>
      </c>
      <c r="C1641" t="s">
        <v>23</v>
      </c>
      <c r="D1641" t="s">
        <v>5528</v>
      </c>
      <c r="E1641">
        <v>91</v>
      </c>
      <c r="F1641" t="s">
        <v>128</v>
      </c>
      <c r="G1641" t="s">
        <v>5526</v>
      </c>
      <c r="H1641" t="s">
        <v>196</v>
      </c>
      <c r="I1641" t="s">
        <v>23</v>
      </c>
      <c r="J1641" t="s">
        <v>1259</v>
      </c>
      <c r="L1641" t="b">
        <v>1</v>
      </c>
      <c r="M1641" t="s">
        <v>39</v>
      </c>
      <c r="N1641" t="s">
        <v>8245</v>
      </c>
      <c r="O1641" s="1">
        <v>11658</v>
      </c>
      <c r="P1641" t="s">
        <v>439</v>
      </c>
      <c r="Q1641" t="s">
        <v>5529</v>
      </c>
      <c r="S1641" s="1">
        <v>45020.209027777775</v>
      </c>
      <c r="V1641">
        <v>1931</v>
      </c>
      <c r="W1641">
        <v>125.08</v>
      </c>
      <c r="X1641">
        <v>2.9</v>
      </c>
      <c r="Y1641" s="2">
        <v>19910000000000</v>
      </c>
      <c r="Z1641">
        <v>50.6</v>
      </c>
      <c r="AA1641">
        <v>100.2</v>
      </c>
      <c r="AB1641">
        <v>9.4</v>
      </c>
      <c r="AC1641">
        <v>59.2</v>
      </c>
      <c r="AD1641">
        <v>1397715000</v>
      </c>
    </row>
    <row r="1642" spans="1:30" x14ac:dyDescent="0.45">
      <c r="A1642">
        <v>1575</v>
      </c>
      <c r="B1642" s="6">
        <v>1900</v>
      </c>
      <c r="C1642" t="s">
        <v>126</v>
      </c>
      <c r="D1642" t="s">
        <v>5530</v>
      </c>
      <c r="E1642">
        <v>80</v>
      </c>
      <c r="F1642" t="s">
        <v>35</v>
      </c>
      <c r="G1642" t="s">
        <v>1489</v>
      </c>
      <c r="H1642" t="s">
        <v>2679</v>
      </c>
      <c r="I1642" t="s">
        <v>126</v>
      </c>
      <c r="J1642" t="s">
        <v>35</v>
      </c>
      <c r="K1642" t="s">
        <v>2679</v>
      </c>
      <c r="L1642" t="b">
        <v>0</v>
      </c>
      <c r="M1642" t="s">
        <v>29</v>
      </c>
      <c r="N1642" t="s">
        <v>8246</v>
      </c>
      <c r="O1642" s="10">
        <v>15664</v>
      </c>
      <c r="P1642" t="s">
        <v>5531</v>
      </c>
      <c r="Q1642" t="s">
        <v>5532</v>
      </c>
      <c r="R1642" t="s">
        <v>157</v>
      </c>
      <c r="S1642" s="8">
        <v>45020.209027777775</v>
      </c>
      <c r="T1642" t="s">
        <v>253</v>
      </c>
      <c r="U1642" t="s">
        <v>44</v>
      </c>
      <c r="V1642">
        <v>1942</v>
      </c>
      <c r="W1642" s="12">
        <v>117.24</v>
      </c>
      <c r="X1642">
        <v>7.5</v>
      </c>
      <c r="Y1642" s="14">
        <v>21427700000000</v>
      </c>
      <c r="Z1642">
        <v>88.2</v>
      </c>
      <c r="AA1642">
        <v>101.8</v>
      </c>
      <c r="AB1642">
        <v>9.6</v>
      </c>
      <c r="AC1642">
        <v>36.6</v>
      </c>
      <c r="AD1642">
        <v>328239523</v>
      </c>
    </row>
    <row r="1643" spans="1:30" hidden="1" x14ac:dyDescent="0.45">
      <c r="A1643">
        <v>1575</v>
      </c>
      <c r="B1643">
        <v>1900</v>
      </c>
      <c r="C1643" t="s">
        <v>402</v>
      </c>
      <c r="D1643" t="s">
        <v>5533</v>
      </c>
      <c r="E1643">
        <v>72</v>
      </c>
      <c r="F1643" t="s">
        <v>128</v>
      </c>
      <c r="G1643" t="s">
        <v>4471</v>
      </c>
      <c r="H1643" t="s">
        <v>610</v>
      </c>
      <c r="I1643" t="s">
        <v>402</v>
      </c>
      <c r="J1643" t="s">
        <v>128</v>
      </c>
      <c r="L1643" t="b">
        <v>0</v>
      </c>
      <c r="M1643" t="s">
        <v>39</v>
      </c>
      <c r="N1643" t="s">
        <v>8246</v>
      </c>
      <c r="O1643" s="1">
        <v>18629</v>
      </c>
      <c r="P1643" t="s">
        <v>2706</v>
      </c>
      <c r="Q1643" t="s">
        <v>5534</v>
      </c>
      <c r="S1643" s="1">
        <v>45020.209027777775</v>
      </c>
      <c r="V1643">
        <v>1951</v>
      </c>
      <c r="W1643">
        <v>125.08</v>
      </c>
      <c r="X1643">
        <v>2.9</v>
      </c>
      <c r="Y1643" s="2">
        <v>19910000000000</v>
      </c>
      <c r="Z1643">
        <v>50.6</v>
      </c>
      <c r="AA1643">
        <v>100.2</v>
      </c>
      <c r="AB1643">
        <v>9.4</v>
      </c>
      <c r="AC1643">
        <v>59.2</v>
      </c>
      <c r="AD1643">
        <v>1397715000</v>
      </c>
    </row>
    <row r="1644" spans="1:30" hidden="1" x14ac:dyDescent="0.45">
      <c r="A1644">
        <v>1575</v>
      </c>
      <c r="B1644">
        <v>1900</v>
      </c>
      <c r="C1644" t="s">
        <v>296</v>
      </c>
      <c r="D1644" t="s">
        <v>5535</v>
      </c>
      <c r="E1644">
        <v>88</v>
      </c>
      <c r="F1644" t="s">
        <v>128</v>
      </c>
      <c r="G1644" t="s">
        <v>129</v>
      </c>
      <c r="H1644" t="s">
        <v>5536</v>
      </c>
      <c r="I1644" t="s">
        <v>296</v>
      </c>
      <c r="J1644" t="s">
        <v>128</v>
      </c>
      <c r="K1644" t="s">
        <v>5537</v>
      </c>
      <c r="L1644" t="b">
        <v>1</v>
      </c>
      <c r="M1644" t="s">
        <v>39</v>
      </c>
      <c r="N1644" t="s">
        <v>8245</v>
      </c>
      <c r="O1644" s="1">
        <v>12785</v>
      </c>
      <c r="P1644" t="s">
        <v>646</v>
      </c>
      <c r="Q1644" t="s">
        <v>5538</v>
      </c>
      <c r="R1644" t="s">
        <v>192</v>
      </c>
      <c r="S1644" s="1">
        <v>45020.209027777775</v>
      </c>
      <c r="V1644">
        <v>1935</v>
      </c>
      <c r="W1644">
        <v>125.08</v>
      </c>
      <c r="X1644">
        <v>2.9</v>
      </c>
      <c r="Y1644" s="2">
        <v>19910000000000</v>
      </c>
      <c r="Z1644">
        <v>50.6</v>
      </c>
      <c r="AA1644">
        <v>100.2</v>
      </c>
      <c r="AB1644">
        <v>9.4</v>
      </c>
      <c r="AC1644">
        <v>59.2</v>
      </c>
      <c r="AD1644">
        <v>1397715000</v>
      </c>
    </row>
    <row r="1645" spans="1:30" hidden="1" x14ac:dyDescent="0.45">
      <c r="A1645">
        <v>1575</v>
      </c>
      <c r="B1645">
        <v>1900</v>
      </c>
      <c r="C1645" t="s">
        <v>61</v>
      </c>
      <c r="D1645" t="s">
        <v>5539</v>
      </c>
      <c r="E1645">
        <v>65</v>
      </c>
      <c r="F1645" t="s">
        <v>490</v>
      </c>
      <c r="H1645" t="s">
        <v>5540</v>
      </c>
      <c r="I1645" t="s">
        <v>61</v>
      </c>
      <c r="J1645" t="s">
        <v>363</v>
      </c>
      <c r="L1645" t="b">
        <v>1</v>
      </c>
      <c r="M1645" t="s">
        <v>29</v>
      </c>
      <c r="N1645" t="s">
        <v>8245</v>
      </c>
      <c r="O1645" s="1">
        <v>21024</v>
      </c>
      <c r="P1645" t="s">
        <v>5541</v>
      </c>
      <c r="Q1645" t="s">
        <v>5542</v>
      </c>
      <c r="S1645" s="1">
        <v>45020.209027777775</v>
      </c>
      <c r="V1645">
        <v>1957</v>
      </c>
      <c r="W1645">
        <v>108.15</v>
      </c>
      <c r="X1645">
        <v>0.8</v>
      </c>
      <c r="Y1645" s="2">
        <v>395098666122</v>
      </c>
      <c r="Z1645">
        <v>63.4</v>
      </c>
      <c r="AA1645">
        <v>104.9</v>
      </c>
      <c r="AB1645">
        <v>23.1</v>
      </c>
      <c r="AC1645">
        <v>25.3</v>
      </c>
      <c r="AD1645">
        <v>9053300</v>
      </c>
    </row>
    <row r="1646" spans="1:30" hidden="1" x14ac:dyDescent="0.45">
      <c r="A1646">
        <v>1575</v>
      </c>
      <c r="B1646">
        <v>1900</v>
      </c>
      <c r="C1646" t="s">
        <v>91</v>
      </c>
      <c r="D1646" t="s">
        <v>5543</v>
      </c>
      <c r="E1646">
        <v>68</v>
      </c>
      <c r="F1646" t="s">
        <v>128</v>
      </c>
      <c r="G1646" t="s">
        <v>187</v>
      </c>
      <c r="H1646" t="s">
        <v>5544</v>
      </c>
      <c r="I1646" t="s">
        <v>91</v>
      </c>
      <c r="J1646" t="s">
        <v>128</v>
      </c>
      <c r="L1646" t="b">
        <v>1</v>
      </c>
      <c r="M1646" t="s">
        <v>39</v>
      </c>
      <c r="N1646" t="s">
        <v>8245</v>
      </c>
      <c r="O1646" s="1">
        <v>20084</v>
      </c>
      <c r="P1646" t="s">
        <v>190</v>
      </c>
      <c r="Q1646" t="s">
        <v>2375</v>
      </c>
      <c r="S1646" s="1">
        <v>45020.209027777775</v>
      </c>
      <c r="V1646">
        <v>1954</v>
      </c>
      <c r="W1646">
        <v>125.08</v>
      </c>
      <c r="X1646">
        <v>2.9</v>
      </c>
      <c r="Y1646" s="2">
        <v>19910000000000</v>
      </c>
      <c r="Z1646">
        <v>50.6</v>
      </c>
      <c r="AA1646">
        <v>100.2</v>
      </c>
      <c r="AB1646">
        <v>9.4</v>
      </c>
      <c r="AC1646">
        <v>59.2</v>
      </c>
      <c r="AD1646">
        <v>1397715000</v>
      </c>
    </row>
    <row r="1647" spans="1:30" hidden="1" x14ac:dyDescent="0.45">
      <c r="A1647">
        <v>1575</v>
      </c>
      <c r="B1647">
        <v>1900</v>
      </c>
      <c r="C1647" t="s">
        <v>296</v>
      </c>
      <c r="D1647" t="s">
        <v>5545</v>
      </c>
      <c r="E1647">
        <v>71</v>
      </c>
      <c r="F1647" t="s">
        <v>35</v>
      </c>
      <c r="G1647" t="s">
        <v>2085</v>
      </c>
      <c r="H1647" t="s">
        <v>399</v>
      </c>
      <c r="I1647" t="s">
        <v>296</v>
      </c>
      <c r="J1647" t="s">
        <v>35</v>
      </c>
      <c r="L1647" t="b">
        <v>0</v>
      </c>
      <c r="M1647" t="s">
        <v>29</v>
      </c>
      <c r="N1647" t="s">
        <v>8246</v>
      </c>
      <c r="O1647" s="1">
        <v>19012</v>
      </c>
      <c r="P1647" t="s">
        <v>5546</v>
      </c>
      <c r="Q1647" t="s">
        <v>5547</v>
      </c>
      <c r="S1647" s="1">
        <v>45020.209027777775</v>
      </c>
      <c r="T1647" t="s">
        <v>2088</v>
      </c>
      <c r="U1647" t="s">
        <v>44</v>
      </c>
      <c r="V1647">
        <v>1952</v>
      </c>
      <c r="W1647">
        <v>117.24</v>
      </c>
      <c r="X1647">
        <v>7.5</v>
      </c>
      <c r="Y1647" s="2">
        <v>21427700000000</v>
      </c>
      <c r="Z1647">
        <v>88.2</v>
      </c>
      <c r="AA1647">
        <v>101.8</v>
      </c>
      <c r="AB1647">
        <v>9.6</v>
      </c>
      <c r="AC1647">
        <v>36.6</v>
      </c>
      <c r="AD1647">
        <v>328239523</v>
      </c>
    </row>
    <row r="1648" spans="1:30" hidden="1" x14ac:dyDescent="0.45">
      <c r="A1648">
        <v>1647</v>
      </c>
      <c r="B1648">
        <v>1800</v>
      </c>
      <c r="C1648" t="s">
        <v>45</v>
      </c>
      <c r="D1648" t="s">
        <v>5548</v>
      </c>
      <c r="E1648">
        <v>43</v>
      </c>
      <c r="F1648" t="s">
        <v>328</v>
      </c>
      <c r="G1648" t="s">
        <v>724</v>
      </c>
      <c r="H1648" t="s">
        <v>856</v>
      </c>
      <c r="I1648" t="s">
        <v>45</v>
      </c>
      <c r="J1648" t="s">
        <v>328</v>
      </c>
      <c r="L1648" t="b">
        <v>1</v>
      </c>
      <c r="M1648" t="s">
        <v>39</v>
      </c>
      <c r="N1648" t="s">
        <v>8245</v>
      </c>
      <c r="O1648" s="1">
        <v>29215</v>
      </c>
      <c r="P1648" t="s">
        <v>5549</v>
      </c>
      <c r="Q1648" t="s">
        <v>5550</v>
      </c>
      <c r="S1648" s="1">
        <v>45020.209027777775</v>
      </c>
      <c r="V1648">
        <v>1979</v>
      </c>
      <c r="W1648">
        <v>119.8</v>
      </c>
      <c r="X1648">
        <v>1.6</v>
      </c>
      <c r="Y1648" s="2">
        <v>1392680589329</v>
      </c>
      <c r="Z1648">
        <v>113.1</v>
      </c>
      <c r="AA1648">
        <v>100.3</v>
      </c>
      <c r="AB1648">
        <v>23</v>
      </c>
      <c r="AC1648">
        <v>47.4</v>
      </c>
      <c r="AD1648">
        <v>25766605</v>
      </c>
    </row>
    <row r="1649" spans="1:30" hidden="1" x14ac:dyDescent="0.45">
      <c r="A1649">
        <v>1647</v>
      </c>
      <c r="B1649">
        <v>1800</v>
      </c>
      <c r="C1649" t="s">
        <v>23</v>
      </c>
      <c r="D1649" t="s">
        <v>5551</v>
      </c>
      <c r="E1649">
        <v>51</v>
      </c>
      <c r="F1649" t="s">
        <v>272</v>
      </c>
      <c r="H1649" t="s">
        <v>3333</v>
      </c>
      <c r="I1649" t="s">
        <v>23</v>
      </c>
      <c r="J1649" t="s">
        <v>272</v>
      </c>
      <c r="L1649" t="b">
        <v>0</v>
      </c>
      <c r="M1649" t="s">
        <v>285</v>
      </c>
      <c r="N1649" t="s">
        <v>8245</v>
      </c>
      <c r="O1649" s="1">
        <v>26362</v>
      </c>
      <c r="P1649" t="s">
        <v>5552</v>
      </c>
      <c r="Q1649" t="s">
        <v>5553</v>
      </c>
      <c r="S1649" s="1">
        <v>45020.209027777775</v>
      </c>
      <c r="V1649">
        <v>1972</v>
      </c>
      <c r="W1649">
        <v>119.62</v>
      </c>
      <c r="X1649">
        <v>1.7</v>
      </c>
      <c r="Y1649" s="2">
        <v>2827113184696</v>
      </c>
      <c r="Z1649">
        <v>60</v>
      </c>
      <c r="AA1649">
        <v>101.2</v>
      </c>
      <c r="AB1649">
        <v>25.5</v>
      </c>
      <c r="AC1649">
        <v>30.6</v>
      </c>
      <c r="AD1649">
        <v>66834405</v>
      </c>
    </row>
    <row r="1650" spans="1:30" hidden="1" x14ac:dyDescent="0.45">
      <c r="A1650">
        <v>1647</v>
      </c>
      <c r="B1650">
        <v>1800</v>
      </c>
      <c r="C1650" t="s">
        <v>91</v>
      </c>
      <c r="D1650" t="s">
        <v>5554</v>
      </c>
      <c r="E1650">
        <v>75</v>
      </c>
      <c r="F1650" t="s">
        <v>5555</v>
      </c>
      <c r="G1650" t="s">
        <v>5556</v>
      </c>
      <c r="H1650" t="s">
        <v>5557</v>
      </c>
      <c r="I1650" t="s">
        <v>91</v>
      </c>
      <c r="J1650" t="s">
        <v>5555</v>
      </c>
      <c r="L1650" t="b">
        <v>1</v>
      </c>
      <c r="M1650" t="s">
        <v>39</v>
      </c>
      <c r="N1650" t="s">
        <v>8245</v>
      </c>
      <c r="O1650" s="1">
        <v>17533</v>
      </c>
      <c r="P1650" t="s">
        <v>5558</v>
      </c>
      <c r="Q1650" t="s">
        <v>5559</v>
      </c>
      <c r="S1650" s="1">
        <v>45020.209027777775</v>
      </c>
      <c r="V1650">
        <v>1948</v>
      </c>
      <c r="W1650">
        <v>115.38</v>
      </c>
      <c r="X1650">
        <v>-0.7</v>
      </c>
      <c r="Y1650" s="2">
        <v>183466208791</v>
      </c>
      <c r="Z1650">
        <v>17.899999999999999</v>
      </c>
      <c r="AA1650">
        <v>103.8</v>
      </c>
      <c r="AB1650">
        <v>14.7</v>
      </c>
      <c r="AC1650">
        <v>11.3</v>
      </c>
      <c r="AD1650">
        <v>2832067</v>
      </c>
    </row>
    <row r="1651" spans="1:30" hidden="1" x14ac:dyDescent="0.45">
      <c r="A1651">
        <v>1647</v>
      </c>
      <c r="B1651">
        <v>1800</v>
      </c>
      <c r="C1651" t="s">
        <v>702</v>
      </c>
      <c r="D1651" t="s">
        <v>5560</v>
      </c>
      <c r="E1651">
        <v>79</v>
      </c>
      <c r="F1651" t="s">
        <v>35</v>
      </c>
      <c r="G1651" t="s">
        <v>870</v>
      </c>
      <c r="H1651" t="s">
        <v>5561</v>
      </c>
      <c r="I1651" t="s">
        <v>702</v>
      </c>
      <c r="J1651" t="s">
        <v>35</v>
      </c>
      <c r="L1651" t="b">
        <v>1</v>
      </c>
      <c r="M1651" t="s">
        <v>611</v>
      </c>
      <c r="N1651" t="s">
        <v>8245</v>
      </c>
      <c r="O1651" s="1">
        <v>15887</v>
      </c>
      <c r="P1651" t="s">
        <v>1040</v>
      </c>
      <c r="Q1651" t="s">
        <v>5562</v>
      </c>
      <c r="S1651" s="1">
        <v>45020.209027777775</v>
      </c>
      <c r="T1651" t="s">
        <v>43</v>
      </c>
      <c r="U1651" t="s">
        <v>44</v>
      </c>
      <c r="V1651">
        <v>1943</v>
      </c>
      <c r="W1651">
        <v>117.24</v>
      </c>
      <c r="X1651">
        <v>7.5</v>
      </c>
      <c r="Y1651" s="2">
        <v>21427700000000</v>
      </c>
      <c r="Z1651">
        <v>88.2</v>
      </c>
      <c r="AA1651">
        <v>101.8</v>
      </c>
      <c r="AB1651">
        <v>9.6</v>
      </c>
      <c r="AC1651">
        <v>36.6</v>
      </c>
      <c r="AD1651">
        <v>328239523</v>
      </c>
    </row>
    <row r="1652" spans="1:30" hidden="1" x14ac:dyDescent="0.45">
      <c r="A1652">
        <v>1647</v>
      </c>
      <c r="B1652">
        <v>1800</v>
      </c>
      <c r="C1652" t="s">
        <v>302</v>
      </c>
      <c r="D1652" t="s">
        <v>5563</v>
      </c>
      <c r="E1652">
        <v>57</v>
      </c>
      <c r="F1652" t="s">
        <v>266</v>
      </c>
      <c r="G1652" t="s">
        <v>267</v>
      </c>
      <c r="H1652" t="s">
        <v>5564</v>
      </c>
      <c r="I1652" t="s">
        <v>302</v>
      </c>
      <c r="J1652" t="s">
        <v>266</v>
      </c>
      <c r="L1652" t="b">
        <v>1</v>
      </c>
      <c r="M1652" t="s">
        <v>39</v>
      </c>
      <c r="N1652" t="s">
        <v>8245</v>
      </c>
      <c r="O1652" s="1">
        <v>24044</v>
      </c>
      <c r="P1652" t="s">
        <v>5565</v>
      </c>
      <c r="Q1652" t="s">
        <v>5566</v>
      </c>
      <c r="S1652" s="1">
        <v>45020.209027777775</v>
      </c>
      <c r="V1652">
        <v>1965</v>
      </c>
      <c r="W1652">
        <v>105.48</v>
      </c>
      <c r="X1652">
        <v>0.5</v>
      </c>
      <c r="Y1652" s="2">
        <v>5081769542380</v>
      </c>
      <c r="Z1652">
        <v>63.2</v>
      </c>
      <c r="AA1652">
        <v>98.8</v>
      </c>
      <c r="AB1652">
        <v>11.9</v>
      </c>
      <c r="AC1652">
        <v>46.7</v>
      </c>
      <c r="AD1652">
        <v>126226568</v>
      </c>
    </row>
    <row r="1653" spans="1:30" hidden="1" x14ac:dyDescent="0.45">
      <c r="A1653">
        <v>1647</v>
      </c>
      <c r="B1653">
        <v>1800</v>
      </c>
      <c r="C1653" t="s">
        <v>23</v>
      </c>
      <c r="D1653" t="s">
        <v>5567</v>
      </c>
      <c r="E1653">
        <v>49</v>
      </c>
      <c r="F1653" t="s">
        <v>214</v>
      </c>
      <c r="G1653" t="s">
        <v>2813</v>
      </c>
      <c r="H1653" t="s">
        <v>3375</v>
      </c>
      <c r="I1653" t="s">
        <v>23</v>
      </c>
      <c r="J1653" t="s">
        <v>214</v>
      </c>
      <c r="L1653" t="b">
        <v>0</v>
      </c>
      <c r="M1653" t="s">
        <v>29</v>
      </c>
      <c r="N1653" t="s">
        <v>8246</v>
      </c>
      <c r="O1653" s="1">
        <v>26941</v>
      </c>
      <c r="P1653" t="s">
        <v>3376</v>
      </c>
      <c r="Q1653" t="s">
        <v>5568</v>
      </c>
      <c r="S1653" s="1">
        <v>45020.209027777775</v>
      </c>
      <c r="V1653">
        <v>1973</v>
      </c>
      <c r="W1653">
        <v>110.62</v>
      </c>
      <c r="X1653">
        <v>0.6</v>
      </c>
      <c r="Y1653" s="2">
        <v>2001244392042</v>
      </c>
      <c r="Z1653">
        <v>61.9</v>
      </c>
      <c r="AA1653">
        <v>101.9</v>
      </c>
      <c r="AB1653">
        <v>24.3</v>
      </c>
      <c r="AC1653">
        <v>59.1</v>
      </c>
      <c r="AD1653">
        <v>60297396</v>
      </c>
    </row>
    <row r="1654" spans="1:30" hidden="1" x14ac:dyDescent="0.45">
      <c r="A1654">
        <v>1647</v>
      </c>
      <c r="B1654">
        <v>1800</v>
      </c>
      <c r="C1654" t="s">
        <v>45</v>
      </c>
      <c r="D1654" t="s">
        <v>5569</v>
      </c>
      <c r="E1654">
        <v>59</v>
      </c>
      <c r="F1654" t="s">
        <v>93</v>
      </c>
      <c r="G1654" t="s">
        <v>343</v>
      </c>
      <c r="H1654" t="s">
        <v>5570</v>
      </c>
      <c r="I1654" t="s">
        <v>45</v>
      </c>
      <c r="J1654" t="s">
        <v>93</v>
      </c>
      <c r="L1654" t="b">
        <v>1</v>
      </c>
      <c r="M1654" t="s">
        <v>39</v>
      </c>
      <c r="N1654" t="s">
        <v>8245</v>
      </c>
      <c r="O1654" s="1">
        <v>23191</v>
      </c>
      <c r="P1654" t="s">
        <v>5571</v>
      </c>
      <c r="Q1654" t="s">
        <v>5572</v>
      </c>
      <c r="S1654" s="1">
        <v>45020.209027777775</v>
      </c>
      <c r="V1654">
        <v>1963</v>
      </c>
      <c r="W1654">
        <v>180.44</v>
      </c>
      <c r="X1654">
        <v>7.7</v>
      </c>
      <c r="Y1654" s="2">
        <v>2611000000000</v>
      </c>
      <c r="Z1654">
        <v>28.1</v>
      </c>
      <c r="AA1654">
        <v>113</v>
      </c>
      <c r="AB1654">
        <v>11.2</v>
      </c>
      <c r="AC1654">
        <v>49.7</v>
      </c>
      <c r="AD1654">
        <v>1366417754</v>
      </c>
    </row>
    <row r="1655" spans="1:30" hidden="1" x14ac:dyDescent="0.45">
      <c r="A1655">
        <v>1647</v>
      </c>
      <c r="B1655">
        <v>1800</v>
      </c>
      <c r="C1655" t="s">
        <v>61</v>
      </c>
      <c r="D1655" t="s">
        <v>5573</v>
      </c>
      <c r="E1655">
        <v>58</v>
      </c>
      <c r="F1655" t="s">
        <v>35</v>
      </c>
      <c r="G1655" t="s">
        <v>78</v>
      </c>
      <c r="H1655" t="s">
        <v>248</v>
      </c>
      <c r="I1655" t="s">
        <v>61</v>
      </c>
      <c r="J1655" t="s">
        <v>35</v>
      </c>
      <c r="L1655" t="b">
        <v>1</v>
      </c>
      <c r="M1655" t="s">
        <v>611</v>
      </c>
      <c r="N1655" t="s">
        <v>8245</v>
      </c>
      <c r="O1655" s="1">
        <v>23562</v>
      </c>
      <c r="P1655" t="s">
        <v>5574</v>
      </c>
      <c r="Q1655" t="s">
        <v>5575</v>
      </c>
      <c r="S1655" s="1">
        <v>45020.209027777775</v>
      </c>
      <c r="T1655" t="s">
        <v>78</v>
      </c>
      <c r="U1655" t="s">
        <v>82</v>
      </c>
      <c r="V1655">
        <v>1964</v>
      </c>
      <c r="W1655">
        <v>117.24</v>
      </c>
      <c r="X1655">
        <v>7.5</v>
      </c>
      <c r="Y1655" s="2">
        <v>21427700000000</v>
      </c>
      <c r="Z1655">
        <v>88.2</v>
      </c>
      <c r="AA1655">
        <v>101.8</v>
      </c>
      <c r="AB1655">
        <v>9.6</v>
      </c>
      <c r="AC1655">
        <v>36.6</v>
      </c>
      <c r="AD1655">
        <v>328239523</v>
      </c>
    </row>
    <row r="1656" spans="1:30" hidden="1" x14ac:dyDescent="0.45">
      <c r="A1656">
        <v>1647</v>
      </c>
      <c r="B1656">
        <v>1800</v>
      </c>
      <c r="C1656" t="s">
        <v>347</v>
      </c>
      <c r="D1656" t="s">
        <v>5576</v>
      </c>
      <c r="E1656">
        <v>78</v>
      </c>
      <c r="F1656" t="s">
        <v>5577</v>
      </c>
      <c r="G1656" t="s">
        <v>5578</v>
      </c>
      <c r="H1656" t="s">
        <v>503</v>
      </c>
      <c r="I1656" t="s">
        <v>347</v>
      </c>
      <c r="J1656" t="s">
        <v>2231</v>
      </c>
      <c r="L1656" t="b">
        <v>0</v>
      </c>
      <c r="M1656" t="s">
        <v>39</v>
      </c>
      <c r="N1656" t="s">
        <v>8245</v>
      </c>
      <c r="O1656" s="1">
        <v>16377</v>
      </c>
      <c r="P1656" t="s">
        <v>5579</v>
      </c>
      <c r="Q1656" t="s">
        <v>1502</v>
      </c>
      <c r="S1656" s="1">
        <v>45020.209027777775</v>
      </c>
      <c r="V1656">
        <v>1944</v>
      </c>
      <c r="W1656">
        <v>202.92</v>
      </c>
      <c r="X1656">
        <v>7.9</v>
      </c>
      <c r="Y1656" s="2">
        <v>56045912952</v>
      </c>
      <c r="Z1656">
        <v>63.1</v>
      </c>
      <c r="AA1656">
        <v>108.5</v>
      </c>
      <c r="AB1656">
        <v>20.100000000000001</v>
      </c>
      <c r="AC1656">
        <v>41.8</v>
      </c>
      <c r="AD1656">
        <v>3461734</v>
      </c>
    </row>
    <row r="1657" spans="1:30" hidden="1" x14ac:dyDescent="0.45">
      <c r="A1657">
        <v>1647</v>
      </c>
      <c r="B1657">
        <v>1800</v>
      </c>
      <c r="C1657" t="s">
        <v>126</v>
      </c>
      <c r="D1657" t="s">
        <v>5580</v>
      </c>
      <c r="E1657">
        <v>74</v>
      </c>
      <c r="F1657" t="s">
        <v>93</v>
      </c>
      <c r="G1657" t="s">
        <v>4546</v>
      </c>
      <c r="H1657" t="s">
        <v>2437</v>
      </c>
      <c r="I1657" t="s">
        <v>126</v>
      </c>
      <c r="J1657" t="s">
        <v>93</v>
      </c>
      <c r="L1657" t="b">
        <v>1</v>
      </c>
      <c r="M1657" t="s">
        <v>39</v>
      </c>
      <c r="N1657" t="s">
        <v>8245</v>
      </c>
      <c r="O1657" s="1">
        <v>17958</v>
      </c>
      <c r="P1657" t="s">
        <v>5581</v>
      </c>
      <c r="Q1657" t="s">
        <v>5582</v>
      </c>
      <c r="S1657" s="1">
        <v>45020.209027777775</v>
      </c>
      <c r="V1657">
        <v>1949</v>
      </c>
      <c r="W1657">
        <v>180.44</v>
      </c>
      <c r="X1657">
        <v>7.7</v>
      </c>
      <c r="Y1657" s="2">
        <v>2611000000000</v>
      </c>
      <c r="Z1657">
        <v>28.1</v>
      </c>
      <c r="AA1657">
        <v>113</v>
      </c>
      <c r="AB1657">
        <v>11.2</v>
      </c>
      <c r="AC1657">
        <v>49.7</v>
      </c>
      <c r="AD1657">
        <v>1366417754</v>
      </c>
    </row>
    <row r="1658" spans="1:30" hidden="1" x14ac:dyDescent="0.45">
      <c r="A1658">
        <v>1647</v>
      </c>
      <c r="B1658">
        <v>1800</v>
      </c>
      <c r="C1658" t="s">
        <v>91</v>
      </c>
      <c r="D1658" t="s">
        <v>5583</v>
      </c>
      <c r="E1658">
        <v>67</v>
      </c>
      <c r="F1658" t="s">
        <v>5584</v>
      </c>
      <c r="G1658" t="s">
        <v>5585</v>
      </c>
      <c r="H1658" t="s">
        <v>91</v>
      </c>
      <c r="I1658" t="s">
        <v>91</v>
      </c>
      <c r="J1658" t="s">
        <v>5584</v>
      </c>
      <c r="L1658" t="b">
        <v>0</v>
      </c>
      <c r="M1658" t="s">
        <v>29</v>
      </c>
      <c r="N1658" t="s">
        <v>8245</v>
      </c>
      <c r="O1658" s="1">
        <v>20193</v>
      </c>
      <c r="P1658" t="s">
        <v>5586</v>
      </c>
      <c r="Q1658" t="s">
        <v>5587</v>
      </c>
      <c r="S1658" s="1">
        <v>45020.209027777775</v>
      </c>
      <c r="V1658">
        <v>1955</v>
      </c>
      <c r="W1658">
        <v>188.73</v>
      </c>
      <c r="X1658">
        <v>5.6</v>
      </c>
      <c r="Y1658" s="2">
        <v>30641380604</v>
      </c>
      <c r="Z1658">
        <v>12.4</v>
      </c>
      <c r="AA1658">
        <v>142.1</v>
      </c>
      <c r="AB1658">
        <v>20.7</v>
      </c>
      <c r="AC1658">
        <v>41.8</v>
      </c>
      <c r="AD1658">
        <v>28608710</v>
      </c>
    </row>
    <row r="1659" spans="1:30" hidden="1" x14ac:dyDescent="0.45">
      <c r="A1659">
        <v>1647</v>
      </c>
      <c r="B1659">
        <v>1800</v>
      </c>
      <c r="C1659" t="s">
        <v>45</v>
      </c>
      <c r="D1659" t="s">
        <v>5588</v>
      </c>
      <c r="E1659">
        <v>42</v>
      </c>
      <c r="F1659" t="s">
        <v>35</v>
      </c>
      <c r="G1659" t="s">
        <v>991</v>
      </c>
      <c r="H1659" t="s">
        <v>856</v>
      </c>
      <c r="I1659" t="s">
        <v>45</v>
      </c>
      <c r="J1659" t="s">
        <v>35</v>
      </c>
      <c r="L1659" t="b">
        <v>1</v>
      </c>
      <c r="M1659" t="s">
        <v>258</v>
      </c>
      <c r="N1659" t="s">
        <v>8245</v>
      </c>
      <c r="O1659" s="1">
        <v>29324</v>
      </c>
      <c r="P1659" t="s">
        <v>5589</v>
      </c>
      <c r="Q1659" t="s">
        <v>3971</v>
      </c>
      <c r="S1659" s="1">
        <v>45020.209027777775</v>
      </c>
      <c r="T1659" t="s">
        <v>115</v>
      </c>
      <c r="U1659" t="s">
        <v>53</v>
      </c>
      <c r="V1659">
        <v>1980</v>
      </c>
      <c r="W1659">
        <v>117.24</v>
      </c>
      <c r="X1659">
        <v>7.5</v>
      </c>
      <c r="Y1659" s="2">
        <v>21427700000000</v>
      </c>
      <c r="Z1659">
        <v>88.2</v>
      </c>
      <c r="AA1659">
        <v>101.8</v>
      </c>
      <c r="AB1659">
        <v>9.6</v>
      </c>
      <c r="AC1659">
        <v>36.6</v>
      </c>
      <c r="AD1659">
        <v>328239523</v>
      </c>
    </row>
    <row r="1660" spans="1:30" x14ac:dyDescent="0.45">
      <c r="A1660">
        <v>1647</v>
      </c>
      <c r="B1660" s="6">
        <v>1800</v>
      </c>
      <c r="C1660" t="s">
        <v>45</v>
      </c>
      <c r="D1660" t="s">
        <v>5590</v>
      </c>
      <c r="E1660">
        <v>62</v>
      </c>
      <c r="F1660" t="s">
        <v>35</v>
      </c>
      <c r="G1660" t="s">
        <v>5591</v>
      </c>
      <c r="H1660" t="s">
        <v>5592</v>
      </c>
      <c r="I1660" t="s">
        <v>45</v>
      </c>
      <c r="J1660" t="s">
        <v>35</v>
      </c>
      <c r="K1660" t="s">
        <v>5592</v>
      </c>
      <c r="L1660" t="b">
        <v>1</v>
      </c>
      <c r="M1660" t="s">
        <v>39</v>
      </c>
      <c r="N1660" t="s">
        <v>8245</v>
      </c>
      <c r="O1660" s="10">
        <v>22221</v>
      </c>
      <c r="P1660" t="s">
        <v>861</v>
      </c>
      <c r="Q1660" t="s">
        <v>2356</v>
      </c>
      <c r="R1660" t="s">
        <v>42</v>
      </c>
      <c r="S1660" s="8">
        <v>45020.209027777775</v>
      </c>
      <c r="T1660" t="s">
        <v>115</v>
      </c>
      <c r="U1660" t="s">
        <v>53</v>
      </c>
      <c r="V1660">
        <v>1960</v>
      </c>
      <c r="W1660" s="12">
        <v>117.24</v>
      </c>
      <c r="X1660">
        <v>7.5</v>
      </c>
      <c r="Y1660" s="14">
        <v>21427700000000</v>
      </c>
      <c r="Z1660">
        <v>88.2</v>
      </c>
      <c r="AA1660">
        <v>101.8</v>
      </c>
      <c r="AB1660">
        <v>9.6</v>
      </c>
      <c r="AC1660">
        <v>36.6</v>
      </c>
      <c r="AD1660">
        <v>328239523</v>
      </c>
    </row>
    <row r="1661" spans="1:30" hidden="1" x14ac:dyDescent="0.45">
      <c r="A1661">
        <v>1647</v>
      </c>
      <c r="B1661">
        <v>1800</v>
      </c>
      <c r="C1661" t="s">
        <v>61</v>
      </c>
      <c r="D1661" t="s">
        <v>5593</v>
      </c>
      <c r="E1661">
        <v>62</v>
      </c>
      <c r="F1661" t="s">
        <v>272</v>
      </c>
      <c r="G1661" t="s">
        <v>273</v>
      </c>
      <c r="H1661" t="s">
        <v>1839</v>
      </c>
      <c r="I1661" t="s">
        <v>61</v>
      </c>
      <c r="J1661" t="s">
        <v>272</v>
      </c>
      <c r="L1661" t="b">
        <v>1</v>
      </c>
      <c r="M1661" t="s">
        <v>611</v>
      </c>
      <c r="N1661" t="s">
        <v>8245</v>
      </c>
      <c r="O1661" s="1">
        <v>22282</v>
      </c>
      <c r="P1661" t="s">
        <v>5594</v>
      </c>
      <c r="Q1661" t="s">
        <v>137</v>
      </c>
      <c r="S1661" s="1">
        <v>45020.209027777775</v>
      </c>
      <c r="V1661">
        <v>1961</v>
      </c>
      <c r="W1661">
        <v>119.62</v>
      </c>
      <c r="X1661">
        <v>1.7</v>
      </c>
      <c r="Y1661" s="2">
        <v>2827113184696</v>
      </c>
      <c r="Z1661">
        <v>60</v>
      </c>
      <c r="AA1661">
        <v>101.2</v>
      </c>
      <c r="AB1661">
        <v>25.5</v>
      </c>
      <c r="AC1661">
        <v>30.6</v>
      </c>
      <c r="AD1661">
        <v>66834405</v>
      </c>
    </row>
    <row r="1662" spans="1:30" hidden="1" x14ac:dyDescent="0.45">
      <c r="A1662">
        <v>1647</v>
      </c>
      <c r="B1662">
        <v>1800</v>
      </c>
      <c r="C1662" t="s">
        <v>76</v>
      </c>
      <c r="D1662" t="s">
        <v>5595</v>
      </c>
      <c r="E1662">
        <v>68</v>
      </c>
      <c r="F1662" t="s">
        <v>641</v>
      </c>
      <c r="G1662" t="s">
        <v>5596</v>
      </c>
      <c r="H1662" t="s">
        <v>5597</v>
      </c>
      <c r="I1662" t="s">
        <v>76</v>
      </c>
      <c r="J1662" t="s">
        <v>641</v>
      </c>
      <c r="L1662" t="b">
        <v>1</v>
      </c>
      <c r="M1662" t="s">
        <v>611</v>
      </c>
      <c r="N1662" t="s">
        <v>8245</v>
      </c>
      <c r="O1662" s="1">
        <v>20172</v>
      </c>
      <c r="P1662" t="s">
        <v>5598</v>
      </c>
      <c r="Q1662" t="s">
        <v>225</v>
      </c>
      <c r="S1662" s="1">
        <v>45020.209027777775</v>
      </c>
      <c r="V1662">
        <v>1955</v>
      </c>
      <c r="W1662">
        <v>115.91</v>
      </c>
      <c r="X1662">
        <v>2.6</v>
      </c>
      <c r="Y1662" s="2">
        <v>909070395161</v>
      </c>
      <c r="Z1662">
        <v>85</v>
      </c>
      <c r="AA1662">
        <v>104.2</v>
      </c>
      <c r="AB1662">
        <v>23</v>
      </c>
      <c r="AC1662">
        <v>41.2</v>
      </c>
      <c r="AD1662">
        <v>17332850</v>
      </c>
    </row>
    <row r="1663" spans="1:30" hidden="1" x14ac:dyDescent="0.45">
      <c r="A1663">
        <v>1647</v>
      </c>
      <c r="B1663">
        <v>1800</v>
      </c>
      <c r="C1663" t="s">
        <v>689</v>
      </c>
      <c r="D1663" t="s">
        <v>5599</v>
      </c>
      <c r="E1663">
        <v>60</v>
      </c>
      <c r="F1663" t="s">
        <v>117</v>
      </c>
      <c r="G1663" t="s">
        <v>2480</v>
      </c>
      <c r="H1663" t="s">
        <v>2481</v>
      </c>
      <c r="I1663" t="s">
        <v>689</v>
      </c>
      <c r="J1663" t="s">
        <v>117</v>
      </c>
      <c r="L1663" t="b">
        <v>0</v>
      </c>
      <c r="M1663" t="s">
        <v>39</v>
      </c>
      <c r="N1663" t="s">
        <v>8245</v>
      </c>
      <c r="O1663" s="1">
        <v>22857</v>
      </c>
      <c r="P1663" t="s">
        <v>2482</v>
      </c>
      <c r="Q1663" t="s">
        <v>5600</v>
      </c>
      <c r="S1663" s="1">
        <v>45020.209027777775</v>
      </c>
      <c r="V1663">
        <v>1962</v>
      </c>
      <c r="W1663">
        <v>110.96</v>
      </c>
      <c r="X1663">
        <v>0.7</v>
      </c>
      <c r="Y1663" s="2">
        <v>1394116310769</v>
      </c>
      <c r="Z1663">
        <v>88.9</v>
      </c>
      <c r="AA1663">
        <v>102.7</v>
      </c>
      <c r="AB1663">
        <v>14.2</v>
      </c>
      <c r="AC1663">
        <v>47</v>
      </c>
      <c r="AD1663">
        <v>47076781</v>
      </c>
    </row>
    <row r="1664" spans="1:30" hidden="1" x14ac:dyDescent="0.45">
      <c r="A1664">
        <v>1647</v>
      </c>
      <c r="B1664">
        <v>1800</v>
      </c>
      <c r="C1664" t="s">
        <v>45</v>
      </c>
      <c r="D1664" t="s">
        <v>5601</v>
      </c>
      <c r="E1664">
        <v>59</v>
      </c>
      <c r="F1664" t="s">
        <v>128</v>
      </c>
      <c r="G1664" t="s">
        <v>187</v>
      </c>
      <c r="H1664" t="s">
        <v>856</v>
      </c>
      <c r="I1664" t="s">
        <v>45</v>
      </c>
      <c r="J1664" t="s">
        <v>128</v>
      </c>
      <c r="L1664" t="b">
        <v>1</v>
      </c>
      <c r="M1664" t="s">
        <v>29</v>
      </c>
      <c r="N1664" t="s">
        <v>8245</v>
      </c>
      <c r="O1664" s="1">
        <v>23321</v>
      </c>
      <c r="P1664" t="s">
        <v>5602</v>
      </c>
      <c r="Q1664" t="s">
        <v>5603</v>
      </c>
      <c r="S1664" s="1">
        <v>45020.209027777775</v>
      </c>
      <c r="V1664">
        <v>1963</v>
      </c>
      <c r="W1664">
        <v>125.08</v>
      </c>
      <c r="X1664">
        <v>2.9</v>
      </c>
      <c r="Y1664" s="2">
        <v>19910000000000</v>
      </c>
      <c r="Z1664">
        <v>50.6</v>
      </c>
      <c r="AA1664">
        <v>100.2</v>
      </c>
      <c r="AB1664">
        <v>9.4</v>
      </c>
      <c r="AC1664">
        <v>59.2</v>
      </c>
      <c r="AD1664">
        <v>1397715000</v>
      </c>
    </row>
    <row r="1665" spans="1:30" hidden="1" x14ac:dyDescent="0.45">
      <c r="A1665">
        <v>1647</v>
      </c>
      <c r="B1665">
        <v>1800</v>
      </c>
      <c r="C1665" t="s">
        <v>402</v>
      </c>
      <c r="D1665" t="s">
        <v>5604</v>
      </c>
      <c r="E1665">
        <v>78</v>
      </c>
      <c r="F1665" t="s">
        <v>35</v>
      </c>
      <c r="G1665" t="s">
        <v>3653</v>
      </c>
      <c r="H1665" t="s">
        <v>610</v>
      </c>
      <c r="I1665" t="s">
        <v>402</v>
      </c>
      <c r="J1665" t="s">
        <v>35</v>
      </c>
      <c r="L1665" t="b">
        <v>1</v>
      </c>
      <c r="M1665" t="s">
        <v>39</v>
      </c>
      <c r="N1665" t="s">
        <v>8245</v>
      </c>
      <c r="O1665" s="1">
        <v>16190</v>
      </c>
      <c r="P1665" t="s">
        <v>5605</v>
      </c>
      <c r="Q1665" t="s">
        <v>619</v>
      </c>
      <c r="S1665" s="1">
        <v>45020.209027777775</v>
      </c>
      <c r="T1665" t="s">
        <v>253</v>
      </c>
      <c r="U1665" t="s">
        <v>44</v>
      </c>
      <c r="V1665">
        <v>1944</v>
      </c>
      <c r="W1665">
        <v>117.24</v>
      </c>
      <c r="X1665">
        <v>7.5</v>
      </c>
      <c r="Y1665" s="2">
        <v>21427700000000</v>
      </c>
      <c r="Z1665">
        <v>88.2</v>
      </c>
      <c r="AA1665">
        <v>101.8</v>
      </c>
      <c r="AB1665">
        <v>9.6</v>
      </c>
      <c r="AC1665">
        <v>36.6</v>
      </c>
      <c r="AD1665">
        <v>328239523</v>
      </c>
    </row>
    <row r="1666" spans="1:30" hidden="1" x14ac:dyDescent="0.45">
      <c r="A1666">
        <v>1647</v>
      </c>
      <c r="B1666">
        <v>1800</v>
      </c>
      <c r="C1666" t="s">
        <v>702</v>
      </c>
      <c r="D1666" t="s">
        <v>5606</v>
      </c>
      <c r="E1666">
        <v>78</v>
      </c>
      <c r="F1666" t="s">
        <v>35</v>
      </c>
      <c r="G1666" t="s">
        <v>5607</v>
      </c>
      <c r="H1666" t="s">
        <v>5608</v>
      </c>
      <c r="I1666" t="s">
        <v>702</v>
      </c>
      <c r="J1666" t="s">
        <v>35</v>
      </c>
      <c r="L1666" t="b">
        <v>0</v>
      </c>
      <c r="M1666" t="s">
        <v>611</v>
      </c>
      <c r="N1666" t="s">
        <v>8245</v>
      </c>
      <c r="O1666" s="1">
        <v>16369</v>
      </c>
      <c r="P1666" t="s">
        <v>25</v>
      </c>
      <c r="Q1666" t="s">
        <v>401</v>
      </c>
      <c r="S1666" s="1">
        <v>45020.209027777775</v>
      </c>
      <c r="T1666" t="s">
        <v>253</v>
      </c>
      <c r="U1666" t="s">
        <v>44</v>
      </c>
      <c r="V1666">
        <v>1944</v>
      </c>
      <c r="W1666">
        <v>117.24</v>
      </c>
      <c r="X1666">
        <v>7.5</v>
      </c>
      <c r="Y1666" s="2">
        <v>21427700000000</v>
      </c>
      <c r="Z1666">
        <v>88.2</v>
      </c>
      <c r="AA1666">
        <v>101.8</v>
      </c>
      <c r="AB1666">
        <v>9.6</v>
      </c>
      <c r="AC1666">
        <v>36.6</v>
      </c>
      <c r="AD1666">
        <v>328239523</v>
      </c>
    </row>
    <row r="1667" spans="1:30" hidden="1" x14ac:dyDescent="0.45">
      <c r="A1667">
        <v>1647</v>
      </c>
      <c r="B1667">
        <v>1800</v>
      </c>
      <c r="C1667" t="s">
        <v>402</v>
      </c>
      <c r="D1667" t="s">
        <v>5609</v>
      </c>
      <c r="E1667">
        <v>86</v>
      </c>
      <c r="F1667" t="s">
        <v>35</v>
      </c>
      <c r="G1667" t="s">
        <v>1223</v>
      </c>
      <c r="H1667" t="s">
        <v>610</v>
      </c>
      <c r="I1667" t="s">
        <v>402</v>
      </c>
      <c r="J1667" t="s">
        <v>35</v>
      </c>
      <c r="L1667" t="b">
        <v>1</v>
      </c>
      <c r="M1667" t="s">
        <v>39</v>
      </c>
      <c r="N1667" t="s">
        <v>8245</v>
      </c>
      <c r="O1667" s="1">
        <v>13465</v>
      </c>
      <c r="P1667" t="s">
        <v>5610</v>
      </c>
      <c r="Q1667" t="s">
        <v>5611</v>
      </c>
      <c r="S1667" s="1">
        <v>45020.209027777775</v>
      </c>
      <c r="T1667" t="s">
        <v>253</v>
      </c>
      <c r="U1667" t="s">
        <v>44</v>
      </c>
      <c r="V1667">
        <v>1936</v>
      </c>
      <c r="W1667">
        <v>117.24</v>
      </c>
      <c r="X1667">
        <v>7.5</v>
      </c>
      <c r="Y1667" s="2">
        <v>21427700000000</v>
      </c>
      <c r="Z1667">
        <v>88.2</v>
      </c>
      <c r="AA1667">
        <v>101.8</v>
      </c>
      <c r="AB1667">
        <v>9.6</v>
      </c>
      <c r="AC1667">
        <v>36.6</v>
      </c>
      <c r="AD1667">
        <v>328239523</v>
      </c>
    </row>
    <row r="1668" spans="1:30" hidden="1" x14ac:dyDescent="0.45">
      <c r="A1668">
        <v>1647</v>
      </c>
      <c r="B1668">
        <v>1800</v>
      </c>
      <c r="C1668" t="s">
        <v>61</v>
      </c>
      <c r="D1668" t="s">
        <v>5612</v>
      </c>
      <c r="E1668">
        <v>77</v>
      </c>
      <c r="F1668" t="s">
        <v>558</v>
      </c>
      <c r="G1668" t="s">
        <v>839</v>
      </c>
      <c r="H1668" t="s">
        <v>1210</v>
      </c>
      <c r="I1668" t="s">
        <v>61</v>
      </c>
      <c r="J1668" t="s">
        <v>558</v>
      </c>
      <c r="L1668" t="b">
        <v>0</v>
      </c>
      <c r="M1668" t="s">
        <v>29</v>
      </c>
      <c r="N1668" t="s">
        <v>8245</v>
      </c>
      <c r="O1668" s="1">
        <v>16771</v>
      </c>
      <c r="P1668" t="s">
        <v>5613</v>
      </c>
      <c r="Q1668" t="s">
        <v>5614</v>
      </c>
      <c r="S1668" s="1">
        <v>45020.209027777775</v>
      </c>
      <c r="V1668">
        <v>1945</v>
      </c>
      <c r="W1668">
        <v>167.4</v>
      </c>
      <c r="X1668">
        <v>3.7</v>
      </c>
      <c r="Y1668" s="2">
        <v>1839758040766</v>
      </c>
      <c r="Z1668">
        <v>51.3</v>
      </c>
      <c r="AA1668">
        <v>115.4</v>
      </c>
      <c r="AB1668">
        <v>14.2</v>
      </c>
      <c r="AC1668">
        <v>65.099999999999994</v>
      </c>
      <c r="AD1668">
        <v>212559417</v>
      </c>
    </row>
    <row r="1669" spans="1:30" x14ac:dyDescent="0.45">
      <c r="A1669">
        <v>1647</v>
      </c>
      <c r="B1669" s="6">
        <v>1800</v>
      </c>
      <c r="C1669" t="s">
        <v>126</v>
      </c>
      <c r="D1669" t="s">
        <v>5615</v>
      </c>
      <c r="E1669">
        <v>80</v>
      </c>
      <c r="F1669" t="s">
        <v>35</v>
      </c>
      <c r="G1669" t="s">
        <v>1331</v>
      </c>
      <c r="H1669" t="s">
        <v>5616</v>
      </c>
      <c r="I1669" t="s">
        <v>126</v>
      </c>
      <c r="J1669" t="s">
        <v>35</v>
      </c>
      <c r="K1669" t="s">
        <v>5617</v>
      </c>
      <c r="L1669" t="b">
        <v>0</v>
      </c>
      <c r="M1669" t="s">
        <v>611</v>
      </c>
      <c r="N1669" t="s">
        <v>8245</v>
      </c>
      <c r="O1669" s="10">
        <v>15707</v>
      </c>
      <c r="P1669" t="s">
        <v>5618</v>
      </c>
      <c r="Q1669" t="s">
        <v>1585</v>
      </c>
      <c r="R1669" t="s">
        <v>620</v>
      </c>
      <c r="S1669" s="8">
        <v>45020.209027777775</v>
      </c>
      <c r="T1669" t="s">
        <v>43</v>
      </c>
      <c r="U1669" t="s">
        <v>44</v>
      </c>
      <c r="V1669">
        <v>1943</v>
      </c>
      <c r="W1669" s="12">
        <v>117.24</v>
      </c>
      <c r="X1669">
        <v>7.5</v>
      </c>
      <c r="Y1669" s="14">
        <v>21427700000000</v>
      </c>
      <c r="Z1669">
        <v>88.2</v>
      </c>
      <c r="AA1669">
        <v>101.8</v>
      </c>
      <c r="AB1669">
        <v>9.6</v>
      </c>
      <c r="AC1669">
        <v>36.6</v>
      </c>
      <c r="AD1669">
        <v>328239523</v>
      </c>
    </row>
    <row r="1670" spans="1:30" hidden="1" x14ac:dyDescent="0.45">
      <c r="A1670">
        <v>1647</v>
      </c>
      <c r="B1670">
        <v>1800</v>
      </c>
      <c r="C1670" t="s">
        <v>402</v>
      </c>
      <c r="D1670" t="s">
        <v>5619</v>
      </c>
      <c r="E1670">
        <v>86</v>
      </c>
      <c r="F1670" t="s">
        <v>93</v>
      </c>
      <c r="G1670" t="s">
        <v>94</v>
      </c>
      <c r="H1670" t="s">
        <v>610</v>
      </c>
      <c r="I1670" t="s">
        <v>402</v>
      </c>
      <c r="J1670" t="s">
        <v>93</v>
      </c>
      <c r="L1670" t="b">
        <v>0</v>
      </c>
      <c r="M1670" t="s">
        <v>39</v>
      </c>
      <c r="N1670" t="s">
        <v>8245</v>
      </c>
      <c r="O1670" s="1">
        <v>13357</v>
      </c>
      <c r="P1670" t="s">
        <v>5620</v>
      </c>
      <c r="Q1670" t="s">
        <v>5621</v>
      </c>
      <c r="S1670" s="1">
        <v>45020.209027777775</v>
      </c>
      <c r="V1670">
        <v>1936</v>
      </c>
      <c r="W1670">
        <v>180.44</v>
      </c>
      <c r="X1670">
        <v>7.7</v>
      </c>
      <c r="Y1670" s="2">
        <v>2611000000000</v>
      </c>
      <c r="Z1670">
        <v>28.1</v>
      </c>
      <c r="AA1670">
        <v>113</v>
      </c>
      <c r="AB1670">
        <v>11.2</v>
      </c>
      <c r="AC1670">
        <v>49.7</v>
      </c>
      <c r="AD1670">
        <v>1366417754</v>
      </c>
    </row>
    <row r="1671" spans="1:30" x14ac:dyDescent="0.45">
      <c r="A1671">
        <v>1647</v>
      </c>
      <c r="B1671" s="6">
        <v>1800</v>
      </c>
      <c r="C1671" t="s">
        <v>61</v>
      </c>
      <c r="D1671" t="s">
        <v>5622</v>
      </c>
      <c r="E1671">
        <v>58</v>
      </c>
      <c r="F1671" t="s">
        <v>35</v>
      </c>
      <c r="G1671" t="s">
        <v>78</v>
      </c>
      <c r="H1671" t="s">
        <v>248</v>
      </c>
      <c r="I1671" t="s">
        <v>61</v>
      </c>
      <c r="J1671" t="s">
        <v>35</v>
      </c>
      <c r="K1671" t="s">
        <v>5623</v>
      </c>
      <c r="L1671" t="b">
        <v>1</v>
      </c>
      <c r="M1671" t="s">
        <v>611</v>
      </c>
      <c r="N1671" t="s">
        <v>8245</v>
      </c>
      <c r="O1671" s="10">
        <v>23781</v>
      </c>
      <c r="P1671" t="s">
        <v>5624</v>
      </c>
      <c r="Q1671" t="s">
        <v>995</v>
      </c>
      <c r="R1671" t="s">
        <v>688</v>
      </c>
      <c r="S1671" s="8">
        <v>45020.209027777775</v>
      </c>
      <c r="T1671" t="s">
        <v>78</v>
      </c>
      <c r="U1671" t="s">
        <v>82</v>
      </c>
      <c r="V1671">
        <v>1965</v>
      </c>
      <c r="W1671" s="12">
        <v>117.24</v>
      </c>
      <c r="X1671">
        <v>7.5</v>
      </c>
      <c r="Y1671" s="14">
        <v>21427700000000</v>
      </c>
      <c r="Z1671">
        <v>88.2</v>
      </c>
      <c r="AA1671">
        <v>101.8</v>
      </c>
      <c r="AB1671">
        <v>9.6</v>
      </c>
      <c r="AC1671">
        <v>36.6</v>
      </c>
      <c r="AD1671">
        <v>328239523</v>
      </c>
    </row>
    <row r="1672" spans="1:30" hidden="1" x14ac:dyDescent="0.45">
      <c r="A1672">
        <v>1647</v>
      </c>
      <c r="B1672">
        <v>1800</v>
      </c>
      <c r="C1672" t="s">
        <v>302</v>
      </c>
      <c r="D1672" t="s">
        <v>5625</v>
      </c>
      <c r="E1672">
        <v>63</v>
      </c>
      <c r="F1672" t="s">
        <v>128</v>
      </c>
      <c r="G1672" t="s">
        <v>129</v>
      </c>
      <c r="H1672" t="s">
        <v>304</v>
      </c>
      <c r="I1672" t="s">
        <v>302</v>
      </c>
      <c r="J1672" t="s">
        <v>128</v>
      </c>
      <c r="L1672" t="b">
        <v>1</v>
      </c>
      <c r="M1672" t="s">
        <v>29</v>
      </c>
      <c r="N1672" t="s">
        <v>8245</v>
      </c>
      <c r="O1672" s="1">
        <v>21823</v>
      </c>
      <c r="P1672" t="s">
        <v>294</v>
      </c>
      <c r="Q1672" t="s">
        <v>440</v>
      </c>
      <c r="S1672" s="1">
        <v>45020.209027777775</v>
      </c>
      <c r="V1672">
        <v>1959</v>
      </c>
      <c r="W1672">
        <v>125.08</v>
      </c>
      <c r="X1672">
        <v>2.9</v>
      </c>
      <c r="Y1672" s="2">
        <v>19910000000000</v>
      </c>
      <c r="Z1672">
        <v>50.6</v>
      </c>
      <c r="AA1672">
        <v>100.2</v>
      </c>
      <c r="AB1672">
        <v>9.4</v>
      </c>
      <c r="AC1672">
        <v>59.2</v>
      </c>
      <c r="AD1672">
        <v>1397715000</v>
      </c>
    </row>
    <row r="1673" spans="1:30" hidden="1" x14ac:dyDescent="0.45">
      <c r="A1673">
        <v>1647</v>
      </c>
      <c r="B1673">
        <v>1800</v>
      </c>
      <c r="C1673" t="s">
        <v>33</v>
      </c>
      <c r="D1673" t="s">
        <v>5626</v>
      </c>
      <c r="E1673">
        <v>72</v>
      </c>
      <c r="F1673" t="s">
        <v>128</v>
      </c>
      <c r="G1673" t="s">
        <v>292</v>
      </c>
      <c r="H1673" t="s">
        <v>752</v>
      </c>
      <c r="I1673" t="s">
        <v>33</v>
      </c>
      <c r="J1673" t="s">
        <v>128</v>
      </c>
      <c r="L1673" t="b">
        <v>1</v>
      </c>
      <c r="M1673" t="s">
        <v>29</v>
      </c>
      <c r="N1673" t="s">
        <v>8245</v>
      </c>
      <c r="O1673" s="1">
        <v>18474</v>
      </c>
      <c r="P1673" t="s">
        <v>748</v>
      </c>
      <c r="Q1673" t="s">
        <v>5627</v>
      </c>
      <c r="S1673" s="1">
        <v>45020.209027777775</v>
      </c>
      <c r="V1673">
        <v>1950</v>
      </c>
      <c r="W1673">
        <v>125.08</v>
      </c>
      <c r="X1673">
        <v>2.9</v>
      </c>
      <c r="Y1673" s="2">
        <v>19910000000000</v>
      </c>
      <c r="Z1673">
        <v>50.6</v>
      </c>
      <c r="AA1673">
        <v>100.2</v>
      </c>
      <c r="AB1673">
        <v>9.4</v>
      </c>
      <c r="AC1673">
        <v>59.2</v>
      </c>
      <c r="AD1673">
        <v>1397715000</v>
      </c>
    </row>
    <row r="1674" spans="1:30" hidden="1" x14ac:dyDescent="0.45">
      <c r="A1674">
        <v>1647</v>
      </c>
      <c r="B1674">
        <v>1800</v>
      </c>
      <c r="C1674" t="s">
        <v>402</v>
      </c>
      <c r="D1674" t="s">
        <v>5628</v>
      </c>
      <c r="E1674">
        <v>57</v>
      </c>
      <c r="F1674" t="s">
        <v>128</v>
      </c>
      <c r="G1674" t="s">
        <v>5629</v>
      </c>
      <c r="H1674" t="s">
        <v>610</v>
      </c>
      <c r="I1674" t="s">
        <v>402</v>
      </c>
      <c r="J1674" t="s">
        <v>128</v>
      </c>
      <c r="L1674" t="b">
        <v>1</v>
      </c>
      <c r="M1674" t="s">
        <v>29</v>
      </c>
      <c r="N1674" t="s">
        <v>8245</v>
      </c>
      <c r="O1674" s="1">
        <v>23955</v>
      </c>
      <c r="P1674" t="s">
        <v>957</v>
      </c>
      <c r="Q1674" t="s">
        <v>936</v>
      </c>
      <c r="S1674" s="1">
        <v>45020.209027777775</v>
      </c>
      <c r="V1674">
        <v>1965</v>
      </c>
      <c r="W1674">
        <v>125.08</v>
      </c>
      <c r="X1674">
        <v>2.9</v>
      </c>
      <c r="Y1674" s="2">
        <v>19910000000000</v>
      </c>
      <c r="Z1674">
        <v>50.6</v>
      </c>
      <c r="AA1674">
        <v>100.2</v>
      </c>
      <c r="AB1674">
        <v>9.4</v>
      </c>
      <c r="AC1674">
        <v>59.2</v>
      </c>
      <c r="AD1674">
        <v>1397715000</v>
      </c>
    </row>
    <row r="1675" spans="1:30" hidden="1" x14ac:dyDescent="0.45">
      <c r="A1675">
        <v>1647</v>
      </c>
      <c r="B1675">
        <v>1800</v>
      </c>
      <c r="C1675" t="s">
        <v>402</v>
      </c>
      <c r="D1675" t="s">
        <v>5630</v>
      </c>
      <c r="E1675">
        <v>68</v>
      </c>
      <c r="F1675" t="s">
        <v>128</v>
      </c>
      <c r="G1675" t="s">
        <v>187</v>
      </c>
      <c r="H1675" t="s">
        <v>1529</v>
      </c>
      <c r="I1675" t="s">
        <v>402</v>
      </c>
      <c r="J1675" t="s">
        <v>128</v>
      </c>
      <c r="L1675" t="b">
        <v>1</v>
      </c>
      <c r="M1675" t="s">
        <v>29</v>
      </c>
      <c r="N1675" t="s">
        <v>8245</v>
      </c>
      <c r="O1675" s="1">
        <v>19990</v>
      </c>
      <c r="P1675" t="s">
        <v>957</v>
      </c>
      <c r="Q1675" t="s">
        <v>936</v>
      </c>
      <c r="S1675" s="1">
        <v>45020.209027777775</v>
      </c>
      <c r="V1675">
        <v>1954</v>
      </c>
      <c r="W1675">
        <v>125.08</v>
      </c>
      <c r="X1675">
        <v>2.9</v>
      </c>
      <c r="Y1675" s="2">
        <v>19910000000000</v>
      </c>
      <c r="Z1675">
        <v>50.6</v>
      </c>
      <c r="AA1675">
        <v>100.2</v>
      </c>
      <c r="AB1675">
        <v>9.4</v>
      </c>
      <c r="AC1675">
        <v>59.2</v>
      </c>
      <c r="AD1675">
        <v>1397715000</v>
      </c>
    </row>
    <row r="1676" spans="1:30" hidden="1" x14ac:dyDescent="0.45">
      <c r="A1676">
        <v>1647</v>
      </c>
      <c r="B1676">
        <v>1800</v>
      </c>
      <c r="C1676" t="s">
        <v>45</v>
      </c>
      <c r="D1676" t="s">
        <v>5631</v>
      </c>
      <c r="E1676">
        <v>46</v>
      </c>
      <c r="F1676" t="s">
        <v>686</v>
      </c>
      <c r="G1676" t="s">
        <v>5632</v>
      </c>
      <c r="H1676" t="s">
        <v>856</v>
      </c>
      <c r="I1676" t="s">
        <v>45</v>
      </c>
      <c r="J1676" t="s">
        <v>686</v>
      </c>
      <c r="L1676" t="b">
        <v>1</v>
      </c>
      <c r="M1676" t="s">
        <v>39</v>
      </c>
      <c r="N1676" t="s">
        <v>8245</v>
      </c>
      <c r="O1676" s="1">
        <v>27916</v>
      </c>
      <c r="P1676" t="s">
        <v>5633</v>
      </c>
      <c r="Q1676" t="s">
        <v>5634</v>
      </c>
      <c r="S1676" s="1">
        <v>45020.209027777775</v>
      </c>
      <c r="V1676">
        <v>1976</v>
      </c>
      <c r="W1676">
        <v>102.51</v>
      </c>
      <c r="X1676">
        <v>0.3</v>
      </c>
      <c r="Y1676" s="2">
        <v>24564647935</v>
      </c>
      <c r="Z1676">
        <v>75.900000000000006</v>
      </c>
      <c r="AA1676">
        <v>99.3</v>
      </c>
      <c r="AB1676">
        <v>24.5</v>
      </c>
      <c r="AC1676">
        <v>22.4</v>
      </c>
      <c r="AD1676">
        <v>1198575</v>
      </c>
    </row>
    <row r="1677" spans="1:30" hidden="1" x14ac:dyDescent="0.45">
      <c r="A1677">
        <v>1647</v>
      </c>
      <c r="B1677">
        <v>1800</v>
      </c>
      <c r="C1677" t="s">
        <v>91</v>
      </c>
      <c r="D1677" t="s">
        <v>5635</v>
      </c>
      <c r="E1677">
        <v>45</v>
      </c>
      <c r="F1677" t="s">
        <v>928</v>
      </c>
      <c r="G1677" t="s">
        <v>929</v>
      </c>
      <c r="H1677" t="s">
        <v>5636</v>
      </c>
      <c r="I1677" t="s">
        <v>91</v>
      </c>
      <c r="J1677" t="s">
        <v>928</v>
      </c>
      <c r="L1677" t="b">
        <v>0</v>
      </c>
      <c r="M1677" t="s">
        <v>29</v>
      </c>
      <c r="N1677" t="s">
        <v>8245</v>
      </c>
      <c r="O1677" s="1">
        <v>28513</v>
      </c>
      <c r="P1677" t="s">
        <v>2381</v>
      </c>
      <c r="Q1677" t="s">
        <v>5637</v>
      </c>
      <c r="S1677" s="1">
        <v>45020.209027777775</v>
      </c>
      <c r="V1677">
        <v>1978</v>
      </c>
      <c r="W1677">
        <v>115.16</v>
      </c>
      <c r="X1677">
        <v>0.4</v>
      </c>
      <c r="Y1677" s="2">
        <v>2029000000000</v>
      </c>
      <c r="Z1677">
        <v>94.3</v>
      </c>
      <c r="AA1677">
        <v>98.1</v>
      </c>
      <c r="AB1677">
        <v>15.6</v>
      </c>
      <c r="AC1677">
        <v>33.200000000000003</v>
      </c>
      <c r="AD1677">
        <v>51709098</v>
      </c>
    </row>
    <row r="1678" spans="1:30" hidden="1" x14ac:dyDescent="0.45">
      <c r="A1678">
        <v>1647</v>
      </c>
      <c r="B1678">
        <v>1800</v>
      </c>
      <c r="C1678" t="s">
        <v>45</v>
      </c>
      <c r="D1678" t="s">
        <v>5638</v>
      </c>
      <c r="E1678">
        <v>52</v>
      </c>
      <c r="F1678" t="s">
        <v>35</v>
      </c>
      <c r="G1678" t="s">
        <v>3299</v>
      </c>
      <c r="H1678" t="s">
        <v>1803</v>
      </c>
      <c r="I1678" t="s">
        <v>45</v>
      </c>
      <c r="J1678" t="s">
        <v>35</v>
      </c>
      <c r="L1678" t="b">
        <v>1</v>
      </c>
      <c r="M1678" t="s">
        <v>39</v>
      </c>
      <c r="N1678" t="s">
        <v>8245</v>
      </c>
      <c r="O1678" s="1">
        <v>25842</v>
      </c>
      <c r="P1678" t="s">
        <v>5639</v>
      </c>
      <c r="Q1678" t="s">
        <v>714</v>
      </c>
      <c r="S1678" s="1">
        <v>45020.209027777775</v>
      </c>
      <c r="T1678" t="s">
        <v>2260</v>
      </c>
      <c r="U1678" t="s">
        <v>53</v>
      </c>
      <c r="V1678">
        <v>1970</v>
      </c>
      <c r="W1678">
        <v>117.24</v>
      </c>
      <c r="X1678">
        <v>7.5</v>
      </c>
      <c r="Y1678" s="2">
        <v>21427700000000</v>
      </c>
      <c r="Z1678">
        <v>88.2</v>
      </c>
      <c r="AA1678">
        <v>101.8</v>
      </c>
      <c r="AB1678">
        <v>9.6</v>
      </c>
      <c r="AC1678">
        <v>36.6</v>
      </c>
      <c r="AD1678">
        <v>328239523</v>
      </c>
    </row>
    <row r="1679" spans="1:30" hidden="1" x14ac:dyDescent="0.45">
      <c r="A1679">
        <v>1647</v>
      </c>
      <c r="B1679">
        <v>1800</v>
      </c>
      <c r="C1679" t="s">
        <v>702</v>
      </c>
      <c r="D1679" t="s">
        <v>5640</v>
      </c>
      <c r="E1679">
        <v>67</v>
      </c>
      <c r="F1679" t="s">
        <v>35</v>
      </c>
      <c r="G1679" t="s">
        <v>583</v>
      </c>
      <c r="H1679" t="s">
        <v>5641</v>
      </c>
      <c r="I1679" t="s">
        <v>702</v>
      </c>
      <c r="J1679" t="s">
        <v>35</v>
      </c>
      <c r="L1679" t="b">
        <v>1</v>
      </c>
      <c r="M1679" t="s">
        <v>29</v>
      </c>
      <c r="N1679" t="s">
        <v>8245</v>
      </c>
      <c r="O1679" s="1">
        <v>20464</v>
      </c>
      <c r="P1679" t="s">
        <v>5642</v>
      </c>
      <c r="Q1679" t="s">
        <v>1313</v>
      </c>
      <c r="S1679" s="1">
        <v>45020.209027777775</v>
      </c>
      <c r="T1679" t="s">
        <v>115</v>
      </c>
      <c r="U1679" t="s">
        <v>53</v>
      </c>
      <c r="V1679">
        <v>1956</v>
      </c>
      <c r="W1679">
        <v>117.24</v>
      </c>
      <c r="X1679">
        <v>7.5</v>
      </c>
      <c r="Y1679" s="2">
        <v>21427700000000</v>
      </c>
      <c r="Z1679">
        <v>88.2</v>
      </c>
      <c r="AA1679">
        <v>101.8</v>
      </c>
      <c r="AB1679">
        <v>9.6</v>
      </c>
      <c r="AC1679">
        <v>36.6</v>
      </c>
      <c r="AD1679">
        <v>328239523</v>
      </c>
    </row>
    <row r="1680" spans="1:30" hidden="1" x14ac:dyDescent="0.45">
      <c r="A1680">
        <v>1647</v>
      </c>
      <c r="B1680">
        <v>1800</v>
      </c>
      <c r="C1680" t="s">
        <v>45</v>
      </c>
      <c r="D1680" t="s">
        <v>5643</v>
      </c>
      <c r="E1680">
        <v>33</v>
      </c>
      <c r="F1680" t="s">
        <v>35</v>
      </c>
      <c r="G1680" t="s">
        <v>5644</v>
      </c>
      <c r="H1680" t="s">
        <v>5645</v>
      </c>
      <c r="I1680" t="s">
        <v>45</v>
      </c>
      <c r="J1680" t="s">
        <v>35</v>
      </c>
      <c r="L1680" t="b">
        <v>1</v>
      </c>
      <c r="M1680" t="s">
        <v>39</v>
      </c>
      <c r="N1680" t="s">
        <v>8245</v>
      </c>
      <c r="O1680" s="1">
        <v>32690</v>
      </c>
      <c r="P1680" t="s">
        <v>716</v>
      </c>
      <c r="Q1680" t="s">
        <v>1313</v>
      </c>
      <c r="S1680" s="1">
        <v>45020.209027777775</v>
      </c>
      <c r="T1680" t="s">
        <v>115</v>
      </c>
      <c r="U1680" t="s">
        <v>53</v>
      </c>
      <c r="V1680">
        <v>1989</v>
      </c>
      <c r="W1680">
        <v>117.24</v>
      </c>
      <c r="X1680">
        <v>7.5</v>
      </c>
      <c r="Y1680" s="2">
        <v>21427700000000</v>
      </c>
      <c r="Z1680">
        <v>88.2</v>
      </c>
      <c r="AA1680">
        <v>101.8</v>
      </c>
      <c r="AB1680">
        <v>9.6</v>
      </c>
      <c r="AC1680">
        <v>36.6</v>
      </c>
      <c r="AD1680">
        <v>328239523</v>
      </c>
    </row>
    <row r="1681" spans="1:30" hidden="1" x14ac:dyDescent="0.45">
      <c r="A1681">
        <v>1647</v>
      </c>
      <c r="B1681">
        <v>1800</v>
      </c>
      <c r="C1681" t="s">
        <v>91</v>
      </c>
      <c r="D1681" t="s">
        <v>5646</v>
      </c>
      <c r="E1681">
        <v>43</v>
      </c>
      <c r="F1681" t="s">
        <v>577</v>
      </c>
      <c r="G1681" t="s">
        <v>578</v>
      </c>
      <c r="H1681" t="s">
        <v>317</v>
      </c>
      <c r="I1681" t="s">
        <v>91</v>
      </c>
      <c r="J1681" t="s">
        <v>577</v>
      </c>
      <c r="L1681" t="b">
        <v>0</v>
      </c>
      <c r="M1681" t="s">
        <v>29</v>
      </c>
      <c r="N1681" t="s">
        <v>8246</v>
      </c>
      <c r="O1681" s="1">
        <v>29148</v>
      </c>
      <c r="P1681" t="s">
        <v>5647</v>
      </c>
      <c r="Q1681" t="s">
        <v>5648</v>
      </c>
      <c r="S1681" s="1">
        <v>45020.209027777775</v>
      </c>
      <c r="V1681">
        <v>1979</v>
      </c>
      <c r="W1681">
        <v>110.51</v>
      </c>
      <c r="X1681">
        <v>1.8</v>
      </c>
      <c r="Y1681" s="2">
        <v>530832908738</v>
      </c>
      <c r="Z1681">
        <v>67</v>
      </c>
      <c r="AA1681">
        <v>126.6</v>
      </c>
      <c r="AB1681">
        <v>27.9</v>
      </c>
      <c r="AC1681">
        <v>49.1</v>
      </c>
      <c r="AD1681">
        <v>10285453</v>
      </c>
    </row>
    <row r="1682" spans="1:30" hidden="1" x14ac:dyDescent="0.45">
      <c r="A1682">
        <v>1647</v>
      </c>
      <c r="B1682">
        <v>1800</v>
      </c>
      <c r="C1682" t="s">
        <v>326</v>
      </c>
      <c r="D1682" t="s">
        <v>5649</v>
      </c>
      <c r="E1682">
        <v>47</v>
      </c>
      <c r="F1682" t="s">
        <v>128</v>
      </c>
      <c r="G1682" t="s">
        <v>5650</v>
      </c>
      <c r="H1682" t="s">
        <v>330</v>
      </c>
      <c r="I1682" t="s">
        <v>326</v>
      </c>
      <c r="J1682" t="s">
        <v>128</v>
      </c>
      <c r="L1682" t="b">
        <v>1</v>
      </c>
      <c r="M1682" t="s">
        <v>39</v>
      </c>
      <c r="N1682" t="s">
        <v>8245</v>
      </c>
      <c r="O1682" s="1">
        <v>27547</v>
      </c>
      <c r="P1682" t="s">
        <v>961</v>
      </c>
      <c r="Q1682" t="s">
        <v>5651</v>
      </c>
      <c r="S1682" s="1">
        <v>45020.209027777775</v>
      </c>
      <c r="V1682">
        <v>1975</v>
      </c>
      <c r="W1682">
        <v>125.08</v>
      </c>
      <c r="X1682">
        <v>2.9</v>
      </c>
      <c r="Y1682" s="2">
        <v>19910000000000</v>
      </c>
      <c r="Z1682">
        <v>50.6</v>
      </c>
      <c r="AA1682">
        <v>100.2</v>
      </c>
      <c r="AB1682">
        <v>9.4</v>
      </c>
      <c r="AC1682">
        <v>59.2</v>
      </c>
      <c r="AD1682">
        <v>1397715000</v>
      </c>
    </row>
    <row r="1683" spans="1:30" hidden="1" x14ac:dyDescent="0.45">
      <c r="A1683">
        <v>1647</v>
      </c>
      <c r="B1683">
        <v>1800</v>
      </c>
      <c r="C1683" t="s">
        <v>76</v>
      </c>
      <c r="D1683" t="s">
        <v>5652</v>
      </c>
      <c r="E1683">
        <v>69</v>
      </c>
      <c r="F1683" t="s">
        <v>558</v>
      </c>
      <c r="G1683" t="s">
        <v>2682</v>
      </c>
      <c r="H1683" t="s">
        <v>166</v>
      </c>
      <c r="I1683" t="s">
        <v>76</v>
      </c>
      <c r="J1683" t="s">
        <v>558</v>
      </c>
      <c r="L1683" t="b">
        <v>0</v>
      </c>
      <c r="M1683" t="s">
        <v>39</v>
      </c>
      <c r="N1683" t="s">
        <v>8245</v>
      </c>
      <c r="O1683" s="1">
        <v>19618</v>
      </c>
      <c r="P1683" t="s">
        <v>5653</v>
      </c>
      <c r="Q1683" t="s">
        <v>5654</v>
      </c>
      <c r="S1683" s="1">
        <v>45020.209027777775</v>
      </c>
      <c r="V1683">
        <v>1953</v>
      </c>
      <c r="W1683">
        <v>167.4</v>
      </c>
      <c r="X1683">
        <v>3.7</v>
      </c>
      <c r="Y1683" s="2">
        <v>1839758040766</v>
      </c>
      <c r="Z1683">
        <v>51.3</v>
      </c>
      <c r="AA1683">
        <v>115.4</v>
      </c>
      <c r="AB1683">
        <v>14.2</v>
      </c>
      <c r="AC1683">
        <v>65.099999999999994</v>
      </c>
      <c r="AD1683">
        <v>212559417</v>
      </c>
    </row>
    <row r="1684" spans="1:30" hidden="1" x14ac:dyDescent="0.45">
      <c r="A1684">
        <v>1647</v>
      </c>
      <c r="B1684">
        <v>1800</v>
      </c>
      <c r="C1684" t="s">
        <v>76</v>
      </c>
      <c r="D1684" t="s">
        <v>5655</v>
      </c>
      <c r="E1684">
        <v>67</v>
      </c>
      <c r="F1684" t="s">
        <v>558</v>
      </c>
      <c r="G1684" t="s">
        <v>2682</v>
      </c>
      <c r="H1684" t="s">
        <v>166</v>
      </c>
      <c r="I1684" t="s">
        <v>76</v>
      </c>
      <c r="J1684" t="s">
        <v>558</v>
      </c>
      <c r="L1684" t="b">
        <v>0</v>
      </c>
      <c r="M1684" t="s">
        <v>39</v>
      </c>
      <c r="N1684" t="s">
        <v>8245</v>
      </c>
      <c r="O1684" s="1">
        <v>20449</v>
      </c>
      <c r="P1684" t="s">
        <v>5653</v>
      </c>
      <c r="Q1684" t="s">
        <v>5656</v>
      </c>
      <c r="S1684" s="1">
        <v>45020.209027777775</v>
      </c>
      <c r="V1684">
        <v>1955</v>
      </c>
      <c r="W1684">
        <v>167.4</v>
      </c>
      <c r="X1684">
        <v>3.7</v>
      </c>
      <c r="Y1684" s="2">
        <v>1839758040766</v>
      </c>
      <c r="Z1684">
        <v>51.3</v>
      </c>
      <c r="AA1684">
        <v>115.4</v>
      </c>
      <c r="AB1684">
        <v>14.2</v>
      </c>
      <c r="AC1684">
        <v>65.099999999999994</v>
      </c>
      <c r="AD1684">
        <v>212559417</v>
      </c>
    </row>
    <row r="1685" spans="1:30" hidden="1" x14ac:dyDescent="0.45">
      <c r="A1685">
        <v>1647</v>
      </c>
      <c r="B1685">
        <v>1800</v>
      </c>
      <c r="C1685" t="s">
        <v>76</v>
      </c>
      <c r="D1685" t="s">
        <v>5657</v>
      </c>
      <c r="E1685">
        <v>75</v>
      </c>
      <c r="F1685" t="s">
        <v>558</v>
      </c>
      <c r="G1685" t="s">
        <v>2682</v>
      </c>
      <c r="H1685" t="s">
        <v>166</v>
      </c>
      <c r="I1685" t="s">
        <v>76</v>
      </c>
      <c r="J1685" t="s">
        <v>558</v>
      </c>
      <c r="L1685" t="b">
        <v>0</v>
      </c>
      <c r="M1685" t="s">
        <v>39</v>
      </c>
      <c r="N1685" t="s">
        <v>8245</v>
      </c>
      <c r="O1685" s="1">
        <v>17453</v>
      </c>
      <c r="P1685" t="s">
        <v>5653</v>
      </c>
      <c r="Q1685" t="s">
        <v>5658</v>
      </c>
      <c r="S1685" s="1">
        <v>45020.209027777775</v>
      </c>
      <c r="V1685">
        <v>1947</v>
      </c>
      <c r="W1685">
        <v>167.4</v>
      </c>
      <c r="X1685">
        <v>3.7</v>
      </c>
      <c r="Y1685" s="2">
        <v>1839758040766</v>
      </c>
      <c r="Z1685">
        <v>51.3</v>
      </c>
      <c r="AA1685">
        <v>115.4</v>
      </c>
      <c r="AB1685">
        <v>14.2</v>
      </c>
      <c r="AC1685">
        <v>65.099999999999994</v>
      </c>
      <c r="AD1685">
        <v>212559417</v>
      </c>
    </row>
    <row r="1686" spans="1:30" hidden="1" x14ac:dyDescent="0.45">
      <c r="A1686">
        <v>1647</v>
      </c>
      <c r="B1686">
        <v>1800</v>
      </c>
      <c r="C1686" t="s">
        <v>402</v>
      </c>
      <c r="D1686" t="s">
        <v>5659</v>
      </c>
      <c r="E1686">
        <v>74</v>
      </c>
      <c r="F1686" t="s">
        <v>35</v>
      </c>
      <c r="G1686" t="s">
        <v>964</v>
      </c>
      <c r="H1686" t="s">
        <v>5660</v>
      </c>
      <c r="I1686" t="s">
        <v>402</v>
      </c>
      <c r="J1686" t="s">
        <v>35</v>
      </c>
      <c r="L1686" t="b">
        <v>1</v>
      </c>
      <c r="M1686" t="s">
        <v>611</v>
      </c>
      <c r="N1686" t="s">
        <v>8245</v>
      </c>
      <c r="O1686" s="1">
        <v>17912</v>
      </c>
      <c r="P1686" t="s">
        <v>5661</v>
      </c>
      <c r="Q1686" t="s">
        <v>2060</v>
      </c>
      <c r="S1686" s="1">
        <v>45020.209027777775</v>
      </c>
      <c r="T1686" t="s">
        <v>115</v>
      </c>
      <c r="U1686" t="s">
        <v>53</v>
      </c>
      <c r="V1686">
        <v>1949</v>
      </c>
      <c r="W1686">
        <v>117.24</v>
      </c>
      <c r="X1686">
        <v>7.5</v>
      </c>
      <c r="Y1686" s="2">
        <v>21427700000000</v>
      </c>
      <c r="Z1686">
        <v>88.2</v>
      </c>
      <c r="AA1686">
        <v>101.8</v>
      </c>
      <c r="AB1686">
        <v>9.6</v>
      </c>
      <c r="AC1686">
        <v>36.6</v>
      </c>
      <c r="AD1686">
        <v>328239523</v>
      </c>
    </row>
    <row r="1687" spans="1:30" hidden="1" x14ac:dyDescent="0.45">
      <c r="A1687">
        <v>1647</v>
      </c>
      <c r="B1687">
        <v>1800</v>
      </c>
      <c r="C1687" t="s">
        <v>45</v>
      </c>
      <c r="D1687" t="s">
        <v>5662</v>
      </c>
      <c r="E1687">
        <v>77</v>
      </c>
      <c r="F1687" t="s">
        <v>164</v>
      </c>
      <c r="G1687" t="s">
        <v>1797</v>
      </c>
      <c r="H1687" t="s">
        <v>1394</v>
      </c>
      <c r="I1687" t="s">
        <v>45</v>
      </c>
      <c r="J1687" t="s">
        <v>164</v>
      </c>
      <c r="K1687" t="s">
        <v>5663</v>
      </c>
      <c r="L1687" t="b">
        <v>1</v>
      </c>
      <c r="M1687" t="s">
        <v>611</v>
      </c>
      <c r="N1687" t="s">
        <v>8245</v>
      </c>
      <c r="O1687" s="1">
        <v>16621</v>
      </c>
      <c r="P1687" t="s">
        <v>2750</v>
      </c>
      <c r="Q1687" t="s">
        <v>5664</v>
      </c>
      <c r="R1687" t="s">
        <v>192</v>
      </c>
      <c r="S1687" s="1">
        <v>45020.209027777775</v>
      </c>
      <c r="V1687">
        <v>1945</v>
      </c>
      <c r="W1687">
        <v>116.76</v>
      </c>
      <c r="X1687">
        <v>1.9</v>
      </c>
      <c r="Y1687" s="2">
        <v>1736425629520</v>
      </c>
      <c r="Z1687">
        <v>68.900000000000006</v>
      </c>
      <c r="AA1687">
        <v>100.9</v>
      </c>
      <c r="AB1687">
        <v>12.8</v>
      </c>
      <c r="AC1687">
        <v>24.5</v>
      </c>
      <c r="AD1687">
        <v>36991981</v>
      </c>
    </row>
    <row r="1688" spans="1:30" hidden="1" x14ac:dyDescent="0.45">
      <c r="A1688">
        <v>1647</v>
      </c>
      <c r="B1688">
        <v>1800</v>
      </c>
      <c r="C1688" t="s">
        <v>302</v>
      </c>
      <c r="D1688" t="s">
        <v>5665</v>
      </c>
      <c r="E1688">
        <v>51</v>
      </c>
      <c r="F1688" t="s">
        <v>577</v>
      </c>
      <c r="G1688" t="s">
        <v>578</v>
      </c>
      <c r="H1688" t="s">
        <v>304</v>
      </c>
      <c r="I1688" t="s">
        <v>302</v>
      </c>
      <c r="J1688" t="s">
        <v>577</v>
      </c>
      <c r="L1688" t="b">
        <v>1</v>
      </c>
      <c r="M1688" t="s">
        <v>39</v>
      </c>
      <c r="N1688" t="s">
        <v>8245</v>
      </c>
      <c r="O1688" s="1">
        <v>26324</v>
      </c>
      <c r="P1688" t="s">
        <v>5666</v>
      </c>
      <c r="Q1688" t="s">
        <v>169</v>
      </c>
      <c r="S1688" s="1">
        <v>45020.209027777775</v>
      </c>
      <c r="V1688">
        <v>1972</v>
      </c>
      <c r="W1688">
        <v>110.51</v>
      </c>
      <c r="X1688">
        <v>1.8</v>
      </c>
      <c r="Y1688" s="2">
        <v>530832908738</v>
      </c>
      <c r="Z1688">
        <v>67</v>
      </c>
      <c r="AA1688">
        <v>126.6</v>
      </c>
      <c r="AB1688">
        <v>27.9</v>
      </c>
      <c r="AC1688">
        <v>49.1</v>
      </c>
      <c r="AD1688">
        <v>10285453</v>
      </c>
    </row>
    <row r="1689" spans="1:30" hidden="1" x14ac:dyDescent="0.45">
      <c r="A1689">
        <v>1647</v>
      </c>
      <c r="B1689">
        <v>1800</v>
      </c>
      <c r="C1689" t="s">
        <v>45</v>
      </c>
      <c r="D1689" t="s">
        <v>5667</v>
      </c>
      <c r="E1689">
        <v>39</v>
      </c>
      <c r="F1689" t="s">
        <v>641</v>
      </c>
      <c r="G1689" t="s">
        <v>1748</v>
      </c>
      <c r="H1689" t="s">
        <v>1418</v>
      </c>
      <c r="I1689" t="s">
        <v>45</v>
      </c>
      <c r="J1689" t="s">
        <v>641</v>
      </c>
      <c r="L1689" t="b">
        <v>1</v>
      </c>
      <c r="M1689" t="s">
        <v>258</v>
      </c>
      <c r="N1689" t="s">
        <v>8245</v>
      </c>
      <c r="O1689" s="1">
        <v>30755</v>
      </c>
      <c r="P1689" t="s">
        <v>5668</v>
      </c>
      <c r="Q1689" t="s">
        <v>5669</v>
      </c>
      <c r="S1689" s="1">
        <v>45020.209027777775</v>
      </c>
      <c r="V1689">
        <v>1984</v>
      </c>
      <c r="W1689">
        <v>115.91</v>
      </c>
      <c r="X1689">
        <v>2.6</v>
      </c>
      <c r="Y1689" s="2">
        <v>909070395161</v>
      </c>
      <c r="Z1689">
        <v>85</v>
      </c>
      <c r="AA1689">
        <v>104.2</v>
      </c>
      <c r="AB1689">
        <v>23</v>
      </c>
      <c r="AC1689">
        <v>41.2</v>
      </c>
      <c r="AD1689">
        <v>17332850</v>
      </c>
    </row>
    <row r="1690" spans="1:30" hidden="1" x14ac:dyDescent="0.45">
      <c r="A1690">
        <v>1647</v>
      </c>
      <c r="B1690">
        <v>1800</v>
      </c>
      <c r="C1690" t="s">
        <v>302</v>
      </c>
      <c r="D1690" t="s">
        <v>5670</v>
      </c>
      <c r="E1690">
        <v>78</v>
      </c>
      <c r="F1690" t="s">
        <v>93</v>
      </c>
      <c r="G1690" t="s">
        <v>94</v>
      </c>
      <c r="H1690" t="s">
        <v>304</v>
      </c>
      <c r="I1690" t="s">
        <v>302</v>
      </c>
      <c r="J1690" t="s">
        <v>93</v>
      </c>
      <c r="L1690" t="b">
        <v>1</v>
      </c>
      <c r="M1690" t="s">
        <v>29</v>
      </c>
      <c r="N1690" t="s">
        <v>8245</v>
      </c>
      <c r="O1690" s="1">
        <v>16349</v>
      </c>
      <c r="P1690" t="s">
        <v>5671</v>
      </c>
      <c r="Q1690" t="s">
        <v>5672</v>
      </c>
      <c r="S1690" s="1">
        <v>45020.209027777775</v>
      </c>
      <c r="V1690">
        <v>1944</v>
      </c>
      <c r="W1690">
        <v>180.44</v>
      </c>
      <c r="X1690">
        <v>7.7</v>
      </c>
      <c r="Y1690" s="2">
        <v>2611000000000</v>
      </c>
      <c r="Z1690">
        <v>28.1</v>
      </c>
      <c r="AA1690">
        <v>113</v>
      </c>
      <c r="AB1690">
        <v>11.2</v>
      </c>
      <c r="AC1690">
        <v>49.7</v>
      </c>
      <c r="AD1690">
        <v>1366417754</v>
      </c>
    </row>
    <row r="1691" spans="1:30" hidden="1" x14ac:dyDescent="0.45">
      <c r="A1691">
        <v>1647</v>
      </c>
      <c r="B1691">
        <v>1800</v>
      </c>
      <c r="C1691" t="s">
        <v>61</v>
      </c>
      <c r="D1691" t="s">
        <v>5673</v>
      </c>
      <c r="E1691">
        <v>77</v>
      </c>
      <c r="F1691" t="s">
        <v>487</v>
      </c>
      <c r="G1691" t="s">
        <v>488</v>
      </c>
      <c r="H1691" t="s">
        <v>5674</v>
      </c>
      <c r="I1691" t="s">
        <v>61</v>
      </c>
      <c r="J1691" t="s">
        <v>487</v>
      </c>
      <c r="L1691" t="b">
        <v>0</v>
      </c>
      <c r="M1691" t="s">
        <v>29</v>
      </c>
      <c r="N1691" t="s">
        <v>8245</v>
      </c>
      <c r="O1691" s="1">
        <v>16649</v>
      </c>
      <c r="P1691" t="s">
        <v>4684</v>
      </c>
      <c r="Q1691" t="s">
        <v>5675</v>
      </c>
      <c r="R1691" t="s">
        <v>688</v>
      </c>
      <c r="S1691" s="1">
        <v>45020.209027777775</v>
      </c>
      <c r="V1691">
        <v>1945</v>
      </c>
      <c r="W1691"/>
      <c r="Y1691" s="2">
        <v>7184844193</v>
      </c>
      <c r="AD1691">
        <v>38964</v>
      </c>
    </row>
    <row r="1692" spans="1:30" hidden="1" x14ac:dyDescent="0.45">
      <c r="A1692">
        <v>1647</v>
      </c>
      <c r="B1692">
        <v>1800</v>
      </c>
      <c r="C1692" t="s">
        <v>296</v>
      </c>
      <c r="D1692" t="s">
        <v>5676</v>
      </c>
      <c r="E1692">
        <v>70</v>
      </c>
      <c r="F1692" t="s">
        <v>93</v>
      </c>
      <c r="G1692" t="s">
        <v>5677</v>
      </c>
      <c r="H1692" t="s">
        <v>5678</v>
      </c>
      <c r="I1692" t="s">
        <v>296</v>
      </c>
      <c r="J1692" t="s">
        <v>93</v>
      </c>
      <c r="L1692" t="b">
        <v>1</v>
      </c>
      <c r="M1692" t="s">
        <v>29</v>
      </c>
      <c r="N1692" t="s">
        <v>8245</v>
      </c>
      <c r="O1692" s="1">
        <v>19200</v>
      </c>
      <c r="P1692" t="s">
        <v>5679</v>
      </c>
      <c r="Q1692" t="s">
        <v>5680</v>
      </c>
      <c r="S1692" s="1">
        <v>45020.209027777775</v>
      </c>
      <c r="V1692">
        <v>1952</v>
      </c>
      <c r="W1692">
        <v>180.44</v>
      </c>
      <c r="X1692">
        <v>7.7</v>
      </c>
      <c r="Y1692" s="2">
        <v>2611000000000</v>
      </c>
      <c r="Z1692">
        <v>28.1</v>
      </c>
      <c r="AA1692">
        <v>113</v>
      </c>
      <c r="AB1692">
        <v>11.2</v>
      </c>
      <c r="AC1692">
        <v>49.7</v>
      </c>
      <c r="AD1692">
        <v>1366417754</v>
      </c>
    </row>
    <row r="1693" spans="1:30" hidden="1" x14ac:dyDescent="0.45">
      <c r="A1693">
        <v>1647</v>
      </c>
      <c r="B1693">
        <v>1800</v>
      </c>
      <c r="C1693" t="s">
        <v>126</v>
      </c>
      <c r="D1693" t="s">
        <v>5681</v>
      </c>
      <c r="H1693" t="s">
        <v>4106</v>
      </c>
      <c r="I1693" t="s">
        <v>126</v>
      </c>
      <c r="J1693" t="s">
        <v>194</v>
      </c>
      <c r="L1693" t="b">
        <v>0</v>
      </c>
      <c r="M1693" t="s">
        <v>285</v>
      </c>
      <c r="N1693" t="s">
        <v>8246</v>
      </c>
      <c r="O1693"/>
      <c r="P1693" t="s">
        <v>5682</v>
      </c>
      <c r="Q1693" t="s">
        <v>5683</v>
      </c>
      <c r="S1693" s="1">
        <v>45020.209027777775</v>
      </c>
      <c r="W1693"/>
      <c r="Y1693"/>
    </row>
    <row r="1694" spans="1:30" hidden="1" x14ac:dyDescent="0.45">
      <c r="A1694">
        <v>1647</v>
      </c>
      <c r="B1694">
        <v>1800</v>
      </c>
      <c r="C1694" t="s">
        <v>91</v>
      </c>
      <c r="D1694" t="s">
        <v>5684</v>
      </c>
      <c r="E1694">
        <v>72</v>
      </c>
      <c r="F1694" t="s">
        <v>2037</v>
      </c>
      <c r="G1694" t="s">
        <v>4636</v>
      </c>
      <c r="H1694" t="s">
        <v>91</v>
      </c>
      <c r="I1694" t="s">
        <v>91</v>
      </c>
      <c r="J1694" t="s">
        <v>2037</v>
      </c>
      <c r="L1694" t="b">
        <v>1</v>
      </c>
      <c r="M1694" t="s">
        <v>39</v>
      </c>
      <c r="N1694" t="s">
        <v>8245</v>
      </c>
      <c r="O1694" s="1">
        <v>18358</v>
      </c>
      <c r="P1694" t="s">
        <v>5685</v>
      </c>
      <c r="Q1694" t="s">
        <v>5686</v>
      </c>
      <c r="S1694" s="1">
        <v>45020.209027777775</v>
      </c>
      <c r="V1694">
        <v>1950</v>
      </c>
      <c r="W1694">
        <v>234.44</v>
      </c>
      <c r="X1694">
        <v>15.2</v>
      </c>
      <c r="Y1694" s="2">
        <v>754411708203</v>
      </c>
      <c r="Z1694">
        <v>23.9</v>
      </c>
      <c r="AA1694">
        <v>93.2</v>
      </c>
      <c r="AB1694">
        <v>17.899999999999999</v>
      </c>
      <c r="AC1694">
        <v>42.3</v>
      </c>
      <c r="AD1694">
        <v>83429615</v>
      </c>
    </row>
    <row r="1695" spans="1:30" hidden="1" x14ac:dyDescent="0.45">
      <c r="A1695">
        <v>1647</v>
      </c>
      <c r="B1695">
        <v>1800</v>
      </c>
      <c r="C1695" t="s">
        <v>45</v>
      </c>
      <c r="D1695" t="s">
        <v>5687</v>
      </c>
      <c r="E1695">
        <v>53</v>
      </c>
      <c r="F1695" t="s">
        <v>128</v>
      </c>
      <c r="G1695" t="s">
        <v>234</v>
      </c>
      <c r="H1695" t="s">
        <v>1400</v>
      </c>
      <c r="I1695" t="s">
        <v>45</v>
      </c>
      <c r="J1695" t="s">
        <v>128</v>
      </c>
      <c r="L1695" t="b">
        <v>1</v>
      </c>
      <c r="M1695" t="s">
        <v>39</v>
      </c>
      <c r="N1695" t="s">
        <v>8245</v>
      </c>
      <c r="O1695" s="1">
        <v>25538</v>
      </c>
      <c r="P1695" t="s">
        <v>4117</v>
      </c>
      <c r="Q1695" t="s">
        <v>5688</v>
      </c>
      <c r="S1695" s="1">
        <v>45020.209027777775</v>
      </c>
      <c r="V1695">
        <v>1969</v>
      </c>
      <c r="W1695">
        <v>125.08</v>
      </c>
      <c r="X1695">
        <v>2.9</v>
      </c>
      <c r="Y1695" s="2">
        <v>19910000000000</v>
      </c>
      <c r="Z1695">
        <v>50.6</v>
      </c>
      <c r="AA1695">
        <v>100.2</v>
      </c>
      <c r="AB1695">
        <v>9.4</v>
      </c>
      <c r="AC1695">
        <v>59.2</v>
      </c>
      <c r="AD1695">
        <v>1397715000</v>
      </c>
    </row>
    <row r="1696" spans="1:30" hidden="1" x14ac:dyDescent="0.45">
      <c r="A1696">
        <v>1647</v>
      </c>
      <c r="B1696">
        <v>1800</v>
      </c>
      <c r="C1696" t="s">
        <v>76</v>
      </c>
      <c r="D1696" t="s">
        <v>5689</v>
      </c>
      <c r="E1696">
        <v>61</v>
      </c>
      <c r="F1696" t="s">
        <v>164</v>
      </c>
      <c r="G1696" t="s">
        <v>1797</v>
      </c>
      <c r="H1696" t="s">
        <v>166</v>
      </c>
      <c r="I1696" t="s">
        <v>76</v>
      </c>
      <c r="J1696" t="s">
        <v>164</v>
      </c>
      <c r="L1696" t="b">
        <v>0</v>
      </c>
      <c r="M1696" t="s">
        <v>611</v>
      </c>
      <c r="N1696" t="s">
        <v>8245</v>
      </c>
      <c r="O1696" s="1">
        <v>22570</v>
      </c>
      <c r="P1696" t="s">
        <v>5690</v>
      </c>
      <c r="Q1696" t="s">
        <v>5691</v>
      </c>
      <c r="S1696" s="1">
        <v>45020.209027777775</v>
      </c>
      <c r="V1696">
        <v>1961</v>
      </c>
      <c r="W1696">
        <v>116.76</v>
      </c>
      <c r="X1696">
        <v>1.9</v>
      </c>
      <c r="Y1696" s="2">
        <v>1736425629520</v>
      </c>
      <c r="Z1696">
        <v>68.900000000000006</v>
      </c>
      <c r="AA1696">
        <v>100.9</v>
      </c>
      <c r="AB1696">
        <v>12.8</v>
      </c>
      <c r="AC1696">
        <v>24.5</v>
      </c>
      <c r="AD1696">
        <v>36991981</v>
      </c>
    </row>
    <row r="1697" spans="1:30" hidden="1" x14ac:dyDescent="0.45">
      <c r="A1697">
        <v>1647</v>
      </c>
      <c r="B1697">
        <v>1800</v>
      </c>
      <c r="C1697" t="s">
        <v>61</v>
      </c>
      <c r="D1697" t="s">
        <v>5692</v>
      </c>
      <c r="E1697">
        <v>80</v>
      </c>
      <c r="F1697" t="s">
        <v>35</v>
      </c>
      <c r="G1697" t="s">
        <v>78</v>
      </c>
      <c r="H1697" t="s">
        <v>5693</v>
      </c>
      <c r="I1697" t="s">
        <v>61</v>
      </c>
      <c r="J1697" t="s">
        <v>35</v>
      </c>
      <c r="L1697" t="b">
        <v>1</v>
      </c>
      <c r="M1697" t="s">
        <v>39</v>
      </c>
      <c r="N1697" t="s">
        <v>8245</v>
      </c>
      <c r="O1697" s="1">
        <v>15707</v>
      </c>
      <c r="P1697" t="s">
        <v>5694</v>
      </c>
      <c r="Q1697" t="s">
        <v>2068</v>
      </c>
      <c r="S1697" s="1">
        <v>45020.209027777775</v>
      </c>
      <c r="T1697" t="s">
        <v>78</v>
      </c>
      <c r="U1697" t="s">
        <v>82</v>
      </c>
      <c r="V1697">
        <v>1943</v>
      </c>
      <c r="W1697">
        <v>117.24</v>
      </c>
      <c r="X1697">
        <v>7.5</v>
      </c>
      <c r="Y1697" s="2">
        <v>21427700000000</v>
      </c>
      <c r="Z1697">
        <v>88.2</v>
      </c>
      <c r="AA1697">
        <v>101.8</v>
      </c>
      <c r="AB1697">
        <v>9.6</v>
      </c>
      <c r="AC1697">
        <v>36.6</v>
      </c>
      <c r="AD1697">
        <v>328239523</v>
      </c>
    </row>
    <row r="1698" spans="1:30" x14ac:dyDescent="0.45">
      <c r="A1698">
        <v>1647</v>
      </c>
      <c r="B1698" s="6">
        <v>1800</v>
      </c>
      <c r="C1698" t="s">
        <v>45</v>
      </c>
      <c r="D1698" t="s">
        <v>5695</v>
      </c>
      <c r="E1698">
        <v>46</v>
      </c>
      <c r="F1698" t="s">
        <v>35</v>
      </c>
      <c r="G1698" t="s">
        <v>78</v>
      </c>
      <c r="H1698" t="s">
        <v>5696</v>
      </c>
      <c r="I1698" t="s">
        <v>45</v>
      </c>
      <c r="J1698" t="s">
        <v>25</v>
      </c>
      <c r="K1698" t="s">
        <v>5697</v>
      </c>
      <c r="L1698" t="b">
        <v>1</v>
      </c>
      <c r="M1698" t="s">
        <v>39</v>
      </c>
      <c r="N1698" t="s">
        <v>8245</v>
      </c>
      <c r="O1698" s="10">
        <v>28210</v>
      </c>
      <c r="P1698" t="s">
        <v>5698</v>
      </c>
      <c r="Q1698" t="s">
        <v>4948</v>
      </c>
      <c r="R1698" t="s">
        <v>138</v>
      </c>
      <c r="S1698" s="8">
        <v>45020.209027777775</v>
      </c>
      <c r="T1698" t="s">
        <v>78</v>
      </c>
      <c r="U1698" t="s">
        <v>82</v>
      </c>
      <c r="V1698">
        <v>1977</v>
      </c>
      <c r="W1698" s="12">
        <v>117.24</v>
      </c>
      <c r="X1698">
        <v>7.5</v>
      </c>
      <c r="Y1698" s="14">
        <v>21427700000000</v>
      </c>
      <c r="Z1698">
        <v>88.2</v>
      </c>
      <c r="AA1698">
        <v>101.8</v>
      </c>
      <c r="AB1698">
        <v>9.6</v>
      </c>
      <c r="AC1698">
        <v>36.6</v>
      </c>
      <c r="AD1698">
        <v>328239523</v>
      </c>
    </row>
    <row r="1699" spans="1:30" hidden="1" x14ac:dyDescent="0.45">
      <c r="A1699">
        <v>1647</v>
      </c>
      <c r="B1699">
        <v>1800</v>
      </c>
      <c r="C1699" t="s">
        <v>76</v>
      </c>
      <c r="D1699" t="s">
        <v>5699</v>
      </c>
      <c r="E1699">
        <v>76</v>
      </c>
      <c r="F1699" t="s">
        <v>628</v>
      </c>
      <c r="G1699" t="s">
        <v>629</v>
      </c>
      <c r="H1699" t="s">
        <v>5700</v>
      </c>
      <c r="I1699" t="s">
        <v>76</v>
      </c>
      <c r="J1699" t="s">
        <v>628</v>
      </c>
      <c r="L1699" t="b">
        <v>0</v>
      </c>
      <c r="M1699" t="s">
        <v>611</v>
      </c>
      <c r="N1699" t="s">
        <v>8245</v>
      </c>
      <c r="O1699" s="1">
        <v>16911</v>
      </c>
      <c r="P1699" t="s">
        <v>5701</v>
      </c>
      <c r="Q1699" t="s">
        <v>5702</v>
      </c>
      <c r="S1699" s="1">
        <v>45020.209027777775</v>
      </c>
      <c r="V1699">
        <v>1946</v>
      </c>
      <c r="W1699">
        <v>113.27</v>
      </c>
      <c r="X1699">
        <v>0.7</v>
      </c>
      <c r="Y1699" s="2">
        <v>543649976166</v>
      </c>
      <c r="Z1699">
        <v>49.3</v>
      </c>
      <c r="AA1699">
        <v>99.8</v>
      </c>
      <c r="AB1699">
        <v>14.9</v>
      </c>
      <c r="AC1699">
        <v>29.5</v>
      </c>
      <c r="AD1699">
        <v>69625582</v>
      </c>
    </row>
    <row r="1700" spans="1:30" hidden="1" x14ac:dyDescent="0.45">
      <c r="A1700">
        <v>1647</v>
      </c>
      <c r="B1700">
        <v>1800</v>
      </c>
      <c r="C1700" t="s">
        <v>296</v>
      </c>
      <c r="D1700" t="s">
        <v>5703</v>
      </c>
      <c r="E1700">
        <v>70</v>
      </c>
      <c r="F1700" t="s">
        <v>93</v>
      </c>
      <c r="G1700" t="s">
        <v>94</v>
      </c>
      <c r="H1700" t="s">
        <v>399</v>
      </c>
      <c r="I1700" t="s">
        <v>296</v>
      </c>
      <c r="J1700" t="s">
        <v>93</v>
      </c>
      <c r="L1700" t="b">
        <v>1</v>
      </c>
      <c r="M1700" t="s">
        <v>39</v>
      </c>
      <c r="N1700" t="s">
        <v>8245</v>
      </c>
      <c r="O1700" s="1">
        <v>19161</v>
      </c>
      <c r="P1700" t="s">
        <v>5704</v>
      </c>
      <c r="Q1700" t="s">
        <v>904</v>
      </c>
      <c r="S1700" s="1">
        <v>45020.209027777775</v>
      </c>
      <c r="V1700">
        <v>1952</v>
      </c>
      <c r="W1700">
        <v>180.44</v>
      </c>
      <c r="X1700">
        <v>7.7</v>
      </c>
      <c r="Y1700" s="2">
        <v>2611000000000</v>
      </c>
      <c r="Z1700">
        <v>28.1</v>
      </c>
      <c r="AA1700">
        <v>113</v>
      </c>
      <c r="AB1700">
        <v>11.2</v>
      </c>
      <c r="AC1700">
        <v>49.7</v>
      </c>
      <c r="AD1700">
        <v>1366417754</v>
      </c>
    </row>
    <row r="1701" spans="1:30" hidden="1" x14ac:dyDescent="0.45">
      <c r="A1701">
        <v>1647</v>
      </c>
      <c r="B1701">
        <v>1800</v>
      </c>
      <c r="C1701" t="s">
        <v>45</v>
      </c>
      <c r="D1701" t="s">
        <v>5705</v>
      </c>
      <c r="F1701" t="s">
        <v>194</v>
      </c>
      <c r="G1701" t="s">
        <v>5706</v>
      </c>
      <c r="H1701" t="s">
        <v>4387</v>
      </c>
      <c r="I1701" t="s">
        <v>45</v>
      </c>
      <c r="J1701" t="s">
        <v>194</v>
      </c>
      <c r="L1701" t="b">
        <v>0</v>
      </c>
      <c r="M1701" t="s">
        <v>39</v>
      </c>
      <c r="N1701" t="s">
        <v>8246</v>
      </c>
      <c r="O1701"/>
      <c r="P1701" t="s">
        <v>5707</v>
      </c>
      <c r="Q1701" t="s">
        <v>3173</v>
      </c>
      <c r="S1701" s="1">
        <v>45020.209027777775</v>
      </c>
      <c r="W1701">
        <v>112.85</v>
      </c>
      <c r="X1701">
        <v>1.4</v>
      </c>
      <c r="Y1701" s="2">
        <v>3845630030824</v>
      </c>
      <c r="Z1701">
        <v>70.2</v>
      </c>
      <c r="AA1701">
        <v>104</v>
      </c>
      <c r="AB1701">
        <v>11.5</v>
      </c>
      <c r="AC1701">
        <v>48.8</v>
      </c>
      <c r="AD1701">
        <v>83132799</v>
      </c>
    </row>
    <row r="1702" spans="1:30" hidden="1" x14ac:dyDescent="0.45">
      <c r="A1702">
        <v>1647</v>
      </c>
      <c r="B1702">
        <v>1800</v>
      </c>
      <c r="C1702" t="s">
        <v>326</v>
      </c>
      <c r="D1702" t="s">
        <v>5708</v>
      </c>
      <c r="E1702">
        <v>58</v>
      </c>
      <c r="F1702" t="s">
        <v>363</v>
      </c>
      <c r="G1702" t="s">
        <v>381</v>
      </c>
      <c r="H1702" t="s">
        <v>5709</v>
      </c>
      <c r="I1702" t="s">
        <v>326</v>
      </c>
      <c r="J1702" t="s">
        <v>363</v>
      </c>
      <c r="L1702" t="b">
        <v>1</v>
      </c>
      <c r="M1702" t="s">
        <v>1332</v>
      </c>
      <c r="N1702" t="s">
        <v>8245</v>
      </c>
      <c r="O1702" s="1">
        <v>23709</v>
      </c>
      <c r="P1702" t="s">
        <v>5710</v>
      </c>
      <c r="Q1702" t="s">
        <v>5711</v>
      </c>
      <c r="S1702" s="1">
        <v>45020.209027777775</v>
      </c>
      <c r="V1702">
        <v>1964</v>
      </c>
      <c r="W1702">
        <v>180.75</v>
      </c>
      <c r="X1702">
        <v>4.5</v>
      </c>
      <c r="Y1702" s="2">
        <v>1699876578871</v>
      </c>
      <c r="Z1702">
        <v>81.900000000000006</v>
      </c>
      <c r="AA1702">
        <v>102.6</v>
      </c>
      <c r="AB1702">
        <v>11.4</v>
      </c>
      <c r="AC1702">
        <v>46.2</v>
      </c>
      <c r="AD1702">
        <v>144373535</v>
      </c>
    </row>
    <row r="1703" spans="1:30" hidden="1" x14ac:dyDescent="0.45">
      <c r="A1703">
        <v>1647</v>
      </c>
      <c r="B1703">
        <v>1800</v>
      </c>
      <c r="C1703" t="s">
        <v>126</v>
      </c>
      <c r="D1703" t="s">
        <v>5712</v>
      </c>
      <c r="E1703">
        <v>57</v>
      </c>
      <c r="F1703" t="s">
        <v>128</v>
      </c>
      <c r="G1703" t="s">
        <v>187</v>
      </c>
      <c r="H1703" t="s">
        <v>778</v>
      </c>
      <c r="I1703" t="s">
        <v>126</v>
      </c>
      <c r="J1703" t="s">
        <v>128</v>
      </c>
      <c r="L1703" t="b">
        <v>1</v>
      </c>
      <c r="M1703" t="s">
        <v>39</v>
      </c>
      <c r="N1703" t="s">
        <v>8245</v>
      </c>
      <c r="O1703" s="1">
        <v>23952</v>
      </c>
      <c r="P1703" t="s">
        <v>5492</v>
      </c>
      <c r="Q1703" t="s">
        <v>5713</v>
      </c>
      <c r="S1703" s="1">
        <v>45020.209027777775</v>
      </c>
      <c r="V1703">
        <v>1965</v>
      </c>
      <c r="W1703">
        <v>125.08</v>
      </c>
      <c r="X1703">
        <v>2.9</v>
      </c>
      <c r="Y1703" s="2">
        <v>19910000000000</v>
      </c>
      <c r="Z1703">
        <v>50.6</v>
      </c>
      <c r="AA1703">
        <v>100.2</v>
      </c>
      <c r="AB1703">
        <v>9.4</v>
      </c>
      <c r="AC1703">
        <v>59.2</v>
      </c>
      <c r="AD1703">
        <v>1397715000</v>
      </c>
    </row>
    <row r="1704" spans="1:30" hidden="1" x14ac:dyDescent="0.45">
      <c r="A1704">
        <v>1647</v>
      </c>
      <c r="B1704">
        <v>1800</v>
      </c>
      <c r="C1704" t="s">
        <v>347</v>
      </c>
      <c r="D1704" t="s">
        <v>5714</v>
      </c>
      <c r="E1704">
        <v>75</v>
      </c>
      <c r="F1704" t="s">
        <v>128</v>
      </c>
      <c r="G1704" t="s">
        <v>5715</v>
      </c>
      <c r="H1704" t="s">
        <v>5716</v>
      </c>
      <c r="I1704" t="s">
        <v>347</v>
      </c>
      <c r="J1704" t="s">
        <v>128</v>
      </c>
      <c r="L1704" t="b">
        <v>1</v>
      </c>
      <c r="M1704" t="s">
        <v>39</v>
      </c>
      <c r="N1704" t="s">
        <v>8245</v>
      </c>
      <c r="O1704" s="1">
        <v>17594</v>
      </c>
      <c r="P1704" t="s">
        <v>3350</v>
      </c>
      <c r="Q1704" t="s">
        <v>5717</v>
      </c>
      <c r="S1704" s="1">
        <v>45020.209027777775</v>
      </c>
      <c r="V1704">
        <v>1948</v>
      </c>
      <c r="W1704">
        <v>125.08</v>
      </c>
      <c r="X1704">
        <v>2.9</v>
      </c>
      <c r="Y1704" s="2">
        <v>19910000000000</v>
      </c>
      <c r="Z1704">
        <v>50.6</v>
      </c>
      <c r="AA1704">
        <v>100.2</v>
      </c>
      <c r="AB1704">
        <v>9.4</v>
      </c>
      <c r="AC1704">
        <v>59.2</v>
      </c>
      <c r="AD1704">
        <v>1397715000</v>
      </c>
    </row>
    <row r="1705" spans="1:30" hidden="1" x14ac:dyDescent="0.45">
      <c r="A1705">
        <v>1647</v>
      </c>
      <c r="B1705">
        <v>1800</v>
      </c>
      <c r="C1705" t="s">
        <v>45</v>
      </c>
      <c r="D1705" t="s">
        <v>5718</v>
      </c>
      <c r="E1705">
        <v>68</v>
      </c>
      <c r="F1705" t="s">
        <v>93</v>
      </c>
      <c r="G1705" t="s">
        <v>1015</v>
      </c>
      <c r="H1705" t="s">
        <v>1016</v>
      </c>
      <c r="I1705" t="s">
        <v>45</v>
      </c>
      <c r="J1705" t="s">
        <v>93</v>
      </c>
      <c r="L1705" t="b">
        <v>1</v>
      </c>
      <c r="M1705" t="s">
        <v>39</v>
      </c>
      <c r="N1705" t="s">
        <v>8245</v>
      </c>
      <c r="O1705" s="1">
        <v>20149</v>
      </c>
      <c r="P1705" t="s">
        <v>5719</v>
      </c>
      <c r="Q1705" t="s">
        <v>5720</v>
      </c>
      <c r="S1705" s="1">
        <v>45020.209027777775</v>
      </c>
      <c r="V1705">
        <v>1955</v>
      </c>
      <c r="W1705">
        <v>180.44</v>
      </c>
      <c r="X1705">
        <v>7.7</v>
      </c>
      <c r="Y1705" s="2">
        <v>2611000000000</v>
      </c>
      <c r="Z1705">
        <v>28.1</v>
      </c>
      <c r="AA1705">
        <v>113</v>
      </c>
      <c r="AB1705">
        <v>11.2</v>
      </c>
      <c r="AC1705">
        <v>49.7</v>
      </c>
      <c r="AD1705">
        <v>1366417754</v>
      </c>
    </row>
    <row r="1706" spans="1:30" hidden="1" x14ac:dyDescent="0.45">
      <c r="A1706">
        <v>1647</v>
      </c>
      <c r="B1706">
        <v>1800</v>
      </c>
      <c r="C1706" t="s">
        <v>23</v>
      </c>
      <c r="D1706" t="s">
        <v>5721</v>
      </c>
      <c r="E1706">
        <v>60</v>
      </c>
      <c r="F1706" t="s">
        <v>928</v>
      </c>
      <c r="G1706" t="s">
        <v>929</v>
      </c>
      <c r="H1706" t="s">
        <v>3555</v>
      </c>
      <c r="I1706" t="s">
        <v>23</v>
      </c>
      <c r="J1706" t="s">
        <v>928</v>
      </c>
      <c r="K1706" t="s">
        <v>5722</v>
      </c>
      <c r="L1706" t="b">
        <v>0</v>
      </c>
      <c r="M1706" t="s">
        <v>39</v>
      </c>
      <c r="N1706" t="s">
        <v>8245</v>
      </c>
      <c r="O1706" s="1">
        <v>23025</v>
      </c>
      <c r="P1706" t="s">
        <v>5723</v>
      </c>
      <c r="Q1706" t="s">
        <v>5724</v>
      </c>
      <c r="R1706" t="s">
        <v>170</v>
      </c>
      <c r="S1706" s="1">
        <v>45020.209027777775</v>
      </c>
      <c r="V1706">
        <v>1963</v>
      </c>
      <c r="W1706">
        <v>115.16</v>
      </c>
      <c r="X1706">
        <v>0.4</v>
      </c>
      <c r="Y1706" s="2">
        <v>2029000000000</v>
      </c>
      <c r="Z1706">
        <v>94.3</v>
      </c>
      <c r="AA1706">
        <v>98.1</v>
      </c>
      <c r="AB1706">
        <v>15.6</v>
      </c>
      <c r="AC1706">
        <v>33.200000000000003</v>
      </c>
      <c r="AD1706">
        <v>51709098</v>
      </c>
    </row>
    <row r="1707" spans="1:30" hidden="1" x14ac:dyDescent="0.45">
      <c r="A1707">
        <v>1647</v>
      </c>
      <c r="B1707">
        <v>1800</v>
      </c>
      <c r="C1707" t="s">
        <v>126</v>
      </c>
      <c r="D1707" t="s">
        <v>5725</v>
      </c>
      <c r="E1707">
        <v>64</v>
      </c>
      <c r="F1707" t="s">
        <v>349</v>
      </c>
      <c r="H1707" t="s">
        <v>5726</v>
      </c>
      <c r="I1707" t="s">
        <v>126</v>
      </c>
      <c r="J1707" t="s">
        <v>349</v>
      </c>
      <c r="L1707" t="b">
        <v>1</v>
      </c>
      <c r="M1707" t="s">
        <v>29</v>
      </c>
      <c r="N1707" t="s">
        <v>8245</v>
      </c>
      <c r="O1707" s="1">
        <v>21545</v>
      </c>
      <c r="P1707" t="s">
        <v>5727</v>
      </c>
      <c r="Q1707" t="s">
        <v>5728</v>
      </c>
      <c r="S1707" s="1">
        <v>45020.209027777775</v>
      </c>
      <c r="V1707">
        <v>1958</v>
      </c>
      <c r="W1707">
        <v>151.18</v>
      </c>
      <c r="X1707">
        <v>3</v>
      </c>
      <c r="Y1707" s="2">
        <v>1119190780753</v>
      </c>
      <c r="Z1707">
        <v>36.299999999999997</v>
      </c>
      <c r="AA1707">
        <v>106.4</v>
      </c>
      <c r="AB1707">
        <v>10.199999999999999</v>
      </c>
      <c r="AC1707">
        <v>30.1</v>
      </c>
      <c r="AD1707">
        <v>270203917</v>
      </c>
    </row>
    <row r="1708" spans="1:30" hidden="1" x14ac:dyDescent="0.45">
      <c r="A1708">
        <v>1647</v>
      </c>
      <c r="B1708">
        <v>1800</v>
      </c>
      <c r="C1708" t="s">
        <v>296</v>
      </c>
      <c r="D1708" t="s">
        <v>5729</v>
      </c>
      <c r="E1708">
        <v>73</v>
      </c>
      <c r="F1708" t="s">
        <v>128</v>
      </c>
      <c r="G1708" t="s">
        <v>5730</v>
      </c>
      <c r="H1708" t="s">
        <v>5731</v>
      </c>
      <c r="I1708" t="s">
        <v>296</v>
      </c>
      <c r="J1708" t="s">
        <v>128</v>
      </c>
      <c r="L1708" t="b">
        <v>1</v>
      </c>
      <c r="M1708" t="s">
        <v>39</v>
      </c>
      <c r="N1708" t="s">
        <v>8245</v>
      </c>
      <c r="O1708" s="1">
        <v>18264</v>
      </c>
      <c r="P1708" t="s">
        <v>5732</v>
      </c>
      <c r="Q1708" t="s">
        <v>5733</v>
      </c>
      <c r="S1708" s="1">
        <v>45020.209027777775</v>
      </c>
      <c r="V1708">
        <v>1950</v>
      </c>
      <c r="W1708">
        <v>125.08</v>
      </c>
      <c r="X1708">
        <v>2.9</v>
      </c>
      <c r="Y1708" s="2">
        <v>19910000000000</v>
      </c>
      <c r="Z1708">
        <v>50.6</v>
      </c>
      <c r="AA1708">
        <v>100.2</v>
      </c>
      <c r="AB1708">
        <v>9.4</v>
      </c>
      <c r="AC1708">
        <v>59.2</v>
      </c>
      <c r="AD1708">
        <v>1397715000</v>
      </c>
    </row>
    <row r="1709" spans="1:30" hidden="1" x14ac:dyDescent="0.45">
      <c r="A1709">
        <v>1647</v>
      </c>
      <c r="B1709">
        <v>1800</v>
      </c>
      <c r="C1709" t="s">
        <v>203</v>
      </c>
      <c r="D1709" t="s">
        <v>5734</v>
      </c>
      <c r="E1709">
        <v>83</v>
      </c>
      <c r="F1709" t="s">
        <v>228</v>
      </c>
      <c r="G1709" t="s">
        <v>228</v>
      </c>
      <c r="H1709" t="s">
        <v>203</v>
      </c>
      <c r="I1709" t="s">
        <v>203</v>
      </c>
      <c r="J1709" t="s">
        <v>35</v>
      </c>
      <c r="L1709" t="b">
        <v>1</v>
      </c>
      <c r="M1709" t="s">
        <v>29</v>
      </c>
      <c r="N1709" t="s">
        <v>8245</v>
      </c>
      <c r="O1709" s="1">
        <v>14624</v>
      </c>
      <c r="P1709" t="s">
        <v>5735</v>
      </c>
      <c r="Q1709" t="s">
        <v>153</v>
      </c>
      <c r="S1709" s="1">
        <v>45020.209027777775</v>
      </c>
      <c r="V1709">
        <v>1940</v>
      </c>
      <c r="W1709"/>
      <c r="Y1709"/>
    </row>
    <row r="1710" spans="1:30" hidden="1" x14ac:dyDescent="0.45">
      <c r="A1710">
        <v>1647</v>
      </c>
      <c r="B1710">
        <v>1800</v>
      </c>
      <c r="C1710" t="s">
        <v>296</v>
      </c>
      <c r="D1710" t="s">
        <v>5736</v>
      </c>
      <c r="E1710">
        <v>62</v>
      </c>
      <c r="F1710" t="s">
        <v>2562</v>
      </c>
      <c r="G1710" t="s">
        <v>2563</v>
      </c>
      <c r="H1710" t="s">
        <v>523</v>
      </c>
      <c r="I1710" t="s">
        <v>296</v>
      </c>
      <c r="J1710" t="s">
        <v>2562</v>
      </c>
      <c r="L1710" t="b">
        <v>1</v>
      </c>
      <c r="M1710" t="s">
        <v>39</v>
      </c>
      <c r="N1710" t="s">
        <v>8245</v>
      </c>
      <c r="O1710" s="1">
        <v>22282</v>
      </c>
      <c r="P1710" t="s">
        <v>5737</v>
      </c>
      <c r="Q1710" t="s">
        <v>4642</v>
      </c>
      <c r="S1710" s="1">
        <v>45020.209027777775</v>
      </c>
      <c r="V1710">
        <v>1961</v>
      </c>
      <c r="W1710">
        <v>163.52000000000001</v>
      </c>
      <c r="X1710">
        <v>2.8</v>
      </c>
      <c r="Y1710" s="2">
        <v>261921244843</v>
      </c>
      <c r="Z1710">
        <v>28.5</v>
      </c>
      <c r="AA1710">
        <v>110.6</v>
      </c>
      <c r="AB1710">
        <v>19.100000000000001</v>
      </c>
      <c r="AC1710">
        <v>37.6</v>
      </c>
      <c r="AD1710">
        <v>96462106</v>
      </c>
    </row>
    <row r="1711" spans="1:30" hidden="1" x14ac:dyDescent="0.45">
      <c r="A1711">
        <v>1647</v>
      </c>
      <c r="B1711">
        <v>1800</v>
      </c>
      <c r="C1711" t="s">
        <v>45</v>
      </c>
      <c r="D1711" t="s">
        <v>5738</v>
      </c>
      <c r="E1711">
        <v>67</v>
      </c>
      <c r="F1711" t="s">
        <v>35</v>
      </c>
      <c r="G1711" t="s">
        <v>833</v>
      </c>
      <c r="H1711" t="s">
        <v>856</v>
      </c>
      <c r="I1711" t="s">
        <v>45</v>
      </c>
      <c r="J1711" t="s">
        <v>35</v>
      </c>
      <c r="L1711" t="b">
        <v>1</v>
      </c>
      <c r="M1711" t="s">
        <v>39</v>
      </c>
      <c r="N1711" t="s">
        <v>8245</v>
      </c>
      <c r="O1711" s="1">
        <v>20524</v>
      </c>
      <c r="P1711" t="s">
        <v>5739</v>
      </c>
      <c r="Q1711" t="s">
        <v>3026</v>
      </c>
      <c r="S1711" s="1">
        <v>45020.209027777775</v>
      </c>
      <c r="T1711" t="s">
        <v>427</v>
      </c>
      <c r="U1711" t="s">
        <v>82</v>
      </c>
      <c r="V1711">
        <v>1956</v>
      </c>
      <c r="W1711">
        <v>117.24</v>
      </c>
      <c r="X1711">
        <v>7.5</v>
      </c>
      <c r="Y1711" s="2">
        <v>21427700000000</v>
      </c>
      <c r="Z1711">
        <v>88.2</v>
      </c>
      <c r="AA1711">
        <v>101.8</v>
      </c>
      <c r="AB1711">
        <v>9.6</v>
      </c>
      <c r="AC1711">
        <v>36.6</v>
      </c>
      <c r="AD1711">
        <v>328239523</v>
      </c>
    </row>
    <row r="1712" spans="1:30" hidden="1" x14ac:dyDescent="0.45">
      <c r="A1712">
        <v>1647</v>
      </c>
      <c r="B1712">
        <v>1800</v>
      </c>
      <c r="C1712" t="s">
        <v>61</v>
      </c>
      <c r="D1712" t="s">
        <v>5740</v>
      </c>
      <c r="E1712">
        <v>46</v>
      </c>
      <c r="F1712" t="s">
        <v>35</v>
      </c>
      <c r="G1712" t="s">
        <v>1408</v>
      </c>
      <c r="H1712" t="s">
        <v>4209</v>
      </c>
      <c r="I1712" t="s">
        <v>61</v>
      </c>
      <c r="J1712" t="s">
        <v>35</v>
      </c>
      <c r="L1712" t="b">
        <v>1</v>
      </c>
      <c r="M1712" t="s">
        <v>39</v>
      </c>
      <c r="N1712" t="s">
        <v>8245</v>
      </c>
      <c r="O1712" s="1">
        <v>28004</v>
      </c>
      <c r="P1712" t="s">
        <v>5741</v>
      </c>
      <c r="Q1712" t="s">
        <v>5742</v>
      </c>
      <c r="S1712" s="1">
        <v>45020.209027777775</v>
      </c>
      <c r="T1712" t="s">
        <v>115</v>
      </c>
      <c r="U1712" t="s">
        <v>53</v>
      </c>
      <c r="V1712">
        <v>1976</v>
      </c>
      <c r="W1712">
        <v>117.24</v>
      </c>
      <c r="X1712">
        <v>7.5</v>
      </c>
      <c r="Y1712" s="2">
        <v>21427700000000</v>
      </c>
      <c r="Z1712">
        <v>88.2</v>
      </c>
      <c r="AA1712">
        <v>101.8</v>
      </c>
      <c r="AB1712">
        <v>9.6</v>
      </c>
      <c r="AC1712">
        <v>36.6</v>
      </c>
      <c r="AD1712">
        <v>328239523</v>
      </c>
    </row>
    <row r="1713" spans="1:30" hidden="1" x14ac:dyDescent="0.45">
      <c r="A1713">
        <v>1647</v>
      </c>
      <c r="B1713">
        <v>1800</v>
      </c>
      <c r="C1713" t="s">
        <v>45</v>
      </c>
      <c r="D1713" t="s">
        <v>5743</v>
      </c>
      <c r="E1713">
        <v>53</v>
      </c>
      <c r="F1713" t="s">
        <v>641</v>
      </c>
      <c r="G1713" t="s">
        <v>1748</v>
      </c>
      <c r="H1713" t="s">
        <v>1936</v>
      </c>
      <c r="I1713" t="s">
        <v>45</v>
      </c>
      <c r="J1713" t="s">
        <v>641</v>
      </c>
      <c r="L1713" t="b">
        <v>1</v>
      </c>
      <c r="M1713" t="s">
        <v>39</v>
      </c>
      <c r="N1713" t="s">
        <v>8245</v>
      </c>
      <c r="O1713" s="1">
        <v>25324</v>
      </c>
      <c r="P1713" t="s">
        <v>5744</v>
      </c>
      <c r="Q1713" t="s">
        <v>5745</v>
      </c>
      <c r="S1713" s="1">
        <v>45020.209027777775</v>
      </c>
      <c r="V1713">
        <v>1969</v>
      </c>
      <c r="W1713">
        <v>115.91</v>
      </c>
      <c r="X1713">
        <v>2.6</v>
      </c>
      <c r="Y1713" s="2">
        <v>909070395161</v>
      </c>
      <c r="Z1713">
        <v>85</v>
      </c>
      <c r="AA1713">
        <v>104.2</v>
      </c>
      <c r="AB1713">
        <v>23</v>
      </c>
      <c r="AC1713">
        <v>41.2</v>
      </c>
      <c r="AD1713">
        <v>17332850</v>
      </c>
    </row>
    <row r="1714" spans="1:30" hidden="1" x14ac:dyDescent="0.45">
      <c r="A1714">
        <v>1647</v>
      </c>
      <c r="B1714">
        <v>1800</v>
      </c>
      <c r="C1714" t="s">
        <v>296</v>
      </c>
      <c r="D1714" t="s">
        <v>5746</v>
      </c>
      <c r="E1714">
        <v>69</v>
      </c>
      <c r="F1714" t="s">
        <v>194</v>
      </c>
      <c r="G1714" t="s">
        <v>5747</v>
      </c>
      <c r="H1714" t="s">
        <v>4311</v>
      </c>
      <c r="I1714" t="s">
        <v>296</v>
      </c>
      <c r="J1714" t="s">
        <v>194</v>
      </c>
      <c r="L1714" t="b">
        <v>0</v>
      </c>
      <c r="M1714" t="s">
        <v>39</v>
      </c>
      <c r="N1714" t="s">
        <v>8245</v>
      </c>
      <c r="O1714" s="1">
        <v>19642</v>
      </c>
      <c r="P1714" t="s">
        <v>2412</v>
      </c>
      <c r="Q1714" t="s">
        <v>2173</v>
      </c>
      <c r="S1714" s="1">
        <v>45020.209027777775</v>
      </c>
      <c r="V1714">
        <v>1953</v>
      </c>
      <c r="W1714">
        <v>112.85</v>
      </c>
      <c r="X1714">
        <v>1.4</v>
      </c>
      <c r="Y1714" s="2">
        <v>3845630030824</v>
      </c>
      <c r="Z1714">
        <v>70.2</v>
      </c>
      <c r="AA1714">
        <v>104</v>
      </c>
      <c r="AB1714">
        <v>11.5</v>
      </c>
      <c r="AC1714">
        <v>48.8</v>
      </c>
      <c r="AD1714">
        <v>83132799</v>
      </c>
    </row>
    <row r="1715" spans="1:30" hidden="1" x14ac:dyDescent="0.45">
      <c r="A1715">
        <v>1647</v>
      </c>
      <c r="B1715">
        <v>1800</v>
      </c>
      <c r="C1715" t="s">
        <v>45</v>
      </c>
      <c r="D1715" t="s">
        <v>5748</v>
      </c>
      <c r="E1715">
        <v>35</v>
      </c>
      <c r="F1715" t="s">
        <v>35</v>
      </c>
      <c r="G1715" t="s">
        <v>991</v>
      </c>
      <c r="H1715" t="s">
        <v>5749</v>
      </c>
      <c r="I1715" t="s">
        <v>45</v>
      </c>
      <c r="J1715" t="s">
        <v>35</v>
      </c>
      <c r="L1715" t="b">
        <v>1</v>
      </c>
      <c r="M1715" t="s">
        <v>39</v>
      </c>
      <c r="N1715" t="s">
        <v>8245</v>
      </c>
      <c r="O1715" s="1">
        <v>32066</v>
      </c>
      <c r="P1715" t="s">
        <v>5750</v>
      </c>
      <c r="Q1715" t="s">
        <v>5751</v>
      </c>
      <c r="S1715" s="1">
        <v>45020.209027777775</v>
      </c>
      <c r="T1715" t="s">
        <v>115</v>
      </c>
      <c r="U1715" t="s">
        <v>53</v>
      </c>
      <c r="V1715">
        <v>1987</v>
      </c>
      <c r="W1715">
        <v>117.24</v>
      </c>
      <c r="X1715">
        <v>7.5</v>
      </c>
      <c r="Y1715" s="2">
        <v>21427700000000</v>
      </c>
      <c r="Z1715">
        <v>88.2</v>
      </c>
      <c r="AA1715">
        <v>101.8</v>
      </c>
      <c r="AB1715">
        <v>9.6</v>
      </c>
      <c r="AC1715">
        <v>36.6</v>
      </c>
      <c r="AD1715">
        <v>328239523</v>
      </c>
    </row>
    <row r="1716" spans="1:30" hidden="1" x14ac:dyDescent="0.45">
      <c r="A1716">
        <v>1647</v>
      </c>
      <c r="B1716">
        <v>1800</v>
      </c>
      <c r="C1716" t="s">
        <v>76</v>
      </c>
      <c r="D1716" t="s">
        <v>5752</v>
      </c>
      <c r="E1716">
        <v>62</v>
      </c>
      <c r="F1716" t="s">
        <v>35</v>
      </c>
      <c r="G1716" t="s">
        <v>704</v>
      </c>
      <c r="H1716" t="s">
        <v>2883</v>
      </c>
      <c r="I1716" t="s">
        <v>76</v>
      </c>
      <c r="J1716" t="s">
        <v>35</v>
      </c>
      <c r="L1716" t="b">
        <v>1</v>
      </c>
      <c r="M1716" t="s">
        <v>39</v>
      </c>
      <c r="N1716" t="s">
        <v>8245</v>
      </c>
      <c r="O1716" s="1">
        <v>22130</v>
      </c>
      <c r="P1716" t="s">
        <v>5753</v>
      </c>
      <c r="Q1716" t="s">
        <v>2033</v>
      </c>
      <c r="S1716" s="1">
        <v>45020.209027777775</v>
      </c>
      <c r="T1716" t="s">
        <v>43</v>
      </c>
      <c r="U1716" t="s">
        <v>44</v>
      </c>
      <c r="V1716">
        <v>1960</v>
      </c>
      <c r="W1716">
        <v>117.24</v>
      </c>
      <c r="X1716">
        <v>7.5</v>
      </c>
      <c r="Y1716" s="2">
        <v>21427700000000</v>
      </c>
      <c r="Z1716">
        <v>88.2</v>
      </c>
      <c r="AA1716">
        <v>101.8</v>
      </c>
      <c r="AB1716">
        <v>9.6</v>
      </c>
      <c r="AC1716">
        <v>36.6</v>
      </c>
      <c r="AD1716">
        <v>328239523</v>
      </c>
    </row>
    <row r="1717" spans="1:30" x14ac:dyDescent="0.45">
      <c r="A1717">
        <v>1647</v>
      </c>
      <c r="B1717" s="6">
        <v>1800</v>
      </c>
      <c r="C1717" t="s">
        <v>45</v>
      </c>
      <c r="D1717" t="s">
        <v>5754</v>
      </c>
      <c r="E1717">
        <v>51</v>
      </c>
      <c r="F1717" t="s">
        <v>35</v>
      </c>
      <c r="G1717" t="s">
        <v>991</v>
      </c>
      <c r="H1717" t="s">
        <v>2371</v>
      </c>
      <c r="I1717" t="s">
        <v>45</v>
      </c>
      <c r="J1717" t="s">
        <v>35</v>
      </c>
      <c r="K1717" t="s">
        <v>2371</v>
      </c>
      <c r="L1717" t="b">
        <v>1</v>
      </c>
      <c r="M1717" t="s">
        <v>39</v>
      </c>
      <c r="N1717" t="s">
        <v>8245</v>
      </c>
      <c r="O1717" s="10">
        <v>26389</v>
      </c>
      <c r="P1717" t="s">
        <v>1576</v>
      </c>
      <c r="Q1717" t="s">
        <v>4153</v>
      </c>
      <c r="R1717" t="s">
        <v>5755</v>
      </c>
      <c r="S1717" s="8">
        <v>45020.209027777775</v>
      </c>
      <c r="T1717" t="s">
        <v>115</v>
      </c>
      <c r="U1717" t="s">
        <v>53</v>
      </c>
      <c r="V1717">
        <v>1972</v>
      </c>
      <c r="W1717" s="12">
        <v>117.24</v>
      </c>
      <c r="X1717">
        <v>7.5</v>
      </c>
      <c r="Y1717" s="14">
        <v>21427700000000</v>
      </c>
      <c r="Z1717">
        <v>88.2</v>
      </c>
      <c r="AA1717">
        <v>101.8</v>
      </c>
      <c r="AB1717">
        <v>9.6</v>
      </c>
      <c r="AC1717">
        <v>36.6</v>
      </c>
      <c r="AD1717">
        <v>328239523</v>
      </c>
    </row>
    <row r="1718" spans="1:30" hidden="1" x14ac:dyDescent="0.45">
      <c r="A1718">
        <v>1647</v>
      </c>
      <c r="B1718">
        <v>1800</v>
      </c>
      <c r="C1718" t="s">
        <v>326</v>
      </c>
      <c r="D1718" t="s">
        <v>5756</v>
      </c>
      <c r="E1718">
        <v>75</v>
      </c>
      <c r="F1718" t="s">
        <v>328</v>
      </c>
      <c r="G1718" t="s">
        <v>724</v>
      </c>
      <c r="H1718" t="s">
        <v>317</v>
      </c>
      <c r="I1718" t="s">
        <v>326</v>
      </c>
      <c r="J1718" t="s">
        <v>762</v>
      </c>
      <c r="L1718" t="b">
        <v>0</v>
      </c>
      <c r="M1718" t="s">
        <v>29</v>
      </c>
      <c r="N1718" t="s">
        <v>8245</v>
      </c>
      <c r="O1718" s="1">
        <v>17627</v>
      </c>
      <c r="P1718" t="s">
        <v>3992</v>
      </c>
      <c r="Q1718" t="s">
        <v>5757</v>
      </c>
      <c r="S1718" s="1">
        <v>45020.209027777775</v>
      </c>
      <c r="V1718">
        <v>1948</v>
      </c>
      <c r="W1718">
        <v>119.8</v>
      </c>
      <c r="X1718">
        <v>1.6</v>
      </c>
      <c r="Y1718" s="2">
        <v>1392680589329</v>
      </c>
      <c r="Z1718">
        <v>113.1</v>
      </c>
      <c r="AA1718">
        <v>100.3</v>
      </c>
      <c r="AB1718">
        <v>23</v>
      </c>
      <c r="AC1718">
        <v>47.4</v>
      </c>
      <c r="AD1718">
        <v>25766605</v>
      </c>
    </row>
    <row r="1719" spans="1:30" hidden="1" x14ac:dyDescent="0.45">
      <c r="A1719">
        <v>1647</v>
      </c>
      <c r="B1719">
        <v>1800</v>
      </c>
      <c r="C1719" t="s">
        <v>61</v>
      </c>
      <c r="D1719" t="s">
        <v>5758</v>
      </c>
      <c r="E1719">
        <v>72</v>
      </c>
      <c r="F1719" t="s">
        <v>1259</v>
      </c>
      <c r="G1719" t="s">
        <v>1260</v>
      </c>
      <c r="H1719" t="s">
        <v>1839</v>
      </c>
      <c r="I1719" t="s">
        <v>61</v>
      </c>
      <c r="J1719" t="s">
        <v>1259</v>
      </c>
      <c r="L1719" t="b">
        <v>0</v>
      </c>
      <c r="M1719" t="s">
        <v>39</v>
      </c>
      <c r="N1719" t="s">
        <v>8245</v>
      </c>
      <c r="O1719" s="1">
        <v>18364</v>
      </c>
      <c r="P1719" t="s">
        <v>894</v>
      </c>
      <c r="Q1719" t="s">
        <v>358</v>
      </c>
      <c r="S1719" s="1">
        <v>45020.209027777775</v>
      </c>
      <c r="V1719">
        <v>1950</v>
      </c>
      <c r="W1719"/>
      <c r="Y1719"/>
    </row>
    <row r="1720" spans="1:30" hidden="1" x14ac:dyDescent="0.45">
      <c r="A1720">
        <v>1647</v>
      </c>
      <c r="B1720">
        <v>1800</v>
      </c>
      <c r="C1720" t="s">
        <v>347</v>
      </c>
      <c r="D1720" t="s">
        <v>5759</v>
      </c>
      <c r="E1720">
        <v>56</v>
      </c>
      <c r="F1720" t="s">
        <v>128</v>
      </c>
      <c r="G1720" t="s">
        <v>261</v>
      </c>
      <c r="H1720" t="s">
        <v>262</v>
      </c>
      <c r="I1720" t="s">
        <v>347</v>
      </c>
      <c r="J1720" t="s">
        <v>128</v>
      </c>
      <c r="L1720" t="b">
        <v>1</v>
      </c>
      <c r="M1720" t="s">
        <v>39</v>
      </c>
      <c r="N1720" t="s">
        <v>8245</v>
      </c>
      <c r="O1720" s="1">
        <v>24473</v>
      </c>
      <c r="P1720" t="s">
        <v>894</v>
      </c>
      <c r="Q1720" t="s">
        <v>5760</v>
      </c>
      <c r="S1720" s="1">
        <v>45020.209027777775</v>
      </c>
      <c r="V1720">
        <v>1967</v>
      </c>
      <c r="W1720">
        <v>125.08</v>
      </c>
      <c r="X1720">
        <v>2.9</v>
      </c>
      <c r="Y1720" s="2">
        <v>19910000000000</v>
      </c>
      <c r="Z1720">
        <v>50.6</v>
      </c>
      <c r="AA1720">
        <v>100.2</v>
      </c>
      <c r="AB1720">
        <v>9.4</v>
      </c>
      <c r="AC1720">
        <v>59.2</v>
      </c>
      <c r="AD1720">
        <v>1397715000</v>
      </c>
    </row>
    <row r="1721" spans="1:30" hidden="1" x14ac:dyDescent="0.45">
      <c r="A1721">
        <v>1647</v>
      </c>
      <c r="B1721">
        <v>1800</v>
      </c>
      <c r="C1721" t="s">
        <v>402</v>
      </c>
      <c r="D1721" t="s">
        <v>5761</v>
      </c>
      <c r="E1721">
        <v>52</v>
      </c>
      <c r="F1721" t="s">
        <v>35</v>
      </c>
      <c r="G1721" t="s">
        <v>2151</v>
      </c>
      <c r="H1721" t="s">
        <v>1529</v>
      </c>
      <c r="I1721" t="s">
        <v>402</v>
      </c>
      <c r="J1721" t="s">
        <v>35</v>
      </c>
      <c r="L1721" t="b">
        <v>0</v>
      </c>
      <c r="M1721" t="s">
        <v>39</v>
      </c>
      <c r="N1721" t="s">
        <v>8246</v>
      </c>
      <c r="O1721" s="1">
        <v>25934</v>
      </c>
      <c r="P1721" t="s">
        <v>2152</v>
      </c>
      <c r="Q1721" t="s">
        <v>5210</v>
      </c>
      <c r="S1721" s="1">
        <v>45020.209027777775</v>
      </c>
      <c r="T1721" t="s">
        <v>226</v>
      </c>
      <c r="U1721" t="s">
        <v>44</v>
      </c>
      <c r="V1721">
        <v>1971</v>
      </c>
      <c r="W1721">
        <v>117.24</v>
      </c>
      <c r="X1721">
        <v>7.5</v>
      </c>
      <c r="Y1721" s="2">
        <v>21427700000000</v>
      </c>
      <c r="Z1721">
        <v>88.2</v>
      </c>
      <c r="AA1721">
        <v>101.8</v>
      </c>
      <c r="AB1721">
        <v>9.6</v>
      </c>
      <c r="AC1721">
        <v>36.6</v>
      </c>
      <c r="AD1721">
        <v>328239523</v>
      </c>
    </row>
    <row r="1722" spans="1:30" hidden="1" x14ac:dyDescent="0.45">
      <c r="A1722">
        <v>1647</v>
      </c>
      <c r="B1722">
        <v>1800</v>
      </c>
      <c r="C1722" t="s">
        <v>302</v>
      </c>
      <c r="D1722" t="s">
        <v>5762</v>
      </c>
      <c r="E1722">
        <v>50</v>
      </c>
      <c r="F1722" t="s">
        <v>128</v>
      </c>
      <c r="G1722" t="s">
        <v>2420</v>
      </c>
      <c r="H1722" t="s">
        <v>304</v>
      </c>
      <c r="I1722" t="s">
        <v>302</v>
      </c>
      <c r="J1722" t="s">
        <v>128</v>
      </c>
      <c r="L1722" t="b">
        <v>1</v>
      </c>
      <c r="M1722" t="s">
        <v>39</v>
      </c>
      <c r="N1722" t="s">
        <v>8245</v>
      </c>
      <c r="O1722" s="1">
        <v>26481</v>
      </c>
      <c r="P1722" t="s">
        <v>1990</v>
      </c>
      <c r="Q1722" t="s">
        <v>5763</v>
      </c>
      <c r="S1722" s="1">
        <v>45020.209027777775</v>
      </c>
      <c r="V1722">
        <v>1972</v>
      </c>
      <c r="W1722">
        <v>125.08</v>
      </c>
      <c r="X1722">
        <v>2.9</v>
      </c>
      <c r="Y1722" s="2">
        <v>19910000000000</v>
      </c>
      <c r="Z1722">
        <v>50.6</v>
      </c>
      <c r="AA1722">
        <v>100.2</v>
      </c>
      <c r="AB1722">
        <v>9.4</v>
      </c>
      <c r="AC1722">
        <v>59.2</v>
      </c>
      <c r="AD1722">
        <v>1397715000</v>
      </c>
    </row>
    <row r="1723" spans="1:30" hidden="1" x14ac:dyDescent="0.45">
      <c r="A1723">
        <v>1647</v>
      </c>
      <c r="B1723">
        <v>1800</v>
      </c>
      <c r="C1723" t="s">
        <v>23</v>
      </c>
      <c r="D1723" t="s">
        <v>5764</v>
      </c>
      <c r="E1723">
        <v>82</v>
      </c>
      <c r="F1723" t="s">
        <v>266</v>
      </c>
      <c r="H1723" t="s">
        <v>5765</v>
      </c>
      <c r="I1723" t="s">
        <v>23</v>
      </c>
      <c r="J1723" t="s">
        <v>266</v>
      </c>
      <c r="L1723" t="b">
        <v>1</v>
      </c>
      <c r="M1723" t="s">
        <v>29</v>
      </c>
      <c r="N1723" t="s">
        <v>8245</v>
      </c>
      <c r="O1723" s="1">
        <v>15007</v>
      </c>
      <c r="P1723" t="s">
        <v>5766</v>
      </c>
      <c r="Q1723" t="s">
        <v>5767</v>
      </c>
      <c r="S1723" s="1">
        <v>45020.209027777775</v>
      </c>
      <c r="V1723">
        <v>1941</v>
      </c>
      <c r="W1723">
        <v>105.48</v>
      </c>
      <c r="X1723">
        <v>0.5</v>
      </c>
      <c r="Y1723" s="2">
        <v>5081769542380</v>
      </c>
      <c r="Z1723">
        <v>63.2</v>
      </c>
      <c r="AA1723">
        <v>98.8</v>
      </c>
      <c r="AB1723">
        <v>11.9</v>
      </c>
      <c r="AC1723">
        <v>46.7</v>
      </c>
      <c r="AD1723">
        <v>126226568</v>
      </c>
    </row>
    <row r="1724" spans="1:30" hidden="1" x14ac:dyDescent="0.45">
      <c r="A1724">
        <v>1647</v>
      </c>
      <c r="B1724">
        <v>1800</v>
      </c>
      <c r="C1724" t="s">
        <v>296</v>
      </c>
      <c r="D1724" t="s">
        <v>5768</v>
      </c>
      <c r="E1724">
        <v>60</v>
      </c>
      <c r="F1724" t="s">
        <v>35</v>
      </c>
      <c r="G1724" t="s">
        <v>1998</v>
      </c>
      <c r="H1724" t="s">
        <v>523</v>
      </c>
      <c r="I1724" t="s">
        <v>296</v>
      </c>
      <c r="J1724" t="s">
        <v>164</v>
      </c>
      <c r="L1724" t="b">
        <v>0</v>
      </c>
      <c r="M1724" t="s">
        <v>29</v>
      </c>
      <c r="N1724" t="s">
        <v>8245</v>
      </c>
      <c r="O1724" s="1">
        <v>22920</v>
      </c>
      <c r="P1724" t="s">
        <v>3197</v>
      </c>
      <c r="Q1724" t="s">
        <v>3026</v>
      </c>
      <c r="S1724" s="1">
        <v>45020.209027777775</v>
      </c>
      <c r="T1724" t="s">
        <v>521</v>
      </c>
      <c r="U1724" t="s">
        <v>69</v>
      </c>
      <c r="V1724">
        <v>1962</v>
      </c>
      <c r="W1724">
        <v>117.24</v>
      </c>
      <c r="X1724">
        <v>7.5</v>
      </c>
      <c r="Y1724" s="2">
        <v>21427700000000</v>
      </c>
      <c r="Z1724">
        <v>88.2</v>
      </c>
      <c r="AA1724">
        <v>101.8</v>
      </c>
      <c r="AB1724">
        <v>9.6</v>
      </c>
      <c r="AC1724">
        <v>36.6</v>
      </c>
      <c r="AD1724">
        <v>328239523</v>
      </c>
    </row>
    <row r="1725" spans="1:30" hidden="1" x14ac:dyDescent="0.45">
      <c r="A1725">
        <v>1647</v>
      </c>
      <c r="B1725">
        <v>1800</v>
      </c>
      <c r="C1725" t="s">
        <v>302</v>
      </c>
      <c r="D1725" t="s">
        <v>5769</v>
      </c>
      <c r="E1725">
        <v>70</v>
      </c>
      <c r="F1725" t="s">
        <v>128</v>
      </c>
      <c r="G1725" t="s">
        <v>719</v>
      </c>
      <c r="H1725" t="s">
        <v>304</v>
      </c>
      <c r="I1725" t="s">
        <v>302</v>
      </c>
      <c r="J1725" t="s">
        <v>128</v>
      </c>
      <c r="L1725" t="b">
        <v>1</v>
      </c>
      <c r="M1725" t="s">
        <v>39</v>
      </c>
      <c r="N1725" t="s">
        <v>8245</v>
      </c>
      <c r="O1725" s="1">
        <v>19360</v>
      </c>
      <c r="P1725" t="s">
        <v>190</v>
      </c>
      <c r="Q1725" t="s">
        <v>230</v>
      </c>
      <c r="S1725" s="1">
        <v>45020.209027777775</v>
      </c>
      <c r="V1725">
        <v>1953</v>
      </c>
      <c r="W1725">
        <v>125.08</v>
      </c>
      <c r="X1725">
        <v>2.9</v>
      </c>
      <c r="Y1725" s="2">
        <v>19910000000000</v>
      </c>
      <c r="Z1725">
        <v>50.6</v>
      </c>
      <c r="AA1725">
        <v>100.2</v>
      </c>
      <c r="AB1725">
        <v>9.4</v>
      </c>
      <c r="AC1725">
        <v>59.2</v>
      </c>
      <c r="AD1725">
        <v>1397715000</v>
      </c>
    </row>
    <row r="1726" spans="1:30" x14ac:dyDescent="0.45">
      <c r="A1726">
        <v>1725</v>
      </c>
      <c r="B1726" s="6">
        <v>1700</v>
      </c>
      <c r="C1726" t="s">
        <v>702</v>
      </c>
      <c r="D1726" t="s">
        <v>5770</v>
      </c>
      <c r="E1726">
        <v>67</v>
      </c>
      <c r="F1726" t="s">
        <v>35</v>
      </c>
      <c r="G1726" t="s">
        <v>466</v>
      </c>
      <c r="H1726" t="s">
        <v>5771</v>
      </c>
      <c r="I1726" t="s">
        <v>702</v>
      </c>
      <c r="J1726" t="s">
        <v>35</v>
      </c>
      <c r="K1726" t="s">
        <v>5771</v>
      </c>
      <c r="L1726" t="b">
        <v>0</v>
      </c>
      <c r="M1726" t="s">
        <v>258</v>
      </c>
      <c r="N1726" t="s">
        <v>8246</v>
      </c>
      <c r="O1726" s="10">
        <v>20361</v>
      </c>
      <c r="P1726" t="s">
        <v>5772</v>
      </c>
      <c r="Q1726" t="s">
        <v>5210</v>
      </c>
      <c r="R1726" t="s">
        <v>104</v>
      </c>
      <c r="S1726" s="8">
        <v>45020.209027777775</v>
      </c>
      <c r="T1726" t="s">
        <v>469</v>
      </c>
      <c r="U1726" t="s">
        <v>44</v>
      </c>
      <c r="V1726">
        <v>1955</v>
      </c>
      <c r="W1726" s="12">
        <v>117.24</v>
      </c>
      <c r="X1726">
        <v>7.5</v>
      </c>
      <c r="Y1726" s="14">
        <v>21427700000000</v>
      </c>
      <c r="Z1726">
        <v>88.2</v>
      </c>
      <c r="AA1726">
        <v>101.8</v>
      </c>
      <c r="AB1726">
        <v>9.6</v>
      </c>
      <c r="AC1726">
        <v>36.6</v>
      </c>
      <c r="AD1726">
        <v>328239523</v>
      </c>
    </row>
    <row r="1727" spans="1:30" x14ac:dyDescent="0.45">
      <c r="A1727">
        <v>1725</v>
      </c>
      <c r="B1727" s="6">
        <v>1700</v>
      </c>
      <c r="C1727" t="s">
        <v>61</v>
      </c>
      <c r="D1727" t="s">
        <v>5773</v>
      </c>
      <c r="E1727">
        <v>51</v>
      </c>
      <c r="F1727" t="s">
        <v>35</v>
      </c>
      <c r="G1727" t="s">
        <v>583</v>
      </c>
      <c r="H1727" t="s">
        <v>5774</v>
      </c>
      <c r="I1727" t="s">
        <v>61</v>
      </c>
      <c r="J1727" t="s">
        <v>35</v>
      </c>
      <c r="K1727" t="s">
        <v>5775</v>
      </c>
      <c r="L1727" t="b">
        <v>1</v>
      </c>
      <c r="M1727" t="s">
        <v>611</v>
      </c>
      <c r="N1727" t="s">
        <v>8245</v>
      </c>
      <c r="O1727" s="10">
        <v>26123</v>
      </c>
      <c r="P1727" t="s">
        <v>5776</v>
      </c>
      <c r="Q1727" t="s">
        <v>1461</v>
      </c>
      <c r="R1727" t="s">
        <v>688</v>
      </c>
      <c r="S1727" s="8">
        <v>45020.209027777775</v>
      </c>
      <c r="T1727" t="s">
        <v>115</v>
      </c>
      <c r="U1727" t="s">
        <v>53</v>
      </c>
      <c r="V1727">
        <v>1971</v>
      </c>
      <c r="W1727" s="12">
        <v>117.24</v>
      </c>
      <c r="X1727">
        <v>7.5</v>
      </c>
      <c r="Y1727" s="14">
        <v>21427700000000</v>
      </c>
      <c r="Z1727">
        <v>88.2</v>
      </c>
      <c r="AA1727">
        <v>101.8</v>
      </c>
      <c r="AB1727">
        <v>9.6</v>
      </c>
      <c r="AC1727">
        <v>36.6</v>
      </c>
      <c r="AD1727">
        <v>328239523</v>
      </c>
    </row>
    <row r="1728" spans="1:30" hidden="1" x14ac:dyDescent="0.45">
      <c r="A1728">
        <v>1725</v>
      </c>
      <c r="B1728">
        <v>1700</v>
      </c>
      <c r="C1728" t="s">
        <v>326</v>
      </c>
      <c r="D1728" t="s">
        <v>5777</v>
      </c>
      <c r="E1728">
        <v>85</v>
      </c>
      <c r="F1728" t="s">
        <v>214</v>
      </c>
      <c r="G1728" t="s">
        <v>5778</v>
      </c>
      <c r="H1728" t="s">
        <v>523</v>
      </c>
      <c r="I1728" t="s">
        <v>326</v>
      </c>
      <c r="J1728" t="s">
        <v>214</v>
      </c>
      <c r="L1728" t="b">
        <v>1</v>
      </c>
      <c r="M1728" t="s">
        <v>258</v>
      </c>
      <c r="N1728" t="s">
        <v>8245</v>
      </c>
      <c r="O1728" s="1">
        <v>13755</v>
      </c>
      <c r="P1728" t="s">
        <v>5779</v>
      </c>
      <c r="Q1728" t="s">
        <v>216</v>
      </c>
      <c r="S1728" s="1">
        <v>45020.209027777775</v>
      </c>
      <c r="V1728">
        <v>1937</v>
      </c>
      <c r="W1728">
        <v>110.62</v>
      </c>
      <c r="X1728">
        <v>0.6</v>
      </c>
      <c r="Y1728" s="2">
        <v>2001244392042</v>
      </c>
      <c r="Z1728">
        <v>61.9</v>
      </c>
      <c r="AA1728">
        <v>101.9</v>
      </c>
      <c r="AB1728">
        <v>24.3</v>
      </c>
      <c r="AC1728">
        <v>59.1</v>
      </c>
      <c r="AD1728">
        <v>60297396</v>
      </c>
    </row>
    <row r="1729" spans="1:30" hidden="1" x14ac:dyDescent="0.45">
      <c r="A1729">
        <v>1725</v>
      </c>
      <c r="B1729">
        <v>1700</v>
      </c>
      <c r="C1729" t="s">
        <v>302</v>
      </c>
      <c r="D1729" t="s">
        <v>5780</v>
      </c>
      <c r="E1729">
        <v>57</v>
      </c>
      <c r="F1729" t="s">
        <v>641</v>
      </c>
      <c r="G1729" t="s">
        <v>1748</v>
      </c>
      <c r="H1729" t="s">
        <v>304</v>
      </c>
      <c r="I1729" t="s">
        <v>302</v>
      </c>
      <c r="J1729" t="s">
        <v>641</v>
      </c>
      <c r="L1729" t="b">
        <v>0</v>
      </c>
      <c r="M1729" t="s">
        <v>29</v>
      </c>
      <c r="N1729" t="s">
        <v>8245</v>
      </c>
      <c r="O1729" s="1">
        <v>23896</v>
      </c>
      <c r="P1729" t="s">
        <v>5781</v>
      </c>
      <c r="Q1729" t="s">
        <v>5782</v>
      </c>
      <c r="S1729" s="1">
        <v>45020.209027777775</v>
      </c>
      <c r="V1729">
        <v>1965</v>
      </c>
      <c r="W1729">
        <v>115.91</v>
      </c>
      <c r="X1729">
        <v>2.6</v>
      </c>
      <c r="Y1729" s="2">
        <v>909070395161</v>
      </c>
      <c r="Z1729">
        <v>85</v>
      </c>
      <c r="AA1729">
        <v>104.2</v>
      </c>
      <c r="AB1729">
        <v>23</v>
      </c>
      <c r="AC1729">
        <v>41.2</v>
      </c>
      <c r="AD1729">
        <v>17332850</v>
      </c>
    </row>
    <row r="1730" spans="1:30" hidden="1" x14ac:dyDescent="0.45">
      <c r="A1730">
        <v>1725</v>
      </c>
      <c r="B1730">
        <v>1700</v>
      </c>
      <c r="C1730" t="s">
        <v>76</v>
      </c>
      <c r="D1730" t="s">
        <v>5783</v>
      </c>
      <c r="E1730">
        <v>50</v>
      </c>
      <c r="F1730" t="s">
        <v>928</v>
      </c>
      <c r="G1730" t="s">
        <v>929</v>
      </c>
      <c r="H1730" t="s">
        <v>4096</v>
      </c>
      <c r="I1730" t="s">
        <v>76</v>
      </c>
      <c r="J1730" t="s">
        <v>928</v>
      </c>
      <c r="L1730" t="b">
        <v>1</v>
      </c>
      <c r="M1730" t="s">
        <v>39</v>
      </c>
      <c r="N1730" t="s">
        <v>8245</v>
      </c>
      <c r="O1730" s="1">
        <v>26520</v>
      </c>
      <c r="P1730" t="s">
        <v>680</v>
      </c>
      <c r="Q1730" t="s">
        <v>5784</v>
      </c>
      <c r="S1730" s="1">
        <v>45020.209027777775</v>
      </c>
      <c r="V1730">
        <v>1972</v>
      </c>
      <c r="W1730">
        <v>115.16</v>
      </c>
      <c r="X1730">
        <v>0.4</v>
      </c>
      <c r="Y1730" s="2">
        <v>2029000000000</v>
      </c>
      <c r="Z1730">
        <v>94.3</v>
      </c>
      <c r="AA1730">
        <v>98.1</v>
      </c>
      <c r="AB1730">
        <v>15.6</v>
      </c>
      <c r="AC1730">
        <v>33.200000000000003</v>
      </c>
      <c r="AD1730">
        <v>51709098</v>
      </c>
    </row>
    <row r="1731" spans="1:30" x14ac:dyDescent="0.45">
      <c r="A1731">
        <v>1725</v>
      </c>
      <c r="B1731" s="6">
        <v>1700</v>
      </c>
      <c r="C1731" t="s">
        <v>61</v>
      </c>
      <c r="D1731" t="s">
        <v>5785</v>
      </c>
      <c r="E1731">
        <v>77</v>
      </c>
      <c r="F1731" t="s">
        <v>35</v>
      </c>
      <c r="G1731" t="s">
        <v>36</v>
      </c>
      <c r="H1731" t="s">
        <v>5786</v>
      </c>
      <c r="I1731" t="s">
        <v>61</v>
      </c>
      <c r="J1731" t="s">
        <v>35</v>
      </c>
      <c r="K1731" t="s">
        <v>5787</v>
      </c>
      <c r="L1731" t="b">
        <v>1</v>
      </c>
      <c r="M1731" t="s">
        <v>611</v>
      </c>
      <c r="N1731" t="s">
        <v>8245</v>
      </c>
      <c r="O1731" s="10">
        <v>16803</v>
      </c>
      <c r="P1731" t="s">
        <v>5788</v>
      </c>
      <c r="Q1731" t="s">
        <v>169</v>
      </c>
      <c r="R1731" t="s">
        <v>32</v>
      </c>
      <c r="S1731" s="8">
        <v>45020.209027777775</v>
      </c>
      <c r="T1731" t="s">
        <v>43</v>
      </c>
      <c r="U1731" t="s">
        <v>44</v>
      </c>
      <c r="V1731">
        <v>1946</v>
      </c>
      <c r="W1731" s="12">
        <v>117.24</v>
      </c>
      <c r="X1731">
        <v>7.5</v>
      </c>
      <c r="Y1731" s="14">
        <v>21427700000000</v>
      </c>
      <c r="Z1731">
        <v>88.2</v>
      </c>
      <c r="AA1731">
        <v>101.8</v>
      </c>
      <c r="AB1731">
        <v>9.6</v>
      </c>
      <c r="AC1731">
        <v>36.6</v>
      </c>
      <c r="AD1731">
        <v>328239523</v>
      </c>
    </row>
    <row r="1732" spans="1:30" x14ac:dyDescent="0.45">
      <c r="A1732">
        <v>1725</v>
      </c>
      <c r="B1732" s="6">
        <v>1700</v>
      </c>
      <c r="C1732" t="s">
        <v>45</v>
      </c>
      <c r="D1732" t="s">
        <v>5789</v>
      </c>
      <c r="E1732">
        <v>61</v>
      </c>
      <c r="F1732" t="s">
        <v>35</v>
      </c>
      <c r="G1732" t="s">
        <v>36</v>
      </c>
      <c r="H1732" t="s">
        <v>1064</v>
      </c>
      <c r="I1732" t="s">
        <v>45</v>
      </c>
      <c r="J1732" t="s">
        <v>35</v>
      </c>
      <c r="K1732" t="s">
        <v>5790</v>
      </c>
      <c r="L1732" t="b">
        <v>1</v>
      </c>
      <c r="M1732" t="s">
        <v>39</v>
      </c>
      <c r="N1732" t="s">
        <v>8245</v>
      </c>
      <c r="O1732" s="10">
        <v>22488</v>
      </c>
      <c r="P1732" t="s">
        <v>5791</v>
      </c>
      <c r="Q1732" t="s">
        <v>153</v>
      </c>
      <c r="R1732" t="s">
        <v>688</v>
      </c>
      <c r="S1732" s="8">
        <v>45020.209027777775</v>
      </c>
      <c r="T1732" t="s">
        <v>43</v>
      </c>
      <c r="U1732" t="s">
        <v>44</v>
      </c>
      <c r="V1732">
        <v>1961</v>
      </c>
      <c r="W1732" s="12">
        <v>117.24</v>
      </c>
      <c r="X1732">
        <v>7.5</v>
      </c>
      <c r="Y1732" s="14">
        <v>21427700000000</v>
      </c>
      <c r="Z1732">
        <v>88.2</v>
      </c>
      <c r="AA1732">
        <v>101.8</v>
      </c>
      <c r="AB1732">
        <v>9.6</v>
      </c>
      <c r="AC1732">
        <v>36.6</v>
      </c>
      <c r="AD1732">
        <v>328239523</v>
      </c>
    </row>
    <row r="1733" spans="1:30" hidden="1" x14ac:dyDescent="0.45">
      <c r="A1733">
        <v>1725</v>
      </c>
      <c r="B1733">
        <v>1700</v>
      </c>
      <c r="C1733" t="s">
        <v>296</v>
      </c>
      <c r="D1733" t="s">
        <v>5792</v>
      </c>
      <c r="F1733" t="s">
        <v>128</v>
      </c>
      <c r="G1733" t="s">
        <v>719</v>
      </c>
      <c r="H1733" t="s">
        <v>3389</v>
      </c>
      <c r="I1733" t="s">
        <v>296</v>
      </c>
      <c r="J1733" t="s">
        <v>128</v>
      </c>
      <c r="L1733" t="b">
        <v>1</v>
      </c>
      <c r="M1733" t="s">
        <v>39</v>
      </c>
      <c r="N1733" t="s">
        <v>8245</v>
      </c>
      <c r="O1733"/>
      <c r="P1733" t="s">
        <v>679</v>
      </c>
      <c r="Q1733" t="s">
        <v>5793</v>
      </c>
      <c r="S1733" s="1">
        <v>45020.209027777775</v>
      </c>
      <c r="W1733">
        <v>125.08</v>
      </c>
      <c r="X1733">
        <v>2.9</v>
      </c>
      <c r="Y1733" s="2">
        <v>19910000000000</v>
      </c>
      <c r="Z1733">
        <v>50.6</v>
      </c>
      <c r="AA1733">
        <v>100.2</v>
      </c>
      <c r="AB1733">
        <v>9.4</v>
      </c>
      <c r="AC1733">
        <v>59.2</v>
      </c>
      <c r="AD1733">
        <v>1397715000</v>
      </c>
    </row>
    <row r="1734" spans="1:30" hidden="1" x14ac:dyDescent="0.45">
      <c r="A1734">
        <v>1725</v>
      </c>
      <c r="B1734">
        <v>1700</v>
      </c>
      <c r="C1734" t="s">
        <v>296</v>
      </c>
      <c r="D1734" t="s">
        <v>5794</v>
      </c>
      <c r="E1734">
        <v>79</v>
      </c>
      <c r="F1734" t="s">
        <v>641</v>
      </c>
      <c r="G1734" t="s">
        <v>5795</v>
      </c>
      <c r="H1734" t="s">
        <v>5796</v>
      </c>
      <c r="I1734" t="s">
        <v>296</v>
      </c>
      <c r="J1734" t="s">
        <v>641</v>
      </c>
      <c r="L1734" t="b">
        <v>0</v>
      </c>
      <c r="M1734" t="s">
        <v>39</v>
      </c>
      <c r="N1734" t="s">
        <v>8245</v>
      </c>
      <c r="O1734" s="1">
        <v>16161</v>
      </c>
      <c r="P1734" t="s">
        <v>5797</v>
      </c>
      <c r="Q1734" t="s">
        <v>5798</v>
      </c>
      <c r="S1734" s="1">
        <v>45020.209027777775</v>
      </c>
      <c r="V1734">
        <v>1944</v>
      </c>
      <c r="W1734">
        <v>115.91</v>
      </c>
      <c r="X1734">
        <v>2.6</v>
      </c>
      <c r="Y1734" s="2">
        <v>909070395161</v>
      </c>
      <c r="Z1734">
        <v>85</v>
      </c>
      <c r="AA1734">
        <v>104.2</v>
      </c>
      <c r="AB1734">
        <v>23</v>
      </c>
      <c r="AC1734">
        <v>41.2</v>
      </c>
      <c r="AD1734">
        <v>17332850</v>
      </c>
    </row>
    <row r="1735" spans="1:30" hidden="1" x14ac:dyDescent="0.45">
      <c r="A1735">
        <v>1725</v>
      </c>
      <c r="B1735">
        <v>1700</v>
      </c>
      <c r="C1735" t="s">
        <v>126</v>
      </c>
      <c r="D1735" t="s">
        <v>5799</v>
      </c>
      <c r="E1735">
        <v>83</v>
      </c>
      <c r="F1735" t="s">
        <v>35</v>
      </c>
      <c r="G1735" t="s">
        <v>2415</v>
      </c>
      <c r="H1735" t="s">
        <v>5800</v>
      </c>
      <c r="I1735" t="s">
        <v>126</v>
      </c>
      <c r="J1735" t="s">
        <v>35</v>
      </c>
      <c r="L1735" t="b">
        <v>1</v>
      </c>
      <c r="M1735" t="s">
        <v>29</v>
      </c>
      <c r="N1735" t="s">
        <v>8245</v>
      </c>
      <c r="O1735" s="1">
        <v>14445</v>
      </c>
      <c r="P1735" t="s">
        <v>5801</v>
      </c>
      <c r="Q1735" t="s">
        <v>534</v>
      </c>
      <c r="S1735" s="1">
        <v>45020.209027777775</v>
      </c>
      <c r="T1735" t="s">
        <v>253</v>
      </c>
      <c r="V1735">
        <v>1939</v>
      </c>
      <c r="W1735">
        <v>117.24</v>
      </c>
      <c r="X1735">
        <v>7.5</v>
      </c>
      <c r="Y1735" s="2">
        <v>21427700000000</v>
      </c>
      <c r="Z1735">
        <v>88.2</v>
      </c>
      <c r="AA1735">
        <v>101.8</v>
      </c>
      <c r="AB1735">
        <v>9.6</v>
      </c>
      <c r="AC1735">
        <v>36.6</v>
      </c>
      <c r="AD1735">
        <v>328239523</v>
      </c>
    </row>
    <row r="1736" spans="1:30" hidden="1" x14ac:dyDescent="0.45">
      <c r="A1736">
        <v>1725</v>
      </c>
      <c r="B1736">
        <v>1700</v>
      </c>
      <c r="C1736" t="s">
        <v>61</v>
      </c>
      <c r="D1736" t="s">
        <v>5802</v>
      </c>
      <c r="E1736">
        <v>53</v>
      </c>
      <c r="F1736" t="s">
        <v>567</v>
      </c>
      <c r="G1736" t="s">
        <v>568</v>
      </c>
      <c r="H1736" t="s">
        <v>317</v>
      </c>
      <c r="I1736" t="s">
        <v>61</v>
      </c>
      <c r="J1736" t="s">
        <v>567</v>
      </c>
      <c r="L1736" t="b">
        <v>1</v>
      </c>
      <c r="M1736" t="s">
        <v>29</v>
      </c>
      <c r="N1736" t="s">
        <v>8245</v>
      </c>
      <c r="O1736" s="1">
        <v>25402</v>
      </c>
      <c r="P1736" t="s">
        <v>5803</v>
      </c>
      <c r="Q1736" t="s">
        <v>5804</v>
      </c>
      <c r="S1736" s="1">
        <v>45020.209027777775</v>
      </c>
      <c r="V1736">
        <v>1969</v>
      </c>
      <c r="W1736">
        <v>116.48</v>
      </c>
      <c r="X1736">
        <v>2.8</v>
      </c>
      <c r="Y1736" s="2">
        <v>246489245495</v>
      </c>
      <c r="Z1736">
        <v>64.099999999999994</v>
      </c>
      <c r="AA1736">
        <v>100.7</v>
      </c>
      <c r="AB1736">
        <v>14.9</v>
      </c>
      <c r="AC1736">
        <v>46.1</v>
      </c>
      <c r="AD1736">
        <v>10669709</v>
      </c>
    </row>
    <row r="1737" spans="1:30" hidden="1" x14ac:dyDescent="0.45">
      <c r="A1737">
        <v>1725</v>
      </c>
      <c r="B1737">
        <v>1700</v>
      </c>
      <c r="C1737" t="s">
        <v>402</v>
      </c>
      <c r="D1737" t="s">
        <v>5805</v>
      </c>
      <c r="E1737">
        <v>53</v>
      </c>
      <c r="F1737" t="s">
        <v>35</v>
      </c>
      <c r="G1737" t="s">
        <v>5806</v>
      </c>
      <c r="H1737" t="s">
        <v>4858</v>
      </c>
      <c r="I1737" t="s">
        <v>402</v>
      </c>
      <c r="J1737" t="s">
        <v>35</v>
      </c>
      <c r="L1737" t="b">
        <v>1</v>
      </c>
      <c r="M1737" t="s">
        <v>611</v>
      </c>
      <c r="N1737" t="s">
        <v>8245</v>
      </c>
      <c r="O1737" s="1">
        <v>25379</v>
      </c>
      <c r="P1737" t="s">
        <v>5807</v>
      </c>
      <c r="Q1737" t="s">
        <v>5808</v>
      </c>
      <c r="S1737" s="1">
        <v>45020.209027777775</v>
      </c>
      <c r="T1737" t="s">
        <v>1681</v>
      </c>
      <c r="U1737" t="s">
        <v>44</v>
      </c>
      <c r="V1737">
        <v>1969</v>
      </c>
      <c r="W1737">
        <v>117.24</v>
      </c>
      <c r="X1737">
        <v>7.5</v>
      </c>
      <c r="Y1737" s="2">
        <v>21427700000000</v>
      </c>
      <c r="Z1737">
        <v>88.2</v>
      </c>
      <c r="AA1737">
        <v>101.8</v>
      </c>
      <c r="AB1737">
        <v>9.6</v>
      </c>
      <c r="AC1737">
        <v>36.6</v>
      </c>
      <c r="AD1737">
        <v>328239523</v>
      </c>
    </row>
    <row r="1738" spans="1:30" hidden="1" x14ac:dyDescent="0.45">
      <c r="A1738">
        <v>1725</v>
      </c>
      <c r="B1738">
        <v>1700</v>
      </c>
      <c r="C1738" t="s">
        <v>61</v>
      </c>
      <c r="D1738" t="s">
        <v>5809</v>
      </c>
      <c r="E1738">
        <v>47</v>
      </c>
      <c r="F1738" t="s">
        <v>214</v>
      </c>
      <c r="G1738" t="s">
        <v>5810</v>
      </c>
      <c r="H1738" t="s">
        <v>5811</v>
      </c>
      <c r="I1738" t="s">
        <v>61</v>
      </c>
      <c r="J1738" t="s">
        <v>214</v>
      </c>
      <c r="L1738" t="b">
        <v>0</v>
      </c>
      <c r="M1738" t="s">
        <v>39</v>
      </c>
      <c r="N1738" t="s">
        <v>8245</v>
      </c>
      <c r="O1738" s="1">
        <v>27763</v>
      </c>
      <c r="P1738" t="s">
        <v>5812</v>
      </c>
      <c r="Q1738" t="s">
        <v>225</v>
      </c>
      <c r="S1738" s="1">
        <v>45020.209027777775</v>
      </c>
      <c r="V1738">
        <v>1976</v>
      </c>
      <c r="W1738">
        <v>110.62</v>
      </c>
      <c r="X1738">
        <v>0.6</v>
      </c>
      <c r="Y1738" s="2">
        <v>2001244392042</v>
      </c>
      <c r="Z1738">
        <v>61.9</v>
      </c>
      <c r="AA1738">
        <v>101.9</v>
      </c>
      <c r="AB1738">
        <v>24.3</v>
      </c>
      <c r="AC1738">
        <v>59.1</v>
      </c>
      <c r="AD1738">
        <v>60297396</v>
      </c>
    </row>
    <row r="1739" spans="1:30" hidden="1" x14ac:dyDescent="0.45">
      <c r="A1739">
        <v>1725</v>
      </c>
      <c r="B1739">
        <v>1700</v>
      </c>
      <c r="C1739" t="s">
        <v>33</v>
      </c>
      <c r="D1739" t="s">
        <v>5813</v>
      </c>
      <c r="E1739">
        <v>74</v>
      </c>
      <c r="F1739" t="s">
        <v>25</v>
      </c>
      <c r="G1739" t="s">
        <v>26</v>
      </c>
      <c r="H1739" t="s">
        <v>5814</v>
      </c>
      <c r="I1739" t="s">
        <v>33</v>
      </c>
      <c r="J1739" t="s">
        <v>25</v>
      </c>
      <c r="L1739" t="b">
        <v>0</v>
      </c>
      <c r="M1739" t="s">
        <v>39</v>
      </c>
      <c r="N1739" t="s">
        <v>8245</v>
      </c>
      <c r="O1739" s="1">
        <v>17899</v>
      </c>
      <c r="P1739" t="s">
        <v>5815</v>
      </c>
      <c r="Q1739" t="s">
        <v>5816</v>
      </c>
      <c r="S1739" s="1">
        <v>45020.209027777775</v>
      </c>
      <c r="V1739">
        <v>1949</v>
      </c>
      <c r="W1739">
        <v>110.05</v>
      </c>
      <c r="X1739">
        <v>1.1000000000000001</v>
      </c>
      <c r="Y1739" s="2">
        <v>2715518274227</v>
      </c>
      <c r="Z1739">
        <v>65.599999999999994</v>
      </c>
      <c r="AA1739">
        <v>102.5</v>
      </c>
      <c r="AB1739">
        <v>24.2</v>
      </c>
      <c r="AC1739">
        <v>60.7</v>
      </c>
      <c r="AD1739">
        <v>67059887</v>
      </c>
    </row>
    <row r="1740" spans="1:30" hidden="1" x14ac:dyDescent="0.45">
      <c r="A1740">
        <v>1725</v>
      </c>
      <c r="B1740">
        <v>1700</v>
      </c>
      <c r="C1740" t="s">
        <v>76</v>
      </c>
      <c r="D1740" t="s">
        <v>5817</v>
      </c>
      <c r="E1740">
        <v>75</v>
      </c>
      <c r="F1740" t="s">
        <v>266</v>
      </c>
      <c r="G1740" t="s">
        <v>267</v>
      </c>
      <c r="H1740" t="s">
        <v>2354</v>
      </c>
      <c r="I1740" t="s">
        <v>76</v>
      </c>
      <c r="J1740" t="s">
        <v>266</v>
      </c>
      <c r="L1740" t="b">
        <v>1</v>
      </c>
      <c r="M1740" t="s">
        <v>39</v>
      </c>
      <c r="N1740" t="s">
        <v>8245</v>
      </c>
      <c r="O1740" s="1">
        <v>17397</v>
      </c>
      <c r="P1740" t="s">
        <v>5818</v>
      </c>
      <c r="Q1740" t="s">
        <v>5819</v>
      </c>
      <c r="S1740" s="1">
        <v>45020.209027777775</v>
      </c>
      <c r="V1740">
        <v>1947</v>
      </c>
      <c r="W1740">
        <v>105.48</v>
      </c>
      <c r="X1740">
        <v>0.5</v>
      </c>
      <c r="Y1740" s="2">
        <v>5081769542380</v>
      </c>
      <c r="Z1740">
        <v>63.2</v>
      </c>
      <c r="AA1740">
        <v>98.8</v>
      </c>
      <c r="AB1740">
        <v>11.9</v>
      </c>
      <c r="AC1740">
        <v>46.7</v>
      </c>
      <c r="AD1740">
        <v>126226568</v>
      </c>
    </row>
    <row r="1741" spans="1:30" hidden="1" x14ac:dyDescent="0.45">
      <c r="A1741">
        <v>1725</v>
      </c>
      <c r="B1741">
        <v>1700</v>
      </c>
      <c r="C1741" t="s">
        <v>61</v>
      </c>
      <c r="D1741" t="s">
        <v>5820</v>
      </c>
      <c r="E1741">
        <v>81</v>
      </c>
      <c r="F1741" t="s">
        <v>35</v>
      </c>
      <c r="G1741" t="s">
        <v>474</v>
      </c>
      <c r="H1741" t="s">
        <v>1580</v>
      </c>
      <c r="I1741" t="s">
        <v>61</v>
      </c>
      <c r="J1741" t="s">
        <v>35</v>
      </c>
      <c r="L1741" t="b">
        <v>1</v>
      </c>
      <c r="M1741" t="s">
        <v>39</v>
      </c>
      <c r="N1741" t="s">
        <v>8245</v>
      </c>
      <c r="O1741" s="1">
        <v>15431</v>
      </c>
      <c r="P1741" t="s">
        <v>5821</v>
      </c>
      <c r="Q1741" t="s">
        <v>5822</v>
      </c>
      <c r="S1741" s="1">
        <v>45020.209027777775</v>
      </c>
      <c r="T1741" t="s">
        <v>479</v>
      </c>
      <c r="U1741" t="s">
        <v>82</v>
      </c>
      <c r="V1741">
        <v>1942</v>
      </c>
      <c r="W1741">
        <v>117.24</v>
      </c>
      <c r="X1741">
        <v>7.5</v>
      </c>
      <c r="Y1741" s="2">
        <v>21427700000000</v>
      </c>
      <c r="Z1741">
        <v>88.2</v>
      </c>
      <c r="AA1741">
        <v>101.8</v>
      </c>
      <c r="AB1741">
        <v>9.6</v>
      </c>
      <c r="AC1741">
        <v>36.6</v>
      </c>
      <c r="AD1741">
        <v>328239523</v>
      </c>
    </row>
    <row r="1742" spans="1:30" hidden="1" x14ac:dyDescent="0.45">
      <c r="A1742">
        <v>1725</v>
      </c>
      <c r="B1742">
        <v>1700</v>
      </c>
      <c r="C1742" t="s">
        <v>61</v>
      </c>
      <c r="D1742" t="s">
        <v>5823</v>
      </c>
      <c r="E1742">
        <v>68</v>
      </c>
      <c r="F1742" t="s">
        <v>205</v>
      </c>
      <c r="G1742" t="s">
        <v>601</v>
      </c>
      <c r="H1742" t="s">
        <v>1210</v>
      </c>
      <c r="I1742" t="s">
        <v>61</v>
      </c>
      <c r="J1742" t="s">
        <v>194</v>
      </c>
      <c r="L1742" t="b">
        <v>0</v>
      </c>
      <c r="M1742" t="s">
        <v>611</v>
      </c>
      <c r="N1742" t="s">
        <v>8245</v>
      </c>
      <c r="O1742" s="1">
        <v>20073</v>
      </c>
      <c r="P1742" t="s">
        <v>5824</v>
      </c>
      <c r="Q1742" t="s">
        <v>5825</v>
      </c>
      <c r="S1742" s="1">
        <v>45020.209027777775</v>
      </c>
      <c r="V1742">
        <v>1954</v>
      </c>
      <c r="W1742">
        <v>99.55</v>
      </c>
      <c r="X1742">
        <v>0.4</v>
      </c>
      <c r="Y1742" s="2">
        <v>703082435360</v>
      </c>
      <c r="Z1742">
        <v>59.6</v>
      </c>
      <c r="AA1742">
        <v>105.2</v>
      </c>
      <c r="AB1742">
        <v>10.1</v>
      </c>
      <c r="AC1742">
        <v>28.8</v>
      </c>
      <c r="AD1742">
        <v>8574832</v>
      </c>
    </row>
    <row r="1743" spans="1:30" hidden="1" x14ac:dyDescent="0.45">
      <c r="A1743">
        <v>1725</v>
      </c>
      <c r="B1743">
        <v>1700</v>
      </c>
      <c r="C1743" t="s">
        <v>302</v>
      </c>
      <c r="D1743" t="s">
        <v>5826</v>
      </c>
      <c r="E1743">
        <v>67</v>
      </c>
      <c r="F1743" t="s">
        <v>35</v>
      </c>
      <c r="G1743" t="s">
        <v>159</v>
      </c>
      <c r="H1743" t="s">
        <v>304</v>
      </c>
      <c r="I1743" t="s">
        <v>302</v>
      </c>
      <c r="J1743" t="s">
        <v>35</v>
      </c>
      <c r="L1743" t="b">
        <v>1</v>
      </c>
      <c r="M1743" t="s">
        <v>29</v>
      </c>
      <c r="N1743" t="s">
        <v>8245</v>
      </c>
      <c r="O1743" s="1">
        <v>20327</v>
      </c>
      <c r="P1743" t="s">
        <v>5827</v>
      </c>
      <c r="Q1743" t="s">
        <v>225</v>
      </c>
      <c r="S1743" s="1">
        <v>45020.209027777775</v>
      </c>
      <c r="T1743" t="s">
        <v>43</v>
      </c>
      <c r="U1743" t="s">
        <v>44</v>
      </c>
      <c r="V1743">
        <v>1955</v>
      </c>
      <c r="W1743">
        <v>117.24</v>
      </c>
      <c r="X1743">
        <v>7.5</v>
      </c>
      <c r="Y1743" s="2">
        <v>21427700000000</v>
      </c>
      <c r="Z1743">
        <v>88.2</v>
      </c>
      <c r="AA1743">
        <v>101.8</v>
      </c>
      <c r="AB1743">
        <v>9.6</v>
      </c>
      <c r="AC1743">
        <v>36.6</v>
      </c>
      <c r="AD1743">
        <v>328239523</v>
      </c>
    </row>
    <row r="1744" spans="1:30" hidden="1" x14ac:dyDescent="0.45">
      <c r="A1744">
        <v>1725</v>
      </c>
      <c r="B1744">
        <v>1700</v>
      </c>
      <c r="C1744" t="s">
        <v>23</v>
      </c>
      <c r="D1744" t="s">
        <v>5828</v>
      </c>
      <c r="E1744">
        <v>73</v>
      </c>
      <c r="F1744" t="s">
        <v>558</v>
      </c>
      <c r="G1744" t="s">
        <v>5829</v>
      </c>
      <c r="H1744" t="s">
        <v>1273</v>
      </c>
      <c r="I1744" t="s">
        <v>23</v>
      </c>
      <c r="J1744" t="s">
        <v>558</v>
      </c>
      <c r="L1744" t="b">
        <v>1</v>
      </c>
      <c r="M1744" t="s">
        <v>39</v>
      </c>
      <c r="N1744" t="s">
        <v>8245</v>
      </c>
      <c r="O1744" s="1">
        <v>18286</v>
      </c>
      <c r="P1744" t="s">
        <v>5830</v>
      </c>
      <c r="Q1744" t="s">
        <v>2080</v>
      </c>
      <c r="S1744" s="1">
        <v>45020.209027777775</v>
      </c>
      <c r="V1744">
        <v>1950</v>
      </c>
      <c r="W1744">
        <v>167.4</v>
      </c>
      <c r="X1744">
        <v>3.7</v>
      </c>
      <c r="Y1744" s="2">
        <v>1839758040766</v>
      </c>
      <c r="Z1744">
        <v>51.3</v>
      </c>
      <c r="AA1744">
        <v>115.4</v>
      </c>
      <c r="AB1744">
        <v>14.2</v>
      </c>
      <c r="AC1744">
        <v>65.099999999999994</v>
      </c>
      <c r="AD1744">
        <v>212559417</v>
      </c>
    </row>
    <row r="1745" spans="1:30" hidden="1" x14ac:dyDescent="0.45">
      <c r="A1745">
        <v>1725</v>
      </c>
      <c r="B1745">
        <v>1700</v>
      </c>
      <c r="C1745" t="s">
        <v>23</v>
      </c>
      <c r="D1745" t="s">
        <v>5831</v>
      </c>
      <c r="E1745">
        <v>83</v>
      </c>
      <c r="F1745" t="s">
        <v>328</v>
      </c>
      <c r="G1745" t="s">
        <v>724</v>
      </c>
      <c r="H1745" t="s">
        <v>196</v>
      </c>
      <c r="I1745" t="s">
        <v>23</v>
      </c>
      <c r="J1745" t="s">
        <v>328</v>
      </c>
      <c r="L1745" t="b">
        <v>1</v>
      </c>
      <c r="M1745" t="s">
        <v>39</v>
      </c>
      <c r="N1745" t="s">
        <v>8245</v>
      </c>
      <c r="O1745" s="1">
        <v>14506</v>
      </c>
      <c r="P1745" t="s">
        <v>5832</v>
      </c>
      <c r="Q1745" t="s">
        <v>5833</v>
      </c>
      <c r="S1745" s="1">
        <v>45020.209027777775</v>
      </c>
      <c r="V1745">
        <v>1939</v>
      </c>
      <c r="W1745">
        <v>119.8</v>
      </c>
      <c r="X1745">
        <v>1.6</v>
      </c>
      <c r="Y1745" s="2">
        <v>1392680589329</v>
      </c>
      <c r="Z1745">
        <v>113.1</v>
      </c>
      <c r="AA1745">
        <v>100.3</v>
      </c>
      <c r="AB1745">
        <v>23</v>
      </c>
      <c r="AC1745">
        <v>47.4</v>
      </c>
      <c r="AD1745">
        <v>25766605</v>
      </c>
    </row>
    <row r="1746" spans="1:30" hidden="1" x14ac:dyDescent="0.45">
      <c r="A1746">
        <v>1725</v>
      </c>
      <c r="B1746">
        <v>1700</v>
      </c>
      <c r="C1746" t="s">
        <v>45</v>
      </c>
      <c r="D1746" t="s">
        <v>5834</v>
      </c>
      <c r="E1746">
        <v>49</v>
      </c>
      <c r="F1746" t="s">
        <v>128</v>
      </c>
      <c r="G1746" t="s">
        <v>234</v>
      </c>
      <c r="H1746" t="s">
        <v>856</v>
      </c>
      <c r="I1746" t="s">
        <v>45</v>
      </c>
      <c r="J1746" t="s">
        <v>128</v>
      </c>
      <c r="L1746" t="b">
        <v>1</v>
      </c>
      <c r="M1746" t="s">
        <v>611</v>
      </c>
      <c r="N1746" t="s">
        <v>8245</v>
      </c>
      <c r="O1746" s="1">
        <v>27030</v>
      </c>
      <c r="P1746" t="s">
        <v>390</v>
      </c>
      <c r="Q1746" t="s">
        <v>5835</v>
      </c>
      <c r="S1746" s="1">
        <v>45020.209027777775</v>
      </c>
      <c r="V1746">
        <v>1974</v>
      </c>
      <c r="W1746">
        <v>125.08</v>
      </c>
      <c r="X1746">
        <v>2.9</v>
      </c>
      <c r="Y1746" s="2">
        <v>19910000000000</v>
      </c>
      <c r="Z1746">
        <v>50.6</v>
      </c>
      <c r="AA1746">
        <v>100.2</v>
      </c>
      <c r="AB1746">
        <v>9.4</v>
      </c>
      <c r="AC1746">
        <v>59.2</v>
      </c>
      <c r="AD1746">
        <v>1397715000</v>
      </c>
    </row>
    <row r="1747" spans="1:30" hidden="1" x14ac:dyDescent="0.45">
      <c r="A1747">
        <v>1725</v>
      </c>
      <c r="B1747">
        <v>1700</v>
      </c>
      <c r="C1747" t="s">
        <v>302</v>
      </c>
      <c r="D1747" t="s">
        <v>5836</v>
      </c>
      <c r="E1747">
        <v>73</v>
      </c>
      <c r="F1747" t="s">
        <v>628</v>
      </c>
      <c r="G1747" t="s">
        <v>629</v>
      </c>
      <c r="H1747" t="s">
        <v>3015</v>
      </c>
      <c r="I1747" t="s">
        <v>302</v>
      </c>
      <c r="J1747" t="s">
        <v>628</v>
      </c>
      <c r="L1747" t="b">
        <v>1</v>
      </c>
      <c r="M1747" t="s">
        <v>611</v>
      </c>
      <c r="N1747" t="s">
        <v>8245</v>
      </c>
      <c r="O1747" s="1">
        <v>18053</v>
      </c>
      <c r="P1747" t="s">
        <v>5837</v>
      </c>
      <c r="Q1747" t="s">
        <v>338</v>
      </c>
      <c r="S1747" s="1">
        <v>45020.209027777775</v>
      </c>
      <c r="V1747">
        <v>1949</v>
      </c>
      <c r="W1747">
        <v>113.27</v>
      </c>
      <c r="X1747">
        <v>0.7</v>
      </c>
      <c r="Y1747" s="2">
        <v>543649976166</v>
      </c>
      <c r="Z1747">
        <v>49.3</v>
      </c>
      <c r="AA1747">
        <v>99.8</v>
      </c>
      <c r="AB1747">
        <v>14.9</v>
      </c>
      <c r="AC1747">
        <v>29.5</v>
      </c>
      <c r="AD1747">
        <v>69625582</v>
      </c>
    </row>
    <row r="1748" spans="1:30" hidden="1" x14ac:dyDescent="0.45">
      <c r="A1748">
        <v>1725</v>
      </c>
      <c r="B1748">
        <v>1700</v>
      </c>
      <c r="C1748" t="s">
        <v>61</v>
      </c>
      <c r="D1748" t="s">
        <v>5838</v>
      </c>
      <c r="E1748">
        <v>66</v>
      </c>
      <c r="F1748" t="s">
        <v>164</v>
      </c>
      <c r="G1748" t="s">
        <v>165</v>
      </c>
      <c r="H1748" t="s">
        <v>5839</v>
      </c>
      <c r="I1748" t="s">
        <v>61</v>
      </c>
      <c r="J1748" t="s">
        <v>164</v>
      </c>
      <c r="L1748" t="b">
        <v>1</v>
      </c>
      <c r="M1748" t="s">
        <v>39</v>
      </c>
      <c r="N1748" t="s">
        <v>8245</v>
      </c>
      <c r="O1748" s="1">
        <v>20840</v>
      </c>
      <c r="P1748" t="s">
        <v>5840</v>
      </c>
      <c r="Q1748" t="s">
        <v>1805</v>
      </c>
      <c r="S1748" s="1">
        <v>45020.209027777775</v>
      </c>
      <c r="V1748">
        <v>1957</v>
      </c>
      <c r="W1748">
        <v>116.76</v>
      </c>
      <c r="X1748">
        <v>1.9</v>
      </c>
      <c r="Y1748" s="2">
        <v>1736425629520</v>
      </c>
      <c r="Z1748">
        <v>68.900000000000006</v>
      </c>
      <c r="AA1748">
        <v>100.9</v>
      </c>
      <c r="AB1748">
        <v>12.8</v>
      </c>
      <c r="AC1748">
        <v>24.5</v>
      </c>
      <c r="AD1748">
        <v>36991981</v>
      </c>
    </row>
    <row r="1749" spans="1:30" hidden="1" x14ac:dyDescent="0.45">
      <c r="A1749">
        <v>1725</v>
      </c>
      <c r="B1749">
        <v>1700</v>
      </c>
      <c r="C1749" t="s">
        <v>296</v>
      </c>
      <c r="D1749" t="s">
        <v>5841</v>
      </c>
      <c r="E1749">
        <v>64</v>
      </c>
      <c r="F1749" t="s">
        <v>2660</v>
      </c>
      <c r="G1749" t="s">
        <v>5232</v>
      </c>
      <c r="H1749" t="s">
        <v>2662</v>
      </c>
      <c r="I1749" t="s">
        <v>296</v>
      </c>
      <c r="J1749" t="s">
        <v>2660</v>
      </c>
      <c r="L1749" t="b">
        <v>0</v>
      </c>
      <c r="M1749" t="s">
        <v>29</v>
      </c>
      <c r="N1749" t="s">
        <v>8245</v>
      </c>
      <c r="O1749" s="1">
        <v>21551</v>
      </c>
      <c r="P1749" t="s">
        <v>2663</v>
      </c>
      <c r="Q1749" t="s">
        <v>5842</v>
      </c>
      <c r="S1749" s="1">
        <v>45020.209027777775</v>
      </c>
      <c r="V1749">
        <v>1959</v>
      </c>
      <c r="W1749">
        <v>112.33</v>
      </c>
      <c r="X1749">
        <v>1</v>
      </c>
      <c r="Y1749" s="2">
        <v>268761201365</v>
      </c>
      <c r="Z1749">
        <v>88.2</v>
      </c>
      <c r="AA1749">
        <v>100.2</v>
      </c>
      <c r="AB1749">
        <v>20.8</v>
      </c>
      <c r="AC1749">
        <v>36.6</v>
      </c>
      <c r="AD1749">
        <v>5520314</v>
      </c>
    </row>
    <row r="1750" spans="1:30" hidden="1" x14ac:dyDescent="0.45">
      <c r="A1750">
        <v>1725</v>
      </c>
      <c r="B1750">
        <v>1700</v>
      </c>
      <c r="C1750" t="s">
        <v>302</v>
      </c>
      <c r="D1750" t="s">
        <v>5843</v>
      </c>
      <c r="E1750">
        <v>68</v>
      </c>
      <c r="F1750" t="s">
        <v>574</v>
      </c>
      <c r="G1750" t="s">
        <v>574</v>
      </c>
      <c r="H1750" t="s">
        <v>304</v>
      </c>
      <c r="I1750" t="s">
        <v>302</v>
      </c>
      <c r="J1750" t="s">
        <v>574</v>
      </c>
      <c r="L1750" t="b">
        <v>0</v>
      </c>
      <c r="M1750" t="s">
        <v>29</v>
      </c>
      <c r="N1750" t="s">
        <v>8245</v>
      </c>
      <c r="O1750" s="1">
        <v>20056</v>
      </c>
      <c r="P1750" t="s">
        <v>5844</v>
      </c>
      <c r="Q1750" t="s">
        <v>5845</v>
      </c>
      <c r="S1750" s="1">
        <v>45020.209027777775</v>
      </c>
      <c r="V1750">
        <v>1954</v>
      </c>
      <c r="W1750">
        <v>114.41</v>
      </c>
      <c r="X1750">
        <v>0.6</v>
      </c>
      <c r="Y1750" s="2">
        <v>372062527489</v>
      </c>
      <c r="Z1750">
        <v>84.8</v>
      </c>
      <c r="AA1750">
        <v>100.6</v>
      </c>
      <c r="AB1750">
        <v>13.1</v>
      </c>
      <c r="AC1750">
        <v>21</v>
      </c>
      <c r="AD1750">
        <v>5703569</v>
      </c>
    </row>
    <row r="1751" spans="1:30" hidden="1" x14ac:dyDescent="0.45">
      <c r="A1751">
        <v>1725</v>
      </c>
      <c r="B1751">
        <v>1700</v>
      </c>
      <c r="C1751" t="s">
        <v>61</v>
      </c>
      <c r="D1751" t="s">
        <v>5846</v>
      </c>
      <c r="E1751">
        <v>90</v>
      </c>
      <c r="F1751" t="s">
        <v>164</v>
      </c>
      <c r="G1751" t="s">
        <v>165</v>
      </c>
      <c r="H1751" t="s">
        <v>5847</v>
      </c>
      <c r="I1751" t="s">
        <v>61</v>
      </c>
      <c r="J1751" t="s">
        <v>164</v>
      </c>
      <c r="L1751" t="b">
        <v>1</v>
      </c>
      <c r="M1751" t="s">
        <v>39</v>
      </c>
      <c r="N1751" t="s">
        <v>8245</v>
      </c>
      <c r="O1751" s="1">
        <v>11850</v>
      </c>
      <c r="P1751" t="s">
        <v>5848</v>
      </c>
      <c r="Q1751" t="s">
        <v>5849</v>
      </c>
      <c r="S1751" s="1">
        <v>45020.209027777775</v>
      </c>
      <c r="V1751">
        <v>1932</v>
      </c>
      <c r="W1751">
        <v>116.76</v>
      </c>
      <c r="X1751">
        <v>1.9</v>
      </c>
      <c r="Y1751" s="2">
        <v>1736425629520</v>
      </c>
      <c r="Z1751">
        <v>68.900000000000006</v>
      </c>
      <c r="AA1751">
        <v>100.9</v>
      </c>
      <c r="AB1751">
        <v>12.8</v>
      </c>
      <c r="AC1751">
        <v>24.5</v>
      </c>
      <c r="AD1751">
        <v>36991981</v>
      </c>
    </row>
    <row r="1752" spans="1:30" hidden="1" x14ac:dyDescent="0.45">
      <c r="A1752">
        <v>1725</v>
      </c>
      <c r="B1752">
        <v>1700</v>
      </c>
      <c r="C1752" t="s">
        <v>296</v>
      </c>
      <c r="D1752" t="s">
        <v>5850</v>
      </c>
      <c r="E1752">
        <v>71</v>
      </c>
      <c r="F1752" t="s">
        <v>93</v>
      </c>
      <c r="G1752" t="s">
        <v>343</v>
      </c>
      <c r="H1752" t="s">
        <v>399</v>
      </c>
      <c r="I1752" t="s">
        <v>296</v>
      </c>
      <c r="J1752" t="s">
        <v>93</v>
      </c>
      <c r="L1752" t="b">
        <v>0</v>
      </c>
      <c r="M1752" t="s">
        <v>258</v>
      </c>
      <c r="N1752" t="s">
        <v>8245</v>
      </c>
      <c r="O1752" s="1">
        <v>18765</v>
      </c>
      <c r="P1752" t="s">
        <v>3696</v>
      </c>
      <c r="Q1752" t="s">
        <v>5851</v>
      </c>
      <c r="S1752" s="1">
        <v>45020.209027777775</v>
      </c>
      <c r="V1752">
        <v>1951</v>
      </c>
      <c r="W1752">
        <v>180.44</v>
      </c>
      <c r="X1752">
        <v>7.7</v>
      </c>
      <c r="Y1752" s="2">
        <v>2611000000000</v>
      </c>
      <c r="Z1752">
        <v>28.1</v>
      </c>
      <c r="AA1752">
        <v>113</v>
      </c>
      <c r="AB1752">
        <v>11.2</v>
      </c>
      <c r="AC1752">
        <v>49.7</v>
      </c>
      <c r="AD1752">
        <v>1366417754</v>
      </c>
    </row>
    <row r="1753" spans="1:30" hidden="1" x14ac:dyDescent="0.45">
      <c r="A1753">
        <v>1725</v>
      </c>
      <c r="B1753">
        <v>1700</v>
      </c>
      <c r="C1753" t="s">
        <v>302</v>
      </c>
      <c r="D1753" t="s">
        <v>5852</v>
      </c>
      <c r="E1753">
        <v>72</v>
      </c>
      <c r="F1753" t="s">
        <v>628</v>
      </c>
      <c r="G1753" t="s">
        <v>629</v>
      </c>
      <c r="H1753" t="s">
        <v>5853</v>
      </c>
      <c r="I1753" t="s">
        <v>302</v>
      </c>
      <c r="J1753" t="s">
        <v>628</v>
      </c>
      <c r="L1753" t="b">
        <v>1</v>
      </c>
      <c r="M1753" t="s">
        <v>39</v>
      </c>
      <c r="N1753" t="s">
        <v>8245</v>
      </c>
      <c r="O1753" s="1">
        <v>18554</v>
      </c>
      <c r="P1753" t="s">
        <v>5854</v>
      </c>
      <c r="Q1753" t="s">
        <v>5855</v>
      </c>
      <c r="S1753" s="1">
        <v>45020.209027777775</v>
      </c>
      <c r="V1753">
        <v>1950</v>
      </c>
      <c r="W1753">
        <v>113.27</v>
      </c>
      <c r="X1753">
        <v>0.7</v>
      </c>
      <c r="Y1753" s="2">
        <v>543649976166</v>
      </c>
      <c r="Z1753">
        <v>49.3</v>
      </c>
      <c r="AA1753">
        <v>99.8</v>
      </c>
      <c r="AB1753">
        <v>14.9</v>
      </c>
      <c r="AC1753">
        <v>29.5</v>
      </c>
      <c r="AD1753">
        <v>69625582</v>
      </c>
    </row>
    <row r="1754" spans="1:30" x14ac:dyDescent="0.45">
      <c r="A1754">
        <v>1725</v>
      </c>
      <c r="B1754" s="6">
        <v>1700</v>
      </c>
      <c r="C1754" t="s">
        <v>402</v>
      </c>
      <c r="D1754" t="s">
        <v>5856</v>
      </c>
      <c r="E1754">
        <v>52</v>
      </c>
      <c r="F1754" t="s">
        <v>35</v>
      </c>
      <c r="G1754" t="s">
        <v>5857</v>
      </c>
      <c r="H1754" t="s">
        <v>1919</v>
      </c>
      <c r="I1754" t="s">
        <v>402</v>
      </c>
      <c r="J1754" t="s">
        <v>35</v>
      </c>
      <c r="K1754" t="s">
        <v>5858</v>
      </c>
      <c r="L1754" t="b">
        <v>1</v>
      </c>
      <c r="M1754" t="s">
        <v>39</v>
      </c>
      <c r="N1754" t="s">
        <v>8245</v>
      </c>
      <c r="O1754" s="10">
        <v>26024</v>
      </c>
      <c r="P1754" t="s">
        <v>5859</v>
      </c>
      <c r="Q1754" t="s">
        <v>5860</v>
      </c>
      <c r="R1754" t="s">
        <v>3201</v>
      </c>
      <c r="S1754" s="8">
        <v>45020.209027777775</v>
      </c>
      <c r="T1754" t="s">
        <v>115</v>
      </c>
      <c r="U1754" t="s">
        <v>53</v>
      </c>
      <c r="V1754">
        <v>1971</v>
      </c>
      <c r="W1754" s="12">
        <v>117.24</v>
      </c>
      <c r="X1754">
        <v>7.5</v>
      </c>
      <c r="Y1754" s="14">
        <v>21427700000000</v>
      </c>
      <c r="Z1754">
        <v>88.2</v>
      </c>
      <c r="AA1754">
        <v>101.8</v>
      </c>
      <c r="AB1754">
        <v>9.6</v>
      </c>
      <c r="AC1754">
        <v>36.6</v>
      </c>
      <c r="AD1754">
        <v>328239523</v>
      </c>
    </row>
    <row r="1755" spans="1:30" hidden="1" x14ac:dyDescent="0.45">
      <c r="A1755">
        <v>1725</v>
      </c>
      <c r="B1755">
        <v>1700</v>
      </c>
      <c r="C1755" t="s">
        <v>23</v>
      </c>
      <c r="D1755" t="s">
        <v>5861</v>
      </c>
      <c r="E1755">
        <v>62</v>
      </c>
      <c r="F1755" t="s">
        <v>928</v>
      </c>
      <c r="G1755" t="s">
        <v>929</v>
      </c>
      <c r="H1755" t="s">
        <v>1475</v>
      </c>
      <c r="I1755" t="s">
        <v>23</v>
      </c>
      <c r="J1755" t="s">
        <v>928</v>
      </c>
      <c r="L1755" t="b">
        <v>1</v>
      </c>
      <c r="M1755" t="s">
        <v>39</v>
      </c>
      <c r="N1755" t="s">
        <v>8245</v>
      </c>
      <c r="O1755" s="1">
        <v>22372</v>
      </c>
      <c r="P1755" t="s">
        <v>932</v>
      </c>
      <c r="Q1755" t="s">
        <v>5862</v>
      </c>
      <c r="S1755" s="1">
        <v>45020.209027777775</v>
      </c>
      <c r="V1755">
        <v>1961</v>
      </c>
      <c r="W1755">
        <v>115.16</v>
      </c>
      <c r="X1755">
        <v>0.4</v>
      </c>
      <c r="Y1755" s="2">
        <v>2029000000000</v>
      </c>
      <c r="Z1755">
        <v>94.3</v>
      </c>
      <c r="AA1755">
        <v>98.1</v>
      </c>
      <c r="AB1755">
        <v>15.6</v>
      </c>
      <c r="AC1755">
        <v>33.200000000000003</v>
      </c>
      <c r="AD1755">
        <v>51709098</v>
      </c>
    </row>
    <row r="1756" spans="1:30" hidden="1" x14ac:dyDescent="0.45">
      <c r="A1756">
        <v>1725</v>
      </c>
      <c r="B1756">
        <v>1700</v>
      </c>
      <c r="C1756" t="s">
        <v>76</v>
      </c>
      <c r="D1756" t="s">
        <v>5863</v>
      </c>
      <c r="E1756">
        <v>21</v>
      </c>
      <c r="H1756" t="s">
        <v>5864</v>
      </c>
      <c r="I1756" t="s">
        <v>76</v>
      </c>
      <c r="J1756" t="s">
        <v>928</v>
      </c>
      <c r="L1756" t="b">
        <v>0</v>
      </c>
      <c r="M1756" t="s">
        <v>258</v>
      </c>
      <c r="N1756" t="s">
        <v>8246</v>
      </c>
      <c r="O1756" s="1">
        <v>37257</v>
      </c>
      <c r="P1756" t="s">
        <v>932</v>
      </c>
      <c r="Q1756" t="s">
        <v>5865</v>
      </c>
      <c r="S1756" s="1">
        <v>45020.209027777775</v>
      </c>
      <c r="V1756">
        <v>2002</v>
      </c>
      <c r="W1756"/>
      <c r="Y1756"/>
    </row>
    <row r="1757" spans="1:30" hidden="1" x14ac:dyDescent="0.45">
      <c r="A1757">
        <v>1725</v>
      </c>
      <c r="B1757">
        <v>1700</v>
      </c>
      <c r="C1757" t="s">
        <v>76</v>
      </c>
      <c r="D1757" t="s">
        <v>5866</v>
      </c>
      <c r="E1757">
        <v>19</v>
      </c>
      <c r="H1757" t="s">
        <v>5864</v>
      </c>
      <c r="I1757" t="s">
        <v>76</v>
      </c>
      <c r="J1757" t="s">
        <v>928</v>
      </c>
      <c r="L1757" t="b">
        <v>0</v>
      </c>
      <c r="M1757" t="s">
        <v>258</v>
      </c>
      <c r="N1757" t="s">
        <v>8246</v>
      </c>
      <c r="O1757" s="1">
        <v>37987</v>
      </c>
      <c r="P1757" t="s">
        <v>932</v>
      </c>
      <c r="Q1757" t="s">
        <v>5867</v>
      </c>
      <c r="S1757" s="1">
        <v>45020.209027777775</v>
      </c>
      <c r="V1757">
        <v>2004</v>
      </c>
      <c r="W1757"/>
      <c r="Y1757"/>
    </row>
    <row r="1758" spans="1:30" hidden="1" x14ac:dyDescent="0.45">
      <c r="A1758">
        <v>1725</v>
      </c>
      <c r="B1758">
        <v>1700</v>
      </c>
      <c r="C1758" t="s">
        <v>23</v>
      </c>
      <c r="D1758" t="s">
        <v>5868</v>
      </c>
      <c r="E1758">
        <v>59</v>
      </c>
      <c r="F1758" t="s">
        <v>2037</v>
      </c>
      <c r="G1758" t="s">
        <v>2038</v>
      </c>
      <c r="H1758" t="s">
        <v>268</v>
      </c>
      <c r="I1758" t="s">
        <v>23</v>
      </c>
      <c r="J1758" t="s">
        <v>2037</v>
      </c>
      <c r="L1758" t="b">
        <v>1</v>
      </c>
      <c r="M1758" t="s">
        <v>29</v>
      </c>
      <c r="N1758" t="s">
        <v>8245</v>
      </c>
      <c r="O1758" s="1">
        <v>23165</v>
      </c>
      <c r="P1758" t="s">
        <v>5869</v>
      </c>
      <c r="Q1758" t="s">
        <v>5870</v>
      </c>
      <c r="S1758" s="1">
        <v>45020.209027777775</v>
      </c>
      <c r="V1758">
        <v>1963</v>
      </c>
      <c r="W1758">
        <v>234.44</v>
      </c>
      <c r="X1758">
        <v>15.2</v>
      </c>
      <c r="Y1758" s="2">
        <v>754411708203</v>
      </c>
      <c r="Z1758">
        <v>23.9</v>
      </c>
      <c r="AA1758">
        <v>93.2</v>
      </c>
      <c r="AB1758">
        <v>17.899999999999999</v>
      </c>
      <c r="AC1758">
        <v>42.3</v>
      </c>
      <c r="AD1758">
        <v>83429615</v>
      </c>
    </row>
    <row r="1759" spans="1:30" hidden="1" x14ac:dyDescent="0.45">
      <c r="A1759">
        <v>1725</v>
      </c>
      <c r="B1759">
        <v>1700</v>
      </c>
      <c r="C1759" t="s">
        <v>302</v>
      </c>
      <c r="D1759" t="s">
        <v>5871</v>
      </c>
      <c r="E1759">
        <v>37</v>
      </c>
      <c r="F1759" t="s">
        <v>228</v>
      </c>
      <c r="G1759" t="s">
        <v>228</v>
      </c>
      <c r="H1759" t="s">
        <v>304</v>
      </c>
      <c r="I1759" t="s">
        <v>302</v>
      </c>
      <c r="J1759" t="s">
        <v>228</v>
      </c>
      <c r="L1759" t="b">
        <v>0</v>
      </c>
      <c r="M1759" t="s">
        <v>29</v>
      </c>
      <c r="N1759" t="s">
        <v>8245</v>
      </c>
      <c r="O1759" s="1">
        <v>31503</v>
      </c>
      <c r="P1759" t="s">
        <v>4075</v>
      </c>
      <c r="Q1759" t="s">
        <v>1585</v>
      </c>
      <c r="S1759" s="1">
        <v>45020.209027777775</v>
      </c>
      <c r="V1759">
        <v>1986</v>
      </c>
      <c r="W1759"/>
      <c r="Y1759"/>
    </row>
    <row r="1760" spans="1:30" hidden="1" x14ac:dyDescent="0.45">
      <c r="A1760">
        <v>1725</v>
      </c>
      <c r="B1760">
        <v>1700</v>
      </c>
      <c r="C1760" t="s">
        <v>302</v>
      </c>
      <c r="D1760" t="s">
        <v>5872</v>
      </c>
      <c r="E1760">
        <v>42</v>
      </c>
      <c r="F1760" t="s">
        <v>228</v>
      </c>
      <c r="G1760" t="s">
        <v>228</v>
      </c>
      <c r="H1760" t="s">
        <v>304</v>
      </c>
      <c r="I1760" t="s">
        <v>302</v>
      </c>
      <c r="J1760" t="s">
        <v>228</v>
      </c>
      <c r="L1760" t="b">
        <v>0</v>
      </c>
      <c r="M1760" t="s">
        <v>29</v>
      </c>
      <c r="N1760" t="s">
        <v>8245</v>
      </c>
      <c r="O1760" s="1">
        <v>29677</v>
      </c>
      <c r="P1760" t="s">
        <v>4075</v>
      </c>
      <c r="Q1760" t="s">
        <v>1550</v>
      </c>
      <c r="S1760" s="1">
        <v>45020.209027777775</v>
      </c>
      <c r="V1760">
        <v>1981</v>
      </c>
      <c r="W1760"/>
      <c r="Y1760"/>
    </row>
    <row r="1761" spans="1:30" hidden="1" x14ac:dyDescent="0.45">
      <c r="A1761">
        <v>1725</v>
      </c>
      <c r="B1761">
        <v>1700</v>
      </c>
      <c r="C1761" t="s">
        <v>203</v>
      </c>
      <c r="D1761" t="s">
        <v>5873</v>
      </c>
      <c r="E1761">
        <v>53</v>
      </c>
      <c r="F1761" t="s">
        <v>128</v>
      </c>
      <c r="G1761" t="s">
        <v>292</v>
      </c>
      <c r="H1761" t="s">
        <v>5874</v>
      </c>
      <c r="I1761" t="s">
        <v>203</v>
      </c>
      <c r="J1761" t="s">
        <v>128</v>
      </c>
      <c r="L1761" t="b">
        <v>1</v>
      </c>
      <c r="M1761" t="s">
        <v>29</v>
      </c>
      <c r="N1761" t="s">
        <v>8245</v>
      </c>
      <c r="O1761"/>
      <c r="P1761" t="s">
        <v>1895</v>
      </c>
      <c r="Q1761" t="s">
        <v>5875</v>
      </c>
      <c r="S1761" s="1">
        <v>45020.209027777775</v>
      </c>
      <c r="W1761">
        <v>125.08</v>
      </c>
      <c r="X1761">
        <v>2.9</v>
      </c>
      <c r="Y1761" s="2">
        <v>19910000000000</v>
      </c>
      <c r="Z1761">
        <v>50.6</v>
      </c>
      <c r="AA1761">
        <v>100.2</v>
      </c>
      <c r="AB1761">
        <v>9.4</v>
      </c>
      <c r="AC1761">
        <v>59.2</v>
      </c>
      <c r="AD1761">
        <v>1397715000</v>
      </c>
    </row>
    <row r="1762" spans="1:30" hidden="1" x14ac:dyDescent="0.45">
      <c r="A1762">
        <v>1725</v>
      </c>
      <c r="B1762">
        <v>1700</v>
      </c>
      <c r="C1762" t="s">
        <v>91</v>
      </c>
      <c r="D1762" t="s">
        <v>5876</v>
      </c>
      <c r="E1762">
        <v>87</v>
      </c>
      <c r="F1762" t="s">
        <v>762</v>
      </c>
      <c r="G1762" t="s">
        <v>5877</v>
      </c>
      <c r="H1762" t="s">
        <v>3928</v>
      </c>
      <c r="I1762" t="s">
        <v>91</v>
      </c>
      <c r="J1762" t="s">
        <v>762</v>
      </c>
      <c r="L1762" t="b">
        <v>0</v>
      </c>
      <c r="M1762" t="s">
        <v>39</v>
      </c>
      <c r="N1762" t="s">
        <v>8245</v>
      </c>
      <c r="O1762" s="1">
        <v>13159</v>
      </c>
      <c r="P1762" t="s">
        <v>716</v>
      </c>
      <c r="Q1762" t="s">
        <v>5878</v>
      </c>
      <c r="S1762" s="1">
        <v>45020.209027777775</v>
      </c>
      <c r="V1762">
        <v>1936</v>
      </c>
      <c r="W1762">
        <v>121.46</v>
      </c>
      <c r="X1762">
        <v>0.7</v>
      </c>
      <c r="Y1762" s="2">
        <v>364701517788</v>
      </c>
      <c r="Z1762">
        <v>45.1</v>
      </c>
      <c r="AA1762">
        <v>105.3</v>
      </c>
      <c r="AB1762">
        <v>12</v>
      </c>
      <c r="AC1762">
        <v>38.700000000000003</v>
      </c>
      <c r="AD1762">
        <v>32447385</v>
      </c>
    </row>
    <row r="1763" spans="1:30" x14ac:dyDescent="0.45">
      <c r="A1763">
        <v>1725</v>
      </c>
      <c r="B1763" s="6">
        <v>1700</v>
      </c>
      <c r="C1763" t="s">
        <v>45</v>
      </c>
      <c r="D1763" t="s">
        <v>5879</v>
      </c>
      <c r="E1763">
        <v>48</v>
      </c>
      <c r="F1763" t="s">
        <v>35</v>
      </c>
      <c r="G1763" t="s">
        <v>78</v>
      </c>
      <c r="H1763" t="s">
        <v>5696</v>
      </c>
      <c r="I1763" t="s">
        <v>45</v>
      </c>
      <c r="J1763" t="s">
        <v>35</v>
      </c>
      <c r="K1763" t="s">
        <v>5697</v>
      </c>
      <c r="L1763" t="b">
        <v>1</v>
      </c>
      <c r="M1763" t="s">
        <v>39</v>
      </c>
      <c r="N1763" t="s">
        <v>8245</v>
      </c>
      <c r="O1763" s="10">
        <v>27347</v>
      </c>
      <c r="P1763" t="s">
        <v>5880</v>
      </c>
      <c r="Q1763" t="s">
        <v>5881</v>
      </c>
      <c r="R1763" t="s">
        <v>138</v>
      </c>
      <c r="S1763" s="8">
        <v>45020.209027777775</v>
      </c>
      <c r="T1763" t="s">
        <v>78</v>
      </c>
      <c r="U1763" t="s">
        <v>82</v>
      </c>
      <c r="V1763">
        <v>1974</v>
      </c>
      <c r="W1763" s="12">
        <v>117.24</v>
      </c>
      <c r="X1763">
        <v>7.5</v>
      </c>
      <c r="Y1763" s="14">
        <v>21427700000000</v>
      </c>
      <c r="Z1763">
        <v>88.2</v>
      </c>
      <c r="AA1763">
        <v>101.8</v>
      </c>
      <c r="AB1763">
        <v>9.6</v>
      </c>
      <c r="AC1763">
        <v>36.6</v>
      </c>
      <c r="AD1763">
        <v>328239523</v>
      </c>
    </row>
    <row r="1764" spans="1:30" hidden="1" x14ac:dyDescent="0.45">
      <c r="A1764">
        <v>1725</v>
      </c>
      <c r="B1764">
        <v>1700</v>
      </c>
      <c r="C1764" t="s">
        <v>402</v>
      </c>
      <c r="D1764" t="s">
        <v>5882</v>
      </c>
      <c r="E1764">
        <v>70</v>
      </c>
      <c r="F1764" t="s">
        <v>128</v>
      </c>
      <c r="G1764" t="s">
        <v>5883</v>
      </c>
      <c r="H1764" t="s">
        <v>610</v>
      </c>
      <c r="I1764" t="s">
        <v>402</v>
      </c>
      <c r="J1764" t="s">
        <v>128</v>
      </c>
      <c r="L1764" t="b">
        <v>1</v>
      </c>
      <c r="M1764" t="s">
        <v>39</v>
      </c>
      <c r="N1764" t="s">
        <v>8246</v>
      </c>
      <c r="O1764" s="1">
        <v>19362</v>
      </c>
      <c r="P1764" t="s">
        <v>936</v>
      </c>
      <c r="Q1764" t="s">
        <v>5884</v>
      </c>
      <c r="S1764" s="1">
        <v>45020.209027777775</v>
      </c>
      <c r="V1764">
        <v>1953</v>
      </c>
      <c r="W1764">
        <v>125.08</v>
      </c>
      <c r="X1764">
        <v>2.9</v>
      </c>
      <c r="Y1764" s="2">
        <v>19910000000000</v>
      </c>
      <c r="Z1764">
        <v>50.6</v>
      </c>
      <c r="AA1764">
        <v>100.2</v>
      </c>
      <c r="AB1764">
        <v>9.4</v>
      </c>
      <c r="AC1764">
        <v>59.2</v>
      </c>
      <c r="AD1764">
        <v>1397715000</v>
      </c>
    </row>
    <row r="1765" spans="1:30" hidden="1" x14ac:dyDescent="0.45">
      <c r="A1765">
        <v>1725</v>
      </c>
      <c r="B1765">
        <v>1700</v>
      </c>
      <c r="C1765" t="s">
        <v>402</v>
      </c>
      <c r="D1765" t="s">
        <v>5885</v>
      </c>
      <c r="E1765">
        <v>78</v>
      </c>
      <c r="F1765" t="s">
        <v>35</v>
      </c>
      <c r="G1765" t="s">
        <v>1331</v>
      </c>
      <c r="H1765" t="s">
        <v>5886</v>
      </c>
      <c r="I1765" t="s">
        <v>402</v>
      </c>
      <c r="J1765" t="s">
        <v>35</v>
      </c>
      <c r="L1765" t="b">
        <v>1</v>
      </c>
      <c r="M1765" t="s">
        <v>611</v>
      </c>
      <c r="N1765" t="s">
        <v>8245</v>
      </c>
      <c r="O1765" s="1">
        <v>16526</v>
      </c>
      <c r="P1765" t="s">
        <v>5887</v>
      </c>
      <c r="Q1765" t="s">
        <v>401</v>
      </c>
      <c r="S1765" s="1">
        <v>45020.209027777775</v>
      </c>
      <c r="T1765" t="s">
        <v>43</v>
      </c>
      <c r="U1765" t="s">
        <v>44</v>
      </c>
      <c r="V1765">
        <v>1945</v>
      </c>
      <c r="W1765">
        <v>117.24</v>
      </c>
      <c r="X1765">
        <v>7.5</v>
      </c>
      <c r="Y1765" s="2">
        <v>21427700000000</v>
      </c>
      <c r="Z1765">
        <v>88.2</v>
      </c>
      <c r="AA1765">
        <v>101.8</v>
      </c>
      <c r="AB1765">
        <v>9.6</v>
      </c>
      <c r="AC1765">
        <v>36.6</v>
      </c>
      <c r="AD1765">
        <v>328239523</v>
      </c>
    </row>
    <row r="1766" spans="1:30" hidden="1" x14ac:dyDescent="0.45">
      <c r="A1766">
        <v>1725</v>
      </c>
      <c r="B1766">
        <v>1700</v>
      </c>
      <c r="C1766" t="s">
        <v>126</v>
      </c>
      <c r="D1766" t="s">
        <v>5888</v>
      </c>
      <c r="E1766">
        <v>54</v>
      </c>
      <c r="F1766" t="s">
        <v>128</v>
      </c>
      <c r="G1766" t="s">
        <v>388</v>
      </c>
      <c r="H1766" t="s">
        <v>590</v>
      </c>
      <c r="I1766" t="s">
        <v>126</v>
      </c>
      <c r="J1766" t="s">
        <v>128</v>
      </c>
      <c r="L1766" t="b">
        <v>1</v>
      </c>
      <c r="M1766" t="s">
        <v>39</v>
      </c>
      <c r="N1766" t="s">
        <v>8246</v>
      </c>
      <c r="O1766" s="1">
        <v>25004</v>
      </c>
      <c r="P1766" t="s">
        <v>230</v>
      </c>
      <c r="Q1766" t="s">
        <v>5889</v>
      </c>
      <c r="S1766" s="1">
        <v>45020.209027777775</v>
      </c>
      <c r="V1766">
        <v>1968</v>
      </c>
      <c r="W1766">
        <v>125.08</v>
      </c>
      <c r="X1766">
        <v>2.9</v>
      </c>
      <c r="Y1766" s="2">
        <v>19910000000000</v>
      </c>
      <c r="Z1766">
        <v>50.6</v>
      </c>
      <c r="AA1766">
        <v>100.2</v>
      </c>
      <c r="AB1766">
        <v>9.4</v>
      </c>
      <c r="AC1766">
        <v>59.2</v>
      </c>
      <c r="AD1766">
        <v>1397715000</v>
      </c>
    </row>
    <row r="1767" spans="1:30" hidden="1" x14ac:dyDescent="0.45">
      <c r="A1767">
        <v>1725</v>
      </c>
      <c r="B1767">
        <v>1700</v>
      </c>
      <c r="C1767" t="s">
        <v>126</v>
      </c>
      <c r="D1767" t="s">
        <v>5890</v>
      </c>
      <c r="E1767">
        <v>59</v>
      </c>
      <c r="F1767" t="s">
        <v>35</v>
      </c>
      <c r="G1767" t="s">
        <v>5891</v>
      </c>
      <c r="H1767" t="s">
        <v>5892</v>
      </c>
      <c r="I1767" t="s">
        <v>126</v>
      </c>
      <c r="J1767" t="s">
        <v>35</v>
      </c>
      <c r="L1767" t="b">
        <v>1</v>
      </c>
      <c r="M1767" t="s">
        <v>611</v>
      </c>
      <c r="N1767" t="s">
        <v>8245</v>
      </c>
      <c r="O1767" s="1">
        <v>23388</v>
      </c>
      <c r="P1767" t="s">
        <v>5893</v>
      </c>
      <c r="Q1767" t="s">
        <v>5894</v>
      </c>
      <c r="S1767" s="1">
        <v>45020.209027777775</v>
      </c>
      <c r="T1767" t="s">
        <v>253</v>
      </c>
      <c r="U1767" t="s">
        <v>44</v>
      </c>
      <c r="V1767">
        <v>1964</v>
      </c>
      <c r="W1767">
        <v>117.24</v>
      </c>
      <c r="X1767">
        <v>7.5</v>
      </c>
      <c r="Y1767" s="2">
        <v>21427700000000</v>
      </c>
      <c r="Z1767">
        <v>88.2</v>
      </c>
      <c r="AA1767">
        <v>101.8</v>
      </c>
      <c r="AB1767">
        <v>9.6</v>
      </c>
      <c r="AC1767">
        <v>36.6</v>
      </c>
      <c r="AD1767">
        <v>328239523</v>
      </c>
    </row>
    <row r="1768" spans="1:30" hidden="1" x14ac:dyDescent="0.45">
      <c r="A1768">
        <v>1725</v>
      </c>
      <c r="B1768">
        <v>1700</v>
      </c>
      <c r="C1768" t="s">
        <v>326</v>
      </c>
      <c r="D1768" t="s">
        <v>5895</v>
      </c>
      <c r="E1768">
        <v>54</v>
      </c>
      <c r="F1768" t="s">
        <v>128</v>
      </c>
      <c r="G1768" t="s">
        <v>5896</v>
      </c>
      <c r="H1768" t="s">
        <v>5897</v>
      </c>
      <c r="I1768" t="s">
        <v>326</v>
      </c>
      <c r="J1768" t="s">
        <v>128</v>
      </c>
      <c r="L1768" t="b">
        <v>1</v>
      </c>
      <c r="M1768" t="s">
        <v>39</v>
      </c>
      <c r="N1768" t="s">
        <v>8245</v>
      </c>
      <c r="O1768" s="1">
        <v>25059</v>
      </c>
      <c r="P1768" t="s">
        <v>1261</v>
      </c>
      <c r="Q1768" t="s">
        <v>5898</v>
      </c>
      <c r="S1768" s="1">
        <v>45020.209027777775</v>
      </c>
      <c r="V1768">
        <v>1968</v>
      </c>
      <c r="W1768">
        <v>125.08</v>
      </c>
      <c r="X1768">
        <v>2.9</v>
      </c>
      <c r="Y1768" s="2">
        <v>19910000000000</v>
      </c>
      <c r="Z1768">
        <v>50.6</v>
      </c>
      <c r="AA1768">
        <v>100.2</v>
      </c>
      <c r="AB1768">
        <v>9.4</v>
      </c>
      <c r="AC1768">
        <v>59.2</v>
      </c>
      <c r="AD1768">
        <v>1397715000</v>
      </c>
    </row>
    <row r="1769" spans="1:30" hidden="1" x14ac:dyDescent="0.45">
      <c r="A1769">
        <v>1725</v>
      </c>
      <c r="B1769">
        <v>1700</v>
      </c>
      <c r="C1769" t="s">
        <v>45</v>
      </c>
      <c r="D1769" t="s">
        <v>5899</v>
      </c>
      <c r="F1769" t="s">
        <v>128</v>
      </c>
      <c r="G1769" t="s">
        <v>234</v>
      </c>
      <c r="H1769" t="s">
        <v>2571</v>
      </c>
      <c r="I1769" t="s">
        <v>45</v>
      </c>
      <c r="J1769" t="s">
        <v>128</v>
      </c>
      <c r="L1769" t="b">
        <v>1</v>
      </c>
      <c r="M1769" t="s">
        <v>611</v>
      </c>
      <c r="N1769" t="s">
        <v>8245</v>
      </c>
      <c r="O1769"/>
      <c r="P1769" t="s">
        <v>721</v>
      </c>
      <c r="Q1769" t="s">
        <v>5900</v>
      </c>
      <c r="R1769" t="s">
        <v>688</v>
      </c>
      <c r="S1769" s="1">
        <v>45020.209027777775</v>
      </c>
      <c r="W1769">
        <v>125.08</v>
      </c>
      <c r="X1769">
        <v>2.9</v>
      </c>
      <c r="Y1769" s="2">
        <v>19910000000000</v>
      </c>
      <c r="Z1769">
        <v>50.6</v>
      </c>
      <c r="AA1769">
        <v>100.2</v>
      </c>
      <c r="AB1769">
        <v>9.4</v>
      </c>
      <c r="AC1769">
        <v>59.2</v>
      </c>
      <c r="AD1769">
        <v>1397715000</v>
      </c>
    </row>
    <row r="1770" spans="1:30" x14ac:dyDescent="0.45">
      <c r="A1770">
        <v>1725</v>
      </c>
      <c r="B1770" s="6">
        <v>1700</v>
      </c>
      <c r="C1770" t="s">
        <v>45</v>
      </c>
      <c r="D1770" t="s">
        <v>5901</v>
      </c>
      <c r="E1770">
        <v>30</v>
      </c>
      <c r="F1770" t="s">
        <v>35</v>
      </c>
      <c r="G1770" t="s">
        <v>540</v>
      </c>
      <c r="H1770" t="s">
        <v>5902</v>
      </c>
      <c r="I1770" t="s">
        <v>45</v>
      </c>
      <c r="J1770" t="s">
        <v>35</v>
      </c>
      <c r="K1770" t="s">
        <v>5903</v>
      </c>
      <c r="L1770" t="b">
        <v>1</v>
      </c>
      <c r="M1770" t="s">
        <v>258</v>
      </c>
      <c r="N1770" t="s">
        <v>8245</v>
      </c>
      <c r="O1770" s="10">
        <v>33866</v>
      </c>
      <c r="P1770" t="s">
        <v>5904</v>
      </c>
      <c r="Q1770" t="s">
        <v>3457</v>
      </c>
      <c r="R1770" t="s">
        <v>952</v>
      </c>
      <c r="S1770" s="8">
        <v>45020.209027777775</v>
      </c>
      <c r="T1770" t="s">
        <v>115</v>
      </c>
      <c r="U1770" t="s">
        <v>53</v>
      </c>
      <c r="V1770">
        <v>1992</v>
      </c>
      <c r="W1770" s="12">
        <v>117.24</v>
      </c>
      <c r="X1770">
        <v>7.5</v>
      </c>
      <c r="Y1770" s="14">
        <v>21427700000000</v>
      </c>
      <c r="Z1770">
        <v>88.2</v>
      </c>
      <c r="AA1770">
        <v>101.8</v>
      </c>
      <c r="AB1770">
        <v>9.6</v>
      </c>
      <c r="AC1770">
        <v>36.6</v>
      </c>
      <c r="AD1770">
        <v>328239523</v>
      </c>
    </row>
    <row r="1771" spans="1:30" hidden="1" x14ac:dyDescent="0.45">
      <c r="A1771">
        <v>1725</v>
      </c>
      <c r="B1771">
        <v>1700</v>
      </c>
      <c r="C1771" t="s">
        <v>61</v>
      </c>
      <c r="D1771" t="s">
        <v>5905</v>
      </c>
      <c r="E1771">
        <v>85</v>
      </c>
      <c r="F1771" t="s">
        <v>35</v>
      </c>
      <c r="G1771" t="s">
        <v>5906</v>
      </c>
      <c r="H1771" t="s">
        <v>79</v>
      </c>
      <c r="I1771" t="s">
        <v>61</v>
      </c>
      <c r="J1771" t="s">
        <v>35</v>
      </c>
      <c r="L1771" t="b">
        <v>1</v>
      </c>
      <c r="M1771" t="s">
        <v>29</v>
      </c>
      <c r="N1771" t="s">
        <v>8245</v>
      </c>
      <c r="O1771" s="1">
        <v>13866</v>
      </c>
      <c r="P1771" t="s">
        <v>5456</v>
      </c>
      <c r="Q1771" t="s">
        <v>1544</v>
      </c>
      <c r="S1771" s="1">
        <v>45020.209027777775</v>
      </c>
      <c r="T1771" t="s">
        <v>1254</v>
      </c>
      <c r="U1771" t="s">
        <v>82</v>
      </c>
      <c r="V1771">
        <v>1937</v>
      </c>
      <c r="W1771">
        <v>117.24</v>
      </c>
      <c r="X1771">
        <v>7.5</v>
      </c>
      <c r="Y1771" s="2">
        <v>21427700000000</v>
      </c>
      <c r="Z1771">
        <v>88.2</v>
      </c>
      <c r="AA1771">
        <v>101.8</v>
      </c>
      <c r="AB1771">
        <v>9.6</v>
      </c>
      <c r="AC1771">
        <v>36.6</v>
      </c>
      <c r="AD1771">
        <v>328239523</v>
      </c>
    </row>
    <row r="1772" spans="1:30" hidden="1" x14ac:dyDescent="0.45">
      <c r="A1772">
        <v>1725</v>
      </c>
      <c r="B1772">
        <v>1700</v>
      </c>
      <c r="C1772" t="s">
        <v>45</v>
      </c>
      <c r="D1772" t="s">
        <v>5907</v>
      </c>
      <c r="E1772">
        <v>47</v>
      </c>
      <c r="F1772" t="s">
        <v>266</v>
      </c>
      <c r="G1772" t="s">
        <v>5908</v>
      </c>
      <c r="H1772" t="s">
        <v>783</v>
      </c>
      <c r="I1772" t="s">
        <v>45</v>
      </c>
      <c r="J1772" t="s">
        <v>266</v>
      </c>
      <c r="L1772" t="b">
        <v>1</v>
      </c>
      <c r="M1772" t="s">
        <v>39</v>
      </c>
      <c r="N1772" t="s">
        <v>8245</v>
      </c>
      <c r="O1772" s="1">
        <v>27720</v>
      </c>
      <c r="P1772" t="s">
        <v>5909</v>
      </c>
      <c r="Q1772" t="s">
        <v>5910</v>
      </c>
      <c r="S1772" s="1">
        <v>45020.209027777775</v>
      </c>
      <c r="V1772">
        <v>1975</v>
      </c>
      <c r="W1772">
        <v>105.48</v>
      </c>
      <c r="X1772">
        <v>0.5</v>
      </c>
      <c r="Y1772" s="2">
        <v>5081769542380</v>
      </c>
      <c r="Z1772">
        <v>63.2</v>
      </c>
      <c r="AA1772">
        <v>98.8</v>
      </c>
      <c r="AB1772">
        <v>11.9</v>
      </c>
      <c r="AC1772">
        <v>46.7</v>
      </c>
      <c r="AD1772">
        <v>126226568</v>
      </c>
    </row>
    <row r="1773" spans="1:30" hidden="1" x14ac:dyDescent="0.45">
      <c r="A1773">
        <v>1725</v>
      </c>
      <c r="B1773">
        <v>1700</v>
      </c>
      <c r="C1773" t="s">
        <v>23</v>
      </c>
      <c r="D1773" t="s">
        <v>5911</v>
      </c>
      <c r="E1773">
        <v>60</v>
      </c>
      <c r="F1773" t="s">
        <v>558</v>
      </c>
      <c r="G1773" t="s">
        <v>5912</v>
      </c>
      <c r="H1773" t="s">
        <v>594</v>
      </c>
      <c r="I1773" t="s">
        <v>23</v>
      </c>
      <c r="J1773" t="s">
        <v>558</v>
      </c>
      <c r="L1773" t="b">
        <v>1</v>
      </c>
      <c r="M1773" t="s">
        <v>29</v>
      </c>
      <c r="N1773" t="s">
        <v>8245</v>
      </c>
      <c r="O1773" s="1">
        <v>23048</v>
      </c>
      <c r="P1773" t="s">
        <v>5913</v>
      </c>
      <c r="Q1773" t="s">
        <v>5914</v>
      </c>
      <c r="S1773" s="1">
        <v>45020.209027777775</v>
      </c>
      <c r="V1773">
        <v>1963</v>
      </c>
      <c r="W1773">
        <v>167.4</v>
      </c>
      <c r="X1773">
        <v>3.7</v>
      </c>
      <c r="Y1773" s="2">
        <v>1839758040766</v>
      </c>
      <c r="Z1773">
        <v>51.3</v>
      </c>
      <c r="AA1773">
        <v>115.4</v>
      </c>
      <c r="AB1773">
        <v>14.2</v>
      </c>
      <c r="AC1773">
        <v>65.099999999999994</v>
      </c>
      <c r="AD1773">
        <v>212559417</v>
      </c>
    </row>
    <row r="1774" spans="1:30" hidden="1" x14ac:dyDescent="0.45">
      <c r="A1774">
        <v>1725</v>
      </c>
      <c r="B1774">
        <v>1700</v>
      </c>
      <c r="C1774" t="s">
        <v>296</v>
      </c>
      <c r="D1774" t="s">
        <v>5915</v>
      </c>
      <c r="E1774">
        <v>74</v>
      </c>
      <c r="F1774" t="s">
        <v>128</v>
      </c>
      <c r="G1774" t="s">
        <v>1733</v>
      </c>
      <c r="H1774" t="s">
        <v>399</v>
      </c>
      <c r="I1774" t="s">
        <v>296</v>
      </c>
      <c r="J1774" t="s">
        <v>128</v>
      </c>
      <c r="L1774" t="b">
        <v>1</v>
      </c>
      <c r="M1774" t="s">
        <v>29</v>
      </c>
      <c r="N1774" t="s">
        <v>8245</v>
      </c>
      <c r="O1774" s="1">
        <v>17854</v>
      </c>
      <c r="P1774" t="s">
        <v>5916</v>
      </c>
      <c r="Q1774" t="s">
        <v>5917</v>
      </c>
      <c r="S1774" s="1">
        <v>45020.209027777775</v>
      </c>
      <c r="V1774">
        <v>1948</v>
      </c>
      <c r="W1774">
        <v>125.08</v>
      </c>
      <c r="X1774">
        <v>2.9</v>
      </c>
      <c r="Y1774" s="2">
        <v>19910000000000</v>
      </c>
      <c r="Z1774">
        <v>50.6</v>
      </c>
      <c r="AA1774">
        <v>100.2</v>
      </c>
      <c r="AB1774">
        <v>9.4</v>
      </c>
      <c r="AC1774">
        <v>59.2</v>
      </c>
      <c r="AD1774">
        <v>1397715000</v>
      </c>
    </row>
    <row r="1775" spans="1:30" hidden="1" x14ac:dyDescent="0.45">
      <c r="A1775">
        <v>1725</v>
      </c>
      <c r="B1775">
        <v>1700</v>
      </c>
      <c r="C1775" t="s">
        <v>23</v>
      </c>
      <c r="D1775" t="s">
        <v>5918</v>
      </c>
      <c r="E1775">
        <v>73</v>
      </c>
      <c r="F1775" t="s">
        <v>117</v>
      </c>
      <c r="G1775" t="s">
        <v>2480</v>
      </c>
      <c r="H1775" t="s">
        <v>5919</v>
      </c>
      <c r="I1775" t="s">
        <v>23</v>
      </c>
      <c r="J1775" t="s">
        <v>117</v>
      </c>
      <c r="L1775" t="b">
        <v>1</v>
      </c>
      <c r="M1775" t="s">
        <v>611</v>
      </c>
      <c r="N1775" t="s">
        <v>8245</v>
      </c>
      <c r="O1775" s="1">
        <v>18075</v>
      </c>
      <c r="P1775" t="s">
        <v>5920</v>
      </c>
      <c r="Q1775" t="s">
        <v>3766</v>
      </c>
      <c r="S1775" s="1">
        <v>45020.209027777775</v>
      </c>
      <c r="V1775">
        <v>1949</v>
      </c>
      <c r="W1775">
        <v>110.96</v>
      </c>
      <c r="X1775">
        <v>0.7</v>
      </c>
      <c r="Y1775" s="2">
        <v>1394116310769</v>
      </c>
      <c r="Z1775">
        <v>88.9</v>
      </c>
      <c r="AA1775">
        <v>102.7</v>
      </c>
      <c r="AB1775">
        <v>14.2</v>
      </c>
      <c r="AC1775">
        <v>47</v>
      </c>
      <c r="AD1775">
        <v>47076781</v>
      </c>
    </row>
    <row r="1776" spans="1:30" hidden="1" x14ac:dyDescent="0.45">
      <c r="A1776">
        <v>1725</v>
      </c>
      <c r="B1776">
        <v>1700</v>
      </c>
      <c r="C1776" t="s">
        <v>296</v>
      </c>
      <c r="D1776" t="s">
        <v>5921</v>
      </c>
      <c r="E1776">
        <v>75</v>
      </c>
      <c r="F1776" t="s">
        <v>93</v>
      </c>
      <c r="G1776" t="s">
        <v>94</v>
      </c>
      <c r="H1776" t="s">
        <v>3967</v>
      </c>
      <c r="I1776" t="s">
        <v>296</v>
      </c>
      <c r="J1776" t="s">
        <v>93</v>
      </c>
      <c r="L1776" t="b">
        <v>0</v>
      </c>
      <c r="M1776" t="s">
        <v>39</v>
      </c>
      <c r="N1776" t="s">
        <v>8246</v>
      </c>
      <c r="O1776" s="1">
        <v>17533</v>
      </c>
      <c r="P1776" t="s">
        <v>3968</v>
      </c>
      <c r="Q1776" t="s">
        <v>5922</v>
      </c>
      <c r="S1776" s="1">
        <v>45020.209027777775</v>
      </c>
      <c r="V1776">
        <v>1948</v>
      </c>
      <c r="W1776">
        <v>180.44</v>
      </c>
      <c r="X1776">
        <v>7.7</v>
      </c>
      <c r="Y1776" s="2">
        <v>2611000000000</v>
      </c>
      <c r="Z1776">
        <v>28.1</v>
      </c>
      <c r="AA1776">
        <v>113</v>
      </c>
      <c r="AB1776">
        <v>11.2</v>
      </c>
      <c r="AC1776">
        <v>49.7</v>
      </c>
      <c r="AD1776">
        <v>1366417754</v>
      </c>
    </row>
    <row r="1777" spans="1:30" hidden="1" x14ac:dyDescent="0.45">
      <c r="A1777">
        <v>1725</v>
      </c>
      <c r="B1777">
        <v>1700</v>
      </c>
      <c r="C1777" t="s">
        <v>23</v>
      </c>
      <c r="D1777" t="s">
        <v>5923</v>
      </c>
      <c r="E1777">
        <v>56</v>
      </c>
      <c r="F1777" t="s">
        <v>5311</v>
      </c>
      <c r="G1777" t="s">
        <v>5924</v>
      </c>
      <c r="H1777" t="s">
        <v>196</v>
      </c>
      <c r="I1777" t="s">
        <v>23</v>
      </c>
      <c r="J1777" t="s">
        <v>5311</v>
      </c>
      <c r="L1777" t="b">
        <v>1</v>
      </c>
      <c r="M1777" t="s">
        <v>29</v>
      </c>
      <c r="N1777" t="s">
        <v>8245</v>
      </c>
      <c r="O1777" s="1">
        <v>24280</v>
      </c>
      <c r="P1777" t="s">
        <v>5925</v>
      </c>
      <c r="Q1777" t="s">
        <v>5926</v>
      </c>
      <c r="S1777" s="1">
        <v>45020.209027777775</v>
      </c>
      <c r="V1777">
        <v>1966</v>
      </c>
      <c r="W1777">
        <v>123.78</v>
      </c>
      <c r="X1777">
        <v>3.8</v>
      </c>
      <c r="Y1777" s="2">
        <v>250077444017</v>
      </c>
      <c r="Z1777">
        <v>49.4</v>
      </c>
      <c r="AA1777">
        <v>85.2</v>
      </c>
      <c r="AB1777">
        <v>14.6</v>
      </c>
      <c r="AC1777">
        <v>20</v>
      </c>
      <c r="AD1777">
        <v>19356544</v>
      </c>
    </row>
    <row r="1778" spans="1:30" hidden="1" x14ac:dyDescent="0.45">
      <c r="A1778">
        <v>1725</v>
      </c>
      <c r="B1778">
        <v>1700</v>
      </c>
      <c r="C1778" t="s">
        <v>302</v>
      </c>
      <c r="D1778" t="s">
        <v>5927</v>
      </c>
      <c r="E1778">
        <v>73</v>
      </c>
      <c r="F1778" t="s">
        <v>35</v>
      </c>
      <c r="G1778" t="s">
        <v>247</v>
      </c>
      <c r="H1778" t="s">
        <v>304</v>
      </c>
      <c r="I1778" t="s">
        <v>302</v>
      </c>
      <c r="J1778" t="s">
        <v>35</v>
      </c>
      <c r="L1778" t="b">
        <v>1</v>
      </c>
      <c r="M1778" t="s">
        <v>611</v>
      </c>
      <c r="N1778" t="s">
        <v>8245</v>
      </c>
      <c r="O1778" s="1">
        <v>18188</v>
      </c>
      <c r="P1778" t="s">
        <v>5088</v>
      </c>
      <c r="Q1778" t="s">
        <v>2836</v>
      </c>
      <c r="S1778" s="1">
        <v>45020.209027777775</v>
      </c>
      <c r="T1778" t="s">
        <v>253</v>
      </c>
      <c r="U1778" t="s">
        <v>44</v>
      </c>
      <c r="V1778">
        <v>1949</v>
      </c>
      <c r="W1778">
        <v>117.24</v>
      </c>
      <c r="X1778">
        <v>7.5</v>
      </c>
      <c r="Y1778" s="2">
        <v>21427700000000</v>
      </c>
      <c r="Z1778">
        <v>88.2</v>
      </c>
      <c r="AA1778">
        <v>101.8</v>
      </c>
      <c r="AB1778">
        <v>9.6</v>
      </c>
      <c r="AC1778">
        <v>36.6</v>
      </c>
      <c r="AD1778">
        <v>328239523</v>
      </c>
    </row>
    <row r="1779" spans="1:30" hidden="1" x14ac:dyDescent="0.45">
      <c r="A1779">
        <v>1725</v>
      </c>
      <c r="B1779">
        <v>1700</v>
      </c>
      <c r="C1779" t="s">
        <v>326</v>
      </c>
      <c r="D1779" t="s">
        <v>5928</v>
      </c>
      <c r="E1779">
        <v>59</v>
      </c>
      <c r="F1779" t="s">
        <v>363</v>
      </c>
      <c r="G1779" t="s">
        <v>381</v>
      </c>
      <c r="H1779" t="s">
        <v>5709</v>
      </c>
      <c r="I1779" t="s">
        <v>326</v>
      </c>
      <c r="J1779" t="s">
        <v>363</v>
      </c>
      <c r="L1779" t="b">
        <v>1</v>
      </c>
      <c r="M1779" t="s">
        <v>1332</v>
      </c>
      <c r="N1779" t="s">
        <v>8245</v>
      </c>
      <c r="O1779" s="1">
        <v>23458</v>
      </c>
      <c r="P1779" t="s">
        <v>5929</v>
      </c>
      <c r="Q1779" t="s">
        <v>1710</v>
      </c>
      <c r="S1779" s="1">
        <v>45020.209027777775</v>
      </c>
      <c r="V1779">
        <v>1964</v>
      </c>
      <c r="W1779">
        <v>180.75</v>
      </c>
      <c r="X1779">
        <v>4.5</v>
      </c>
      <c r="Y1779" s="2">
        <v>1699876578871</v>
      </c>
      <c r="Z1779">
        <v>81.900000000000006</v>
      </c>
      <c r="AA1779">
        <v>102.6</v>
      </c>
      <c r="AB1779">
        <v>11.4</v>
      </c>
      <c r="AC1779">
        <v>46.2</v>
      </c>
      <c r="AD1779">
        <v>144373535</v>
      </c>
    </row>
    <row r="1780" spans="1:30" hidden="1" x14ac:dyDescent="0.45">
      <c r="A1780">
        <v>1725</v>
      </c>
      <c r="B1780">
        <v>1700</v>
      </c>
      <c r="C1780" t="s">
        <v>402</v>
      </c>
      <c r="D1780" t="s">
        <v>5930</v>
      </c>
      <c r="E1780">
        <v>60</v>
      </c>
      <c r="F1780" t="s">
        <v>128</v>
      </c>
      <c r="G1780" t="s">
        <v>4471</v>
      </c>
      <c r="H1780" t="s">
        <v>5931</v>
      </c>
      <c r="I1780" t="s">
        <v>402</v>
      </c>
      <c r="J1780" t="s">
        <v>128</v>
      </c>
      <c r="L1780" t="b">
        <v>1</v>
      </c>
      <c r="M1780" t="s">
        <v>29</v>
      </c>
      <c r="N1780" t="s">
        <v>8245</v>
      </c>
      <c r="O1780" s="1">
        <v>23012</v>
      </c>
      <c r="P1780" t="s">
        <v>5481</v>
      </c>
      <c r="Q1780" t="s">
        <v>5932</v>
      </c>
      <c r="S1780" s="1">
        <v>45020.209027777775</v>
      </c>
      <c r="V1780">
        <v>1963</v>
      </c>
      <c r="W1780">
        <v>125.08</v>
      </c>
      <c r="X1780">
        <v>2.9</v>
      </c>
      <c r="Y1780" s="2">
        <v>19910000000000</v>
      </c>
      <c r="Z1780">
        <v>50.6</v>
      </c>
      <c r="AA1780">
        <v>100.2</v>
      </c>
      <c r="AB1780">
        <v>9.4</v>
      </c>
      <c r="AC1780">
        <v>59.2</v>
      </c>
      <c r="AD1780">
        <v>1397715000</v>
      </c>
    </row>
    <row r="1781" spans="1:30" x14ac:dyDescent="0.45">
      <c r="A1781">
        <v>1725</v>
      </c>
      <c r="B1781" s="6">
        <v>1700</v>
      </c>
      <c r="C1781" t="s">
        <v>76</v>
      </c>
      <c r="D1781" t="s">
        <v>5933</v>
      </c>
      <c r="E1781">
        <v>63</v>
      </c>
      <c r="F1781" t="s">
        <v>35</v>
      </c>
      <c r="G1781" t="s">
        <v>972</v>
      </c>
      <c r="H1781" t="s">
        <v>5934</v>
      </c>
      <c r="I1781" t="s">
        <v>76</v>
      </c>
      <c r="J1781" t="s">
        <v>35</v>
      </c>
      <c r="K1781" t="s">
        <v>5934</v>
      </c>
      <c r="L1781" t="b">
        <v>0</v>
      </c>
      <c r="M1781" t="s">
        <v>29</v>
      </c>
      <c r="N1781" t="s">
        <v>8245</v>
      </c>
      <c r="O1781" s="10">
        <v>21729</v>
      </c>
      <c r="P1781" t="s">
        <v>1171</v>
      </c>
      <c r="Q1781" t="s">
        <v>995</v>
      </c>
      <c r="R1781" t="s">
        <v>42</v>
      </c>
      <c r="S1781" s="8">
        <v>45020.209027777775</v>
      </c>
      <c r="T1781" t="s">
        <v>311</v>
      </c>
      <c r="U1781" t="s">
        <v>82</v>
      </c>
      <c r="V1781">
        <v>1959</v>
      </c>
      <c r="W1781" s="12">
        <v>117.24</v>
      </c>
      <c r="X1781">
        <v>7.5</v>
      </c>
      <c r="Y1781" s="14">
        <v>21427700000000</v>
      </c>
      <c r="Z1781">
        <v>88.2</v>
      </c>
      <c r="AA1781">
        <v>101.8</v>
      </c>
      <c r="AB1781">
        <v>9.6</v>
      </c>
      <c r="AC1781">
        <v>36.6</v>
      </c>
      <c r="AD1781">
        <v>328239523</v>
      </c>
    </row>
    <row r="1782" spans="1:30" hidden="1" x14ac:dyDescent="0.45">
      <c r="A1782">
        <v>1725</v>
      </c>
      <c r="B1782">
        <v>1700</v>
      </c>
      <c r="C1782" t="s">
        <v>126</v>
      </c>
      <c r="D1782" t="s">
        <v>5935</v>
      </c>
      <c r="E1782">
        <v>76</v>
      </c>
      <c r="F1782" t="s">
        <v>35</v>
      </c>
      <c r="G1782" t="s">
        <v>1130</v>
      </c>
      <c r="H1782" t="s">
        <v>5936</v>
      </c>
      <c r="I1782" t="s">
        <v>126</v>
      </c>
      <c r="J1782" t="s">
        <v>35</v>
      </c>
      <c r="L1782" t="b">
        <v>0</v>
      </c>
      <c r="M1782" t="s">
        <v>39</v>
      </c>
      <c r="N1782" t="s">
        <v>8245</v>
      </c>
      <c r="O1782" s="1">
        <v>17138</v>
      </c>
      <c r="P1782" t="s">
        <v>5937</v>
      </c>
      <c r="Q1782" t="s">
        <v>1313</v>
      </c>
      <c r="S1782" s="1">
        <v>45020.209027777775</v>
      </c>
      <c r="T1782" t="s">
        <v>1134</v>
      </c>
      <c r="U1782" t="s">
        <v>44</v>
      </c>
      <c r="V1782">
        <v>1946</v>
      </c>
      <c r="W1782">
        <v>117.24</v>
      </c>
      <c r="X1782">
        <v>7.5</v>
      </c>
      <c r="Y1782" s="2">
        <v>21427700000000</v>
      </c>
      <c r="Z1782">
        <v>88.2</v>
      </c>
      <c r="AA1782">
        <v>101.8</v>
      </c>
      <c r="AB1782">
        <v>9.6</v>
      </c>
      <c r="AC1782">
        <v>36.6</v>
      </c>
      <c r="AD1782">
        <v>328239523</v>
      </c>
    </row>
    <row r="1783" spans="1:30" hidden="1" x14ac:dyDescent="0.45">
      <c r="A1783">
        <v>1725</v>
      </c>
      <c r="B1783">
        <v>1700</v>
      </c>
      <c r="C1783" t="s">
        <v>296</v>
      </c>
      <c r="D1783" t="s">
        <v>5938</v>
      </c>
      <c r="E1783">
        <v>87</v>
      </c>
      <c r="F1783" t="s">
        <v>128</v>
      </c>
      <c r="G1783" t="s">
        <v>4441</v>
      </c>
      <c r="H1783" t="s">
        <v>399</v>
      </c>
      <c r="I1783" t="s">
        <v>296</v>
      </c>
      <c r="J1783" t="s">
        <v>128</v>
      </c>
      <c r="L1783" t="b">
        <v>1</v>
      </c>
      <c r="M1783" t="s">
        <v>39</v>
      </c>
      <c r="N1783" t="s">
        <v>8245</v>
      </c>
      <c r="O1783" s="1">
        <v>13119</v>
      </c>
      <c r="P1783" t="s">
        <v>1756</v>
      </c>
      <c r="Q1783" t="s">
        <v>5939</v>
      </c>
      <c r="S1783" s="1">
        <v>45020.209027777775</v>
      </c>
      <c r="V1783">
        <v>1935</v>
      </c>
      <c r="W1783">
        <v>125.08</v>
      </c>
      <c r="X1783">
        <v>2.9</v>
      </c>
      <c r="Y1783" s="2">
        <v>19910000000000</v>
      </c>
      <c r="Z1783">
        <v>50.6</v>
      </c>
      <c r="AA1783">
        <v>100.2</v>
      </c>
      <c r="AB1783">
        <v>9.4</v>
      </c>
      <c r="AC1783">
        <v>59.2</v>
      </c>
      <c r="AD1783">
        <v>1397715000</v>
      </c>
    </row>
    <row r="1784" spans="1:30" hidden="1" x14ac:dyDescent="0.45">
      <c r="A1784">
        <v>1725</v>
      </c>
      <c r="B1784">
        <v>1700</v>
      </c>
      <c r="C1784" t="s">
        <v>302</v>
      </c>
      <c r="D1784" t="s">
        <v>5940</v>
      </c>
      <c r="E1784">
        <v>67</v>
      </c>
      <c r="F1784" t="s">
        <v>35</v>
      </c>
      <c r="G1784" t="s">
        <v>355</v>
      </c>
      <c r="H1784" t="s">
        <v>5941</v>
      </c>
      <c r="I1784" t="s">
        <v>302</v>
      </c>
      <c r="J1784" t="s">
        <v>35</v>
      </c>
      <c r="L1784" t="b">
        <v>1</v>
      </c>
      <c r="M1784" t="s">
        <v>29</v>
      </c>
      <c r="N1784" t="s">
        <v>8245</v>
      </c>
      <c r="O1784" s="1">
        <v>20437</v>
      </c>
      <c r="P1784" t="s">
        <v>5942</v>
      </c>
      <c r="Q1784" t="s">
        <v>1977</v>
      </c>
      <c r="S1784" s="1">
        <v>45020.209027777775</v>
      </c>
      <c r="T1784" t="s">
        <v>253</v>
      </c>
      <c r="U1784" t="s">
        <v>44</v>
      </c>
      <c r="V1784">
        <v>1955</v>
      </c>
      <c r="W1784">
        <v>117.24</v>
      </c>
      <c r="X1784">
        <v>7.5</v>
      </c>
      <c r="Y1784" s="2">
        <v>21427700000000</v>
      </c>
      <c r="Z1784">
        <v>88.2</v>
      </c>
      <c r="AA1784">
        <v>101.8</v>
      </c>
      <c r="AB1784">
        <v>9.6</v>
      </c>
      <c r="AC1784">
        <v>36.6</v>
      </c>
      <c r="AD1784">
        <v>328239523</v>
      </c>
    </row>
    <row r="1785" spans="1:30" hidden="1" x14ac:dyDescent="0.45">
      <c r="A1785">
        <v>1725</v>
      </c>
      <c r="B1785">
        <v>1700</v>
      </c>
      <c r="C1785" t="s">
        <v>91</v>
      </c>
      <c r="D1785" t="s">
        <v>5943</v>
      </c>
      <c r="E1785">
        <v>64</v>
      </c>
      <c r="F1785" t="s">
        <v>363</v>
      </c>
      <c r="G1785" t="s">
        <v>5944</v>
      </c>
      <c r="H1785" t="s">
        <v>778</v>
      </c>
      <c r="I1785" t="s">
        <v>91</v>
      </c>
      <c r="J1785" t="s">
        <v>363</v>
      </c>
      <c r="L1785" t="b">
        <v>1</v>
      </c>
      <c r="M1785" t="s">
        <v>29</v>
      </c>
      <c r="N1785" t="s">
        <v>8245</v>
      </c>
      <c r="O1785" s="1">
        <v>21636</v>
      </c>
      <c r="P1785" t="s">
        <v>5945</v>
      </c>
      <c r="Q1785" t="s">
        <v>1036</v>
      </c>
      <c r="S1785" s="1">
        <v>45020.209027777775</v>
      </c>
      <c r="V1785">
        <v>1959</v>
      </c>
      <c r="W1785">
        <v>180.75</v>
      </c>
      <c r="X1785">
        <v>4.5</v>
      </c>
      <c r="Y1785" s="2">
        <v>1699876578871</v>
      </c>
      <c r="Z1785">
        <v>81.900000000000006</v>
      </c>
      <c r="AA1785">
        <v>102.6</v>
      </c>
      <c r="AB1785">
        <v>11.4</v>
      </c>
      <c r="AC1785">
        <v>46.2</v>
      </c>
      <c r="AD1785">
        <v>144373535</v>
      </c>
    </row>
    <row r="1786" spans="1:30" hidden="1" x14ac:dyDescent="0.45">
      <c r="A1786">
        <v>1725</v>
      </c>
      <c r="B1786">
        <v>1700</v>
      </c>
      <c r="C1786" t="s">
        <v>402</v>
      </c>
      <c r="D1786" t="s">
        <v>5946</v>
      </c>
      <c r="E1786">
        <v>58</v>
      </c>
      <c r="F1786" t="s">
        <v>266</v>
      </c>
      <c r="G1786" t="s">
        <v>267</v>
      </c>
      <c r="H1786" t="s">
        <v>402</v>
      </c>
      <c r="I1786" t="s">
        <v>402</v>
      </c>
      <c r="J1786" t="s">
        <v>266</v>
      </c>
      <c r="L1786" t="b">
        <v>1</v>
      </c>
      <c r="M1786" t="s">
        <v>29</v>
      </c>
      <c r="N1786" t="s">
        <v>8245</v>
      </c>
      <c r="O1786" s="1">
        <v>23659</v>
      </c>
      <c r="P1786" t="s">
        <v>5947</v>
      </c>
      <c r="Q1786" t="s">
        <v>5948</v>
      </c>
      <c r="S1786" s="1">
        <v>45020.209027777775</v>
      </c>
      <c r="V1786">
        <v>1964</v>
      </c>
      <c r="W1786">
        <v>105.48</v>
      </c>
      <c r="X1786">
        <v>0.5</v>
      </c>
      <c r="Y1786" s="2">
        <v>5081769542380</v>
      </c>
      <c r="Z1786">
        <v>63.2</v>
      </c>
      <c r="AA1786">
        <v>98.8</v>
      </c>
      <c r="AB1786">
        <v>11.9</v>
      </c>
      <c r="AC1786">
        <v>46.7</v>
      </c>
      <c r="AD1786">
        <v>126226568</v>
      </c>
    </row>
    <row r="1787" spans="1:30" hidden="1" x14ac:dyDescent="0.45">
      <c r="A1787">
        <v>1725</v>
      </c>
      <c r="B1787">
        <v>1700</v>
      </c>
      <c r="C1787" t="s">
        <v>296</v>
      </c>
      <c r="D1787" t="s">
        <v>5949</v>
      </c>
      <c r="E1787">
        <v>89</v>
      </c>
      <c r="F1787" t="s">
        <v>93</v>
      </c>
      <c r="G1787" t="s">
        <v>94</v>
      </c>
      <c r="H1787" t="s">
        <v>4143</v>
      </c>
      <c r="I1787" t="s">
        <v>296</v>
      </c>
      <c r="J1787" t="s">
        <v>93</v>
      </c>
      <c r="L1787" t="b">
        <v>1</v>
      </c>
      <c r="M1787" t="s">
        <v>39</v>
      </c>
      <c r="N1787" t="s">
        <v>8245</v>
      </c>
      <c r="O1787" s="1">
        <v>12347</v>
      </c>
      <c r="P1787" t="s">
        <v>5950</v>
      </c>
      <c r="Q1787" t="s">
        <v>5951</v>
      </c>
      <c r="S1787" s="1">
        <v>45020.209027777775</v>
      </c>
      <c r="V1787">
        <v>1933</v>
      </c>
      <c r="W1787">
        <v>180.44</v>
      </c>
      <c r="X1787">
        <v>7.7</v>
      </c>
      <c r="Y1787" s="2">
        <v>2611000000000</v>
      </c>
      <c r="Z1787">
        <v>28.1</v>
      </c>
      <c r="AA1787">
        <v>113</v>
      </c>
      <c r="AB1787">
        <v>11.2</v>
      </c>
      <c r="AC1787">
        <v>49.7</v>
      </c>
      <c r="AD1787">
        <v>1366417754</v>
      </c>
    </row>
    <row r="1788" spans="1:30" hidden="1" x14ac:dyDescent="0.45">
      <c r="A1788">
        <v>1725</v>
      </c>
      <c r="B1788">
        <v>1700</v>
      </c>
      <c r="C1788" t="s">
        <v>23</v>
      </c>
      <c r="D1788" t="s">
        <v>5952</v>
      </c>
      <c r="E1788">
        <v>53</v>
      </c>
      <c r="F1788" t="s">
        <v>128</v>
      </c>
      <c r="G1788" t="s">
        <v>719</v>
      </c>
      <c r="H1788" t="s">
        <v>3555</v>
      </c>
      <c r="I1788" t="s">
        <v>23</v>
      </c>
      <c r="J1788" t="s">
        <v>128</v>
      </c>
      <c r="L1788" t="b">
        <v>1</v>
      </c>
      <c r="M1788" t="s">
        <v>29</v>
      </c>
      <c r="N1788" t="s">
        <v>8245</v>
      </c>
      <c r="O1788" s="1">
        <v>25478</v>
      </c>
      <c r="P1788" t="s">
        <v>945</v>
      </c>
      <c r="Q1788" t="s">
        <v>5953</v>
      </c>
      <c r="S1788" s="1">
        <v>45020.209027777775</v>
      </c>
      <c r="V1788">
        <v>1969</v>
      </c>
      <c r="W1788">
        <v>125.08</v>
      </c>
      <c r="X1788">
        <v>2.9</v>
      </c>
      <c r="Y1788" s="2">
        <v>19910000000000</v>
      </c>
      <c r="Z1788">
        <v>50.6</v>
      </c>
      <c r="AA1788">
        <v>100.2</v>
      </c>
      <c r="AB1788">
        <v>9.4</v>
      </c>
      <c r="AC1788">
        <v>59.2</v>
      </c>
      <c r="AD1788">
        <v>1397715000</v>
      </c>
    </row>
    <row r="1789" spans="1:30" hidden="1" x14ac:dyDescent="0.45">
      <c r="A1789">
        <v>1725</v>
      </c>
      <c r="B1789">
        <v>1700</v>
      </c>
      <c r="C1789" t="s">
        <v>302</v>
      </c>
      <c r="D1789" t="s">
        <v>5954</v>
      </c>
      <c r="E1789">
        <v>75</v>
      </c>
      <c r="F1789" t="s">
        <v>25</v>
      </c>
      <c r="G1789" t="s">
        <v>26</v>
      </c>
      <c r="H1789" t="s">
        <v>5955</v>
      </c>
      <c r="I1789" t="s">
        <v>302</v>
      </c>
      <c r="J1789" t="s">
        <v>25</v>
      </c>
      <c r="L1789" t="b">
        <v>1</v>
      </c>
      <c r="M1789" t="s">
        <v>39</v>
      </c>
      <c r="N1789" t="s">
        <v>8245</v>
      </c>
      <c r="O1789" s="1">
        <v>17533</v>
      </c>
      <c r="P1789" t="s">
        <v>5956</v>
      </c>
      <c r="Q1789" t="s">
        <v>280</v>
      </c>
      <c r="S1789" s="1">
        <v>45020.209027777775</v>
      </c>
      <c r="V1789">
        <v>1948</v>
      </c>
      <c r="W1789">
        <v>110.05</v>
      </c>
      <c r="X1789">
        <v>1.1000000000000001</v>
      </c>
      <c r="Y1789" s="2">
        <v>2715518274227</v>
      </c>
      <c r="Z1789">
        <v>65.599999999999994</v>
      </c>
      <c r="AA1789">
        <v>102.5</v>
      </c>
      <c r="AB1789">
        <v>24.2</v>
      </c>
      <c r="AC1789">
        <v>60.7</v>
      </c>
      <c r="AD1789">
        <v>67059887</v>
      </c>
    </row>
    <row r="1790" spans="1:30" hidden="1" x14ac:dyDescent="0.45">
      <c r="A1790">
        <v>1725</v>
      </c>
      <c r="B1790">
        <v>1700</v>
      </c>
      <c r="C1790" t="s">
        <v>91</v>
      </c>
      <c r="D1790" t="s">
        <v>5957</v>
      </c>
      <c r="E1790">
        <v>69</v>
      </c>
      <c r="F1790" t="s">
        <v>35</v>
      </c>
      <c r="G1790" t="s">
        <v>78</v>
      </c>
      <c r="H1790" t="s">
        <v>5958</v>
      </c>
      <c r="I1790" t="s">
        <v>91</v>
      </c>
      <c r="J1790" t="s">
        <v>35</v>
      </c>
      <c r="L1790" t="b">
        <v>0</v>
      </c>
      <c r="M1790" t="s">
        <v>29</v>
      </c>
      <c r="N1790" t="s">
        <v>8245</v>
      </c>
      <c r="O1790" s="1">
        <v>19700</v>
      </c>
      <c r="P1790" t="s">
        <v>5959</v>
      </c>
      <c r="Q1790" t="s">
        <v>2240</v>
      </c>
      <c r="S1790" s="1">
        <v>45020.209027777775</v>
      </c>
      <c r="T1790" t="s">
        <v>78</v>
      </c>
      <c r="U1790" t="s">
        <v>82</v>
      </c>
      <c r="V1790">
        <v>1953</v>
      </c>
      <c r="W1790">
        <v>117.24</v>
      </c>
      <c r="X1790">
        <v>7.5</v>
      </c>
      <c r="Y1790" s="2">
        <v>21427700000000</v>
      </c>
      <c r="Z1790">
        <v>88.2</v>
      </c>
      <c r="AA1790">
        <v>101.8</v>
      </c>
      <c r="AB1790">
        <v>9.6</v>
      </c>
      <c r="AC1790">
        <v>36.6</v>
      </c>
      <c r="AD1790">
        <v>328239523</v>
      </c>
    </row>
    <row r="1791" spans="1:30" hidden="1" x14ac:dyDescent="0.45">
      <c r="A1791">
        <v>1725</v>
      </c>
      <c r="B1791">
        <v>1700</v>
      </c>
      <c r="C1791" t="s">
        <v>436</v>
      </c>
      <c r="D1791" t="s">
        <v>5960</v>
      </c>
      <c r="E1791">
        <v>63</v>
      </c>
      <c r="F1791" t="s">
        <v>35</v>
      </c>
      <c r="G1791" t="s">
        <v>816</v>
      </c>
      <c r="H1791" t="s">
        <v>5961</v>
      </c>
      <c r="I1791" t="s">
        <v>436</v>
      </c>
      <c r="J1791" t="s">
        <v>35</v>
      </c>
      <c r="L1791" t="b">
        <v>1</v>
      </c>
      <c r="M1791" t="s">
        <v>39</v>
      </c>
      <c r="N1791" t="s">
        <v>8245</v>
      </c>
      <c r="O1791" s="1">
        <v>21846</v>
      </c>
      <c r="P1791" t="s">
        <v>5962</v>
      </c>
      <c r="Q1791" t="s">
        <v>2811</v>
      </c>
      <c r="S1791" s="1">
        <v>45020.209027777775</v>
      </c>
      <c r="T1791" t="s">
        <v>820</v>
      </c>
      <c r="U1791" t="s">
        <v>53</v>
      </c>
      <c r="V1791">
        <v>1959</v>
      </c>
      <c r="W1791">
        <v>117.24</v>
      </c>
      <c r="X1791">
        <v>7.5</v>
      </c>
      <c r="Y1791" s="2">
        <v>21427700000000</v>
      </c>
      <c r="Z1791">
        <v>88.2</v>
      </c>
      <c r="AA1791">
        <v>101.8</v>
      </c>
      <c r="AB1791">
        <v>9.6</v>
      </c>
      <c r="AC1791">
        <v>36.6</v>
      </c>
      <c r="AD1791">
        <v>328239523</v>
      </c>
    </row>
    <row r="1792" spans="1:30" hidden="1" x14ac:dyDescent="0.45">
      <c r="A1792">
        <v>1725</v>
      </c>
      <c r="B1792">
        <v>1700</v>
      </c>
      <c r="C1792" t="s">
        <v>296</v>
      </c>
      <c r="D1792" t="s">
        <v>5963</v>
      </c>
      <c r="E1792">
        <v>82</v>
      </c>
      <c r="F1792" t="s">
        <v>1259</v>
      </c>
      <c r="G1792" t="s">
        <v>5964</v>
      </c>
      <c r="H1792" t="s">
        <v>5061</v>
      </c>
      <c r="I1792" t="s">
        <v>296</v>
      </c>
      <c r="J1792" t="s">
        <v>1259</v>
      </c>
      <c r="L1792" t="b">
        <v>1</v>
      </c>
      <c r="M1792" t="s">
        <v>39</v>
      </c>
      <c r="N1792" t="s">
        <v>8245</v>
      </c>
      <c r="O1792" s="1">
        <v>14977</v>
      </c>
      <c r="P1792" t="s">
        <v>439</v>
      </c>
      <c r="Q1792" t="s">
        <v>5965</v>
      </c>
      <c r="S1792" s="1">
        <v>45020.209027777775</v>
      </c>
      <c r="V1792">
        <v>1941</v>
      </c>
      <c r="W1792"/>
      <c r="Y1792"/>
    </row>
    <row r="1793" spans="1:30" hidden="1" x14ac:dyDescent="0.45">
      <c r="A1793">
        <v>1725</v>
      </c>
      <c r="B1793">
        <v>1700</v>
      </c>
      <c r="C1793" t="s">
        <v>45</v>
      </c>
      <c r="D1793" t="s">
        <v>5966</v>
      </c>
      <c r="E1793">
        <v>59</v>
      </c>
      <c r="F1793" t="s">
        <v>128</v>
      </c>
      <c r="G1793" t="s">
        <v>187</v>
      </c>
      <c r="H1793" t="s">
        <v>5238</v>
      </c>
      <c r="I1793" t="s">
        <v>45</v>
      </c>
      <c r="J1793" t="s">
        <v>128</v>
      </c>
      <c r="L1793" t="b">
        <v>1</v>
      </c>
      <c r="M1793" t="s">
        <v>39</v>
      </c>
      <c r="N1793" t="s">
        <v>8245</v>
      </c>
      <c r="O1793" s="1">
        <v>23316</v>
      </c>
      <c r="P1793" t="s">
        <v>439</v>
      </c>
      <c r="Q1793" t="s">
        <v>5967</v>
      </c>
      <c r="S1793" s="1">
        <v>45020.209027777775</v>
      </c>
      <c r="V1793">
        <v>1963</v>
      </c>
      <c r="W1793">
        <v>125.08</v>
      </c>
      <c r="X1793">
        <v>2.9</v>
      </c>
      <c r="Y1793" s="2">
        <v>19910000000000</v>
      </c>
      <c r="Z1793">
        <v>50.6</v>
      </c>
      <c r="AA1793">
        <v>100.2</v>
      </c>
      <c r="AB1793">
        <v>9.4</v>
      </c>
      <c r="AC1793">
        <v>59.2</v>
      </c>
      <c r="AD1793">
        <v>1397715000</v>
      </c>
    </row>
    <row r="1794" spans="1:30" hidden="1" x14ac:dyDescent="0.45">
      <c r="A1794">
        <v>1725</v>
      </c>
      <c r="B1794">
        <v>1700</v>
      </c>
      <c r="C1794" t="s">
        <v>702</v>
      </c>
      <c r="D1794" t="s">
        <v>5968</v>
      </c>
      <c r="E1794">
        <v>72</v>
      </c>
      <c r="F1794" t="s">
        <v>35</v>
      </c>
      <c r="G1794" t="s">
        <v>964</v>
      </c>
      <c r="H1794" t="s">
        <v>4865</v>
      </c>
      <c r="I1794" t="s">
        <v>702</v>
      </c>
      <c r="J1794" t="s">
        <v>35</v>
      </c>
      <c r="L1794" t="b">
        <v>1</v>
      </c>
      <c r="M1794" t="s">
        <v>29</v>
      </c>
      <c r="N1794" t="s">
        <v>8245</v>
      </c>
      <c r="O1794" s="1">
        <v>18365</v>
      </c>
      <c r="P1794" t="s">
        <v>5969</v>
      </c>
      <c r="Q1794" t="s">
        <v>1770</v>
      </c>
      <c r="S1794" s="1">
        <v>45020.209027777775</v>
      </c>
      <c r="T1794" t="s">
        <v>115</v>
      </c>
      <c r="U1794" t="s">
        <v>53</v>
      </c>
      <c r="V1794">
        <v>1950</v>
      </c>
      <c r="W1794">
        <v>117.24</v>
      </c>
      <c r="X1794">
        <v>7.5</v>
      </c>
      <c r="Y1794" s="2">
        <v>21427700000000</v>
      </c>
      <c r="Z1794">
        <v>88.2</v>
      </c>
      <c r="AA1794">
        <v>101.8</v>
      </c>
      <c r="AB1794">
        <v>9.6</v>
      </c>
      <c r="AC1794">
        <v>36.6</v>
      </c>
      <c r="AD1794">
        <v>328239523</v>
      </c>
    </row>
    <row r="1795" spans="1:30" hidden="1" x14ac:dyDescent="0.45">
      <c r="A1795">
        <v>1725</v>
      </c>
      <c r="B1795">
        <v>1700</v>
      </c>
      <c r="C1795" t="s">
        <v>302</v>
      </c>
      <c r="D1795" t="s">
        <v>5970</v>
      </c>
      <c r="E1795">
        <v>76</v>
      </c>
      <c r="F1795" t="s">
        <v>35</v>
      </c>
      <c r="G1795" t="s">
        <v>704</v>
      </c>
      <c r="H1795" t="s">
        <v>5971</v>
      </c>
      <c r="I1795" t="s">
        <v>302</v>
      </c>
      <c r="J1795" t="s">
        <v>35</v>
      </c>
      <c r="L1795" t="b">
        <v>1</v>
      </c>
      <c r="M1795" t="s">
        <v>611</v>
      </c>
      <c r="N1795" t="s">
        <v>8245</v>
      </c>
      <c r="O1795" s="1">
        <v>17057</v>
      </c>
      <c r="P1795" t="s">
        <v>5972</v>
      </c>
      <c r="Q1795" t="s">
        <v>320</v>
      </c>
      <c r="S1795" s="1">
        <v>45020.209027777775</v>
      </c>
      <c r="T1795" t="s">
        <v>43</v>
      </c>
      <c r="U1795" t="s">
        <v>44</v>
      </c>
      <c r="V1795">
        <v>1946</v>
      </c>
      <c r="W1795">
        <v>117.24</v>
      </c>
      <c r="X1795">
        <v>7.5</v>
      </c>
      <c r="Y1795" s="2">
        <v>21427700000000</v>
      </c>
      <c r="Z1795">
        <v>88.2</v>
      </c>
      <c r="AA1795">
        <v>101.8</v>
      </c>
      <c r="AB1795">
        <v>9.6</v>
      </c>
      <c r="AC1795">
        <v>36.6</v>
      </c>
      <c r="AD1795">
        <v>328239523</v>
      </c>
    </row>
    <row r="1796" spans="1:30" hidden="1" x14ac:dyDescent="0.45">
      <c r="A1796">
        <v>1725</v>
      </c>
      <c r="B1796">
        <v>1700</v>
      </c>
      <c r="C1796" t="s">
        <v>347</v>
      </c>
      <c r="D1796" t="s">
        <v>5973</v>
      </c>
      <c r="E1796">
        <v>80</v>
      </c>
      <c r="F1796" t="s">
        <v>272</v>
      </c>
      <c r="G1796" t="s">
        <v>5974</v>
      </c>
      <c r="H1796" t="s">
        <v>5975</v>
      </c>
      <c r="I1796" t="s">
        <v>347</v>
      </c>
      <c r="J1796" t="s">
        <v>272</v>
      </c>
      <c r="L1796" t="b">
        <v>0</v>
      </c>
      <c r="M1796" t="s">
        <v>611</v>
      </c>
      <c r="N1796" t="s">
        <v>8245</v>
      </c>
      <c r="O1796" s="1">
        <v>15543</v>
      </c>
      <c r="P1796" t="s">
        <v>5976</v>
      </c>
      <c r="Q1796" t="s">
        <v>2554</v>
      </c>
      <c r="S1796" s="1">
        <v>45020.209027777775</v>
      </c>
      <c r="V1796">
        <v>1942</v>
      </c>
      <c r="W1796">
        <v>119.62</v>
      </c>
      <c r="X1796">
        <v>1.7</v>
      </c>
      <c r="Y1796" s="2">
        <v>2827113184696</v>
      </c>
      <c r="Z1796">
        <v>60</v>
      </c>
      <c r="AA1796">
        <v>101.2</v>
      </c>
      <c r="AB1796">
        <v>25.5</v>
      </c>
      <c r="AC1796">
        <v>30.6</v>
      </c>
      <c r="AD1796">
        <v>66834405</v>
      </c>
    </row>
    <row r="1797" spans="1:30" hidden="1" x14ac:dyDescent="0.45">
      <c r="A1797">
        <v>1725</v>
      </c>
      <c r="B1797">
        <v>1700</v>
      </c>
      <c r="C1797" t="s">
        <v>296</v>
      </c>
      <c r="D1797" t="s">
        <v>5977</v>
      </c>
      <c r="E1797">
        <v>49</v>
      </c>
      <c r="F1797" t="s">
        <v>128</v>
      </c>
      <c r="G1797" t="s">
        <v>234</v>
      </c>
      <c r="H1797" t="s">
        <v>1049</v>
      </c>
      <c r="I1797" t="s">
        <v>296</v>
      </c>
      <c r="J1797" t="s">
        <v>128</v>
      </c>
      <c r="L1797" t="b">
        <v>1</v>
      </c>
      <c r="M1797" t="s">
        <v>39</v>
      </c>
      <c r="N1797" t="s">
        <v>8246</v>
      </c>
      <c r="O1797" s="1">
        <v>27030</v>
      </c>
      <c r="P1797" t="s">
        <v>894</v>
      </c>
      <c r="Q1797" t="s">
        <v>5978</v>
      </c>
      <c r="S1797" s="1">
        <v>45020.209027777775</v>
      </c>
      <c r="V1797">
        <v>1974</v>
      </c>
      <c r="W1797">
        <v>125.08</v>
      </c>
      <c r="X1797">
        <v>2.9</v>
      </c>
      <c r="Y1797" s="2">
        <v>19910000000000</v>
      </c>
      <c r="Z1797">
        <v>50.6</v>
      </c>
      <c r="AA1797">
        <v>100.2</v>
      </c>
      <c r="AB1797">
        <v>9.4</v>
      </c>
      <c r="AC1797">
        <v>59.2</v>
      </c>
      <c r="AD1797">
        <v>1397715000</v>
      </c>
    </row>
    <row r="1798" spans="1:30" hidden="1" x14ac:dyDescent="0.45">
      <c r="A1798">
        <v>1725</v>
      </c>
      <c r="B1798">
        <v>1700</v>
      </c>
      <c r="C1798" t="s">
        <v>126</v>
      </c>
      <c r="D1798" t="s">
        <v>5979</v>
      </c>
      <c r="E1798">
        <v>49</v>
      </c>
      <c r="F1798" t="s">
        <v>128</v>
      </c>
      <c r="G1798" t="s">
        <v>234</v>
      </c>
      <c r="H1798" t="s">
        <v>5980</v>
      </c>
      <c r="I1798" t="s">
        <v>126</v>
      </c>
      <c r="J1798" t="s">
        <v>128</v>
      </c>
      <c r="L1798" t="b">
        <v>1</v>
      </c>
      <c r="M1798" t="s">
        <v>29</v>
      </c>
      <c r="N1798" t="s">
        <v>8245</v>
      </c>
      <c r="O1798" s="1">
        <v>27030</v>
      </c>
      <c r="P1798" t="s">
        <v>646</v>
      </c>
      <c r="Q1798" t="s">
        <v>5981</v>
      </c>
      <c r="S1798" s="1">
        <v>45020.209027777775</v>
      </c>
      <c r="V1798">
        <v>1974</v>
      </c>
      <c r="W1798">
        <v>125.08</v>
      </c>
      <c r="X1798">
        <v>2.9</v>
      </c>
      <c r="Y1798" s="2">
        <v>19910000000000</v>
      </c>
      <c r="Z1798">
        <v>50.6</v>
      </c>
      <c r="AA1798">
        <v>100.2</v>
      </c>
      <c r="AB1798">
        <v>9.4</v>
      </c>
      <c r="AC1798">
        <v>59.2</v>
      </c>
      <c r="AD1798">
        <v>1397715000</v>
      </c>
    </row>
    <row r="1799" spans="1:30" hidden="1" x14ac:dyDescent="0.45">
      <c r="A1799">
        <v>1725</v>
      </c>
      <c r="B1799">
        <v>1700</v>
      </c>
      <c r="C1799" t="s">
        <v>296</v>
      </c>
      <c r="D1799" t="s">
        <v>5982</v>
      </c>
      <c r="E1799">
        <v>58</v>
      </c>
      <c r="F1799" t="s">
        <v>128</v>
      </c>
      <c r="G1799" t="s">
        <v>187</v>
      </c>
      <c r="H1799" t="s">
        <v>5983</v>
      </c>
      <c r="I1799" t="s">
        <v>296</v>
      </c>
      <c r="J1799" t="s">
        <v>128</v>
      </c>
      <c r="L1799" t="b">
        <v>1</v>
      </c>
      <c r="M1799" t="s">
        <v>39</v>
      </c>
      <c r="N1799" t="s">
        <v>8245</v>
      </c>
      <c r="O1799" s="1">
        <v>23774</v>
      </c>
      <c r="P1799" t="s">
        <v>1179</v>
      </c>
      <c r="Q1799" t="s">
        <v>5984</v>
      </c>
      <c r="S1799" s="1">
        <v>45020.209027777775</v>
      </c>
      <c r="V1799">
        <v>1965</v>
      </c>
      <c r="W1799">
        <v>125.08</v>
      </c>
      <c r="X1799">
        <v>2.9</v>
      </c>
      <c r="Y1799" s="2">
        <v>19910000000000</v>
      </c>
      <c r="Z1799">
        <v>50.6</v>
      </c>
      <c r="AA1799">
        <v>100.2</v>
      </c>
      <c r="AB1799">
        <v>9.4</v>
      </c>
      <c r="AC1799">
        <v>59.2</v>
      </c>
      <c r="AD1799">
        <v>1397715000</v>
      </c>
    </row>
    <row r="1800" spans="1:30" hidden="1" x14ac:dyDescent="0.45">
      <c r="A1800">
        <v>1725</v>
      </c>
      <c r="B1800">
        <v>1700</v>
      </c>
      <c r="C1800" t="s">
        <v>83</v>
      </c>
      <c r="D1800" t="s">
        <v>5985</v>
      </c>
      <c r="E1800">
        <v>74</v>
      </c>
      <c r="F1800" t="s">
        <v>363</v>
      </c>
      <c r="G1800" t="s">
        <v>381</v>
      </c>
      <c r="H1800" t="s">
        <v>5986</v>
      </c>
      <c r="I1800" t="s">
        <v>83</v>
      </c>
      <c r="J1800" t="s">
        <v>363</v>
      </c>
      <c r="L1800" t="b">
        <v>1</v>
      </c>
      <c r="M1800" t="s">
        <v>611</v>
      </c>
      <c r="N1800" t="s">
        <v>8245</v>
      </c>
      <c r="O1800" s="1">
        <v>17801</v>
      </c>
      <c r="P1800" t="s">
        <v>5987</v>
      </c>
      <c r="Q1800" t="s">
        <v>384</v>
      </c>
      <c r="S1800" s="1">
        <v>45020.209027777775</v>
      </c>
      <c r="V1800">
        <v>1948</v>
      </c>
      <c r="W1800">
        <v>180.75</v>
      </c>
      <c r="X1800">
        <v>4.5</v>
      </c>
      <c r="Y1800" s="2">
        <v>1699876578871</v>
      </c>
      <c r="Z1800">
        <v>81.900000000000006</v>
      </c>
      <c r="AA1800">
        <v>102.6</v>
      </c>
      <c r="AB1800">
        <v>11.4</v>
      </c>
      <c r="AC1800">
        <v>46.2</v>
      </c>
      <c r="AD1800">
        <v>144373535</v>
      </c>
    </row>
    <row r="1801" spans="1:30" x14ac:dyDescent="0.45">
      <c r="A1801">
        <v>1725</v>
      </c>
      <c r="B1801" s="6">
        <v>1700</v>
      </c>
      <c r="C1801" t="s">
        <v>45</v>
      </c>
      <c r="D1801" t="s">
        <v>5988</v>
      </c>
      <c r="E1801">
        <v>49</v>
      </c>
      <c r="F1801" t="s">
        <v>35</v>
      </c>
      <c r="G1801" t="s">
        <v>1130</v>
      </c>
      <c r="H1801" t="s">
        <v>5989</v>
      </c>
      <c r="I1801" t="s">
        <v>45</v>
      </c>
      <c r="J1801" t="s">
        <v>35</v>
      </c>
      <c r="K1801" t="s">
        <v>5990</v>
      </c>
      <c r="L1801" t="b">
        <v>1</v>
      </c>
      <c r="M1801" t="s">
        <v>39</v>
      </c>
      <c r="N1801" t="s">
        <v>8245</v>
      </c>
      <c r="O1801" s="10">
        <v>27062</v>
      </c>
      <c r="P1801" t="s">
        <v>5991</v>
      </c>
      <c r="Q1801" t="s">
        <v>169</v>
      </c>
      <c r="R1801" t="s">
        <v>42</v>
      </c>
      <c r="S1801" s="8">
        <v>45020.209027777775</v>
      </c>
      <c r="T1801" t="s">
        <v>1134</v>
      </c>
      <c r="U1801" t="s">
        <v>44</v>
      </c>
      <c r="V1801">
        <v>1974</v>
      </c>
      <c r="W1801" s="12">
        <v>117.24</v>
      </c>
      <c r="X1801">
        <v>7.5</v>
      </c>
      <c r="Y1801" s="14">
        <v>21427700000000</v>
      </c>
      <c r="Z1801">
        <v>88.2</v>
      </c>
      <c r="AA1801">
        <v>101.8</v>
      </c>
      <c r="AB1801">
        <v>9.6</v>
      </c>
      <c r="AC1801">
        <v>36.6</v>
      </c>
      <c r="AD1801">
        <v>328239523</v>
      </c>
    </row>
    <row r="1802" spans="1:30" hidden="1" x14ac:dyDescent="0.45">
      <c r="A1802">
        <v>1725</v>
      </c>
      <c r="B1802">
        <v>1700</v>
      </c>
      <c r="C1802" t="s">
        <v>203</v>
      </c>
      <c r="D1802" t="s">
        <v>5992</v>
      </c>
      <c r="E1802">
        <v>53</v>
      </c>
      <c r="F1802" t="s">
        <v>128</v>
      </c>
      <c r="G1802" t="s">
        <v>292</v>
      </c>
      <c r="H1802" t="s">
        <v>203</v>
      </c>
      <c r="I1802" t="s">
        <v>203</v>
      </c>
      <c r="J1802" t="s">
        <v>128</v>
      </c>
      <c r="L1802" t="b">
        <v>1</v>
      </c>
      <c r="M1802" t="s">
        <v>39</v>
      </c>
      <c r="N1802" t="s">
        <v>8246</v>
      </c>
      <c r="O1802" s="1">
        <v>25477</v>
      </c>
      <c r="P1802" t="s">
        <v>190</v>
      </c>
      <c r="Q1802" t="s">
        <v>5993</v>
      </c>
      <c r="S1802" s="1">
        <v>45020.209027777775</v>
      </c>
      <c r="V1802">
        <v>1969</v>
      </c>
      <c r="W1802">
        <v>125.08</v>
      </c>
      <c r="X1802">
        <v>2.9</v>
      </c>
      <c r="Y1802" s="2">
        <v>19910000000000</v>
      </c>
      <c r="Z1802">
        <v>50.6</v>
      </c>
      <c r="AA1802">
        <v>100.2</v>
      </c>
      <c r="AB1802">
        <v>9.4</v>
      </c>
      <c r="AC1802">
        <v>59.2</v>
      </c>
      <c r="AD1802">
        <v>1397715000</v>
      </c>
    </row>
    <row r="1803" spans="1:30" hidden="1" x14ac:dyDescent="0.45">
      <c r="A1803">
        <v>1725</v>
      </c>
      <c r="B1803">
        <v>1700</v>
      </c>
      <c r="C1803" t="s">
        <v>296</v>
      </c>
      <c r="D1803" t="s">
        <v>5994</v>
      </c>
      <c r="E1803">
        <v>59</v>
      </c>
      <c r="F1803" t="s">
        <v>128</v>
      </c>
      <c r="G1803" t="s">
        <v>292</v>
      </c>
      <c r="H1803" t="s">
        <v>296</v>
      </c>
      <c r="I1803" t="s">
        <v>296</v>
      </c>
      <c r="J1803" t="s">
        <v>128</v>
      </c>
      <c r="L1803" t="b">
        <v>1</v>
      </c>
      <c r="M1803" t="s">
        <v>39</v>
      </c>
      <c r="N1803" t="s">
        <v>8245</v>
      </c>
      <c r="O1803" s="1">
        <v>23437</v>
      </c>
      <c r="P1803" t="s">
        <v>1147</v>
      </c>
      <c r="Q1803" t="s">
        <v>3828</v>
      </c>
      <c r="S1803" s="1">
        <v>45020.209027777775</v>
      </c>
      <c r="V1803">
        <v>1964</v>
      </c>
      <c r="W1803">
        <v>125.08</v>
      </c>
      <c r="X1803">
        <v>2.9</v>
      </c>
      <c r="Y1803" s="2">
        <v>19910000000000</v>
      </c>
      <c r="Z1803">
        <v>50.6</v>
      </c>
      <c r="AA1803">
        <v>100.2</v>
      </c>
      <c r="AB1803">
        <v>9.4</v>
      </c>
      <c r="AC1803">
        <v>59.2</v>
      </c>
      <c r="AD1803">
        <v>1397715000</v>
      </c>
    </row>
    <row r="1804" spans="1:30" hidden="1" x14ac:dyDescent="0.45">
      <c r="A1804">
        <v>1725</v>
      </c>
      <c r="B1804">
        <v>1700</v>
      </c>
      <c r="C1804" t="s">
        <v>296</v>
      </c>
      <c r="D1804" t="s">
        <v>5995</v>
      </c>
      <c r="E1804">
        <v>60</v>
      </c>
      <c r="F1804" t="s">
        <v>128</v>
      </c>
      <c r="G1804" t="s">
        <v>5996</v>
      </c>
      <c r="H1804" t="s">
        <v>1400</v>
      </c>
      <c r="I1804" t="s">
        <v>296</v>
      </c>
      <c r="J1804" t="s">
        <v>128</v>
      </c>
      <c r="L1804" t="b">
        <v>1</v>
      </c>
      <c r="M1804" t="s">
        <v>39</v>
      </c>
      <c r="N1804" t="s">
        <v>8246</v>
      </c>
      <c r="O1804" s="1">
        <v>22949</v>
      </c>
      <c r="P1804" t="s">
        <v>131</v>
      </c>
      <c r="Q1804" t="s">
        <v>5997</v>
      </c>
      <c r="S1804" s="1">
        <v>45020.209027777775</v>
      </c>
      <c r="V1804">
        <v>1962</v>
      </c>
      <c r="W1804">
        <v>125.08</v>
      </c>
      <c r="X1804">
        <v>2.9</v>
      </c>
      <c r="Y1804" s="2">
        <v>19910000000000</v>
      </c>
      <c r="Z1804">
        <v>50.6</v>
      </c>
      <c r="AA1804">
        <v>100.2</v>
      </c>
      <c r="AB1804">
        <v>9.4</v>
      </c>
      <c r="AC1804">
        <v>59.2</v>
      </c>
      <c r="AD1804">
        <v>1397715000</v>
      </c>
    </row>
    <row r="1805" spans="1:30" hidden="1" x14ac:dyDescent="0.45">
      <c r="A1805">
        <v>1804</v>
      </c>
      <c r="B1805">
        <v>1600</v>
      </c>
      <c r="C1805" t="s">
        <v>402</v>
      </c>
      <c r="D1805" t="s">
        <v>5998</v>
      </c>
      <c r="E1805">
        <v>60</v>
      </c>
      <c r="F1805" t="s">
        <v>35</v>
      </c>
      <c r="G1805" t="s">
        <v>1439</v>
      </c>
      <c r="H1805" t="s">
        <v>1919</v>
      </c>
      <c r="I1805" t="s">
        <v>402</v>
      </c>
      <c r="J1805" t="s">
        <v>35</v>
      </c>
      <c r="L1805" t="b">
        <v>1</v>
      </c>
      <c r="M1805" t="s">
        <v>39</v>
      </c>
      <c r="N1805" t="s">
        <v>8245</v>
      </c>
      <c r="O1805" s="1">
        <v>22852</v>
      </c>
      <c r="P1805" t="s">
        <v>5999</v>
      </c>
      <c r="Q1805" t="s">
        <v>6000</v>
      </c>
      <c r="S1805" s="1">
        <v>45020.209027777775</v>
      </c>
      <c r="T1805" t="s">
        <v>427</v>
      </c>
      <c r="U1805" t="s">
        <v>82</v>
      </c>
      <c r="V1805">
        <v>1962</v>
      </c>
      <c r="W1805">
        <v>117.24</v>
      </c>
      <c r="X1805">
        <v>7.5</v>
      </c>
      <c r="Y1805" s="2">
        <v>21427700000000</v>
      </c>
      <c r="Z1805">
        <v>88.2</v>
      </c>
      <c r="AA1805">
        <v>101.8</v>
      </c>
      <c r="AB1805">
        <v>9.6</v>
      </c>
      <c r="AC1805">
        <v>36.6</v>
      </c>
      <c r="AD1805">
        <v>328239523</v>
      </c>
    </row>
    <row r="1806" spans="1:30" hidden="1" x14ac:dyDescent="0.45">
      <c r="A1806">
        <v>1804</v>
      </c>
      <c r="B1806">
        <v>1600</v>
      </c>
      <c r="C1806" t="s">
        <v>689</v>
      </c>
      <c r="D1806" t="s">
        <v>6001</v>
      </c>
      <c r="E1806">
        <v>71</v>
      </c>
      <c r="F1806" t="s">
        <v>762</v>
      </c>
      <c r="G1806" t="s">
        <v>889</v>
      </c>
      <c r="H1806" t="s">
        <v>6002</v>
      </c>
      <c r="I1806" t="s">
        <v>689</v>
      </c>
      <c r="J1806" t="s">
        <v>762</v>
      </c>
      <c r="L1806" t="b">
        <v>1</v>
      </c>
      <c r="M1806" t="s">
        <v>29</v>
      </c>
      <c r="N1806" t="s">
        <v>8245</v>
      </c>
      <c r="O1806" s="1">
        <v>18974</v>
      </c>
      <c r="P1806" t="s">
        <v>6003</v>
      </c>
      <c r="Q1806" t="s">
        <v>6004</v>
      </c>
      <c r="S1806" s="1">
        <v>45020.209027777775</v>
      </c>
      <c r="V1806">
        <v>1951</v>
      </c>
      <c r="W1806">
        <v>121.46</v>
      </c>
      <c r="X1806">
        <v>0.7</v>
      </c>
      <c r="Y1806" s="2">
        <v>364701517788</v>
      </c>
      <c r="Z1806">
        <v>45.1</v>
      </c>
      <c r="AA1806">
        <v>105.3</v>
      </c>
      <c r="AB1806">
        <v>12</v>
      </c>
      <c r="AC1806">
        <v>38.700000000000003</v>
      </c>
      <c r="AD1806">
        <v>32447385</v>
      </c>
    </row>
    <row r="1807" spans="1:30" hidden="1" x14ac:dyDescent="0.45">
      <c r="A1807">
        <v>1804</v>
      </c>
      <c r="B1807">
        <v>1600</v>
      </c>
      <c r="C1807" t="s">
        <v>61</v>
      </c>
      <c r="D1807" t="s">
        <v>6005</v>
      </c>
      <c r="E1807">
        <v>83</v>
      </c>
      <c r="F1807" t="s">
        <v>35</v>
      </c>
      <c r="G1807" t="s">
        <v>78</v>
      </c>
      <c r="H1807" t="s">
        <v>3491</v>
      </c>
      <c r="I1807" t="s">
        <v>61</v>
      </c>
      <c r="J1807" t="s">
        <v>35</v>
      </c>
      <c r="L1807" t="b">
        <v>0</v>
      </c>
      <c r="M1807" t="s">
        <v>611</v>
      </c>
      <c r="N1807" t="s">
        <v>8245</v>
      </c>
      <c r="O1807" s="1">
        <v>14675</v>
      </c>
      <c r="P1807" t="s">
        <v>6006</v>
      </c>
      <c r="Q1807" t="s">
        <v>2581</v>
      </c>
      <c r="S1807" s="1">
        <v>45020.209027777775</v>
      </c>
      <c r="T1807" t="s">
        <v>78</v>
      </c>
      <c r="U1807" t="s">
        <v>82</v>
      </c>
      <c r="V1807">
        <v>1940</v>
      </c>
      <c r="W1807">
        <v>117.24</v>
      </c>
      <c r="X1807">
        <v>7.5</v>
      </c>
      <c r="Y1807" s="2">
        <v>21427700000000</v>
      </c>
      <c r="Z1807">
        <v>88.2</v>
      </c>
      <c r="AA1807">
        <v>101.8</v>
      </c>
      <c r="AB1807">
        <v>9.6</v>
      </c>
      <c r="AC1807">
        <v>36.6</v>
      </c>
      <c r="AD1807">
        <v>328239523</v>
      </c>
    </row>
    <row r="1808" spans="1:30" hidden="1" x14ac:dyDescent="0.45">
      <c r="A1808">
        <v>1804</v>
      </c>
      <c r="B1808">
        <v>1600</v>
      </c>
      <c r="C1808" t="s">
        <v>326</v>
      </c>
      <c r="D1808" t="s">
        <v>6007</v>
      </c>
      <c r="E1808">
        <v>71</v>
      </c>
      <c r="F1808" t="s">
        <v>205</v>
      </c>
      <c r="H1808" t="s">
        <v>304</v>
      </c>
      <c r="I1808" t="s">
        <v>326</v>
      </c>
      <c r="J1808" t="s">
        <v>363</v>
      </c>
      <c r="L1808" t="b">
        <v>1</v>
      </c>
      <c r="M1808" t="s">
        <v>611</v>
      </c>
      <c r="N1808" t="s">
        <v>8245</v>
      </c>
      <c r="O1808" s="1">
        <v>18890</v>
      </c>
      <c r="P1808" t="s">
        <v>6008</v>
      </c>
      <c r="Q1808" t="s">
        <v>6009</v>
      </c>
      <c r="S1808" s="1">
        <v>45020.209027777775</v>
      </c>
      <c r="V1808">
        <v>1951</v>
      </c>
      <c r="W1808">
        <v>99.55</v>
      </c>
      <c r="X1808">
        <v>0.4</v>
      </c>
      <c r="Y1808" s="2">
        <v>703082435360</v>
      </c>
      <c r="Z1808">
        <v>59.6</v>
      </c>
      <c r="AA1808">
        <v>105.2</v>
      </c>
      <c r="AB1808">
        <v>10.1</v>
      </c>
      <c r="AC1808">
        <v>28.8</v>
      </c>
      <c r="AD1808">
        <v>8574832</v>
      </c>
    </row>
    <row r="1809" spans="1:30" hidden="1" x14ac:dyDescent="0.45">
      <c r="A1809">
        <v>1804</v>
      </c>
      <c r="B1809">
        <v>1600</v>
      </c>
      <c r="C1809" t="s">
        <v>61</v>
      </c>
      <c r="D1809" t="s">
        <v>6010</v>
      </c>
      <c r="E1809">
        <v>56</v>
      </c>
      <c r="F1809" t="s">
        <v>35</v>
      </c>
      <c r="G1809" t="s">
        <v>474</v>
      </c>
      <c r="H1809" t="s">
        <v>1580</v>
      </c>
      <c r="I1809" t="s">
        <v>61</v>
      </c>
      <c r="J1809" t="s">
        <v>35</v>
      </c>
      <c r="K1809" t="s">
        <v>6011</v>
      </c>
      <c r="L1809" t="b">
        <v>1</v>
      </c>
      <c r="M1809" t="s">
        <v>611</v>
      </c>
      <c r="N1809" t="s">
        <v>8245</v>
      </c>
      <c r="O1809" s="1">
        <v>24397</v>
      </c>
      <c r="P1809" t="s">
        <v>6012</v>
      </c>
      <c r="Q1809" t="s">
        <v>6013</v>
      </c>
      <c r="S1809" s="1">
        <v>45020.209027777775</v>
      </c>
      <c r="T1809" t="s">
        <v>479</v>
      </c>
      <c r="U1809" t="s">
        <v>82</v>
      </c>
      <c r="V1809">
        <v>1966</v>
      </c>
      <c r="W1809">
        <v>117.24</v>
      </c>
      <c r="X1809">
        <v>7.5</v>
      </c>
      <c r="Y1809" s="2">
        <v>21427700000000</v>
      </c>
      <c r="Z1809">
        <v>88.2</v>
      </c>
      <c r="AA1809">
        <v>101.8</v>
      </c>
      <c r="AB1809">
        <v>9.6</v>
      </c>
      <c r="AC1809">
        <v>36.6</v>
      </c>
      <c r="AD1809">
        <v>328239523</v>
      </c>
    </row>
    <row r="1810" spans="1:30" x14ac:dyDescent="0.45">
      <c r="A1810">
        <v>1804</v>
      </c>
      <c r="B1810" s="6">
        <v>1600</v>
      </c>
      <c r="C1810" t="s">
        <v>61</v>
      </c>
      <c r="D1810" t="s">
        <v>6014</v>
      </c>
      <c r="E1810">
        <v>66</v>
      </c>
      <c r="F1810" t="s">
        <v>35</v>
      </c>
      <c r="G1810" t="s">
        <v>2366</v>
      </c>
      <c r="H1810" t="s">
        <v>248</v>
      </c>
      <c r="I1810" t="s">
        <v>61</v>
      </c>
      <c r="J1810" t="s">
        <v>35</v>
      </c>
      <c r="K1810" t="s">
        <v>6015</v>
      </c>
      <c r="L1810" t="b">
        <v>1</v>
      </c>
      <c r="M1810" t="s">
        <v>611</v>
      </c>
      <c r="N1810" t="s">
        <v>8245</v>
      </c>
      <c r="O1810" s="10">
        <v>20661</v>
      </c>
      <c r="P1810" t="s">
        <v>6016</v>
      </c>
      <c r="Q1810" t="s">
        <v>4248</v>
      </c>
      <c r="R1810" t="s">
        <v>192</v>
      </c>
      <c r="S1810" s="8">
        <v>45020.209027777775</v>
      </c>
      <c r="T1810" t="s">
        <v>78</v>
      </c>
      <c r="U1810" t="s">
        <v>82</v>
      </c>
      <c r="V1810">
        <v>1956</v>
      </c>
      <c r="W1810" s="12">
        <v>117.24</v>
      </c>
      <c r="X1810">
        <v>7.5</v>
      </c>
      <c r="Y1810" s="14">
        <v>21427700000000</v>
      </c>
      <c r="Z1810">
        <v>88.2</v>
      </c>
      <c r="AA1810">
        <v>101.8</v>
      </c>
      <c r="AB1810">
        <v>9.6</v>
      </c>
      <c r="AC1810">
        <v>36.6</v>
      </c>
      <c r="AD1810">
        <v>328239523</v>
      </c>
    </row>
    <row r="1811" spans="1:30" hidden="1" x14ac:dyDescent="0.45">
      <c r="A1811">
        <v>1804</v>
      </c>
      <c r="B1811">
        <v>1600</v>
      </c>
      <c r="C1811" t="s">
        <v>296</v>
      </c>
      <c r="D1811" t="s">
        <v>6017</v>
      </c>
      <c r="E1811">
        <v>53</v>
      </c>
      <c r="F1811" t="s">
        <v>128</v>
      </c>
      <c r="G1811" t="s">
        <v>6018</v>
      </c>
      <c r="H1811" t="s">
        <v>6019</v>
      </c>
      <c r="I1811" t="s">
        <v>296</v>
      </c>
      <c r="J1811" t="s">
        <v>128</v>
      </c>
      <c r="L1811" t="b">
        <v>1</v>
      </c>
      <c r="M1811" t="s">
        <v>39</v>
      </c>
      <c r="N1811" t="s">
        <v>8245</v>
      </c>
      <c r="O1811"/>
      <c r="P1811" t="s">
        <v>6020</v>
      </c>
      <c r="Q1811" t="s">
        <v>6021</v>
      </c>
      <c r="S1811" s="1">
        <v>45020.209027777775</v>
      </c>
      <c r="W1811">
        <v>125.08</v>
      </c>
      <c r="X1811">
        <v>2.9</v>
      </c>
      <c r="Y1811" s="2">
        <v>19910000000000</v>
      </c>
      <c r="Z1811">
        <v>50.6</v>
      </c>
      <c r="AA1811">
        <v>100.2</v>
      </c>
      <c r="AB1811">
        <v>9.4</v>
      </c>
      <c r="AC1811">
        <v>59.2</v>
      </c>
      <c r="AD1811">
        <v>1397715000</v>
      </c>
    </row>
    <row r="1812" spans="1:30" hidden="1" x14ac:dyDescent="0.45">
      <c r="A1812">
        <v>1804</v>
      </c>
      <c r="B1812">
        <v>1600</v>
      </c>
      <c r="C1812" t="s">
        <v>23</v>
      </c>
      <c r="D1812" t="s">
        <v>6022</v>
      </c>
      <c r="E1812">
        <v>54</v>
      </c>
      <c r="H1812" t="s">
        <v>1273</v>
      </c>
      <c r="I1812" t="s">
        <v>23</v>
      </c>
      <c r="J1812" t="s">
        <v>194</v>
      </c>
      <c r="L1812" t="b">
        <v>0</v>
      </c>
      <c r="M1812" t="s">
        <v>39</v>
      </c>
      <c r="N1812" t="s">
        <v>8245</v>
      </c>
      <c r="O1812" s="1">
        <v>25160</v>
      </c>
      <c r="P1812" t="s">
        <v>6023</v>
      </c>
      <c r="Q1812" t="s">
        <v>4879</v>
      </c>
      <c r="S1812" s="1">
        <v>45020.209027777775</v>
      </c>
      <c r="V1812">
        <v>1968</v>
      </c>
      <c r="W1812"/>
      <c r="Y1812"/>
    </row>
    <row r="1813" spans="1:30" hidden="1" x14ac:dyDescent="0.45">
      <c r="A1813">
        <v>1804</v>
      </c>
      <c r="B1813">
        <v>1600</v>
      </c>
      <c r="C1813" t="s">
        <v>23</v>
      </c>
      <c r="D1813" t="s">
        <v>6024</v>
      </c>
      <c r="E1813">
        <v>50</v>
      </c>
      <c r="F1813" t="s">
        <v>255</v>
      </c>
      <c r="G1813" t="s">
        <v>6025</v>
      </c>
      <c r="H1813" t="s">
        <v>1273</v>
      </c>
      <c r="I1813" t="s">
        <v>23</v>
      </c>
      <c r="J1813" t="s">
        <v>194</v>
      </c>
      <c r="L1813" t="b">
        <v>0</v>
      </c>
      <c r="M1813" t="s">
        <v>39</v>
      </c>
      <c r="N1813" t="s">
        <v>8245</v>
      </c>
      <c r="O1813" s="1">
        <v>26563</v>
      </c>
      <c r="P1813" t="s">
        <v>6023</v>
      </c>
      <c r="Q1813" t="s">
        <v>2490</v>
      </c>
      <c r="S1813" s="1">
        <v>45020.209027777775</v>
      </c>
      <c r="V1813">
        <v>1972</v>
      </c>
      <c r="W1813">
        <v>118.06</v>
      </c>
      <c r="X1813">
        <v>1.5</v>
      </c>
      <c r="Y1813" s="2">
        <v>446314739528</v>
      </c>
      <c r="Z1813">
        <v>85.1</v>
      </c>
      <c r="AA1813">
        <v>103.1</v>
      </c>
      <c r="AB1813">
        <v>25.4</v>
      </c>
      <c r="AC1813">
        <v>51.4</v>
      </c>
      <c r="AD1813">
        <v>8877067</v>
      </c>
    </row>
    <row r="1814" spans="1:30" hidden="1" x14ac:dyDescent="0.45">
      <c r="A1814">
        <v>1804</v>
      </c>
      <c r="B1814">
        <v>1600</v>
      </c>
      <c r="C1814" t="s">
        <v>126</v>
      </c>
      <c r="D1814" t="s">
        <v>6026</v>
      </c>
      <c r="E1814">
        <v>89</v>
      </c>
      <c r="F1814" t="s">
        <v>194</v>
      </c>
      <c r="G1814" t="s">
        <v>6027</v>
      </c>
      <c r="H1814" t="s">
        <v>2103</v>
      </c>
      <c r="I1814" t="s">
        <v>126</v>
      </c>
      <c r="J1814" t="s">
        <v>194</v>
      </c>
      <c r="L1814" t="b">
        <v>1</v>
      </c>
      <c r="M1814" t="s">
        <v>39</v>
      </c>
      <c r="N1814" t="s">
        <v>8245</v>
      </c>
      <c r="O1814" s="1">
        <v>12420</v>
      </c>
      <c r="P1814" t="s">
        <v>6028</v>
      </c>
      <c r="Q1814" t="s">
        <v>6029</v>
      </c>
      <c r="S1814" s="1">
        <v>45020.209027777775</v>
      </c>
      <c r="V1814">
        <v>1934</v>
      </c>
      <c r="W1814">
        <v>112.85</v>
      </c>
      <c r="X1814">
        <v>1.4</v>
      </c>
      <c r="Y1814" s="2">
        <v>3845630030824</v>
      </c>
      <c r="Z1814">
        <v>70.2</v>
      </c>
      <c r="AA1814">
        <v>104</v>
      </c>
      <c r="AB1814">
        <v>11.5</v>
      </c>
      <c r="AC1814">
        <v>48.8</v>
      </c>
      <c r="AD1814">
        <v>83132799</v>
      </c>
    </row>
    <row r="1815" spans="1:30" hidden="1" x14ac:dyDescent="0.45">
      <c r="A1815">
        <v>1804</v>
      </c>
      <c r="B1815">
        <v>1600</v>
      </c>
      <c r="C1815" t="s">
        <v>45</v>
      </c>
      <c r="D1815" t="s">
        <v>6030</v>
      </c>
      <c r="E1815">
        <v>47</v>
      </c>
      <c r="F1815" t="s">
        <v>128</v>
      </c>
      <c r="G1815" t="s">
        <v>6031</v>
      </c>
      <c r="H1815" t="s">
        <v>1400</v>
      </c>
      <c r="I1815" t="s">
        <v>45</v>
      </c>
      <c r="J1815" t="s">
        <v>128</v>
      </c>
      <c r="L1815" t="b">
        <v>1</v>
      </c>
      <c r="M1815" t="s">
        <v>258</v>
      </c>
      <c r="N1815" t="s">
        <v>8245</v>
      </c>
      <c r="O1815" s="1">
        <v>27760</v>
      </c>
      <c r="P1815" t="s">
        <v>1829</v>
      </c>
      <c r="Q1815" t="s">
        <v>6032</v>
      </c>
      <c r="S1815" s="1">
        <v>45020.209027777775</v>
      </c>
      <c r="V1815">
        <v>1976</v>
      </c>
      <c r="W1815">
        <v>125.08</v>
      </c>
      <c r="X1815">
        <v>2.9</v>
      </c>
      <c r="Y1815" s="2">
        <v>19910000000000</v>
      </c>
      <c r="Z1815">
        <v>50.6</v>
      </c>
      <c r="AA1815">
        <v>100.2</v>
      </c>
      <c r="AB1815">
        <v>9.4</v>
      </c>
      <c r="AC1815">
        <v>59.2</v>
      </c>
      <c r="AD1815">
        <v>1397715000</v>
      </c>
    </row>
    <row r="1816" spans="1:30" hidden="1" x14ac:dyDescent="0.45">
      <c r="A1816">
        <v>1804</v>
      </c>
      <c r="B1816">
        <v>1600</v>
      </c>
      <c r="C1816" t="s">
        <v>45</v>
      </c>
      <c r="D1816" t="s">
        <v>6033</v>
      </c>
      <c r="E1816">
        <v>38</v>
      </c>
      <c r="F1816" t="s">
        <v>128</v>
      </c>
      <c r="G1816" t="s">
        <v>187</v>
      </c>
      <c r="H1816" t="s">
        <v>442</v>
      </c>
      <c r="I1816" t="s">
        <v>45</v>
      </c>
      <c r="J1816" t="s">
        <v>128</v>
      </c>
      <c r="L1816" t="b">
        <v>1</v>
      </c>
      <c r="M1816" t="s">
        <v>611</v>
      </c>
      <c r="N1816" t="s">
        <v>8245</v>
      </c>
      <c r="O1816" s="1">
        <v>31048</v>
      </c>
      <c r="P1816" t="s">
        <v>679</v>
      </c>
      <c r="Q1816" t="s">
        <v>6034</v>
      </c>
      <c r="S1816" s="1">
        <v>45020.209027777775</v>
      </c>
      <c r="V1816">
        <v>1985</v>
      </c>
      <c r="W1816">
        <v>125.08</v>
      </c>
      <c r="X1816">
        <v>2.9</v>
      </c>
      <c r="Y1816" s="2">
        <v>19910000000000</v>
      </c>
      <c r="Z1816">
        <v>50.6</v>
      </c>
      <c r="AA1816">
        <v>100.2</v>
      </c>
      <c r="AB1816">
        <v>9.4</v>
      </c>
      <c r="AC1816">
        <v>59.2</v>
      </c>
      <c r="AD1816">
        <v>1397715000</v>
      </c>
    </row>
    <row r="1817" spans="1:30" hidden="1" x14ac:dyDescent="0.45">
      <c r="A1817">
        <v>1804</v>
      </c>
      <c r="B1817">
        <v>1600</v>
      </c>
      <c r="C1817" t="s">
        <v>302</v>
      </c>
      <c r="D1817" t="s">
        <v>6035</v>
      </c>
      <c r="E1817">
        <v>87</v>
      </c>
      <c r="F1817" t="s">
        <v>1259</v>
      </c>
      <c r="G1817" t="s">
        <v>1260</v>
      </c>
      <c r="H1817" t="s">
        <v>304</v>
      </c>
      <c r="I1817" t="s">
        <v>302</v>
      </c>
      <c r="J1817" t="s">
        <v>1259</v>
      </c>
      <c r="L1817" t="b">
        <v>1</v>
      </c>
      <c r="M1817" t="s">
        <v>39</v>
      </c>
      <c r="N1817" t="s">
        <v>8245</v>
      </c>
      <c r="O1817" s="1">
        <v>13169</v>
      </c>
      <c r="P1817" t="s">
        <v>679</v>
      </c>
      <c r="Q1817" t="s">
        <v>6036</v>
      </c>
      <c r="S1817" s="1">
        <v>45020.209027777775</v>
      </c>
      <c r="V1817">
        <v>1936</v>
      </c>
      <c r="W1817"/>
      <c r="Y1817"/>
    </row>
    <row r="1818" spans="1:30" hidden="1" x14ac:dyDescent="0.45">
      <c r="A1818">
        <v>1804</v>
      </c>
      <c r="B1818">
        <v>1600</v>
      </c>
      <c r="C1818" t="s">
        <v>45</v>
      </c>
      <c r="D1818" t="s">
        <v>6037</v>
      </c>
      <c r="E1818">
        <v>62</v>
      </c>
      <c r="F1818" t="s">
        <v>928</v>
      </c>
      <c r="G1818" t="s">
        <v>929</v>
      </c>
      <c r="H1818" t="s">
        <v>6038</v>
      </c>
      <c r="I1818" t="s">
        <v>45</v>
      </c>
      <c r="J1818" t="s">
        <v>928</v>
      </c>
      <c r="K1818" t="s">
        <v>6039</v>
      </c>
      <c r="L1818" t="b">
        <v>0</v>
      </c>
      <c r="M1818" t="s">
        <v>39</v>
      </c>
      <c r="N1818" t="s">
        <v>8245</v>
      </c>
      <c r="O1818" s="1">
        <v>22253</v>
      </c>
      <c r="P1818" t="s">
        <v>6040</v>
      </c>
      <c r="Q1818" t="s">
        <v>6041</v>
      </c>
      <c r="S1818" s="1">
        <v>45020.209027777775</v>
      </c>
      <c r="V1818">
        <v>1960</v>
      </c>
      <c r="W1818">
        <v>115.16</v>
      </c>
      <c r="X1818">
        <v>0.4</v>
      </c>
      <c r="Y1818" s="2">
        <v>2029000000000</v>
      </c>
      <c r="Z1818">
        <v>94.3</v>
      </c>
      <c r="AA1818">
        <v>98.1</v>
      </c>
      <c r="AB1818">
        <v>15.6</v>
      </c>
      <c r="AC1818">
        <v>33.200000000000003</v>
      </c>
      <c r="AD1818">
        <v>51709098</v>
      </c>
    </row>
    <row r="1819" spans="1:30" hidden="1" x14ac:dyDescent="0.45">
      <c r="A1819">
        <v>1804</v>
      </c>
      <c r="B1819">
        <v>1600</v>
      </c>
      <c r="C1819" t="s">
        <v>302</v>
      </c>
      <c r="D1819" t="s">
        <v>6042</v>
      </c>
      <c r="E1819">
        <v>55</v>
      </c>
      <c r="F1819" t="s">
        <v>6043</v>
      </c>
      <c r="G1819" t="s">
        <v>6044</v>
      </c>
      <c r="H1819" t="s">
        <v>304</v>
      </c>
      <c r="I1819" t="s">
        <v>302</v>
      </c>
      <c r="J1819" t="s">
        <v>6043</v>
      </c>
      <c r="L1819" t="b">
        <v>1</v>
      </c>
      <c r="M1819" t="s">
        <v>39</v>
      </c>
      <c r="N1819" t="s">
        <v>8245</v>
      </c>
      <c r="O1819" s="1">
        <v>24650</v>
      </c>
      <c r="P1819" t="s">
        <v>6045</v>
      </c>
      <c r="Q1819" t="s">
        <v>1036</v>
      </c>
      <c r="S1819" s="1">
        <v>45020.209027777775</v>
      </c>
      <c r="V1819">
        <v>1967</v>
      </c>
      <c r="W1819">
        <v>115.34</v>
      </c>
      <c r="X1819">
        <v>2.7</v>
      </c>
      <c r="Y1819" s="2">
        <v>105422304976</v>
      </c>
      <c r="Z1819">
        <v>46.6</v>
      </c>
      <c r="AA1819">
        <v>98.7</v>
      </c>
      <c r="AB1819">
        <v>18.7</v>
      </c>
      <c r="AC1819">
        <v>49.7</v>
      </c>
      <c r="AD1819">
        <v>5454073</v>
      </c>
    </row>
    <row r="1820" spans="1:30" hidden="1" x14ac:dyDescent="0.45">
      <c r="A1820">
        <v>1804</v>
      </c>
      <c r="B1820">
        <v>1600</v>
      </c>
      <c r="C1820" t="s">
        <v>689</v>
      </c>
      <c r="D1820" t="s">
        <v>6046</v>
      </c>
      <c r="E1820">
        <v>64</v>
      </c>
      <c r="F1820" t="s">
        <v>35</v>
      </c>
      <c r="G1820" t="s">
        <v>1508</v>
      </c>
      <c r="H1820" t="s">
        <v>2481</v>
      </c>
      <c r="I1820" t="s">
        <v>689</v>
      </c>
      <c r="J1820" t="s">
        <v>35</v>
      </c>
      <c r="L1820" t="b">
        <v>1</v>
      </c>
      <c r="M1820" t="s">
        <v>611</v>
      </c>
      <c r="N1820" t="s">
        <v>8245</v>
      </c>
      <c r="O1820" s="1">
        <v>21580</v>
      </c>
      <c r="P1820" t="s">
        <v>3780</v>
      </c>
      <c r="Q1820" t="s">
        <v>619</v>
      </c>
      <c r="S1820" s="1">
        <v>45020.209027777775</v>
      </c>
      <c r="T1820" t="s">
        <v>1153</v>
      </c>
      <c r="U1820" t="s">
        <v>69</v>
      </c>
      <c r="V1820">
        <v>1959</v>
      </c>
      <c r="W1820">
        <v>117.24</v>
      </c>
      <c r="X1820">
        <v>7.5</v>
      </c>
      <c r="Y1820" s="2">
        <v>21427700000000</v>
      </c>
      <c r="Z1820">
        <v>88.2</v>
      </c>
      <c r="AA1820">
        <v>101.8</v>
      </c>
      <c r="AB1820">
        <v>9.6</v>
      </c>
      <c r="AC1820">
        <v>36.6</v>
      </c>
      <c r="AD1820">
        <v>328239523</v>
      </c>
    </row>
    <row r="1821" spans="1:30" hidden="1" x14ac:dyDescent="0.45">
      <c r="A1821">
        <v>1804</v>
      </c>
      <c r="B1821">
        <v>1600</v>
      </c>
      <c r="C1821" t="s">
        <v>61</v>
      </c>
      <c r="D1821" t="s">
        <v>6047</v>
      </c>
      <c r="E1821">
        <v>82</v>
      </c>
      <c r="F1821" t="s">
        <v>164</v>
      </c>
      <c r="G1821" t="s">
        <v>165</v>
      </c>
      <c r="H1821" t="s">
        <v>2116</v>
      </c>
      <c r="I1821" t="s">
        <v>61</v>
      </c>
      <c r="J1821" t="s">
        <v>164</v>
      </c>
      <c r="L1821" t="b">
        <v>1</v>
      </c>
      <c r="M1821" t="s">
        <v>39</v>
      </c>
      <c r="N1821" t="s">
        <v>8245</v>
      </c>
      <c r="O1821" s="1">
        <v>14988</v>
      </c>
      <c r="P1821" t="s">
        <v>6048</v>
      </c>
      <c r="Q1821" t="s">
        <v>386</v>
      </c>
      <c r="S1821" s="1">
        <v>45020.209027777775</v>
      </c>
      <c r="V1821">
        <v>1941</v>
      </c>
      <c r="W1821">
        <v>116.76</v>
      </c>
      <c r="X1821">
        <v>1.9</v>
      </c>
      <c r="Y1821" s="2">
        <v>1736425629520</v>
      </c>
      <c r="Z1821">
        <v>68.900000000000006</v>
      </c>
      <c r="AA1821">
        <v>100.9</v>
      </c>
      <c r="AB1821">
        <v>12.8</v>
      </c>
      <c r="AC1821">
        <v>24.5</v>
      </c>
      <c r="AD1821">
        <v>36991981</v>
      </c>
    </row>
    <row r="1822" spans="1:30" hidden="1" x14ac:dyDescent="0.45">
      <c r="A1822">
        <v>1804</v>
      </c>
      <c r="B1822">
        <v>1600</v>
      </c>
      <c r="C1822" t="s">
        <v>61</v>
      </c>
      <c r="D1822" t="s">
        <v>6049</v>
      </c>
      <c r="E1822">
        <v>65</v>
      </c>
      <c r="F1822" t="s">
        <v>35</v>
      </c>
      <c r="G1822" t="s">
        <v>110</v>
      </c>
      <c r="H1822" t="s">
        <v>1064</v>
      </c>
      <c r="I1822" t="s">
        <v>61</v>
      </c>
      <c r="J1822" t="s">
        <v>35</v>
      </c>
      <c r="L1822" t="b">
        <v>1</v>
      </c>
      <c r="M1822" t="s">
        <v>39</v>
      </c>
      <c r="N1822" t="s">
        <v>8245</v>
      </c>
      <c r="O1822" s="1">
        <v>21199</v>
      </c>
      <c r="P1822" t="s">
        <v>6050</v>
      </c>
      <c r="Q1822" t="s">
        <v>6051</v>
      </c>
      <c r="S1822" s="1">
        <v>45020.209027777775</v>
      </c>
      <c r="T1822" t="s">
        <v>115</v>
      </c>
      <c r="U1822" t="s">
        <v>53</v>
      </c>
      <c r="V1822">
        <v>1958</v>
      </c>
      <c r="W1822">
        <v>117.24</v>
      </c>
      <c r="X1822">
        <v>7.5</v>
      </c>
      <c r="Y1822" s="2">
        <v>21427700000000</v>
      </c>
      <c r="Z1822">
        <v>88.2</v>
      </c>
      <c r="AA1822">
        <v>101.8</v>
      </c>
      <c r="AB1822">
        <v>9.6</v>
      </c>
      <c r="AC1822">
        <v>36.6</v>
      </c>
      <c r="AD1822">
        <v>328239523</v>
      </c>
    </row>
    <row r="1823" spans="1:30" hidden="1" x14ac:dyDescent="0.45">
      <c r="A1823">
        <v>1804</v>
      </c>
      <c r="B1823">
        <v>1600</v>
      </c>
      <c r="C1823" t="s">
        <v>702</v>
      </c>
      <c r="D1823" t="s">
        <v>6052</v>
      </c>
      <c r="E1823">
        <v>69</v>
      </c>
      <c r="F1823" t="s">
        <v>35</v>
      </c>
      <c r="G1823" t="s">
        <v>870</v>
      </c>
      <c r="H1823" t="s">
        <v>6053</v>
      </c>
      <c r="I1823" t="s">
        <v>702</v>
      </c>
      <c r="J1823" t="s">
        <v>35</v>
      </c>
      <c r="L1823" t="b">
        <v>1</v>
      </c>
      <c r="M1823" t="s">
        <v>29</v>
      </c>
      <c r="N1823" t="s">
        <v>8245</v>
      </c>
      <c r="O1823" s="1">
        <v>19741</v>
      </c>
      <c r="P1823" t="s">
        <v>6054</v>
      </c>
      <c r="Q1823" t="s">
        <v>153</v>
      </c>
      <c r="S1823" s="1">
        <v>45020.209027777775</v>
      </c>
      <c r="T1823" t="s">
        <v>43</v>
      </c>
      <c r="U1823" t="s">
        <v>44</v>
      </c>
      <c r="V1823">
        <v>1954</v>
      </c>
      <c r="W1823">
        <v>117.24</v>
      </c>
      <c r="X1823">
        <v>7.5</v>
      </c>
      <c r="Y1823" s="2">
        <v>21427700000000</v>
      </c>
      <c r="Z1823">
        <v>88.2</v>
      </c>
      <c r="AA1823">
        <v>101.8</v>
      </c>
      <c r="AB1823">
        <v>9.6</v>
      </c>
      <c r="AC1823">
        <v>36.6</v>
      </c>
      <c r="AD1823">
        <v>328239523</v>
      </c>
    </row>
    <row r="1824" spans="1:30" hidden="1" x14ac:dyDescent="0.45">
      <c r="A1824">
        <v>1804</v>
      </c>
      <c r="B1824">
        <v>1600</v>
      </c>
      <c r="C1824" t="s">
        <v>203</v>
      </c>
      <c r="D1824" t="s">
        <v>6055</v>
      </c>
      <c r="E1824">
        <v>68</v>
      </c>
      <c r="F1824" t="s">
        <v>25</v>
      </c>
      <c r="G1824" t="s">
        <v>1730</v>
      </c>
      <c r="H1824" t="s">
        <v>6056</v>
      </c>
      <c r="I1824" t="s">
        <v>203</v>
      </c>
      <c r="J1824" t="s">
        <v>25</v>
      </c>
      <c r="L1824" t="b">
        <v>1</v>
      </c>
      <c r="M1824" t="s">
        <v>39</v>
      </c>
      <c r="N1824" t="s">
        <v>8245</v>
      </c>
      <c r="O1824" s="1">
        <v>19914</v>
      </c>
      <c r="P1824" t="s">
        <v>6057</v>
      </c>
      <c r="Q1824" t="s">
        <v>6058</v>
      </c>
      <c r="S1824" s="1">
        <v>45020.209027777775</v>
      </c>
      <c r="V1824">
        <v>1954</v>
      </c>
      <c r="W1824">
        <v>110.05</v>
      </c>
      <c r="X1824">
        <v>1.1000000000000001</v>
      </c>
      <c r="Y1824" s="2">
        <v>2715518274227</v>
      </c>
      <c r="Z1824">
        <v>65.599999999999994</v>
      </c>
      <c r="AA1824">
        <v>102.5</v>
      </c>
      <c r="AB1824">
        <v>24.2</v>
      </c>
      <c r="AC1824">
        <v>60.7</v>
      </c>
      <c r="AD1824">
        <v>67059887</v>
      </c>
    </row>
    <row r="1825" spans="1:30" x14ac:dyDescent="0.45">
      <c r="A1825">
        <v>1804</v>
      </c>
      <c r="B1825" s="6">
        <v>1600</v>
      </c>
      <c r="C1825" t="s">
        <v>61</v>
      </c>
      <c r="D1825" t="s">
        <v>6059</v>
      </c>
      <c r="E1825">
        <v>67</v>
      </c>
      <c r="F1825" t="s">
        <v>35</v>
      </c>
      <c r="G1825" t="s">
        <v>78</v>
      </c>
      <c r="H1825" t="s">
        <v>557</v>
      </c>
      <c r="I1825" t="s">
        <v>61</v>
      </c>
      <c r="J1825" t="s">
        <v>35</v>
      </c>
      <c r="K1825" t="s">
        <v>6060</v>
      </c>
      <c r="L1825" t="b">
        <v>1</v>
      </c>
      <c r="M1825" t="s">
        <v>611</v>
      </c>
      <c r="N1825" t="s">
        <v>8245</v>
      </c>
      <c r="O1825" s="10">
        <v>20527</v>
      </c>
      <c r="P1825" t="s">
        <v>6061</v>
      </c>
      <c r="Q1825" t="s">
        <v>6062</v>
      </c>
      <c r="R1825" t="s">
        <v>42</v>
      </c>
      <c r="S1825" s="8">
        <v>45020.209027777775</v>
      </c>
      <c r="T1825" t="s">
        <v>78</v>
      </c>
      <c r="U1825" t="s">
        <v>82</v>
      </c>
      <c r="V1825">
        <v>1956</v>
      </c>
      <c r="W1825" s="12">
        <v>117.24</v>
      </c>
      <c r="X1825">
        <v>7.5</v>
      </c>
      <c r="Y1825" s="14">
        <v>21427700000000</v>
      </c>
      <c r="Z1825">
        <v>88.2</v>
      </c>
      <c r="AA1825">
        <v>101.8</v>
      </c>
      <c r="AB1825">
        <v>9.6</v>
      </c>
      <c r="AC1825">
        <v>36.6</v>
      </c>
      <c r="AD1825">
        <v>328239523</v>
      </c>
    </row>
    <row r="1826" spans="1:30" hidden="1" x14ac:dyDescent="0.45">
      <c r="A1826">
        <v>1804</v>
      </c>
      <c r="B1826">
        <v>1600</v>
      </c>
      <c r="C1826" t="s">
        <v>45</v>
      </c>
      <c r="D1826" t="s">
        <v>6063</v>
      </c>
      <c r="E1826">
        <v>51</v>
      </c>
      <c r="F1826" t="s">
        <v>35</v>
      </c>
      <c r="G1826" t="s">
        <v>78</v>
      </c>
      <c r="H1826" t="s">
        <v>856</v>
      </c>
      <c r="I1826" t="s">
        <v>45</v>
      </c>
      <c r="J1826" t="s">
        <v>5311</v>
      </c>
      <c r="L1826" t="b">
        <v>1</v>
      </c>
      <c r="M1826" t="s">
        <v>39</v>
      </c>
      <c r="N1826" t="s">
        <v>8245</v>
      </c>
      <c r="O1826" s="1">
        <v>26299</v>
      </c>
      <c r="P1826" t="s">
        <v>6064</v>
      </c>
      <c r="Q1826" t="s">
        <v>520</v>
      </c>
      <c r="S1826" s="1">
        <v>45020.209027777775</v>
      </c>
      <c r="T1826" t="s">
        <v>78</v>
      </c>
      <c r="U1826" t="s">
        <v>82</v>
      </c>
      <c r="V1826">
        <v>1972</v>
      </c>
      <c r="W1826">
        <v>117.24</v>
      </c>
      <c r="X1826">
        <v>7.5</v>
      </c>
      <c r="Y1826" s="2">
        <v>21427700000000</v>
      </c>
      <c r="Z1826">
        <v>88.2</v>
      </c>
      <c r="AA1826">
        <v>101.8</v>
      </c>
      <c r="AB1826">
        <v>9.6</v>
      </c>
      <c r="AC1826">
        <v>36.6</v>
      </c>
      <c r="AD1826">
        <v>328239523</v>
      </c>
    </row>
    <row r="1827" spans="1:30" hidden="1" x14ac:dyDescent="0.45">
      <c r="A1827">
        <v>1804</v>
      </c>
      <c r="B1827">
        <v>1600</v>
      </c>
      <c r="C1827" t="s">
        <v>61</v>
      </c>
      <c r="D1827" t="s">
        <v>6065</v>
      </c>
      <c r="E1827">
        <v>53</v>
      </c>
      <c r="F1827" t="s">
        <v>558</v>
      </c>
      <c r="G1827" t="s">
        <v>839</v>
      </c>
      <c r="H1827" t="s">
        <v>557</v>
      </c>
      <c r="I1827" t="s">
        <v>61</v>
      </c>
      <c r="J1827" t="s">
        <v>558</v>
      </c>
      <c r="L1827" t="b">
        <v>0</v>
      </c>
      <c r="M1827" t="s">
        <v>39</v>
      </c>
      <c r="N1827" t="s">
        <v>8245</v>
      </c>
      <c r="O1827" s="1">
        <v>25525</v>
      </c>
      <c r="P1827" t="s">
        <v>6066</v>
      </c>
      <c r="Q1827" t="s">
        <v>6067</v>
      </c>
      <c r="S1827" s="1">
        <v>45020.209027777775</v>
      </c>
      <c r="V1827">
        <v>1969</v>
      </c>
      <c r="W1827">
        <v>167.4</v>
      </c>
      <c r="X1827">
        <v>3.7</v>
      </c>
      <c r="Y1827" s="2">
        <v>1839758040766</v>
      </c>
      <c r="Z1827">
        <v>51.3</v>
      </c>
      <c r="AA1827">
        <v>115.4</v>
      </c>
      <c r="AB1827">
        <v>14.2</v>
      </c>
      <c r="AC1827">
        <v>65.099999999999994</v>
      </c>
      <c r="AD1827">
        <v>212559417</v>
      </c>
    </row>
    <row r="1828" spans="1:30" hidden="1" x14ac:dyDescent="0.45">
      <c r="A1828">
        <v>1804</v>
      </c>
      <c r="B1828">
        <v>1600</v>
      </c>
      <c r="C1828" t="s">
        <v>326</v>
      </c>
      <c r="D1828" t="s">
        <v>6068</v>
      </c>
      <c r="E1828">
        <v>49</v>
      </c>
      <c r="F1828" t="s">
        <v>205</v>
      </c>
      <c r="G1828" t="s">
        <v>983</v>
      </c>
      <c r="H1828" t="s">
        <v>6069</v>
      </c>
      <c r="I1828" t="s">
        <v>326</v>
      </c>
      <c r="J1828" t="s">
        <v>205</v>
      </c>
      <c r="L1828" t="b">
        <v>1</v>
      </c>
      <c r="M1828" t="s">
        <v>611</v>
      </c>
      <c r="N1828" t="s">
        <v>8245</v>
      </c>
      <c r="O1828" s="1">
        <v>27030</v>
      </c>
      <c r="P1828" t="s">
        <v>6070</v>
      </c>
      <c r="Q1828" t="s">
        <v>2060</v>
      </c>
      <c r="S1828" s="1">
        <v>45020.209027777775</v>
      </c>
      <c r="V1828">
        <v>1974</v>
      </c>
      <c r="W1828">
        <v>99.55</v>
      </c>
      <c r="X1828">
        <v>0.4</v>
      </c>
      <c r="Y1828" s="2">
        <v>703082435360</v>
      </c>
      <c r="Z1828">
        <v>59.6</v>
      </c>
      <c r="AA1828">
        <v>105.2</v>
      </c>
      <c r="AB1828">
        <v>10.1</v>
      </c>
      <c r="AC1828">
        <v>28.8</v>
      </c>
      <c r="AD1828">
        <v>8574832</v>
      </c>
    </row>
    <row r="1829" spans="1:30" hidden="1" x14ac:dyDescent="0.45">
      <c r="A1829">
        <v>1804</v>
      </c>
      <c r="B1829">
        <v>1600</v>
      </c>
      <c r="C1829" t="s">
        <v>61</v>
      </c>
      <c r="D1829" t="s">
        <v>6071</v>
      </c>
      <c r="E1829">
        <v>78</v>
      </c>
      <c r="F1829" t="s">
        <v>35</v>
      </c>
      <c r="G1829" t="s">
        <v>241</v>
      </c>
      <c r="H1829" t="s">
        <v>2380</v>
      </c>
      <c r="I1829" t="s">
        <v>61</v>
      </c>
      <c r="J1829" t="s">
        <v>35</v>
      </c>
      <c r="L1829" t="b">
        <v>1</v>
      </c>
      <c r="M1829" t="s">
        <v>29</v>
      </c>
      <c r="N1829" t="s">
        <v>8245</v>
      </c>
      <c r="O1829" s="1">
        <v>16435</v>
      </c>
      <c r="P1829" t="s">
        <v>6072</v>
      </c>
      <c r="Q1829" t="s">
        <v>338</v>
      </c>
      <c r="S1829" s="1">
        <v>45020.209027777775</v>
      </c>
      <c r="T1829" t="s">
        <v>245</v>
      </c>
      <c r="U1829" t="s">
        <v>53</v>
      </c>
      <c r="V1829">
        <v>1944</v>
      </c>
      <c r="W1829">
        <v>117.24</v>
      </c>
      <c r="X1829">
        <v>7.5</v>
      </c>
      <c r="Y1829" s="2">
        <v>21427700000000</v>
      </c>
      <c r="Z1829">
        <v>88.2</v>
      </c>
      <c r="AA1829">
        <v>101.8</v>
      </c>
      <c r="AB1829">
        <v>9.6</v>
      </c>
      <c r="AC1829">
        <v>36.6</v>
      </c>
      <c r="AD1829">
        <v>328239523</v>
      </c>
    </row>
    <row r="1830" spans="1:30" hidden="1" x14ac:dyDescent="0.45">
      <c r="A1830">
        <v>1804</v>
      </c>
      <c r="B1830">
        <v>1600</v>
      </c>
      <c r="C1830" t="s">
        <v>23</v>
      </c>
      <c r="D1830" t="s">
        <v>6073</v>
      </c>
      <c r="E1830">
        <v>74</v>
      </c>
      <c r="F1830" t="s">
        <v>164</v>
      </c>
      <c r="G1830" t="s">
        <v>6074</v>
      </c>
      <c r="H1830" t="s">
        <v>1798</v>
      </c>
      <c r="I1830" t="s">
        <v>23</v>
      </c>
      <c r="J1830" t="s">
        <v>164</v>
      </c>
      <c r="L1830" t="b">
        <v>1</v>
      </c>
      <c r="M1830" t="s">
        <v>29</v>
      </c>
      <c r="N1830" t="s">
        <v>8245</v>
      </c>
      <c r="O1830" s="1">
        <v>17777</v>
      </c>
      <c r="P1830" t="s">
        <v>6075</v>
      </c>
      <c r="Q1830" t="s">
        <v>1068</v>
      </c>
      <c r="S1830" s="1">
        <v>45020.209027777775</v>
      </c>
      <c r="V1830">
        <v>1948</v>
      </c>
      <c r="W1830">
        <v>116.76</v>
      </c>
      <c r="X1830">
        <v>1.9</v>
      </c>
      <c r="Y1830" s="2">
        <v>1736425629520</v>
      </c>
      <c r="Z1830">
        <v>68.900000000000006</v>
      </c>
      <c r="AA1830">
        <v>100.9</v>
      </c>
      <c r="AB1830">
        <v>12.8</v>
      </c>
      <c r="AC1830">
        <v>24.5</v>
      </c>
      <c r="AD1830">
        <v>36991981</v>
      </c>
    </row>
    <row r="1831" spans="1:30" hidden="1" x14ac:dyDescent="0.45">
      <c r="A1831">
        <v>1804</v>
      </c>
      <c r="B1831">
        <v>1600</v>
      </c>
      <c r="C1831" t="s">
        <v>402</v>
      </c>
      <c r="D1831" t="s">
        <v>6076</v>
      </c>
      <c r="E1831">
        <v>54</v>
      </c>
      <c r="F1831" t="s">
        <v>128</v>
      </c>
      <c r="G1831" t="s">
        <v>678</v>
      </c>
      <c r="H1831" t="s">
        <v>610</v>
      </c>
      <c r="I1831" t="s">
        <v>402</v>
      </c>
      <c r="J1831" t="s">
        <v>128</v>
      </c>
      <c r="L1831" t="b">
        <v>1</v>
      </c>
      <c r="M1831" t="s">
        <v>29</v>
      </c>
      <c r="N1831" t="s">
        <v>8245</v>
      </c>
      <c r="O1831" s="1">
        <v>25136</v>
      </c>
      <c r="P1831" t="s">
        <v>1725</v>
      </c>
      <c r="Q1831" t="s">
        <v>3028</v>
      </c>
      <c r="S1831" s="1">
        <v>45020.209027777775</v>
      </c>
      <c r="V1831">
        <v>1968</v>
      </c>
      <c r="W1831">
        <v>125.08</v>
      </c>
      <c r="X1831">
        <v>2.9</v>
      </c>
      <c r="Y1831" s="2">
        <v>19910000000000</v>
      </c>
      <c r="Z1831">
        <v>50.6</v>
      </c>
      <c r="AA1831">
        <v>100.2</v>
      </c>
      <c r="AB1831">
        <v>9.4</v>
      </c>
      <c r="AC1831">
        <v>59.2</v>
      </c>
      <c r="AD1831">
        <v>1397715000</v>
      </c>
    </row>
    <row r="1832" spans="1:30" hidden="1" x14ac:dyDescent="0.45">
      <c r="A1832">
        <v>1804</v>
      </c>
      <c r="B1832">
        <v>1600</v>
      </c>
      <c r="C1832" t="s">
        <v>402</v>
      </c>
      <c r="D1832" t="s">
        <v>6077</v>
      </c>
      <c r="E1832">
        <v>45</v>
      </c>
      <c r="F1832" t="s">
        <v>205</v>
      </c>
      <c r="G1832" t="s">
        <v>6078</v>
      </c>
      <c r="H1832" t="s">
        <v>610</v>
      </c>
      <c r="I1832" t="s">
        <v>402</v>
      </c>
      <c r="J1832" t="s">
        <v>205</v>
      </c>
      <c r="L1832" t="b">
        <v>0</v>
      </c>
      <c r="M1832" t="s">
        <v>39</v>
      </c>
      <c r="N1832" t="s">
        <v>8245</v>
      </c>
      <c r="O1832" s="1">
        <v>28541</v>
      </c>
      <c r="P1832" t="s">
        <v>5205</v>
      </c>
      <c r="Q1832" t="s">
        <v>6079</v>
      </c>
      <c r="S1832" s="1">
        <v>45020.209027777775</v>
      </c>
      <c r="V1832">
        <v>1978</v>
      </c>
      <c r="W1832">
        <v>99.55</v>
      </c>
      <c r="X1832">
        <v>0.4</v>
      </c>
      <c r="Y1832" s="2">
        <v>703082435360</v>
      </c>
      <c r="Z1832">
        <v>59.6</v>
      </c>
      <c r="AA1832">
        <v>105.2</v>
      </c>
      <c r="AB1832">
        <v>10.1</v>
      </c>
      <c r="AC1832">
        <v>28.8</v>
      </c>
      <c r="AD1832">
        <v>8574832</v>
      </c>
    </row>
    <row r="1833" spans="1:30" x14ac:dyDescent="0.45">
      <c r="A1833">
        <v>1804</v>
      </c>
      <c r="B1833" s="6">
        <v>1600</v>
      </c>
      <c r="C1833" t="s">
        <v>61</v>
      </c>
      <c r="D1833" t="s">
        <v>6080</v>
      </c>
      <c r="E1833">
        <v>78</v>
      </c>
      <c r="F1833" t="s">
        <v>35</v>
      </c>
      <c r="G1833" t="s">
        <v>3861</v>
      </c>
      <c r="H1833" t="s">
        <v>317</v>
      </c>
      <c r="I1833" t="s">
        <v>61</v>
      </c>
      <c r="J1833" t="s">
        <v>35</v>
      </c>
      <c r="K1833" t="s">
        <v>6081</v>
      </c>
      <c r="L1833" t="b">
        <v>1</v>
      </c>
      <c r="M1833" t="s">
        <v>611</v>
      </c>
      <c r="N1833" t="s">
        <v>8245</v>
      </c>
      <c r="O1833" s="10">
        <v>16175</v>
      </c>
      <c r="P1833" t="s">
        <v>6082</v>
      </c>
      <c r="Q1833" t="s">
        <v>74</v>
      </c>
      <c r="R1833" t="s">
        <v>6083</v>
      </c>
      <c r="S1833" s="8">
        <v>45020.209027777775</v>
      </c>
      <c r="T1833" t="s">
        <v>115</v>
      </c>
      <c r="U1833" t="s">
        <v>53</v>
      </c>
      <c r="V1833">
        <v>1944</v>
      </c>
      <c r="W1833" s="12">
        <v>117.24</v>
      </c>
      <c r="X1833">
        <v>7.5</v>
      </c>
      <c r="Y1833" s="14">
        <v>21427700000000</v>
      </c>
      <c r="Z1833">
        <v>88.2</v>
      </c>
      <c r="AA1833">
        <v>101.8</v>
      </c>
      <c r="AB1833">
        <v>9.6</v>
      </c>
      <c r="AC1833">
        <v>36.6</v>
      </c>
      <c r="AD1833">
        <v>328239523</v>
      </c>
    </row>
    <row r="1834" spans="1:30" hidden="1" x14ac:dyDescent="0.45">
      <c r="A1834">
        <v>1804</v>
      </c>
      <c r="B1834">
        <v>1600</v>
      </c>
      <c r="C1834" t="s">
        <v>61</v>
      </c>
      <c r="D1834" t="s">
        <v>6084</v>
      </c>
      <c r="E1834">
        <v>73</v>
      </c>
      <c r="F1834" t="s">
        <v>35</v>
      </c>
      <c r="G1834" t="s">
        <v>3861</v>
      </c>
      <c r="H1834" t="s">
        <v>317</v>
      </c>
      <c r="I1834" t="s">
        <v>61</v>
      </c>
      <c r="J1834" t="s">
        <v>35</v>
      </c>
      <c r="L1834" t="b">
        <v>0</v>
      </c>
      <c r="M1834" t="s">
        <v>611</v>
      </c>
      <c r="N1834" t="s">
        <v>8246</v>
      </c>
      <c r="O1834" s="1">
        <v>18311</v>
      </c>
      <c r="P1834" t="s">
        <v>6082</v>
      </c>
      <c r="Q1834" t="s">
        <v>6085</v>
      </c>
      <c r="S1834" s="1">
        <v>45020.209027777775</v>
      </c>
      <c r="T1834" t="s">
        <v>115</v>
      </c>
      <c r="U1834" t="s">
        <v>53</v>
      </c>
      <c r="V1834">
        <v>1950</v>
      </c>
      <c r="W1834">
        <v>117.24</v>
      </c>
      <c r="X1834">
        <v>7.5</v>
      </c>
      <c r="Y1834" s="2">
        <v>21427700000000</v>
      </c>
      <c r="Z1834">
        <v>88.2</v>
      </c>
      <c r="AA1834">
        <v>101.8</v>
      </c>
      <c r="AB1834">
        <v>9.6</v>
      </c>
      <c r="AC1834">
        <v>36.6</v>
      </c>
      <c r="AD1834">
        <v>328239523</v>
      </c>
    </row>
    <row r="1835" spans="1:30" hidden="1" x14ac:dyDescent="0.45">
      <c r="A1835">
        <v>1804</v>
      </c>
      <c r="B1835">
        <v>1600</v>
      </c>
      <c r="C1835" t="s">
        <v>702</v>
      </c>
      <c r="D1835" t="s">
        <v>6086</v>
      </c>
      <c r="E1835">
        <v>88</v>
      </c>
      <c r="F1835" t="s">
        <v>35</v>
      </c>
      <c r="G1835" t="s">
        <v>2298</v>
      </c>
      <c r="H1835" t="s">
        <v>6087</v>
      </c>
      <c r="I1835" t="s">
        <v>702</v>
      </c>
      <c r="J1835" t="s">
        <v>35</v>
      </c>
      <c r="L1835" t="b">
        <v>1</v>
      </c>
      <c r="M1835" t="s">
        <v>258</v>
      </c>
      <c r="N1835" t="s">
        <v>8245</v>
      </c>
      <c r="O1835" s="1">
        <v>12620</v>
      </c>
      <c r="P1835" t="s">
        <v>6088</v>
      </c>
      <c r="Q1835" t="s">
        <v>1870</v>
      </c>
      <c r="S1835" s="1">
        <v>45020.209027777775</v>
      </c>
      <c r="T1835" t="s">
        <v>115</v>
      </c>
      <c r="U1835" t="s">
        <v>53</v>
      </c>
      <c r="V1835">
        <v>1934</v>
      </c>
      <c r="W1835">
        <v>117.24</v>
      </c>
      <c r="X1835">
        <v>7.5</v>
      </c>
      <c r="Y1835" s="2">
        <v>21427700000000</v>
      </c>
      <c r="Z1835">
        <v>88.2</v>
      </c>
      <c r="AA1835">
        <v>101.8</v>
      </c>
      <c r="AB1835">
        <v>9.6</v>
      </c>
      <c r="AC1835">
        <v>36.6</v>
      </c>
      <c r="AD1835">
        <v>328239523</v>
      </c>
    </row>
    <row r="1836" spans="1:30" hidden="1" x14ac:dyDescent="0.45">
      <c r="A1836">
        <v>1804</v>
      </c>
      <c r="B1836">
        <v>1600</v>
      </c>
      <c r="C1836" t="s">
        <v>347</v>
      </c>
      <c r="D1836" t="s">
        <v>6089</v>
      </c>
      <c r="E1836">
        <v>72</v>
      </c>
      <c r="F1836" t="s">
        <v>35</v>
      </c>
      <c r="G1836" t="s">
        <v>704</v>
      </c>
      <c r="H1836" t="s">
        <v>3480</v>
      </c>
      <c r="I1836" t="s">
        <v>347</v>
      </c>
      <c r="J1836" t="s">
        <v>35</v>
      </c>
      <c r="L1836" t="b">
        <v>0</v>
      </c>
      <c r="M1836" t="s">
        <v>29</v>
      </c>
      <c r="N1836" t="s">
        <v>8245</v>
      </c>
      <c r="O1836" s="1">
        <v>18377</v>
      </c>
      <c r="P1836" t="s">
        <v>6090</v>
      </c>
      <c r="Q1836" t="s">
        <v>4613</v>
      </c>
      <c r="S1836" s="1">
        <v>45020.209027777775</v>
      </c>
      <c r="T1836" t="s">
        <v>43</v>
      </c>
      <c r="U1836" t="s">
        <v>44</v>
      </c>
      <c r="V1836">
        <v>1950</v>
      </c>
      <c r="W1836">
        <v>117.24</v>
      </c>
      <c r="X1836">
        <v>7.5</v>
      </c>
      <c r="Y1836" s="2">
        <v>21427700000000</v>
      </c>
      <c r="Z1836">
        <v>88.2</v>
      </c>
      <c r="AA1836">
        <v>101.8</v>
      </c>
      <c r="AB1836">
        <v>9.6</v>
      </c>
      <c r="AC1836">
        <v>36.6</v>
      </c>
      <c r="AD1836">
        <v>328239523</v>
      </c>
    </row>
    <row r="1837" spans="1:30" hidden="1" x14ac:dyDescent="0.45">
      <c r="A1837">
        <v>1804</v>
      </c>
      <c r="B1837">
        <v>1600</v>
      </c>
      <c r="C1837" t="s">
        <v>296</v>
      </c>
      <c r="D1837" t="s">
        <v>6091</v>
      </c>
      <c r="E1837">
        <v>58</v>
      </c>
      <c r="F1837" t="s">
        <v>2660</v>
      </c>
      <c r="G1837" t="s">
        <v>5232</v>
      </c>
      <c r="H1837" t="s">
        <v>2662</v>
      </c>
      <c r="I1837" t="s">
        <v>296</v>
      </c>
      <c r="J1837" t="s">
        <v>2660</v>
      </c>
      <c r="L1837" t="b">
        <v>0</v>
      </c>
      <c r="M1837" t="s">
        <v>29</v>
      </c>
      <c r="N1837" t="s">
        <v>8246</v>
      </c>
      <c r="O1837" s="1">
        <v>23743</v>
      </c>
      <c r="P1837" t="s">
        <v>2663</v>
      </c>
      <c r="Q1837" t="s">
        <v>6092</v>
      </c>
      <c r="S1837" s="1">
        <v>45020.209027777775</v>
      </c>
      <c r="V1837">
        <v>1965</v>
      </c>
      <c r="W1837">
        <v>112.33</v>
      </c>
      <c r="X1837">
        <v>1</v>
      </c>
      <c r="Y1837" s="2">
        <v>268761201365</v>
      </c>
      <c r="Z1837">
        <v>88.2</v>
      </c>
      <c r="AA1837">
        <v>100.2</v>
      </c>
      <c r="AB1837">
        <v>20.8</v>
      </c>
      <c r="AC1837">
        <v>36.6</v>
      </c>
      <c r="AD1837">
        <v>5520314</v>
      </c>
    </row>
    <row r="1838" spans="1:30" hidden="1" x14ac:dyDescent="0.45">
      <c r="A1838">
        <v>1804</v>
      </c>
      <c r="B1838">
        <v>1600</v>
      </c>
      <c r="C1838" t="s">
        <v>91</v>
      </c>
      <c r="D1838" t="s">
        <v>6093</v>
      </c>
      <c r="E1838">
        <v>70</v>
      </c>
      <c r="F1838" t="s">
        <v>35</v>
      </c>
      <c r="G1838" t="s">
        <v>751</v>
      </c>
      <c r="H1838" t="s">
        <v>6094</v>
      </c>
      <c r="I1838" t="s">
        <v>91</v>
      </c>
      <c r="J1838" t="s">
        <v>35</v>
      </c>
      <c r="L1838" t="b">
        <v>1</v>
      </c>
      <c r="M1838" t="s">
        <v>29</v>
      </c>
      <c r="N1838" t="s">
        <v>8245</v>
      </c>
      <c r="O1838" s="1">
        <v>19213</v>
      </c>
      <c r="P1838" t="s">
        <v>6095</v>
      </c>
      <c r="Q1838" t="s">
        <v>169</v>
      </c>
      <c r="S1838" s="1">
        <v>45020.209027777775</v>
      </c>
      <c r="T1838" t="s">
        <v>253</v>
      </c>
      <c r="U1838" t="s">
        <v>44</v>
      </c>
      <c r="V1838">
        <v>1952</v>
      </c>
      <c r="W1838">
        <v>117.24</v>
      </c>
      <c r="X1838">
        <v>7.5</v>
      </c>
      <c r="Y1838" s="2">
        <v>21427700000000</v>
      </c>
      <c r="Z1838">
        <v>88.2</v>
      </c>
      <c r="AA1838">
        <v>101.8</v>
      </c>
      <c r="AB1838">
        <v>9.6</v>
      </c>
      <c r="AC1838">
        <v>36.6</v>
      </c>
      <c r="AD1838">
        <v>328239523</v>
      </c>
    </row>
    <row r="1839" spans="1:30" x14ac:dyDescent="0.45">
      <c r="A1839">
        <v>1804</v>
      </c>
      <c r="B1839" s="6">
        <v>1600</v>
      </c>
      <c r="C1839" t="s">
        <v>76</v>
      </c>
      <c r="D1839" t="s">
        <v>6096</v>
      </c>
      <c r="E1839">
        <v>89</v>
      </c>
      <c r="F1839" t="s">
        <v>35</v>
      </c>
      <c r="G1839" t="s">
        <v>6097</v>
      </c>
      <c r="H1839" t="s">
        <v>6098</v>
      </c>
      <c r="I1839" t="s">
        <v>76</v>
      </c>
      <c r="J1839" t="s">
        <v>35</v>
      </c>
      <c r="K1839" t="s">
        <v>6099</v>
      </c>
      <c r="L1839" t="b">
        <v>0</v>
      </c>
      <c r="M1839" t="s">
        <v>39</v>
      </c>
      <c r="N1839" t="s">
        <v>8245</v>
      </c>
      <c r="O1839" s="10">
        <v>12202</v>
      </c>
      <c r="P1839" t="s">
        <v>6100</v>
      </c>
      <c r="Q1839" t="s">
        <v>734</v>
      </c>
      <c r="R1839" t="s">
        <v>32</v>
      </c>
      <c r="S1839" s="8">
        <v>45020.209027777775</v>
      </c>
      <c r="T1839" t="s">
        <v>4158</v>
      </c>
      <c r="U1839" t="s">
        <v>69</v>
      </c>
      <c r="V1839">
        <v>1933</v>
      </c>
      <c r="W1839" s="12">
        <v>117.24</v>
      </c>
      <c r="X1839">
        <v>7.5</v>
      </c>
      <c r="Y1839" s="14">
        <v>21427700000000</v>
      </c>
      <c r="Z1839">
        <v>88.2</v>
      </c>
      <c r="AA1839">
        <v>101.8</v>
      </c>
      <c r="AB1839">
        <v>9.6</v>
      </c>
      <c r="AC1839">
        <v>36.6</v>
      </c>
      <c r="AD1839">
        <v>328239523</v>
      </c>
    </row>
    <row r="1840" spans="1:30" hidden="1" x14ac:dyDescent="0.45">
      <c r="A1840">
        <v>1804</v>
      </c>
      <c r="B1840">
        <v>1600</v>
      </c>
      <c r="C1840" t="s">
        <v>296</v>
      </c>
      <c r="D1840" t="s">
        <v>6101</v>
      </c>
      <c r="E1840">
        <v>69</v>
      </c>
      <c r="F1840" t="s">
        <v>128</v>
      </c>
      <c r="G1840" t="s">
        <v>5730</v>
      </c>
      <c r="H1840" t="s">
        <v>5731</v>
      </c>
      <c r="I1840" t="s">
        <v>296</v>
      </c>
      <c r="J1840" t="s">
        <v>128</v>
      </c>
      <c r="L1840" t="b">
        <v>1</v>
      </c>
      <c r="M1840" t="s">
        <v>39</v>
      </c>
      <c r="N1840" t="s">
        <v>8245</v>
      </c>
      <c r="O1840" s="1">
        <v>19526</v>
      </c>
      <c r="P1840" t="s">
        <v>3693</v>
      </c>
      <c r="Q1840" t="s">
        <v>6102</v>
      </c>
      <c r="S1840" s="1">
        <v>45020.209027777775</v>
      </c>
      <c r="V1840">
        <v>1953</v>
      </c>
      <c r="W1840">
        <v>125.08</v>
      </c>
      <c r="X1840">
        <v>2.9</v>
      </c>
      <c r="Y1840" s="2">
        <v>19910000000000</v>
      </c>
      <c r="Z1840">
        <v>50.6</v>
      </c>
      <c r="AA1840">
        <v>100.2</v>
      </c>
      <c r="AB1840">
        <v>9.4</v>
      </c>
      <c r="AC1840">
        <v>59.2</v>
      </c>
      <c r="AD1840">
        <v>1397715000</v>
      </c>
    </row>
    <row r="1841" spans="1:30" hidden="1" x14ac:dyDescent="0.45">
      <c r="A1841">
        <v>1804</v>
      </c>
      <c r="B1841">
        <v>1600</v>
      </c>
      <c r="C1841" t="s">
        <v>326</v>
      </c>
      <c r="D1841" t="s">
        <v>6103</v>
      </c>
      <c r="E1841">
        <v>60</v>
      </c>
      <c r="F1841" t="s">
        <v>128</v>
      </c>
      <c r="G1841" t="s">
        <v>743</v>
      </c>
      <c r="H1841" t="s">
        <v>6104</v>
      </c>
      <c r="I1841" t="s">
        <v>326</v>
      </c>
      <c r="J1841" t="s">
        <v>128</v>
      </c>
      <c r="L1841" t="b">
        <v>1</v>
      </c>
      <c r="M1841" t="s">
        <v>39</v>
      </c>
      <c r="N1841" t="s">
        <v>8245</v>
      </c>
      <c r="O1841" s="1">
        <v>22828</v>
      </c>
      <c r="P1841" t="s">
        <v>6105</v>
      </c>
      <c r="Q1841" t="s">
        <v>6106</v>
      </c>
      <c r="S1841" s="1">
        <v>45020.209027777775</v>
      </c>
      <c r="V1841">
        <v>1962</v>
      </c>
      <c r="W1841">
        <v>125.08</v>
      </c>
      <c r="X1841">
        <v>2.9</v>
      </c>
      <c r="Y1841" s="2">
        <v>19910000000000</v>
      </c>
      <c r="Z1841">
        <v>50.6</v>
      </c>
      <c r="AA1841">
        <v>100.2</v>
      </c>
      <c r="AB1841">
        <v>9.4</v>
      </c>
      <c r="AC1841">
        <v>59.2</v>
      </c>
      <c r="AD1841">
        <v>1397715000</v>
      </c>
    </row>
    <row r="1842" spans="1:30" hidden="1" x14ac:dyDescent="0.45">
      <c r="A1842">
        <v>1804</v>
      </c>
      <c r="B1842">
        <v>1600</v>
      </c>
      <c r="C1842" t="s">
        <v>302</v>
      </c>
      <c r="D1842" t="s">
        <v>6107</v>
      </c>
      <c r="E1842">
        <v>59</v>
      </c>
      <c r="F1842" t="s">
        <v>128</v>
      </c>
      <c r="G1842" t="s">
        <v>292</v>
      </c>
      <c r="H1842" t="s">
        <v>304</v>
      </c>
      <c r="I1842" t="s">
        <v>302</v>
      </c>
      <c r="J1842" t="s">
        <v>128</v>
      </c>
      <c r="L1842" t="b">
        <v>1</v>
      </c>
      <c r="M1842" t="s">
        <v>39</v>
      </c>
      <c r="N1842" t="s">
        <v>8245</v>
      </c>
      <c r="O1842" s="1">
        <v>23240</v>
      </c>
      <c r="P1842" t="s">
        <v>748</v>
      </c>
      <c r="Q1842" t="s">
        <v>6108</v>
      </c>
      <c r="S1842" s="1">
        <v>45020.209027777775</v>
      </c>
      <c r="V1842">
        <v>1963</v>
      </c>
      <c r="W1842">
        <v>125.08</v>
      </c>
      <c r="X1842">
        <v>2.9</v>
      </c>
      <c r="Y1842" s="2">
        <v>19910000000000</v>
      </c>
      <c r="Z1842">
        <v>50.6</v>
      </c>
      <c r="AA1842">
        <v>100.2</v>
      </c>
      <c r="AB1842">
        <v>9.4</v>
      </c>
      <c r="AC1842">
        <v>59.2</v>
      </c>
      <c r="AD1842">
        <v>1397715000</v>
      </c>
    </row>
    <row r="1843" spans="1:30" hidden="1" x14ac:dyDescent="0.45">
      <c r="A1843">
        <v>1804</v>
      </c>
      <c r="B1843">
        <v>1600</v>
      </c>
      <c r="C1843" t="s">
        <v>23</v>
      </c>
      <c r="D1843" t="s">
        <v>6109</v>
      </c>
      <c r="E1843">
        <v>65</v>
      </c>
      <c r="F1843" t="s">
        <v>363</v>
      </c>
      <c r="G1843" t="s">
        <v>381</v>
      </c>
      <c r="H1843" t="s">
        <v>6110</v>
      </c>
      <c r="I1843" t="s">
        <v>23</v>
      </c>
      <c r="J1843" t="s">
        <v>363</v>
      </c>
      <c r="L1843" t="b">
        <v>1</v>
      </c>
      <c r="M1843" t="s">
        <v>1332</v>
      </c>
      <c r="N1843" t="s">
        <v>8245</v>
      </c>
      <c r="O1843" s="1">
        <v>21196</v>
      </c>
      <c r="P1843" t="s">
        <v>6111</v>
      </c>
      <c r="Q1843" t="s">
        <v>3423</v>
      </c>
      <c r="S1843" s="1">
        <v>45020.209027777775</v>
      </c>
      <c r="V1843">
        <v>1958</v>
      </c>
      <c r="W1843">
        <v>180.75</v>
      </c>
      <c r="X1843">
        <v>4.5</v>
      </c>
      <c r="Y1843" s="2">
        <v>1699876578871</v>
      </c>
      <c r="Z1843">
        <v>81.900000000000006</v>
      </c>
      <c r="AA1843">
        <v>102.6</v>
      </c>
      <c r="AB1843">
        <v>11.4</v>
      </c>
      <c r="AC1843">
        <v>46.2</v>
      </c>
      <c r="AD1843">
        <v>144373535</v>
      </c>
    </row>
    <row r="1844" spans="1:30" hidden="1" x14ac:dyDescent="0.45">
      <c r="A1844">
        <v>1804</v>
      </c>
      <c r="B1844">
        <v>1600</v>
      </c>
      <c r="C1844" t="s">
        <v>76</v>
      </c>
      <c r="D1844" t="s">
        <v>6112</v>
      </c>
      <c r="H1844" t="s">
        <v>336</v>
      </c>
      <c r="I1844" t="s">
        <v>76</v>
      </c>
      <c r="J1844" t="s">
        <v>928</v>
      </c>
      <c r="L1844" t="b">
        <v>1</v>
      </c>
      <c r="M1844" t="s">
        <v>258</v>
      </c>
      <c r="N1844" t="s">
        <v>8245</v>
      </c>
      <c r="O1844" s="1">
        <v>26969</v>
      </c>
      <c r="P1844" t="s">
        <v>932</v>
      </c>
      <c r="Q1844" t="s">
        <v>6113</v>
      </c>
      <c r="S1844" s="1">
        <v>45020.209027777775</v>
      </c>
      <c r="V1844">
        <v>1973</v>
      </c>
      <c r="W1844"/>
      <c r="Y1844"/>
    </row>
    <row r="1845" spans="1:30" hidden="1" x14ac:dyDescent="0.45">
      <c r="A1845">
        <v>1804</v>
      </c>
      <c r="B1845">
        <v>1600</v>
      </c>
      <c r="C1845" t="s">
        <v>402</v>
      </c>
      <c r="D1845" t="s">
        <v>6114</v>
      </c>
      <c r="E1845">
        <v>69</v>
      </c>
      <c r="F1845" t="s">
        <v>35</v>
      </c>
      <c r="G1845" t="s">
        <v>6115</v>
      </c>
      <c r="H1845" t="s">
        <v>610</v>
      </c>
      <c r="I1845" t="s">
        <v>402</v>
      </c>
      <c r="J1845" t="s">
        <v>35</v>
      </c>
      <c r="L1845" t="b">
        <v>1</v>
      </c>
      <c r="M1845" t="s">
        <v>611</v>
      </c>
      <c r="N1845" t="s">
        <v>8245</v>
      </c>
      <c r="O1845" s="1">
        <v>19784</v>
      </c>
      <c r="P1845" t="s">
        <v>6116</v>
      </c>
      <c r="Q1845" t="s">
        <v>6117</v>
      </c>
      <c r="S1845" s="1">
        <v>45020.209027777775</v>
      </c>
      <c r="T1845" t="s">
        <v>253</v>
      </c>
      <c r="U1845" t="s">
        <v>44</v>
      </c>
      <c r="V1845">
        <v>1954</v>
      </c>
      <c r="W1845">
        <v>117.24</v>
      </c>
      <c r="X1845">
        <v>7.5</v>
      </c>
      <c r="Y1845" s="2">
        <v>21427700000000</v>
      </c>
      <c r="Z1845">
        <v>88.2</v>
      </c>
      <c r="AA1845">
        <v>101.8</v>
      </c>
      <c r="AB1845">
        <v>9.6</v>
      </c>
      <c r="AC1845">
        <v>36.6</v>
      </c>
      <c r="AD1845">
        <v>328239523</v>
      </c>
    </row>
    <row r="1846" spans="1:30" hidden="1" x14ac:dyDescent="0.45">
      <c r="A1846">
        <v>1804</v>
      </c>
      <c r="B1846">
        <v>1600</v>
      </c>
      <c r="C1846" t="s">
        <v>347</v>
      </c>
      <c r="D1846" t="s">
        <v>6118</v>
      </c>
      <c r="E1846">
        <v>82</v>
      </c>
      <c r="F1846" t="s">
        <v>35</v>
      </c>
      <c r="G1846" t="s">
        <v>355</v>
      </c>
      <c r="H1846" t="s">
        <v>2162</v>
      </c>
      <c r="I1846" t="s">
        <v>347</v>
      </c>
      <c r="J1846" t="s">
        <v>35</v>
      </c>
      <c r="L1846" t="b">
        <v>0</v>
      </c>
      <c r="M1846" t="s">
        <v>611</v>
      </c>
      <c r="N1846" t="s">
        <v>8245</v>
      </c>
      <c r="O1846" s="1">
        <v>14734</v>
      </c>
      <c r="P1846" t="s">
        <v>143</v>
      </c>
      <c r="Q1846" t="s">
        <v>338</v>
      </c>
      <c r="S1846" s="1">
        <v>45020.209027777775</v>
      </c>
      <c r="T1846" t="s">
        <v>253</v>
      </c>
      <c r="U1846" t="s">
        <v>44</v>
      </c>
      <c r="V1846">
        <v>1940</v>
      </c>
      <c r="W1846">
        <v>117.24</v>
      </c>
      <c r="X1846">
        <v>7.5</v>
      </c>
      <c r="Y1846" s="2">
        <v>21427700000000</v>
      </c>
      <c r="Z1846">
        <v>88.2</v>
      </c>
      <c r="AA1846">
        <v>101.8</v>
      </c>
      <c r="AB1846">
        <v>9.6</v>
      </c>
      <c r="AC1846">
        <v>36.6</v>
      </c>
      <c r="AD1846">
        <v>328239523</v>
      </c>
    </row>
    <row r="1847" spans="1:30" hidden="1" x14ac:dyDescent="0.45">
      <c r="A1847">
        <v>1804</v>
      </c>
      <c r="B1847">
        <v>1600</v>
      </c>
      <c r="C1847" t="s">
        <v>296</v>
      </c>
      <c r="D1847" t="s">
        <v>6119</v>
      </c>
      <c r="E1847">
        <v>73</v>
      </c>
      <c r="F1847" t="s">
        <v>255</v>
      </c>
      <c r="G1847" t="s">
        <v>6120</v>
      </c>
      <c r="H1847" t="s">
        <v>317</v>
      </c>
      <c r="I1847" t="s">
        <v>296</v>
      </c>
      <c r="J1847" t="s">
        <v>363</v>
      </c>
      <c r="L1847" t="b">
        <v>1</v>
      </c>
      <c r="M1847" t="s">
        <v>29</v>
      </c>
      <c r="N1847" t="s">
        <v>8245</v>
      </c>
      <c r="O1847" s="1">
        <v>18095</v>
      </c>
      <c r="P1847" t="s">
        <v>6121</v>
      </c>
      <c r="Q1847" t="s">
        <v>2587</v>
      </c>
      <c r="S1847" s="1">
        <v>45020.209027777775</v>
      </c>
      <c r="V1847">
        <v>1949</v>
      </c>
      <c r="W1847">
        <v>118.06</v>
      </c>
      <c r="X1847">
        <v>1.5</v>
      </c>
      <c r="Y1847" s="2">
        <v>446314739528</v>
      </c>
      <c r="Z1847">
        <v>85.1</v>
      </c>
      <c r="AA1847">
        <v>103.1</v>
      </c>
      <c r="AB1847">
        <v>25.4</v>
      </c>
      <c r="AC1847">
        <v>51.4</v>
      </c>
      <c r="AD1847">
        <v>8877067</v>
      </c>
    </row>
    <row r="1848" spans="1:30" hidden="1" x14ac:dyDescent="0.45">
      <c r="A1848">
        <v>1804</v>
      </c>
      <c r="B1848">
        <v>1600</v>
      </c>
      <c r="C1848" t="s">
        <v>203</v>
      </c>
      <c r="D1848" t="s">
        <v>6122</v>
      </c>
      <c r="E1848">
        <v>76</v>
      </c>
      <c r="F1848" t="s">
        <v>266</v>
      </c>
      <c r="G1848" t="s">
        <v>453</v>
      </c>
      <c r="H1848" t="s">
        <v>438</v>
      </c>
      <c r="I1848" t="s">
        <v>203</v>
      </c>
      <c r="J1848" t="s">
        <v>266</v>
      </c>
      <c r="L1848" t="b">
        <v>1</v>
      </c>
      <c r="M1848" t="s">
        <v>39</v>
      </c>
      <c r="N1848" t="s">
        <v>8245</v>
      </c>
      <c r="O1848" s="1">
        <v>17085</v>
      </c>
      <c r="P1848" t="s">
        <v>6123</v>
      </c>
      <c r="Q1848" t="s">
        <v>6124</v>
      </c>
      <c r="S1848" s="1">
        <v>45020.209027777775</v>
      </c>
      <c r="V1848">
        <v>1946</v>
      </c>
      <c r="W1848">
        <v>105.48</v>
      </c>
      <c r="X1848">
        <v>0.5</v>
      </c>
      <c r="Y1848" s="2">
        <v>5081769542380</v>
      </c>
      <c r="Z1848">
        <v>63.2</v>
      </c>
      <c r="AA1848">
        <v>98.8</v>
      </c>
      <c r="AB1848">
        <v>11.9</v>
      </c>
      <c r="AC1848">
        <v>46.7</v>
      </c>
      <c r="AD1848">
        <v>126226568</v>
      </c>
    </row>
    <row r="1849" spans="1:30" hidden="1" x14ac:dyDescent="0.45">
      <c r="A1849">
        <v>1804</v>
      </c>
      <c r="B1849">
        <v>1600</v>
      </c>
      <c r="C1849" t="s">
        <v>402</v>
      </c>
      <c r="D1849" t="s">
        <v>6125</v>
      </c>
      <c r="E1849">
        <v>74</v>
      </c>
      <c r="F1849" t="s">
        <v>35</v>
      </c>
      <c r="G1849" t="s">
        <v>1549</v>
      </c>
      <c r="H1849" t="s">
        <v>1919</v>
      </c>
      <c r="I1849" t="s">
        <v>402</v>
      </c>
      <c r="J1849" t="s">
        <v>35</v>
      </c>
      <c r="L1849" t="b">
        <v>1</v>
      </c>
      <c r="M1849" t="s">
        <v>611</v>
      </c>
      <c r="N1849" t="s">
        <v>8245</v>
      </c>
      <c r="O1849" s="1">
        <v>17774</v>
      </c>
      <c r="P1849" t="s">
        <v>4080</v>
      </c>
      <c r="Q1849" t="s">
        <v>619</v>
      </c>
      <c r="S1849" s="1">
        <v>45020.209027777775</v>
      </c>
      <c r="T1849" t="s">
        <v>427</v>
      </c>
      <c r="U1849" t="s">
        <v>82</v>
      </c>
      <c r="V1849">
        <v>1948</v>
      </c>
      <c r="W1849">
        <v>117.24</v>
      </c>
      <c r="X1849">
        <v>7.5</v>
      </c>
      <c r="Y1849" s="2">
        <v>21427700000000</v>
      </c>
      <c r="Z1849">
        <v>88.2</v>
      </c>
      <c r="AA1849">
        <v>101.8</v>
      </c>
      <c r="AB1849">
        <v>9.6</v>
      </c>
      <c r="AC1849">
        <v>36.6</v>
      </c>
      <c r="AD1849">
        <v>328239523</v>
      </c>
    </row>
    <row r="1850" spans="1:30" hidden="1" x14ac:dyDescent="0.45">
      <c r="A1850">
        <v>1804</v>
      </c>
      <c r="B1850">
        <v>1600</v>
      </c>
      <c r="C1850" t="s">
        <v>91</v>
      </c>
      <c r="D1850" t="s">
        <v>6126</v>
      </c>
      <c r="E1850">
        <v>68</v>
      </c>
      <c r="F1850" t="s">
        <v>272</v>
      </c>
      <c r="G1850" t="s">
        <v>6127</v>
      </c>
      <c r="H1850" t="s">
        <v>296</v>
      </c>
      <c r="I1850" t="s">
        <v>91</v>
      </c>
      <c r="J1850" t="s">
        <v>272</v>
      </c>
      <c r="L1850" t="b">
        <v>1</v>
      </c>
      <c r="M1850" t="s">
        <v>39</v>
      </c>
      <c r="N1850" t="s">
        <v>8245</v>
      </c>
      <c r="O1850" s="1">
        <v>20060</v>
      </c>
      <c r="P1850" t="s">
        <v>6128</v>
      </c>
      <c r="Q1850" t="s">
        <v>797</v>
      </c>
      <c r="S1850" s="1">
        <v>45020.209027777775</v>
      </c>
      <c r="V1850">
        <v>1954</v>
      </c>
      <c r="W1850">
        <v>119.62</v>
      </c>
      <c r="X1850">
        <v>1.7</v>
      </c>
      <c r="Y1850" s="2">
        <v>2827113184696</v>
      </c>
      <c r="Z1850">
        <v>60</v>
      </c>
      <c r="AA1850">
        <v>101.2</v>
      </c>
      <c r="AB1850">
        <v>25.5</v>
      </c>
      <c r="AC1850">
        <v>30.6</v>
      </c>
      <c r="AD1850">
        <v>66834405</v>
      </c>
    </row>
    <row r="1851" spans="1:30" hidden="1" x14ac:dyDescent="0.45">
      <c r="A1851">
        <v>1804</v>
      </c>
      <c r="B1851">
        <v>1600</v>
      </c>
      <c r="C1851" t="s">
        <v>91</v>
      </c>
      <c r="D1851" t="s">
        <v>6129</v>
      </c>
      <c r="E1851">
        <v>70</v>
      </c>
      <c r="F1851" t="s">
        <v>1887</v>
      </c>
      <c r="G1851" t="s">
        <v>5518</v>
      </c>
      <c r="H1851" t="s">
        <v>6130</v>
      </c>
      <c r="I1851" t="s">
        <v>91</v>
      </c>
      <c r="J1851" t="s">
        <v>1887</v>
      </c>
      <c r="L1851" t="b">
        <v>0</v>
      </c>
      <c r="M1851" t="s">
        <v>258</v>
      </c>
      <c r="N1851" t="s">
        <v>8246</v>
      </c>
      <c r="O1851" s="1">
        <v>19447</v>
      </c>
      <c r="P1851" t="s">
        <v>6131</v>
      </c>
      <c r="Q1851" t="s">
        <v>6132</v>
      </c>
      <c r="S1851" s="1">
        <v>45020.209027777775</v>
      </c>
      <c r="V1851">
        <v>1953</v>
      </c>
      <c r="W1851">
        <v>101.87</v>
      </c>
      <c r="X1851">
        <v>0.2</v>
      </c>
      <c r="Y1851" s="2">
        <v>209852761469</v>
      </c>
      <c r="Z1851">
        <v>136.6</v>
      </c>
      <c r="AA1851">
        <v>99.6</v>
      </c>
      <c r="AB1851">
        <v>26.2</v>
      </c>
      <c r="AC1851">
        <v>51.9</v>
      </c>
      <c r="AD1851">
        <v>10716322</v>
      </c>
    </row>
    <row r="1852" spans="1:30" hidden="1" x14ac:dyDescent="0.45">
      <c r="A1852">
        <v>1804</v>
      </c>
      <c r="B1852">
        <v>1600</v>
      </c>
      <c r="C1852" t="s">
        <v>302</v>
      </c>
      <c r="D1852" t="s">
        <v>6133</v>
      </c>
      <c r="E1852">
        <v>45</v>
      </c>
      <c r="F1852" t="s">
        <v>762</v>
      </c>
      <c r="H1852" t="s">
        <v>3928</v>
      </c>
      <c r="I1852" t="s">
        <v>302</v>
      </c>
      <c r="J1852" t="s">
        <v>762</v>
      </c>
      <c r="L1852" t="b">
        <v>0</v>
      </c>
      <c r="M1852" t="s">
        <v>285</v>
      </c>
      <c r="N1852" t="s">
        <v>8245</v>
      </c>
      <c r="O1852" s="1">
        <v>28491</v>
      </c>
      <c r="P1852" t="s">
        <v>305</v>
      </c>
      <c r="Q1852" t="s">
        <v>6134</v>
      </c>
      <c r="S1852" s="1">
        <v>45020.209027777775</v>
      </c>
      <c r="V1852">
        <v>1978</v>
      </c>
      <c r="W1852">
        <v>121.46</v>
      </c>
      <c r="X1852">
        <v>0.7</v>
      </c>
      <c r="Y1852" s="2">
        <v>364701517788</v>
      </c>
      <c r="Z1852">
        <v>45.1</v>
      </c>
      <c r="AA1852">
        <v>105.3</v>
      </c>
      <c r="AB1852">
        <v>12</v>
      </c>
      <c r="AC1852">
        <v>38.700000000000003</v>
      </c>
      <c r="AD1852">
        <v>32447385</v>
      </c>
    </row>
    <row r="1853" spans="1:30" hidden="1" x14ac:dyDescent="0.45">
      <c r="A1853">
        <v>1804</v>
      </c>
      <c r="B1853">
        <v>1600</v>
      </c>
      <c r="C1853" t="s">
        <v>302</v>
      </c>
      <c r="D1853" t="s">
        <v>6135</v>
      </c>
      <c r="E1853">
        <v>66</v>
      </c>
      <c r="F1853" t="s">
        <v>128</v>
      </c>
      <c r="G1853" t="s">
        <v>719</v>
      </c>
      <c r="H1853" t="s">
        <v>304</v>
      </c>
      <c r="I1853" t="s">
        <v>302</v>
      </c>
      <c r="J1853" t="s">
        <v>228</v>
      </c>
      <c r="L1853" t="b">
        <v>1</v>
      </c>
      <c r="M1853" t="s">
        <v>611</v>
      </c>
      <c r="N1853" t="s">
        <v>8245</v>
      </c>
      <c r="O1853" s="1">
        <v>20911</v>
      </c>
      <c r="P1853" t="s">
        <v>230</v>
      </c>
      <c r="Q1853" t="s">
        <v>6136</v>
      </c>
      <c r="S1853" s="1">
        <v>45020.209027777775</v>
      </c>
      <c r="V1853">
        <v>1957</v>
      </c>
      <c r="W1853">
        <v>125.08</v>
      </c>
      <c r="X1853">
        <v>2.9</v>
      </c>
      <c r="Y1853" s="2">
        <v>19910000000000</v>
      </c>
      <c r="Z1853">
        <v>50.6</v>
      </c>
      <c r="AA1853">
        <v>100.2</v>
      </c>
      <c r="AB1853">
        <v>9.4</v>
      </c>
      <c r="AC1853">
        <v>59.2</v>
      </c>
      <c r="AD1853">
        <v>1397715000</v>
      </c>
    </row>
    <row r="1854" spans="1:30" hidden="1" x14ac:dyDescent="0.45">
      <c r="A1854">
        <v>1804</v>
      </c>
      <c r="B1854">
        <v>1600</v>
      </c>
      <c r="C1854" t="s">
        <v>302</v>
      </c>
      <c r="D1854" t="s">
        <v>6137</v>
      </c>
      <c r="E1854">
        <v>57</v>
      </c>
      <c r="F1854" t="s">
        <v>128</v>
      </c>
      <c r="G1854" t="s">
        <v>234</v>
      </c>
      <c r="H1854" t="s">
        <v>304</v>
      </c>
      <c r="I1854" t="s">
        <v>302</v>
      </c>
      <c r="J1854" t="s">
        <v>228</v>
      </c>
      <c r="L1854" t="b">
        <v>1</v>
      </c>
      <c r="M1854" t="s">
        <v>39</v>
      </c>
      <c r="N1854" t="s">
        <v>8245</v>
      </c>
      <c r="O1854" s="1">
        <v>24108</v>
      </c>
      <c r="P1854" t="s">
        <v>230</v>
      </c>
      <c r="Q1854" t="s">
        <v>6138</v>
      </c>
      <c r="S1854" s="1">
        <v>45020.209027777775</v>
      </c>
      <c r="V1854">
        <v>1966</v>
      </c>
      <c r="W1854">
        <v>125.08</v>
      </c>
      <c r="X1854">
        <v>2.9</v>
      </c>
      <c r="Y1854" s="2">
        <v>19910000000000</v>
      </c>
      <c r="Z1854">
        <v>50.6</v>
      </c>
      <c r="AA1854">
        <v>100.2</v>
      </c>
      <c r="AB1854">
        <v>9.4</v>
      </c>
      <c r="AC1854">
        <v>59.2</v>
      </c>
      <c r="AD1854">
        <v>1397715000</v>
      </c>
    </row>
    <row r="1855" spans="1:30" hidden="1" x14ac:dyDescent="0.45">
      <c r="A1855">
        <v>1804</v>
      </c>
      <c r="B1855">
        <v>1600</v>
      </c>
      <c r="C1855" t="s">
        <v>45</v>
      </c>
      <c r="D1855" t="s">
        <v>6139</v>
      </c>
      <c r="E1855">
        <v>46</v>
      </c>
      <c r="F1855" t="s">
        <v>128</v>
      </c>
      <c r="G1855" t="s">
        <v>292</v>
      </c>
      <c r="H1855" t="s">
        <v>336</v>
      </c>
      <c r="I1855" t="s">
        <v>45</v>
      </c>
      <c r="J1855" t="s">
        <v>128</v>
      </c>
      <c r="L1855" t="b">
        <v>1</v>
      </c>
      <c r="M1855" t="s">
        <v>39</v>
      </c>
      <c r="N1855" t="s">
        <v>8245</v>
      </c>
      <c r="O1855" s="1">
        <v>28126</v>
      </c>
      <c r="P1855" t="s">
        <v>230</v>
      </c>
      <c r="Q1855" t="s">
        <v>6140</v>
      </c>
      <c r="S1855" s="1">
        <v>45020.209027777775</v>
      </c>
      <c r="V1855">
        <v>1977</v>
      </c>
      <c r="W1855">
        <v>125.08</v>
      </c>
      <c r="X1855">
        <v>2.9</v>
      </c>
      <c r="Y1855" s="2">
        <v>19910000000000</v>
      </c>
      <c r="Z1855">
        <v>50.6</v>
      </c>
      <c r="AA1855">
        <v>100.2</v>
      </c>
      <c r="AB1855">
        <v>9.4</v>
      </c>
      <c r="AC1855">
        <v>59.2</v>
      </c>
      <c r="AD1855">
        <v>1397715000</v>
      </c>
    </row>
    <row r="1856" spans="1:30" hidden="1" x14ac:dyDescent="0.45">
      <c r="A1856">
        <v>1804</v>
      </c>
      <c r="B1856">
        <v>1600</v>
      </c>
      <c r="C1856" t="s">
        <v>45</v>
      </c>
      <c r="D1856" t="s">
        <v>6141</v>
      </c>
      <c r="E1856">
        <v>51</v>
      </c>
      <c r="F1856" t="s">
        <v>128</v>
      </c>
      <c r="G1856" t="s">
        <v>6142</v>
      </c>
      <c r="H1856" t="s">
        <v>6143</v>
      </c>
      <c r="I1856" t="s">
        <v>45</v>
      </c>
      <c r="J1856" t="s">
        <v>128</v>
      </c>
      <c r="L1856" t="b">
        <v>1</v>
      </c>
      <c r="M1856" t="s">
        <v>39</v>
      </c>
      <c r="N1856" t="s">
        <v>8246</v>
      </c>
      <c r="O1856" s="1">
        <v>26232</v>
      </c>
      <c r="P1856" t="s">
        <v>1446</v>
      </c>
      <c r="Q1856" t="s">
        <v>496</v>
      </c>
      <c r="S1856" s="1">
        <v>45020.209027777775</v>
      </c>
      <c r="V1856">
        <v>1971</v>
      </c>
      <c r="W1856">
        <v>125.08</v>
      </c>
      <c r="X1856">
        <v>2.9</v>
      </c>
      <c r="Y1856" s="2">
        <v>19910000000000</v>
      </c>
      <c r="Z1856">
        <v>50.6</v>
      </c>
      <c r="AA1856">
        <v>100.2</v>
      </c>
      <c r="AB1856">
        <v>9.4</v>
      </c>
      <c r="AC1856">
        <v>59.2</v>
      </c>
      <c r="AD1856">
        <v>1397715000</v>
      </c>
    </row>
    <row r="1857" spans="1:30" hidden="1" x14ac:dyDescent="0.45">
      <c r="A1857">
        <v>1804</v>
      </c>
      <c r="B1857">
        <v>1600</v>
      </c>
      <c r="C1857" t="s">
        <v>302</v>
      </c>
      <c r="D1857" t="s">
        <v>6144</v>
      </c>
      <c r="E1857">
        <v>75</v>
      </c>
      <c r="F1857" t="s">
        <v>228</v>
      </c>
      <c r="G1857" t="s">
        <v>228</v>
      </c>
      <c r="H1857" t="s">
        <v>304</v>
      </c>
      <c r="I1857" t="s">
        <v>302</v>
      </c>
      <c r="J1857" t="s">
        <v>228</v>
      </c>
      <c r="L1857" t="b">
        <v>0</v>
      </c>
      <c r="M1857" t="s">
        <v>611</v>
      </c>
      <c r="N1857" t="s">
        <v>8245</v>
      </c>
      <c r="O1857" s="1">
        <v>17624</v>
      </c>
      <c r="P1857" t="s">
        <v>6145</v>
      </c>
      <c r="Q1857" t="s">
        <v>976</v>
      </c>
      <c r="S1857" s="1">
        <v>45020.209027777775</v>
      </c>
      <c r="V1857">
        <v>1948</v>
      </c>
      <c r="W1857"/>
      <c r="Y1857"/>
    </row>
    <row r="1858" spans="1:30" hidden="1" x14ac:dyDescent="0.45">
      <c r="A1858">
        <v>1804</v>
      </c>
      <c r="B1858">
        <v>1600</v>
      </c>
      <c r="C1858" t="s">
        <v>83</v>
      </c>
      <c r="D1858" t="s">
        <v>6146</v>
      </c>
      <c r="E1858">
        <v>80</v>
      </c>
      <c r="F1858" t="s">
        <v>164</v>
      </c>
      <c r="G1858" t="s">
        <v>2744</v>
      </c>
      <c r="H1858" t="s">
        <v>83</v>
      </c>
      <c r="I1858" t="s">
        <v>83</v>
      </c>
      <c r="J1858" t="s">
        <v>164</v>
      </c>
      <c r="L1858" t="b">
        <v>1</v>
      </c>
      <c r="M1858" t="s">
        <v>611</v>
      </c>
      <c r="N1858" t="s">
        <v>8245</v>
      </c>
      <c r="O1858" s="1">
        <v>15797</v>
      </c>
      <c r="P1858" t="s">
        <v>6147</v>
      </c>
      <c r="Q1858" t="s">
        <v>6148</v>
      </c>
      <c r="S1858" s="1">
        <v>45020.209027777775</v>
      </c>
      <c r="V1858">
        <v>1943</v>
      </c>
      <c r="W1858">
        <v>116.76</v>
      </c>
      <c r="X1858">
        <v>1.9</v>
      </c>
      <c r="Y1858" s="2">
        <v>1736425629520</v>
      </c>
      <c r="Z1858">
        <v>68.900000000000006</v>
      </c>
      <c r="AA1858">
        <v>100.9</v>
      </c>
      <c r="AB1858">
        <v>12.8</v>
      </c>
      <c r="AC1858">
        <v>24.5</v>
      </c>
      <c r="AD1858">
        <v>36991981</v>
      </c>
    </row>
    <row r="1859" spans="1:30" hidden="1" x14ac:dyDescent="0.45">
      <c r="A1859">
        <v>1804</v>
      </c>
      <c r="B1859">
        <v>1600</v>
      </c>
      <c r="C1859" t="s">
        <v>45</v>
      </c>
      <c r="D1859" t="s">
        <v>6149</v>
      </c>
      <c r="E1859">
        <v>57</v>
      </c>
      <c r="F1859" t="s">
        <v>35</v>
      </c>
      <c r="G1859" t="s">
        <v>1508</v>
      </c>
      <c r="H1859" t="s">
        <v>6150</v>
      </c>
      <c r="I1859" t="s">
        <v>45</v>
      </c>
      <c r="J1859" t="s">
        <v>35</v>
      </c>
      <c r="L1859" t="b">
        <v>1</v>
      </c>
      <c r="M1859" t="s">
        <v>39</v>
      </c>
      <c r="N1859" t="s">
        <v>8245</v>
      </c>
      <c r="O1859" s="1">
        <v>24034</v>
      </c>
      <c r="P1859" t="s">
        <v>6151</v>
      </c>
      <c r="Q1859" t="s">
        <v>153</v>
      </c>
      <c r="S1859" s="1">
        <v>45020.209027777775</v>
      </c>
      <c r="T1859" t="s">
        <v>1153</v>
      </c>
      <c r="U1859" t="s">
        <v>69</v>
      </c>
      <c r="V1859">
        <v>1965</v>
      </c>
      <c r="W1859">
        <v>117.24</v>
      </c>
      <c r="X1859">
        <v>7.5</v>
      </c>
      <c r="Y1859" s="2">
        <v>21427700000000</v>
      </c>
      <c r="Z1859">
        <v>88.2</v>
      </c>
      <c r="AA1859">
        <v>101.8</v>
      </c>
      <c r="AB1859">
        <v>9.6</v>
      </c>
      <c r="AC1859">
        <v>36.6</v>
      </c>
      <c r="AD1859">
        <v>328239523</v>
      </c>
    </row>
    <row r="1860" spans="1:30" hidden="1" x14ac:dyDescent="0.45">
      <c r="A1860">
        <v>1804</v>
      </c>
      <c r="B1860">
        <v>1600</v>
      </c>
      <c r="C1860" t="s">
        <v>302</v>
      </c>
      <c r="D1860" t="s">
        <v>6152</v>
      </c>
      <c r="E1860">
        <v>74</v>
      </c>
      <c r="F1860" t="s">
        <v>360</v>
      </c>
      <c r="G1860" t="s">
        <v>767</v>
      </c>
      <c r="H1860" t="s">
        <v>304</v>
      </c>
      <c r="I1860" t="s">
        <v>302</v>
      </c>
      <c r="J1860" t="s">
        <v>4004</v>
      </c>
      <c r="L1860" t="b">
        <v>1</v>
      </c>
      <c r="M1860" t="s">
        <v>1332</v>
      </c>
      <c r="N1860" t="s">
        <v>8245</v>
      </c>
      <c r="O1860" s="1">
        <v>17854</v>
      </c>
      <c r="P1860" t="s">
        <v>6153</v>
      </c>
      <c r="Q1860" t="s">
        <v>6154</v>
      </c>
      <c r="S1860" s="1">
        <v>45020.209027777775</v>
      </c>
      <c r="V1860">
        <v>1948</v>
      </c>
      <c r="W1860">
        <v>114.52</v>
      </c>
      <c r="X1860">
        <v>-1.9</v>
      </c>
      <c r="Y1860" s="2">
        <v>421142267938</v>
      </c>
      <c r="Z1860">
        <v>36.799999999999997</v>
      </c>
      <c r="AA1860">
        <v>108.4</v>
      </c>
      <c r="AB1860">
        <v>0.1</v>
      </c>
      <c r="AC1860">
        <v>15.9</v>
      </c>
      <c r="AD1860">
        <v>9770529</v>
      </c>
    </row>
    <row r="1861" spans="1:30" hidden="1" x14ac:dyDescent="0.45">
      <c r="A1861">
        <v>1804</v>
      </c>
      <c r="B1861">
        <v>1600</v>
      </c>
      <c r="C1861" t="s">
        <v>347</v>
      </c>
      <c r="D1861" t="s">
        <v>6155</v>
      </c>
      <c r="E1861">
        <v>77</v>
      </c>
      <c r="F1861" t="s">
        <v>214</v>
      </c>
      <c r="G1861" t="s">
        <v>802</v>
      </c>
      <c r="H1861" t="s">
        <v>6156</v>
      </c>
      <c r="I1861" t="s">
        <v>347</v>
      </c>
      <c r="J1861" t="s">
        <v>214</v>
      </c>
      <c r="L1861" t="b">
        <v>0</v>
      </c>
      <c r="M1861" t="s">
        <v>29</v>
      </c>
      <c r="N1861" t="s">
        <v>8245</v>
      </c>
      <c r="O1861" s="1">
        <v>16573</v>
      </c>
      <c r="P1861" t="s">
        <v>6157</v>
      </c>
      <c r="Q1861" t="s">
        <v>6158</v>
      </c>
      <c r="S1861" s="1">
        <v>45020.209027777775</v>
      </c>
      <c r="V1861">
        <v>1945</v>
      </c>
      <c r="W1861">
        <v>110.62</v>
      </c>
      <c r="X1861">
        <v>0.6</v>
      </c>
      <c r="Y1861" s="2">
        <v>2001244392042</v>
      </c>
      <c r="Z1861">
        <v>61.9</v>
      </c>
      <c r="AA1861">
        <v>101.9</v>
      </c>
      <c r="AB1861">
        <v>24.3</v>
      </c>
      <c r="AC1861">
        <v>59.1</v>
      </c>
      <c r="AD1861">
        <v>60297396</v>
      </c>
    </row>
    <row r="1862" spans="1:30" hidden="1" x14ac:dyDescent="0.45">
      <c r="A1862">
        <v>1804</v>
      </c>
      <c r="B1862">
        <v>1600</v>
      </c>
      <c r="C1862" t="s">
        <v>61</v>
      </c>
      <c r="D1862" t="s">
        <v>6159</v>
      </c>
      <c r="E1862">
        <v>69</v>
      </c>
      <c r="F1862" t="s">
        <v>490</v>
      </c>
      <c r="G1862" t="s">
        <v>1737</v>
      </c>
      <c r="H1862" t="s">
        <v>317</v>
      </c>
      <c r="I1862" t="s">
        <v>61</v>
      </c>
      <c r="J1862" t="s">
        <v>490</v>
      </c>
      <c r="L1862" t="b">
        <v>0</v>
      </c>
      <c r="M1862" t="s">
        <v>39</v>
      </c>
      <c r="N1862" t="s">
        <v>8246</v>
      </c>
      <c r="O1862" s="1">
        <v>19715</v>
      </c>
      <c r="P1862" t="s">
        <v>491</v>
      </c>
      <c r="Q1862" t="s">
        <v>6160</v>
      </c>
      <c r="S1862" s="1">
        <v>45020.209027777775</v>
      </c>
      <c r="V1862">
        <v>1953</v>
      </c>
      <c r="W1862">
        <v>108.15</v>
      </c>
      <c r="X1862">
        <v>0.8</v>
      </c>
      <c r="Y1862" s="2">
        <v>395098666122</v>
      </c>
      <c r="Z1862">
        <v>63.4</v>
      </c>
      <c r="AA1862">
        <v>104.9</v>
      </c>
      <c r="AB1862">
        <v>23.1</v>
      </c>
      <c r="AC1862">
        <v>25.3</v>
      </c>
      <c r="AD1862">
        <v>9053300</v>
      </c>
    </row>
    <row r="1863" spans="1:30" hidden="1" x14ac:dyDescent="0.45">
      <c r="A1863">
        <v>1804</v>
      </c>
      <c r="B1863">
        <v>1600</v>
      </c>
      <c r="C1863" t="s">
        <v>33</v>
      </c>
      <c r="D1863" t="s">
        <v>6161</v>
      </c>
      <c r="E1863">
        <v>66</v>
      </c>
      <c r="F1863" t="s">
        <v>255</v>
      </c>
      <c r="G1863" t="s">
        <v>6162</v>
      </c>
      <c r="H1863" t="s">
        <v>33</v>
      </c>
      <c r="I1863" t="s">
        <v>33</v>
      </c>
      <c r="J1863" t="s">
        <v>255</v>
      </c>
      <c r="L1863" t="b">
        <v>1</v>
      </c>
      <c r="M1863" t="s">
        <v>29</v>
      </c>
      <c r="N1863" t="s">
        <v>8245</v>
      </c>
      <c r="O1863" s="1">
        <v>20784</v>
      </c>
      <c r="P1863" t="s">
        <v>6163</v>
      </c>
      <c r="Q1863" t="s">
        <v>370</v>
      </c>
      <c r="S1863" s="1">
        <v>45020.209027777775</v>
      </c>
      <c r="V1863">
        <v>1956</v>
      </c>
      <c r="W1863">
        <v>118.06</v>
      </c>
      <c r="X1863">
        <v>1.5</v>
      </c>
      <c r="Y1863" s="2">
        <v>446314739528</v>
      </c>
      <c r="Z1863">
        <v>85.1</v>
      </c>
      <c r="AA1863">
        <v>103.1</v>
      </c>
      <c r="AB1863">
        <v>25.4</v>
      </c>
      <c r="AC1863">
        <v>51.4</v>
      </c>
      <c r="AD1863">
        <v>8877067</v>
      </c>
    </row>
    <row r="1864" spans="1:30" hidden="1" x14ac:dyDescent="0.45">
      <c r="A1864">
        <v>1804</v>
      </c>
      <c r="B1864">
        <v>1600</v>
      </c>
      <c r="C1864" t="s">
        <v>61</v>
      </c>
      <c r="D1864" t="s">
        <v>6164</v>
      </c>
      <c r="E1864">
        <v>58</v>
      </c>
      <c r="F1864" t="s">
        <v>194</v>
      </c>
      <c r="G1864" t="s">
        <v>6165</v>
      </c>
      <c r="H1864" t="s">
        <v>5786</v>
      </c>
      <c r="I1864" t="s">
        <v>61</v>
      </c>
      <c r="J1864" t="s">
        <v>194</v>
      </c>
      <c r="L1864" t="b">
        <v>0</v>
      </c>
      <c r="M1864" t="s">
        <v>29</v>
      </c>
      <c r="N1864" t="s">
        <v>8245</v>
      </c>
      <c r="O1864" s="1">
        <v>23586</v>
      </c>
      <c r="P1864" t="s">
        <v>6166</v>
      </c>
      <c r="Q1864" t="s">
        <v>774</v>
      </c>
      <c r="S1864" s="1">
        <v>45020.209027777775</v>
      </c>
      <c r="V1864">
        <v>1964</v>
      </c>
      <c r="W1864">
        <v>112.85</v>
      </c>
      <c r="X1864">
        <v>1.4</v>
      </c>
      <c r="Y1864" s="2">
        <v>3845630030824</v>
      </c>
      <c r="Z1864">
        <v>70.2</v>
      </c>
      <c r="AA1864">
        <v>104</v>
      </c>
      <c r="AB1864">
        <v>11.5</v>
      </c>
      <c r="AC1864">
        <v>48.8</v>
      </c>
      <c r="AD1864">
        <v>83132799</v>
      </c>
    </row>
    <row r="1865" spans="1:30" hidden="1" x14ac:dyDescent="0.45">
      <c r="A1865">
        <v>1804</v>
      </c>
      <c r="B1865">
        <v>1600</v>
      </c>
      <c r="C1865" t="s">
        <v>61</v>
      </c>
      <c r="D1865" t="s">
        <v>6167</v>
      </c>
      <c r="E1865">
        <v>63</v>
      </c>
      <c r="F1865" t="s">
        <v>194</v>
      </c>
      <c r="G1865" t="s">
        <v>6165</v>
      </c>
      <c r="H1865" t="s">
        <v>5786</v>
      </c>
      <c r="I1865" t="s">
        <v>61</v>
      </c>
      <c r="J1865" t="s">
        <v>194</v>
      </c>
      <c r="L1865" t="b">
        <v>0</v>
      </c>
      <c r="M1865" t="s">
        <v>29</v>
      </c>
      <c r="N1865" t="s">
        <v>8245</v>
      </c>
      <c r="O1865" s="1">
        <v>21856</v>
      </c>
      <c r="P1865" t="s">
        <v>6166</v>
      </c>
      <c r="Q1865" t="s">
        <v>6168</v>
      </c>
      <c r="S1865" s="1">
        <v>45020.209027777775</v>
      </c>
      <c r="V1865">
        <v>1959</v>
      </c>
      <c r="W1865">
        <v>112.85</v>
      </c>
      <c r="X1865">
        <v>1.4</v>
      </c>
      <c r="Y1865" s="2">
        <v>3845630030824</v>
      </c>
      <c r="Z1865">
        <v>70.2</v>
      </c>
      <c r="AA1865">
        <v>104</v>
      </c>
      <c r="AB1865">
        <v>11.5</v>
      </c>
      <c r="AC1865">
        <v>48.8</v>
      </c>
      <c r="AD1865">
        <v>83132799</v>
      </c>
    </row>
    <row r="1866" spans="1:30" hidden="1" x14ac:dyDescent="0.45">
      <c r="A1866">
        <v>1804</v>
      </c>
      <c r="B1866">
        <v>1600</v>
      </c>
      <c r="C1866" t="s">
        <v>347</v>
      </c>
      <c r="D1866" t="s">
        <v>6169</v>
      </c>
      <c r="E1866">
        <v>74</v>
      </c>
      <c r="F1866" t="s">
        <v>35</v>
      </c>
      <c r="G1866" t="s">
        <v>433</v>
      </c>
      <c r="H1866" t="s">
        <v>6170</v>
      </c>
      <c r="I1866" t="s">
        <v>347</v>
      </c>
      <c r="J1866" t="s">
        <v>35</v>
      </c>
      <c r="L1866" t="b">
        <v>1</v>
      </c>
      <c r="M1866" t="s">
        <v>29</v>
      </c>
      <c r="N1866" t="s">
        <v>8245</v>
      </c>
      <c r="O1866" s="1">
        <v>17899</v>
      </c>
      <c r="P1866" t="s">
        <v>6171</v>
      </c>
      <c r="Q1866" t="s">
        <v>81</v>
      </c>
      <c r="S1866" s="1">
        <v>45020.209027777775</v>
      </c>
      <c r="T1866" t="s">
        <v>435</v>
      </c>
      <c r="U1866" t="s">
        <v>69</v>
      </c>
      <c r="V1866">
        <v>1949</v>
      </c>
      <c r="W1866">
        <v>117.24</v>
      </c>
      <c r="X1866">
        <v>7.5</v>
      </c>
      <c r="Y1866" s="2">
        <v>21427700000000</v>
      </c>
      <c r="Z1866">
        <v>88.2</v>
      </c>
      <c r="AA1866">
        <v>101.8</v>
      </c>
      <c r="AB1866">
        <v>9.6</v>
      </c>
      <c r="AC1866">
        <v>36.6</v>
      </c>
      <c r="AD1866">
        <v>328239523</v>
      </c>
    </row>
    <row r="1867" spans="1:30" hidden="1" x14ac:dyDescent="0.45">
      <c r="A1867">
        <v>1804</v>
      </c>
      <c r="B1867">
        <v>1600</v>
      </c>
      <c r="C1867" t="s">
        <v>296</v>
      </c>
      <c r="D1867" t="s">
        <v>6172</v>
      </c>
      <c r="E1867">
        <v>58</v>
      </c>
      <c r="F1867" t="s">
        <v>117</v>
      </c>
      <c r="G1867" t="s">
        <v>2480</v>
      </c>
      <c r="H1867" t="s">
        <v>6173</v>
      </c>
      <c r="I1867" t="s">
        <v>296</v>
      </c>
      <c r="J1867" t="s">
        <v>117</v>
      </c>
      <c r="L1867" t="b">
        <v>0</v>
      </c>
      <c r="M1867" t="s">
        <v>29</v>
      </c>
      <c r="N1867" t="s">
        <v>8245</v>
      </c>
      <c r="O1867" s="1">
        <v>23529</v>
      </c>
      <c r="P1867" t="s">
        <v>6174</v>
      </c>
      <c r="Q1867" t="s">
        <v>6175</v>
      </c>
      <c r="S1867" s="1">
        <v>45020.209027777775</v>
      </c>
      <c r="V1867">
        <v>1964</v>
      </c>
      <c r="W1867">
        <v>110.96</v>
      </c>
      <c r="X1867">
        <v>0.7</v>
      </c>
      <c r="Y1867" s="2">
        <v>1394116310769</v>
      </c>
      <c r="Z1867">
        <v>88.9</v>
      </c>
      <c r="AA1867">
        <v>102.7</v>
      </c>
      <c r="AB1867">
        <v>14.2</v>
      </c>
      <c r="AC1867">
        <v>47</v>
      </c>
      <c r="AD1867">
        <v>47076781</v>
      </c>
    </row>
    <row r="1868" spans="1:30" hidden="1" x14ac:dyDescent="0.45">
      <c r="A1868">
        <v>1804</v>
      </c>
      <c r="B1868">
        <v>1600</v>
      </c>
      <c r="C1868" t="s">
        <v>326</v>
      </c>
      <c r="D1868" t="s">
        <v>6176</v>
      </c>
      <c r="E1868">
        <v>54</v>
      </c>
      <c r="F1868" t="s">
        <v>117</v>
      </c>
      <c r="G1868" t="s">
        <v>2480</v>
      </c>
      <c r="H1868" t="s">
        <v>458</v>
      </c>
      <c r="I1868" t="s">
        <v>326</v>
      </c>
      <c r="J1868" t="s">
        <v>117</v>
      </c>
      <c r="L1868" t="b">
        <v>0</v>
      </c>
      <c r="M1868" t="s">
        <v>1332</v>
      </c>
      <c r="N1868" t="s">
        <v>8245</v>
      </c>
      <c r="O1868" s="1">
        <v>25112</v>
      </c>
      <c r="P1868" t="s">
        <v>6174</v>
      </c>
      <c r="Q1868" t="s">
        <v>6177</v>
      </c>
      <c r="S1868" s="1">
        <v>45020.209027777775</v>
      </c>
      <c r="V1868">
        <v>1968</v>
      </c>
      <c r="W1868">
        <v>110.96</v>
      </c>
      <c r="X1868">
        <v>0.7</v>
      </c>
      <c r="Y1868" s="2">
        <v>1394116310769</v>
      </c>
      <c r="Z1868">
        <v>88.9</v>
      </c>
      <c r="AA1868">
        <v>102.7</v>
      </c>
      <c r="AB1868">
        <v>14.2</v>
      </c>
      <c r="AC1868">
        <v>47</v>
      </c>
      <c r="AD1868">
        <v>47076781</v>
      </c>
    </row>
    <row r="1869" spans="1:30" hidden="1" x14ac:dyDescent="0.45">
      <c r="A1869">
        <v>1804</v>
      </c>
      <c r="B1869">
        <v>1600</v>
      </c>
      <c r="C1869" t="s">
        <v>126</v>
      </c>
      <c r="D1869" t="s">
        <v>6178</v>
      </c>
      <c r="E1869">
        <v>44</v>
      </c>
      <c r="F1869" t="s">
        <v>35</v>
      </c>
      <c r="G1869" t="s">
        <v>78</v>
      </c>
      <c r="H1869" t="s">
        <v>602</v>
      </c>
      <c r="I1869" t="s">
        <v>126</v>
      </c>
      <c r="J1869" t="s">
        <v>35</v>
      </c>
      <c r="L1869" t="b">
        <v>0</v>
      </c>
      <c r="M1869" t="s">
        <v>611</v>
      </c>
      <c r="N1869" t="s">
        <v>8245</v>
      </c>
      <c r="O1869" s="1">
        <v>28642</v>
      </c>
      <c r="P1869" t="s">
        <v>4286</v>
      </c>
      <c r="Q1869" t="s">
        <v>6179</v>
      </c>
      <c r="S1869" s="1">
        <v>45020.209027777775</v>
      </c>
      <c r="T1869" t="s">
        <v>78</v>
      </c>
      <c r="U1869" t="s">
        <v>82</v>
      </c>
      <c r="V1869">
        <v>1978</v>
      </c>
      <c r="W1869">
        <v>117.24</v>
      </c>
      <c r="X1869">
        <v>7.5</v>
      </c>
      <c r="Y1869" s="2">
        <v>21427700000000</v>
      </c>
      <c r="Z1869">
        <v>88.2</v>
      </c>
      <c r="AA1869">
        <v>101.8</v>
      </c>
      <c r="AB1869">
        <v>9.6</v>
      </c>
      <c r="AC1869">
        <v>36.6</v>
      </c>
      <c r="AD1869">
        <v>328239523</v>
      </c>
    </row>
    <row r="1870" spans="1:30" hidden="1" x14ac:dyDescent="0.45">
      <c r="A1870">
        <v>1804</v>
      </c>
      <c r="B1870">
        <v>1600</v>
      </c>
      <c r="C1870" t="s">
        <v>126</v>
      </c>
      <c r="D1870" t="s">
        <v>6180</v>
      </c>
      <c r="E1870">
        <v>68</v>
      </c>
      <c r="F1870" t="s">
        <v>628</v>
      </c>
      <c r="G1870" t="s">
        <v>629</v>
      </c>
      <c r="H1870" t="s">
        <v>6181</v>
      </c>
      <c r="I1870" t="s">
        <v>126</v>
      </c>
      <c r="J1870" t="s">
        <v>628</v>
      </c>
      <c r="L1870" t="b">
        <v>1</v>
      </c>
      <c r="M1870" t="s">
        <v>611</v>
      </c>
      <c r="N1870" t="s">
        <v>8245</v>
      </c>
      <c r="O1870" s="1">
        <v>19834</v>
      </c>
      <c r="P1870" t="s">
        <v>6182</v>
      </c>
      <c r="Q1870" t="s">
        <v>6183</v>
      </c>
      <c r="S1870" s="1">
        <v>45020.209027777775</v>
      </c>
      <c r="V1870">
        <v>1954</v>
      </c>
      <c r="W1870">
        <v>113.27</v>
      </c>
      <c r="X1870">
        <v>0.7</v>
      </c>
      <c r="Y1870" s="2">
        <v>543649976166</v>
      </c>
      <c r="Z1870">
        <v>49.3</v>
      </c>
      <c r="AA1870">
        <v>99.8</v>
      </c>
      <c r="AB1870">
        <v>14.9</v>
      </c>
      <c r="AC1870">
        <v>29.5</v>
      </c>
      <c r="AD1870">
        <v>69625582</v>
      </c>
    </row>
    <row r="1871" spans="1:30" hidden="1" x14ac:dyDescent="0.45">
      <c r="A1871">
        <v>1804</v>
      </c>
      <c r="B1871">
        <v>1600</v>
      </c>
      <c r="C1871" t="s">
        <v>296</v>
      </c>
      <c r="D1871" t="s">
        <v>6184</v>
      </c>
      <c r="E1871">
        <v>49</v>
      </c>
      <c r="F1871" t="s">
        <v>128</v>
      </c>
      <c r="G1871" t="s">
        <v>1302</v>
      </c>
      <c r="H1871" t="s">
        <v>296</v>
      </c>
      <c r="I1871" t="s">
        <v>296</v>
      </c>
      <c r="J1871" t="s">
        <v>128</v>
      </c>
      <c r="L1871" t="b">
        <v>1</v>
      </c>
      <c r="M1871" t="s">
        <v>39</v>
      </c>
      <c r="N1871" t="s">
        <v>8245</v>
      </c>
      <c r="O1871" s="1">
        <v>27118</v>
      </c>
      <c r="P1871" t="s">
        <v>6185</v>
      </c>
      <c r="Q1871" t="s">
        <v>6186</v>
      </c>
      <c r="S1871" s="1">
        <v>45020.209027777775</v>
      </c>
      <c r="V1871">
        <v>1974</v>
      </c>
      <c r="W1871">
        <v>125.08</v>
      </c>
      <c r="X1871">
        <v>2.9</v>
      </c>
      <c r="Y1871" s="2">
        <v>19910000000000</v>
      </c>
      <c r="Z1871">
        <v>50.6</v>
      </c>
      <c r="AA1871">
        <v>100.2</v>
      </c>
      <c r="AB1871">
        <v>9.4</v>
      </c>
      <c r="AC1871">
        <v>59.2</v>
      </c>
      <c r="AD1871">
        <v>1397715000</v>
      </c>
    </row>
    <row r="1872" spans="1:30" hidden="1" x14ac:dyDescent="0.45">
      <c r="A1872">
        <v>1804</v>
      </c>
      <c r="B1872">
        <v>1600</v>
      </c>
      <c r="C1872" t="s">
        <v>126</v>
      </c>
      <c r="D1872" t="s">
        <v>6187</v>
      </c>
      <c r="E1872">
        <v>55</v>
      </c>
      <c r="F1872" t="s">
        <v>205</v>
      </c>
      <c r="G1872" t="s">
        <v>284</v>
      </c>
      <c r="H1872" t="s">
        <v>6188</v>
      </c>
      <c r="I1872" t="s">
        <v>126</v>
      </c>
      <c r="J1872" t="s">
        <v>363</v>
      </c>
      <c r="L1872" t="b">
        <v>1</v>
      </c>
      <c r="M1872" t="s">
        <v>29</v>
      </c>
      <c r="N1872" t="s">
        <v>8245</v>
      </c>
      <c r="O1872" s="1">
        <v>24725</v>
      </c>
      <c r="P1872" t="s">
        <v>6189</v>
      </c>
      <c r="Q1872" t="s">
        <v>1555</v>
      </c>
      <c r="S1872" s="1">
        <v>45020.209027777775</v>
      </c>
      <c r="V1872">
        <v>1967</v>
      </c>
      <c r="W1872">
        <v>99.55</v>
      </c>
      <c r="X1872">
        <v>0.4</v>
      </c>
      <c r="Y1872" s="2">
        <v>703082435360</v>
      </c>
      <c r="Z1872">
        <v>59.6</v>
      </c>
      <c r="AA1872">
        <v>105.2</v>
      </c>
      <c r="AB1872">
        <v>10.1</v>
      </c>
      <c r="AC1872">
        <v>28.8</v>
      </c>
      <c r="AD1872">
        <v>8574832</v>
      </c>
    </row>
    <row r="1873" spans="1:30" hidden="1" x14ac:dyDescent="0.45">
      <c r="A1873">
        <v>1804</v>
      </c>
      <c r="B1873">
        <v>1600</v>
      </c>
      <c r="C1873" t="s">
        <v>326</v>
      </c>
      <c r="D1873" t="s">
        <v>6190</v>
      </c>
      <c r="E1873">
        <v>59</v>
      </c>
      <c r="F1873" t="s">
        <v>272</v>
      </c>
      <c r="G1873" t="s">
        <v>273</v>
      </c>
      <c r="H1873" t="s">
        <v>1570</v>
      </c>
      <c r="I1873" t="s">
        <v>326</v>
      </c>
      <c r="J1873" t="s">
        <v>35</v>
      </c>
      <c r="L1873" t="b">
        <v>1</v>
      </c>
      <c r="M1873" t="s">
        <v>611</v>
      </c>
      <c r="N1873" t="s">
        <v>8245</v>
      </c>
      <c r="O1873" s="1">
        <v>23459</v>
      </c>
      <c r="P1873" t="s">
        <v>6191</v>
      </c>
      <c r="Q1873" t="s">
        <v>6192</v>
      </c>
      <c r="S1873" s="1">
        <v>45020.209027777775</v>
      </c>
      <c r="V1873">
        <v>1964</v>
      </c>
      <c r="W1873">
        <v>119.62</v>
      </c>
      <c r="X1873">
        <v>1.7</v>
      </c>
      <c r="Y1873" s="2">
        <v>2827113184696</v>
      </c>
      <c r="Z1873">
        <v>60</v>
      </c>
      <c r="AA1873">
        <v>101.2</v>
      </c>
      <c r="AB1873">
        <v>25.5</v>
      </c>
      <c r="AC1873">
        <v>30.6</v>
      </c>
      <c r="AD1873">
        <v>66834405</v>
      </c>
    </row>
    <row r="1874" spans="1:30" x14ac:dyDescent="0.45">
      <c r="A1874">
        <v>1804</v>
      </c>
      <c r="B1874" s="6">
        <v>1600</v>
      </c>
      <c r="C1874" t="s">
        <v>45</v>
      </c>
      <c r="D1874" t="s">
        <v>6193</v>
      </c>
      <c r="E1874">
        <v>44</v>
      </c>
      <c r="F1874" t="s">
        <v>35</v>
      </c>
      <c r="G1874" t="s">
        <v>6194</v>
      </c>
      <c r="H1874" t="s">
        <v>5696</v>
      </c>
      <c r="I1874" t="s">
        <v>45</v>
      </c>
      <c r="J1874" t="s">
        <v>35</v>
      </c>
      <c r="K1874" t="s">
        <v>6195</v>
      </c>
      <c r="L1874" t="b">
        <v>1</v>
      </c>
      <c r="M1874" t="s">
        <v>611</v>
      </c>
      <c r="N1874" t="s">
        <v>8245</v>
      </c>
      <c r="O1874" s="10">
        <v>28669</v>
      </c>
      <c r="P1874" t="s">
        <v>1215</v>
      </c>
      <c r="Q1874" t="s">
        <v>1212</v>
      </c>
      <c r="R1874" t="s">
        <v>6196</v>
      </c>
      <c r="S1874" s="8">
        <v>45020.209027777775</v>
      </c>
      <c r="T1874" t="s">
        <v>2752</v>
      </c>
      <c r="U1874" t="s">
        <v>53</v>
      </c>
      <c r="V1874">
        <v>1978</v>
      </c>
      <c r="W1874" s="12">
        <v>117.24</v>
      </c>
      <c r="X1874">
        <v>7.5</v>
      </c>
      <c r="Y1874" s="14">
        <v>21427700000000</v>
      </c>
      <c r="Z1874">
        <v>88.2</v>
      </c>
      <c r="AA1874">
        <v>101.8</v>
      </c>
      <c r="AB1874">
        <v>9.6</v>
      </c>
      <c r="AC1874">
        <v>36.6</v>
      </c>
      <c r="AD1874">
        <v>328239523</v>
      </c>
    </row>
    <row r="1875" spans="1:30" hidden="1" x14ac:dyDescent="0.45">
      <c r="A1875">
        <v>1804</v>
      </c>
      <c r="B1875">
        <v>1600</v>
      </c>
      <c r="C1875" t="s">
        <v>91</v>
      </c>
      <c r="D1875" t="s">
        <v>6197</v>
      </c>
      <c r="E1875">
        <v>61</v>
      </c>
      <c r="F1875" t="s">
        <v>363</v>
      </c>
      <c r="G1875" t="s">
        <v>2066</v>
      </c>
      <c r="H1875" t="s">
        <v>6198</v>
      </c>
      <c r="I1875" t="s">
        <v>91</v>
      </c>
      <c r="J1875" t="s">
        <v>363</v>
      </c>
      <c r="L1875" t="b">
        <v>1</v>
      </c>
      <c r="M1875" t="s">
        <v>1332</v>
      </c>
      <c r="N1875" t="s">
        <v>8245</v>
      </c>
      <c r="O1875" s="1">
        <v>22669</v>
      </c>
      <c r="P1875" t="s">
        <v>6199</v>
      </c>
      <c r="Q1875" t="s">
        <v>6200</v>
      </c>
      <c r="S1875" s="1">
        <v>45020.209027777775</v>
      </c>
      <c r="V1875">
        <v>1962</v>
      </c>
      <c r="W1875">
        <v>180.75</v>
      </c>
      <c r="X1875">
        <v>4.5</v>
      </c>
      <c r="Y1875" s="2">
        <v>1699876578871</v>
      </c>
      <c r="Z1875">
        <v>81.900000000000006</v>
      </c>
      <c r="AA1875">
        <v>102.6</v>
      </c>
      <c r="AB1875">
        <v>11.4</v>
      </c>
      <c r="AC1875">
        <v>46.2</v>
      </c>
      <c r="AD1875">
        <v>144373535</v>
      </c>
    </row>
    <row r="1876" spans="1:30" hidden="1" x14ac:dyDescent="0.45">
      <c r="A1876">
        <v>1804</v>
      </c>
      <c r="B1876">
        <v>1600</v>
      </c>
      <c r="C1876" t="s">
        <v>436</v>
      </c>
      <c r="D1876" t="s">
        <v>6201</v>
      </c>
      <c r="E1876">
        <v>63</v>
      </c>
      <c r="F1876" t="s">
        <v>35</v>
      </c>
      <c r="G1876" t="s">
        <v>2257</v>
      </c>
      <c r="H1876" t="s">
        <v>3550</v>
      </c>
      <c r="I1876" t="s">
        <v>436</v>
      </c>
      <c r="J1876" t="s">
        <v>35</v>
      </c>
      <c r="L1876" t="b">
        <v>0</v>
      </c>
      <c r="M1876" t="s">
        <v>611</v>
      </c>
      <c r="N1876" t="s">
        <v>8245</v>
      </c>
      <c r="O1876" s="1">
        <v>21876</v>
      </c>
      <c r="P1876" t="s">
        <v>6202</v>
      </c>
      <c r="Q1876" t="s">
        <v>608</v>
      </c>
      <c r="S1876" s="1">
        <v>45020.209027777775</v>
      </c>
      <c r="T1876" t="s">
        <v>2260</v>
      </c>
      <c r="U1876" t="s">
        <v>53</v>
      </c>
      <c r="V1876">
        <v>1959</v>
      </c>
      <c r="W1876">
        <v>117.24</v>
      </c>
      <c r="X1876">
        <v>7.5</v>
      </c>
      <c r="Y1876" s="2">
        <v>21427700000000</v>
      </c>
      <c r="Z1876">
        <v>88.2</v>
      </c>
      <c r="AA1876">
        <v>101.8</v>
      </c>
      <c r="AB1876">
        <v>9.6</v>
      </c>
      <c r="AC1876">
        <v>36.6</v>
      </c>
      <c r="AD1876">
        <v>328239523</v>
      </c>
    </row>
    <row r="1877" spans="1:30" hidden="1" x14ac:dyDescent="0.45">
      <c r="A1877">
        <v>1804</v>
      </c>
      <c r="B1877">
        <v>1600</v>
      </c>
      <c r="C1877" t="s">
        <v>91</v>
      </c>
      <c r="D1877" t="s">
        <v>6203</v>
      </c>
      <c r="E1877">
        <v>72</v>
      </c>
      <c r="F1877" t="s">
        <v>35</v>
      </c>
      <c r="G1877" t="s">
        <v>78</v>
      </c>
      <c r="H1877" t="s">
        <v>5958</v>
      </c>
      <c r="I1877" t="s">
        <v>91</v>
      </c>
      <c r="J1877" t="s">
        <v>35</v>
      </c>
      <c r="L1877" t="b">
        <v>0</v>
      </c>
      <c r="M1877" t="s">
        <v>29</v>
      </c>
      <c r="N1877" t="s">
        <v>8246</v>
      </c>
      <c r="O1877" s="1">
        <v>18678</v>
      </c>
      <c r="P1877" t="s">
        <v>5959</v>
      </c>
      <c r="Q1877" t="s">
        <v>1232</v>
      </c>
      <c r="S1877" s="1">
        <v>45020.209027777775</v>
      </c>
      <c r="T1877" t="s">
        <v>78</v>
      </c>
      <c r="U1877" t="s">
        <v>82</v>
      </c>
      <c r="V1877">
        <v>1951</v>
      </c>
      <c r="W1877">
        <v>117.24</v>
      </c>
      <c r="X1877">
        <v>7.5</v>
      </c>
      <c r="Y1877" s="2">
        <v>21427700000000</v>
      </c>
      <c r="Z1877">
        <v>88.2</v>
      </c>
      <c r="AA1877">
        <v>101.8</v>
      </c>
      <c r="AB1877">
        <v>9.6</v>
      </c>
      <c r="AC1877">
        <v>36.6</v>
      </c>
      <c r="AD1877">
        <v>328239523</v>
      </c>
    </row>
    <row r="1878" spans="1:30" hidden="1" x14ac:dyDescent="0.45">
      <c r="A1878">
        <v>1804</v>
      </c>
      <c r="B1878">
        <v>1600</v>
      </c>
      <c r="C1878" t="s">
        <v>91</v>
      </c>
      <c r="D1878" t="s">
        <v>6204</v>
      </c>
      <c r="E1878">
        <v>74</v>
      </c>
      <c r="F1878" t="s">
        <v>35</v>
      </c>
      <c r="G1878" t="s">
        <v>1026</v>
      </c>
      <c r="H1878" t="s">
        <v>1210</v>
      </c>
      <c r="I1878" t="s">
        <v>91</v>
      </c>
      <c r="J1878" t="s">
        <v>35</v>
      </c>
      <c r="L1878" t="b">
        <v>0</v>
      </c>
      <c r="M1878" t="s">
        <v>29</v>
      </c>
      <c r="N1878" t="s">
        <v>8245</v>
      </c>
      <c r="O1878" s="1">
        <v>17943</v>
      </c>
      <c r="P1878" t="s">
        <v>5959</v>
      </c>
      <c r="Q1878" t="s">
        <v>1363</v>
      </c>
      <c r="S1878" s="1">
        <v>45020.209027777775</v>
      </c>
      <c r="T1878" t="s">
        <v>115</v>
      </c>
      <c r="U1878" t="s">
        <v>53</v>
      </c>
      <c r="V1878">
        <v>1949</v>
      </c>
      <c r="W1878">
        <v>117.24</v>
      </c>
      <c r="X1878">
        <v>7.5</v>
      </c>
      <c r="Y1878" s="2">
        <v>21427700000000</v>
      </c>
      <c r="Z1878">
        <v>88.2</v>
      </c>
      <c r="AA1878">
        <v>101.8</v>
      </c>
      <c r="AB1878">
        <v>9.6</v>
      </c>
      <c r="AC1878">
        <v>36.6</v>
      </c>
      <c r="AD1878">
        <v>328239523</v>
      </c>
    </row>
    <row r="1879" spans="1:30" hidden="1" x14ac:dyDescent="0.45">
      <c r="A1879">
        <v>1804</v>
      </c>
      <c r="B1879">
        <v>1600</v>
      </c>
      <c r="C1879" t="s">
        <v>296</v>
      </c>
      <c r="D1879" t="s">
        <v>6205</v>
      </c>
      <c r="E1879">
        <v>57</v>
      </c>
      <c r="F1879" t="s">
        <v>255</v>
      </c>
      <c r="G1879" t="s">
        <v>1247</v>
      </c>
      <c r="H1879" t="s">
        <v>6206</v>
      </c>
      <c r="I1879" t="s">
        <v>296</v>
      </c>
      <c r="J1879" t="s">
        <v>255</v>
      </c>
      <c r="L1879" t="b">
        <v>1</v>
      </c>
      <c r="M1879" t="s">
        <v>39</v>
      </c>
      <c r="N1879" t="s">
        <v>8245</v>
      </c>
      <c r="O1879" s="1">
        <v>24197</v>
      </c>
      <c r="P1879" t="s">
        <v>6207</v>
      </c>
      <c r="Q1879" t="s">
        <v>81</v>
      </c>
      <c r="S1879" s="1">
        <v>45020.209027777775</v>
      </c>
      <c r="V1879">
        <v>1966</v>
      </c>
      <c r="W1879">
        <v>118.06</v>
      </c>
      <c r="X1879">
        <v>1.5</v>
      </c>
      <c r="Y1879" s="2">
        <v>446314739528</v>
      </c>
      <c r="Z1879">
        <v>85.1</v>
      </c>
      <c r="AA1879">
        <v>103.1</v>
      </c>
      <c r="AB1879">
        <v>25.4</v>
      </c>
      <c r="AC1879">
        <v>51.4</v>
      </c>
      <c r="AD1879">
        <v>8877067</v>
      </c>
    </row>
    <row r="1880" spans="1:30" hidden="1" x14ac:dyDescent="0.45">
      <c r="A1880">
        <v>1804</v>
      </c>
      <c r="B1880">
        <v>1600</v>
      </c>
      <c r="C1880" t="s">
        <v>402</v>
      </c>
      <c r="D1880" t="s">
        <v>6208</v>
      </c>
      <c r="E1880">
        <v>67</v>
      </c>
      <c r="F1880" t="s">
        <v>35</v>
      </c>
      <c r="G1880" t="s">
        <v>6209</v>
      </c>
      <c r="H1880" t="s">
        <v>6210</v>
      </c>
      <c r="I1880" t="s">
        <v>402</v>
      </c>
      <c r="J1880" t="s">
        <v>35</v>
      </c>
      <c r="L1880" t="b">
        <v>1</v>
      </c>
      <c r="M1880" t="s">
        <v>29</v>
      </c>
      <c r="N1880" t="s">
        <v>8245</v>
      </c>
      <c r="O1880" s="1">
        <v>20455</v>
      </c>
      <c r="P1880" t="s">
        <v>6211</v>
      </c>
      <c r="Q1880" t="s">
        <v>6212</v>
      </c>
      <c r="S1880" s="1">
        <v>45020.209027777775</v>
      </c>
      <c r="T1880" t="s">
        <v>1827</v>
      </c>
      <c r="U1880" t="s">
        <v>69</v>
      </c>
      <c r="V1880">
        <v>1956</v>
      </c>
      <c r="W1880">
        <v>117.24</v>
      </c>
      <c r="X1880">
        <v>7.5</v>
      </c>
      <c r="Y1880" s="2">
        <v>21427700000000</v>
      </c>
      <c r="Z1880">
        <v>88.2</v>
      </c>
      <c r="AA1880">
        <v>101.8</v>
      </c>
      <c r="AB1880">
        <v>9.6</v>
      </c>
      <c r="AC1880">
        <v>36.6</v>
      </c>
      <c r="AD1880">
        <v>328239523</v>
      </c>
    </row>
    <row r="1881" spans="1:30" hidden="1" x14ac:dyDescent="0.45">
      <c r="A1881">
        <v>1804</v>
      </c>
      <c r="B1881">
        <v>1600</v>
      </c>
      <c r="C1881" t="s">
        <v>296</v>
      </c>
      <c r="D1881" t="s">
        <v>6213</v>
      </c>
      <c r="F1881" t="s">
        <v>1259</v>
      </c>
      <c r="H1881" t="s">
        <v>1256</v>
      </c>
      <c r="I1881" t="s">
        <v>296</v>
      </c>
      <c r="J1881" t="s">
        <v>1259</v>
      </c>
      <c r="L1881" t="b">
        <v>0</v>
      </c>
      <c r="M1881" t="s">
        <v>611</v>
      </c>
      <c r="N1881" t="s">
        <v>8246</v>
      </c>
      <c r="O1881"/>
      <c r="P1881" t="s">
        <v>3983</v>
      </c>
      <c r="Q1881" t="s">
        <v>6214</v>
      </c>
      <c r="S1881" s="1">
        <v>45020.209027777775</v>
      </c>
      <c r="W1881"/>
      <c r="Y1881"/>
    </row>
    <row r="1882" spans="1:30" hidden="1" x14ac:dyDescent="0.45">
      <c r="A1882">
        <v>1804</v>
      </c>
      <c r="B1882">
        <v>1600</v>
      </c>
      <c r="C1882" t="s">
        <v>45</v>
      </c>
      <c r="D1882" t="s">
        <v>6215</v>
      </c>
      <c r="E1882">
        <v>51</v>
      </c>
      <c r="F1882" t="s">
        <v>93</v>
      </c>
      <c r="G1882" t="s">
        <v>4546</v>
      </c>
      <c r="H1882" t="s">
        <v>865</v>
      </c>
      <c r="I1882" t="s">
        <v>45</v>
      </c>
      <c r="J1882" t="s">
        <v>93</v>
      </c>
      <c r="L1882" t="b">
        <v>1</v>
      </c>
      <c r="M1882" t="s">
        <v>29</v>
      </c>
      <c r="N1882" t="s">
        <v>8245</v>
      </c>
      <c r="O1882" s="1">
        <v>26299</v>
      </c>
      <c r="P1882" t="s">
        <v>4914</v>
      </c>
      <c r="Q1882" t="s">
        <v>6216</v>
      </c>
      <c r="S1882" s="1">
        <v>45020.209027777775</v>
      </c>
      <c r="V1882">
        <v>1972</v>
      </c>
      <c r="W1882">
        <v>180.44</v>
      </c>
      <c r="X1882">
        <v>7.7</v>
      </c>
      <c r="Y1882" s="2">
        <v>2611000000000</v>
      </c>
      <c r="Z1882">
        <v>28.1</v>
      </c>
      <c r="AA1882">
        <v>113</v>
      </c>
      <c r="AB1882">
        <v>11.2</v>
      </c>
      <c r="AC1882">
        <v>49.7</v>
      </c>
      <c r="AD1882">
        <v>1366417754</v>
      </c>
    </row>
    <row r="1883" spans="1:30" hidden="1" x14ac:dyDescent="0.45">
      <c r="A1883">
        <v>1804</v>
      </c>
      <c r="B1883">
        <v>1600</v>
      </c>
      <c r="C1883" t="s">
        <v>347</v>
      </c>
      <c r="D1883" t="s">
        <v>6217</v>
      </c>
      <c r="E1883">
        <v>70</v>
      </c>
      <c r="F1883" t="s">
        <v>328</v>
      </c>
      <c r="G1883" t="s">
        <v>5267</v>
      </c>
      <c r="H1883" t="s">
        <v>330</v>
      </c>
      <c r="I1883" t="s">
        <v>347</v>
      </c>
      <c r="J1883" t="s">
        <v>328</v>
      </c>
      <c r="L1883" t="b">
        <v>1</v>
      </c>
      <c r="M1883" t="s">
        <v>1332</v>
      </c>
      <c r="N1883" t="s">
        <v>8245</v>
      </c>
      <c r="O1883" s="1">
        <v>19360</v>
      </c>
      <c r="P1883" t="s">
        <v>6218</v>
      </c>
      <c r="Q1883" t="s">
        <v>4821</v>
      </c>
      <c r="S1883" s="1">
        <v>45020.209027777775</v>
      </c>
      <c r="V1883">
        <v>1953</v>
      </c>
      <c r="W1883">
        <v>119.8</v>
      </c>
      <c r="X1883">
        <v>1.6</v>
      </c>
      <c r="Y1883" s="2">
        <v>1392680589329</v>
      </c>
      <c r="Z1883">
        <v>113.1</v>
      </c>
      <c r="AA1883">
        <v>100.3</v>
      </c>
      <c r="AB1883">
        <v>23</v>
      </c>
      <c r="AC1883">
        <v>47.4</v>
      </c>
      <c r="AD1883">
        <v>25766605</v>
      </c>
    </row>
    <row r="1884" spans="1:30" hidden="1" x14ac:dyDescent="0.45">
      <c r="A1884">
        <v>1804</v>
      </c>
      <c r="B1884">
        <v>1600</v>
      </c>
      <c r="C1884" t="s">
        <v>76</v>
      </c>
      <c r="D1884" t="s">
        <v>6219</v>
      </c>
      <c r="E1884">
        <v>57</v>
      </c>
      <c r="F1884" t="s">
        <v>128</v>
      </c>
      <c r="G1884" t="s">
        <v>187</v>
      </c>
      <c r="H1884" t="s">
        <v>6220</v>
      </c>
      <c r="I1884" t="s">
        <v>76</v>
      </c>
      <c r="J1884" t="s">
        <v>128</v>
      </c>
      <c r="L1884" t="b">
        <v>1</v>
      </c>
      <c r="M1884" t="s">
        <v>39</v>
      </c>
      <c r="N1884" t="s">
        <v>8245</v>
      </c>
      <c r="O1884" s="1">
        <v>23858</v>
      </c>
      <c r="P1884" t="s">
        <v>439</v>
      </c>
      <c r="Q1884" t="s">
        <v>6221</v>
      </c>
      <c r="S1884" s="1">
        <v>45020.209027777775</v>
      </c>
      <c r="V1884">
        <v>1965</v>
      </c>
      <c r="W1884">
        <v>125.08</v>
      </c>
      <c r="X1884">
        <v>2.9</v>
      </c>
      <c r="Y1884" s="2">
        <v>19910000000000</v>
      </c>
      <c r="Z1884">
        <v>50.6</v>
      </c>
      <c r="AA1884">
        <v>100.2</v>
      </c>
      <c r="AB1884">
        <v>9.4</v>
      </c>
      <c r="AC1884">
        <v>59.2</v>
      </c>
      <c r="AD1884">
        <v>1397715000</v>
      </c>
    </row>
    <row r="1885" spans="1:30" hidden="1" x14ac:dyDescent="0.45">
      <c r="A1885">
        <v>1804</v>
      </c>
      <c r="B1885">
        <v>1600</v>
      </c>
      <c r="C1885" t="s">
        <v>76</v>
      </c>
      <c r="D1885" t="s">
        <v>6222</v>
      </c>
      <c r="E1885">
        <v>36</v>
      </c>
      <c r="F1885" t="s">
        <v>128</v>
      </c>
      <c r="G1885" t="s">
        <v>187</v>
      </c>
      <c r="H1885" t="s">
        <v>6223</v>
      </c>
      <c r="I1885" t="s">
        <v>76</v>
      </c>
      <c r="J1885" t="s">
        <v>128</v>
      </c>
      <c r="L1885" t="b">
        <v>1</v>
      </c>
      <c r="M1885" t="s">
        <v>39</v>
      </c>
      <c r="N1885" t="s">
        <v>8245</v>
      </c>
      <c r="O1885" s="1">
        <v>31778</v>
      </c>
      <c r="P1885" t="s">
        <v>439</v>
      </c>
      <c r="Q1885" t="s">
        <v>5168</v>
      </c>
      <c r="S1885" s="1">
        <v>45020.209027777775</v>
      </c>
      <c r="V1885">
        <v>1987</v>
      </c>
      <c r="W1885">
        <v>125.08</v>
      </c>
      <c r="X1885">
        <v>2.9</v>
      </c>
      <c r="Y1885" s="2">
        <v>19910000000000</v>
      </c>
      <c r="Z1885">
        <v>50.6</v>
      </c>
      <c r="AA1885">
        <v>100.2</v>
      </c>
      <c r="AB1885">
        <v>9.4</v>
      </c>
      <c r="AC1885">
        <v>59.2</v>
      </c>
      <c r="AD1885">
        <v>1397715000</v>
      </c>
    </row>
    <row r="1886" spans="1:30" hidden="1" x14ac:dyDescent="0.45">
      <c r="A1886">
        <v>1804</v>
      </c>
      <c r="B1886">
        <v>1600</v>
      </c>
      <c r="C1886" t="s">
        <v>45</v>
      </c>
      <c r="D1886" t="s">
        <v>6224</v>
      </c>
      <c r="E1886">
        <v>67</v>
      </c>
      <c r="F1886" t="s">
        <v>35</v>
      </c>
      <c r="G1886" t="s">
        <v>6225</v>
      </c>
      <c r="H1886" t="s">
        <v>6226</v>
      </c>
      <c r="I1886" t="s">
        <v>45</v>
      </c>
      <c r="J1886" t="s">
        <v>35</v>
      </c>
      <c r="L1886" t="b">
        <v>1</v>
      </c>
      <c r="M1886" t="s">
        <v>611</v>
      </c>
      <c r="N1886" t="s">
        <v>8245</v>
      </c>
      <c r="O1886" s="1">
        <v>20227</v>
      </c>
      <c r="P1886" t="s">
        <v>6227</v>
      </c>
      <c r="Q1886" t="s">
        <v>373</v>
      </c>
      <c r="S1886" s="1">
        <v>45020.209027777775</v>
      </c>
      <c r="T1886" t="s">
        <v>2752</v>
      </c>
      <c r="U1886" t="s">
        <v>53</v>
      </c>
      <c r="V1886">
        <v>1955</v>
      </c>
      <c r="W1886">
        <v>117.24</v>
      </c>
      <c r="X1886">
        <v>7.5</v>
      </c>
      <c r="Y1886" s="2">
        <v>21427700000000</v>
      </c>
      <c r="Z1886">
        <v>88.2</v>
      </c>
      <c r="AA1886">
        <v>101.8</v>
      </c>
      <c r="AB1886">
        <v>9.6</v>
      </c>
      <c r="AC1886">
        <v>36.6</v>
      </c>
      <c r="AD1886">
        <v>328239523</v>
      </c>
    </row>
    <row r="1887" spans="1:30" hidden="1" x14ac:dyDescent="0.45">
      <c r="A1887">
        <v>1804</v>
      </c>
      <c r="B1887">
        <v>1600</v>
      </c>
      <c r="C1887" t="s">
        <v>347</v>
      </c>
      <c r="D1887" t="s">
        <v>6228</v>
      </c>
      <c r="E1887">
        <v>66</v>
      </c>
      <c r="F1887" t="s">
        <v>35</v>
      </c>
      <c r="G1887" t="s">
        <v>6229</v>
      </c>
      <c r="H1887" t="s">
        <v>1612</v>
      </c>
      <c r="I1887" t="s">
        <v>347</v>
      </c>
      <c r="J1887" t="s">
        <v>35</v>
      </c>
      <c r="L1887" t="b">
        <v>1</v>
      </c>
      <c r="M1887" t="s">
        <v>29</v>
      </c>
      <c r="N1887" t="s">
        <v>8245</v>
      </c>
      <c r="O1887" s="1">
        <v>20605</v>
      </c>
      <c r="P1887" t="s">
        <v>6230</v>
      </c>
      <c r="Q1887" t="s">
        <v>1652</v>
      </c>
      <c r="S1887" s="1">
        <v>45020.209027777775</v>
      </c>
      <c r="T1887" t="s">
        <v>43</v>
      </c>
      <c r="U1887" t="s">
        <v>44</v>
      </c>
      <c r="V1887">
        <v>1956</v>
      </c>
      <c r="W1887">
        <v>117.24</v>
      </c>
      <c r="X1887">
        <v>7.5</v>
      </c>
      <c r="Y1887" s="2">
        <v>21427700000000</v>
      </c>
      <c r="Z1887">
        <v>88.2</v>
      </c>
      <c r="AA1887">
        <v>101.8</v>
      </c>
      <c r="AB1887">
        <v>9.6</v>
      </c>
      <c r="AC1887">
        <v>36.6</v>
      </c>
      <c r="AD1887">
        <v>328239523</v>
      </c>
    </row>
    <row r="1888" spans="1:30" hidden="1" x14ac:dyDescent="0.45">
      <c r="A1888">
        <v>1804</v>
      </c>
      <c r="B1888">
        <v>1600</v>
      </c>
      <c r="C1888" t="s">
        <v>23</v>
      </c>
      <c r="D1888" t="s">
        <v>6231</v>
      </c>
      <c r="E1888">
        <v>82</v>
      </c>
      <c r="F1888" t="s">
        <v>328</v>
      </c>
      <c r="G1888" t="s">
        <v>795</v>
      </c>
      <c r="H1888" t="s">
        <v>4275</v>
      </c>
      <c r="I1888" t="s">
        <v>23</v>
      </c>
      <c r="J1888" t="s">
        <v>328</v>
      </c>
      <c r="L1888" t="b">
        <v>0</v>
      </c>
      <c r="M1888" t="s">
        <v>285</v>
      </c>
      <c r="N1888" t="s">
        <v>8245</v>
      </c>
      <c r="O1888" s="1">
        <v>14912</v>
      </c>
      <c r="P1888" t="s">
        <v>2151</v>
      </c>
      <c r="Q1888" t="s">
        <v>3026</v>
      </c>
      <c r="S1888" s="1">
        <v>45020.209027777775</v>
      </c>
      <c r="V1888">
        <v>1940</v>
      </c>
      <c r="W1888">
        <v>119.8</v>
      </c>
      <c r="X1888">
        <v>1.6</v>
      </c>
      <c r="Y1888" s="2">
        <v>1392680589329</v>
      </c>
      <c r="Z1888">
        <v>113.1</v>
      </c>
      <c r="AA1888">
        <v>100.3</v>
      </c>
      <c r="AB1888">
        <v>23</v>
      </c>
      <c r="AC1888">
        <v>47.4</v>
      </c>
      <c r="AD1888">
        <v>25766605</v>
      </c>
    </row>
    <row r="1889" spans="1:30" hidden="1" x14ac:dyDescent="0.45">
      <c r="A1889">
        <v>1804</v>
      </c>
      <c r="B1889">
        <v>1600</v>
      </c>
      <c r="C1889" t="s">
        <v>23</v>
      </c>
      <c r="D1889" t="s">
        <v>6232</v>
      </c>
      <c r="E1889">
        <v>76</v>
      </c>
      <c r="F1889" t="s">
        <v>328</v>
      </c>
      <c r="G1889" t="s">
        <v>795</v>
      </c>
      <c r="H1889" t="s">
        <v>4275</v>
      </c>
      <c r="I1889" t="s">
        <v>23</v>
      </c>
      <c r="J1889" t="s">
        <v>328</v>
      </c>
      <c r="L1889" t="b">
        <v>0</v>
      </c>
      <c r="M1889" t="s">
        <v>285</v>
      </c>
      <c r="N1889" t="s">
        <v>8245</v>
      </c>
      <c r="O1889" s="1">
        <v>16911</v>
      </c>
      <c r="P1889" t="s">
        <v>2151</v>
      </c>
      <c r="Q1889" t="s">
        <v>1660</v>
      </c>
      <c r="S1889" s="1">
        <v>45020.209027777775</v>
      </c>
      <c r="V1889">
        <v>1946</v>
      </c>
      <c r="W1889">
        <v>119.8</v>
      </c>
      <c r="X1889">
        <v>1.6</v>
      </c>
      <c r="Y1889" s="2">
        <v>1392680589329</v>
      </c>
      <c r="Z1889">
        <v>113.1</v>
      </c>
      <c r="AA1889">
        <v>100.3</v>
      </c>
      <c r="AB1889">
        <v>23</v>
      </c>
      <c r="AC1889">
        <v>47.4</v>
      </c>
      <c r="AD1889">
        <v>25766605</v>
      </c>
    </row>
    <row r="1890" spans="1:30" hidden="1" x14ac:dyDescent="0.45">
      <c r="A1890">
        <v>1804</v>
      </c>
      <c r="B1890">
        <v>1600</v>
      </c>
      <c r="C1890" t="s">
        <v>23</v>
      </c>
      <c r="D1890" t="s">
        <v>6233</v>
      </c>
      <c r="E1890">
        <v>85</v>
      </c>
      <c r="F1890" t="s">
        <v>328</v>
      </c>
      <c r="G1890" t="s">
        <v>795</v>
      </c>
      <c r="H1890" t="s">
        <v>4275</v>
      </c>
      <c r="I1890" t="s">
        <v>23</v>
      </c>
      <c r="J1890" t="s">
        <v>328</v>
      </c>
      <c r="L1890" t="b">
        <v>0</v>
      </c>
      <c r="M1890" t="s">
        <v>285</v>
      </c>
      <c r="N1890" t="s">
        <v>8245</v>
      </c>
      <c r="O1890" s="1">
        <v>13880</v>
      </c>
      <c r="P1890" t="s">
        <v>2151</v>
      </c>
      <c r="Q1890" t="s">
        <v>225</v>
      </c>
      <c r="S1890" s="1">
        <v>45020.209027777775</v>
      </c>
      <c r="V1890">
        <v>1937</v>
      </c>
      <c r="W1890">
        <v>119.8</v>
      </c>
      <c r="X1890">
        <v>1.6</v>
      </c>
      <c r="Y1890" s="2">
        <v>1392680589329</v>
      </c>
      <c r="Z1890">
        <v>113.1</v>
      </c>
      <c r="AA1890">
        <v>100.3</v>
      </c>
      <c r="AB1890">
        <v>23</v>
      </c>
      <c r="AC1890">
        <v>47.4</v>
      </c>
      <c r="AD1890">
        <v>25766605</v>
      </c>
    </row>
    <row r="1891" spans="1:30" hidden="1" x14ac:dyDescent="0.45">
      <c r="A1891">
        <v>1804</v>
      </c>
      <c r="B1891">
        <v>1600</v>
      </c>
      <c r="C1891" t="s">
        <v>45</v>
      </c>
      <c r="D1891" t="s">
        <v>6234</v>
      </c>
      <c r="E1891">
        <v>57</v>
      </c>
      <c r="F1891" t="s">
        <v>35</v>
      </c>
      <c r="G1891" t="s">
        <v>110</v>
      </c>
      <c r="H1891" t="s">
        <v>6235</v>
      </c>
      <c r="I1891" t="s">
        <v>45</v>
      </c>
      <c r="J1891" t="s">
        <v>35</v>
      </c>
      <c r="L1891" t="b">
        <v>1</v>
      </c>
      <c r="M1891" t="s">
        <v>39</v>
      </c>
      <c r="N1891" t="s">
        <v>8245</v>
      </c>
      <c r="O1891" s="1">
        <v>24080</v>
      </c>
      <c r="P1891" t="s">
        <v>5976</v>
      </c>
      <c r="Q1891" t="s">
        <v>797</v>
      </c>
      <c r="S1891" s="1">
        <v>45020.209027777775</v>
      </c>
      <c r="T1891" t="s">
        <v>115</v>
      </c>
      <c r="U1891" t="s">
        <v>53</v>
      </c>
      <c r="V1891">
        <v>1965</v>
      </c>
      <c r="W1891">
        <v>117.24</v>
      </c>
      <c r="X1891">
        <v>7.5</v>
      </c>
      <c r="Y1891" s="2">
        <v>21427700000000</v>
      </c>
      <c r="Z1891">
        <v>88.2</v>
      </c>
      <c r="AA1891">
        <v>101.8</v>
      </c>
      <c r="AB1891">
        <v>9.6</v>
      </c>
      <c r="AC1891">
        <v>36.6</v>
      </c>
      <c r="AD1891">
        <v>328239523</v>
      </c>
    </row>
    <row r="1892" spans="1:30" hidden="1" x14ac:dyDescent="0.45">
      <c r="A1892">
        <v>1804</v>
      </c>
      <c r="B1892">
        <v>1600</v>
      </c>
      <c r="C1892" t="s">
        <v>296</v>
      </c>
      <c r="D1892" t="s">
        <v>6236</v>
      </c>
      <c r="E1892">
        <v>58</v>
      </c>
      <c r="F1892" t="s">
        <v>128</v>
      </c>
      <c r="G1892" t="s">
        <v>6237</v>
      </c>
      <c r="H1892" t="s">
        <v>6238</v>
      </c>
      <c r="I1892" t="s">
        <v>296</v>
      </c>
      <c r="J1892" t="s">
        <v>128</v>
      </c>
      <c r="L1892" t="b">
        <v>1</v>
      </c>
      <c r="M1892" t="s">
        <v>39</v>
      </c>
      <c r="N1892" t="s">
        <v>8245</v>
      </c>
      <c r="O1892" s="1">
        <v>23483</v>
      </c>
      <c r="P1892" t="s">
        <v>894</v>
      </c>
      <c r="Q1892" t="s">
        <v>5161</v>
      </c>
      <c r="S1892" s="1">
        <v>45020.209027777775</v>
      </c>
      <c r="V1892">
        <v>1964</v>
      </c>
      <c r="W1892">
        <v>125.08</v>
      </c>
      <c r="X1892">
        <v>2.9</v>
      </c>
      <c r="Y1892" s="2">
        <v>19910000000000</v>
      </c>
      <c r="Z1892">
        <v>50.6</v>
      </c>
      <c r="AA1892">
        <v>100.2</v>
      </c>
      <c r="AB1892">
        <v>9.4</v>
      </c>
      <c r="AC1892">
        <v>59.2</v>
      </c>
      <c r="AD1892">
        <v>1397715000</v>
      </c>
    </row>
    <row r="1893" spans="1:30" hidden="1" x14ac:dyDescent="0.45">
      <c r="A1893">
        <v>1804</v>
      </c>
      <c r="B1893">
        <v>1600</v>
      </c>
      <c r="C1893" t="s">
        <v>402</v>
      </c>
      <c r="D1893" t="s">
        <v>6239</v>
      </c>
      <c r="E1893">
        <v>53</v>
      </c>
      <c r="F1893" t="s">
        <v>128</v>
      </c>
      <c r="G1893" t="s">
        <v>944</v>
      </c>
      <c r="H1893" t="s">
        <v>610</v>
      </c>
      <c r="I1893" t="s">
        <v>402</v>
      </c>
      <c r="J1893" t="s">
        <v>128</v>
      </c>
      <c r="L1893" t="b">
        <v>1</v>
      </c>
      <c r="M1893" t="s">
        <v>39</v>
      </c>
      <c r="N1893" t="s">
        <v>8246</v>
      </c>
      <c r="O1893" s="1">
        <v>25441</v>
      </c>
      <c r="P1893" t="s">
        <v>894</v>
      </c>
      <c r="Q1893" t="s">
        <v>6240</v>
      </c>
      <c r="S1893" s="1">
        <v>45020.209027777775</v>
      </c>
      <c r="V1893">
        <v>1969</v>
      </c>
      <c r="W1893">
        <v>125.08</v>
      </c>
      <c r="X1893">
        <v>2.9</v>
      </c>
      <c r="Y1893" s="2">
        <v>19910000000000</v>
      </c>
      <c r="Z1893">
        <v>50.6</v>
      </c>
      <c r="AA1893">
        <v>100.2</v>
      </c>
      <c r="AB1893">
        <v>9.4</v>
      </c>
      <c r="AC1893">
        <v>59.2</v>
      </c>
      <c r="AD1893">
        <v>1397715000</v>
      </c>
    </row>
    <row r="1894" spans="1:30" hidden="1" x14ac:dyDescent="0.45">
      <c r="A1894">
        <v>1804</v>
      </c>
      <c r="B1894">
        <v>1600</v>
      </c>
      <c r="C1894" t="s">
        <v>45</v>
      </c>
      <c r="D1894" t="s">
        <v>6241</v>
      </c>
      <c r="E1894">
        <v>49</v>
      </c>
      <c r="F1894" t="s">
        <v>128</v>
      </c>
      <c r="G1894" t="s">
        <v>2921</v>
      </c>
      <c r="H1894" t="s">
        <v>6242</v>
      </c>
      <c r="I1894" t="s">
        <v>45</v>
      </c>
      <c r="J1894" t="s">
        <v>128</v>
      </c>
      <c r="L1894" t="b">
        <v>1</v>
      </c>
      <c r="M1894" t="s">
        <v>39</v>
      </c>
      <c r="N1894" t="s">
        <v>8245</v>
      </c>
      <c r="O1894" s="1">
        <v>26965</v>
      </c>
      <c r="P1894" t="s">
        <v>894</v>
      </c>
      <c r="Q1894" t="s">
        <v>6243</v>
      </c>
      <c r="S1894" s="1">
        <v>45020.209027777775</v>
      </c>
      <c r="V1894">
        <v>1973</v>
      </c>
      <c r="W1894">
        <v>125.08</v>
      </c>
      <c r="X1894">
        <v>2.9</v>
      </c>
      <c r="Y1894" s="2">
        <v>19910000000000</v>
      </c>
      <c r="Z1894">
        <v>50.6</v>
      </c>
      <c r="AA1894">
        <v>100.2</v>
      </c>
      <c r="AB1894">
        <v>9.4</v>
      </c>
      <c r="AC1894">
        <v>59.2</v>
      </c>
      <c r="AD1894">
        <v>1397715000</v>
      </c>
    </row>
    <row r="1895" spans="1:30" hidden="1" x14ac:dyDescent="0.45">
      <c r="A1895">
        <v>1804</v>
      </c>
      <c r="B1895">
        <v>1600</v>
      </c>
      <c r="C1895" t="s">
        <v>296</v>
      </c>
      <c r="D1895" t="s">
        <v>6244</v>
      </c>
      <c r="E1895">
        <v>59</v>
      </c>
      <c r="F1895" t="s">
        <v>128</v>
      </c>
      <c r="G1895" t="s">
        <v>2459</v>
      </c>
      <c r="H1895" t="s">
        <v>6245</v>
      </c>
      <c r="I1895" t="s">
        <v>296</v>
      </c>
      <c r="J1895" t="s">
        <v>128</v>
      </c>
      <c r="L1895" t="b">
        <v>1</v>
      </c>
      <c r="M1895" t="s">
        <v>39</v>
      </c>
      <c r="N1895" t="s">
        <v>8245</v>
      </c>
      <c r="O1895" s="1">
        <v>23285</v>
      </c>
      <c r="P1895" t="s">
        <v>2906</v>
      </c>
      <c r="Q1895" t="s">
        <v>4177</v>
      </c>
      <c r="S1895" s="1">
        <v>45020.209027777775</v>
      </c>
      <c r="V1895">
        <v>1963</v>
      </c>
      <c r="W1895">
        <v>125.08</v>
      </c>
      <c r="X1895">
        <v>2.9</v>
      </c>
      <c r="Y1895" s="2">
        <v>19910000000000</v>
      </c>
      <c r="Z1895">
        <v>50.6</v>
      </c>
      <c r="AA1895">
        <v>100.2</v>
      </c>
      <c r="AB1895">
        <v>9.4</v>
      </c>
      <c r="AC1895">
        <v>59.2</v>
      </c>
      <c r="AD1895">
        <v>1397715000</v>
      </c>
    </row>
    <row r="1896" spans="1:30" hidden="1" x14ac:dyDescent="0.45">
      <c r="A1896">
        <v>1804</v>
      </c>
      <c r="B1896">
        <v>1600</v>
      </c>
      <c r="C1896" t="s">
        <v>45</v>
      </c>
      <c r="D1896" t="s">
        <v>6246</v>
      </c>
      <c r="E1896">
        <v>64</v>
      </c>
      <c r="F1896" t="s">
        <v>128</v>
      </c>
      <c r="G1896" t="s">
        <v>187</v>
      </c>
      <c r="H1896" t="s">
        <v>856</v>
      </c>
      <c r="I1896" t="s">
        <v>45</v>
      </c>
      <c r="J1896" t="s">
        <v>128</v>
      </c>
      <c r="L1896" t="b">
        <v>1</v>
      </c>
      <c r="M1896" t="s">
        <v>39</v>
      </c>
      <c r="N1896" t="s">
        <v>8245</v>
      </c>
      <c r="O1896" s="1">
        <v>21591</v>
      </c>
      <c r="P1896" t="s">
        <v>2083</v>
      </c>
      <c r="Q1896" t="s">
        <v>4856</v>
      </c>
      <c r="S1896" s="1">
        <v>45020.209027777775</v>
      </c>
      <c r="V1896">
        <v>1959</v>
      </c>
      <c r="W1896">
        <v>125.08</v>
      </c>
      <c r="X1896">
        <v>2.9</v>
      </c>
      <c r="Y1896" s="2">
        <v>19910000000000</v>
      </c>
      <c r="Z1896">
        <v>50.6</v>
      </c>
      <c r="AA1896">
        <v>100.2</v>
      </c>
      <c r="AB1896">
        <v>9.4</v>
      </c>
      <c r="AC1896">
        <v>59.2</v>
      </c>
      <c r="AD1896">
        <v>1397715000</v>
      </c>
    </row>
    <row r="1897" spans="1:30" hidden="1" x14ac:dyDescent="0.45">
      <c r="A1897">
        <v>1804</v>
      </c>
      <c r="B1897">
        <v>1600</v>
      </c>
      <c r="C1897" t="s">
        <v>402</v>
      </c>
      <c r="D1897" t="s">
        <v>6247</v>
      </c>
      <c r="E1897">
        <v>63</v>
      </c>
      <c r="F1897" t="s">
        <v>35</v>
      </c>
      <c r="G1897" t="s">
        <v>6248</v>
      </c>
      <c r="H1897" t="s">
        <v>610</v>
      </c>
      <c r="I1897" t="s">
        <v>402</v>
      </c>
      <c r="J1897" t="s">
        <v>35</v>
      </c>
      <c r="L1897" t="b">
        <v>1</v>
      </c>
      <c r="M1897" t="s">
        <v>29</v>
      </c>
      <c r="N1897" t="s">
        <v>8245</v>
      </c>
      <c r="O1897" s="1">
        <v>21803</v>
      </c>
      <c r="P1897" t="s">
        <v>6249</v>
      </c>
      <c r="Q1897" t="s">
        <v>714</v>
      </c>
      <c r="S1897" s="1">
        <v>45020.209027777775</v>
      </c>
      <c r="T1897" t="s">
        <v>78</v>
      </c>
      <c r="U1897" t="s">
        <v>82</v>
      </c>
      <c r="V1897">
        <v>1959</v>
      </c>
      <c r="W1897">
        <v>117.24</v>
      </c>
      <c r="X1897">
        <v>7.5</v>
      </c>
      <c r="Y1897" s="2">
        <v>21427700000000</v>
      </c>
      <c r="Z1897">
        <v>88.2</v>
      </c>
      <c r="AA1897">
        <v>101.8</v>
      </c>
      <c r="AB1897">
        <v>9.6</v>
      </c>
      <c r="AC1897">
        <v>36.6</v>
      </c>
      <c r="AD1897">
        <v>328239523</v>
      </c>
    </row>
    <row r="1898" spans="1:30" hidden="1" x14ac:dyDescent="0.45">
      <c r="A1898">
        <v>1804</v>
      </c>
      <c r="B1898">
        <v>1600</v>
      </c>
      <c r="C1898" t="s">
        <v>45</v>
      </c>
      <c r="D1898" t="s">
        <v>6250</v>
      </c>
      <c r="E1898">
        <v>40</v>
      </c>
      <c r="F1898" t="s">
        <v>128</v>
      </c>
      <c r="G1898" t="s">
        <v>678</v>
      </c>
      <c r="H1898" t="s">
        <v>1400</v>
      </c>
      <c r="I1898" t="s">
        <v>45</v>
      </c>
      <c r="J1898" t="s">
        <v>128</v>
      </c>
      <c r="L1898" t="b">
        <v>1</v>
      </c>
      <c r="M1898" t="s">
        <v>39</v>
      </c>
      <c r="N1898" t="s">
        <v>8245</v>
      </c>
      <c r="O1898" s="1">
        <v>30072</v>
      </c>
      <c r="P1898" t="s">
        <v>1179</v>
      </c>
      <c r="Q1898" t="s">
        <v>6251</v>
      </c>
      <c r="S1898" s="1">
        <v>45020.209027777775</v>
      </c>
      <c r="V1898">
        <v>1982</v>
      </c>
      <c r="W1898">
        <v>125.08</v>
      </c>
      <c r="X1898">
        <v>2.9</v>
      </c>
      <c r="Y1898" s="2">
        <v>19910000000000</v>
      </c>
      <c r="Z1898">
        <v>50.6</v>
      </c>
      <c r="AA1898">
        <v>100.2</v>
      </c>
      <c r="AB1898">
        <v>9.4</v>
      </c>
      <c r="AC1898">
        <v>59.2</v>
      </c>
      <c r="AD1898">
        <v>1397715000</v>
      </c>
    </row>
    <row r="1899" spans="1:30" hidden="1" x14ac:dyDescent="0.45">
      <c r="A1899">
        <v>1804</v>
      </c>
      <c r="B1899">
        <v>1600</v>
      </c>
      <c r="C1899" t="s">
        <v>33</v>
      </c>
      <c r="D1899" t="s">
        <v>6252</v>
      </c>
      <c r="E1899">
        <v>52</v>
      </c>
      <c r="F1899" t="s">
        <v>128</v>
      </c>
      <c r="G1899" t="s">
        <v>6018</v>
      </c>
      <c r="H1899" t="s">
        <v>4251</v>
      </c>
      <c r="I1899" t="s">
        <v>33</v>
      </c>
      <c r="J1899" t="s">
        <v>128</v>
      </c>
      <c r="L1899" t="b">
        <v>1</v>
      </c>
      <c r="M1899" t="s">
        <v>39</v>
      </c>
      <c r="N1899" t="s">
        <v>8245</v>
      </c>
      <c r="O1899" s="1">
        <v>25934</v>
      </c>
      <c r="P1899" t="s">
        <v>3751</v>
      </c>
      <c r="Q1899" t="s">
        <v>2374</v>
      </c>
      <c r="S1899" s="1">
        <v>45020.209027777775</v>
      </c>
      <c r="V1899">
        <v>1971</v>
      </c>
      <c r="W1899">
        <v>125.08</v>
      </c>
      <c r="X1899">
        <v>2.9</v>
      </c>
      <c r="Y1899" s="2">
        <v>19910000000000</v>
      </c>
      <c r="Z1899">
        <v>50.6</v>
      </c>
      <c r="AA1899">
        <v>100.2</v>
      </c>
      <c r="AB1899">
        <v>9.4</v>
      </c>
      <c r="AC1899">
        <v>59.2</v>
      </c>
      <c r="AD1899">
        <v>1397715000</v>
      </c>
    </row>
    <row r="1900" spans="1:30" hidden="1" x14ac:dyDescent="0.45">
      <c r="A1900">
        <v>1804</v>
      </c>
      <c r="B1900">
        <v>1600</v>
      </c>
      <c r="C1900" t="s">
        <v>91</v>
      </c>
      <c r="D1900" t="s">
        <v>6253</v>
      </c>
      <c r="E1900">
        <v>62</v>
      </c>
      <c r="F1900" t="s">
        <v>128</v>
      </c>
      <c r="G1900" t="s">
        <v>678</v>
      </c>
      <c r="H1900" t="s">
        <v>2720</v>
      </c>
      <c r="I1900" t="s">
        <v>91</v>
      </c>
      <c r="J1900" t="s">
        <v>128</v>
      </c>
      <c r="L1900" t="b">
        <v>1</v>
      </c>
      <c r="M1900" t="s">
        <v>39</v>
      </c>
      <c r="N1900" t="s">
        <v>8245</v>
      </c>
      <c r="O1900" s="1">
        <v>22313</v>
      </c>
      <c r="P1900" t="s">
        <v>3028</v>
      </c>
      <c r="Q1900" t="s">
        <v>6254</v>
      </c>
      <c r="S1900" s="1">
        <v>45020.209027777775</v>
      </c>
      <c r="V1900">
        <v>1961</v>
      </c>
      <c r="W1900">
        <v>125.08</v>
      </c>
      <c r="X1900">
        <v>2.9</v>
      </c>
      <c r="Y1900" s="2">
        <v>19910000000000</v>
      </c>
      <c r="Z1900">
        <v>50.6</v>
      </c>
      <c r="AA1900">
        <v>100.2</v>
      </c>
      <c r="AB1900">
        <v>9.4</v>
      </c>
      <c r="AC1900">
        <v>59.2</v>
      </c>
      <c r="AD1900">
        <v>1397715000</v>
      </c>
    </row>
    <row r="1901" spans="1:30" hidden="1" x14ac:dyDescent="0.45">
      <c r="A1901">
        <v>1804</v>
      </c>
      <c r="B1901">
        <v>1600</v>
      </c>
      <c r="C1901" t="s">
        <v>296</v>
      </c>
      <c r="D1901" t="s">
        <v>6255</v>
      </c>
      <c r="E1901">
        <v>55</v>
      </c>
      <c r="F1901" t="s">
        <v>128</v>
      </c>
      <c r="G1901" t="s">
        <v>678</v>
      </c>
      <c r="H1901" t="s">
        <v>6256</v>
      </c>
      <c r="I1901" t="s">
        <v>296</v>
      </c>
      <c r="J1901" t="s">
        <v>128</v>
      </c>
      <c r="L1901" t="b">
        <v>1</v>
      </c>
      <c r="M1901" t="s">
        <v>39</v>
      </c>
      <c r="N1901" t="s">
        <v>8246</v>
      </c>
      <c r="O1901" s="1">
        <v>24838</v>
      </c>
      <c r="P1901" t="s">
        <v>2314</v>
      </c>
      <c r="Q1901" t="s">
        <v>6257</v>
      </c>
      <c r="S1901" s="1">
        <v>45020.209027777775</v>
      </c>
      <c r="V1901">
        <v>1968</v>
      </c>
      <c r="W1901">
        <v>125.08</v>
      </c>
      <c r="X1901">
        <v>2.9</v>
      </c>
      <c r="Y1901" s="2">
        <v>19910000000000</v>
      </c>
      <c r="Z1901">
        <v>50.6</v>
      </c>
      <c r="AA1901">
        <v>100.2</v>
      </c>
      <c r="AB1901">
        <v>9.4</v>
      </c>
      <c r="AC1901">
        <v>59.2</v>
      </c>
      <c r="AD1901">
        <v>1397715000</v>
      </c>
    </row>
    <row r="1902" spans="1:30" hidden="1" x14ac:dyDescent="0.45">
      <c r="A1902">
        <v>1804</v>
      </c>
      <c r="B1902">
        <v>1600</v>
      </c>
      <c r="C1902" t="s">
        <v>45</v>
      </c>
      <c r="D1902" t="s">
        <v>6258</v>
      </c>
      <c r="E1902">
        <v>48</v>
      </c>
      <c r="F1902" t="s">
        <v>128</v>
      </c>
      <c r="G1902" t="s">
        <v>292</v>
      </c>
      <c r="H1902" t="s">
        <v>336</v>
      </c>
      <c r="I1902" t="s">
        <v>45</v>
      </c>
      <c r="J1902" t="s">
        <v>128</v>
      </c>
      <c r="L1902" t="b">
        <v>1</v>
      </c>
      <c r="M1902" t="s">
        <v>39</v>
      </c>
      <c r="N1902" t="s">
        <v>8245</v>
      </c>
      <c r="O1902" s="1">
        <v>27395</v>
      </c>
      <c r="P1902" t="s">
        <v>263</v>
      </c>
      <c r="Q1902" t="s">
        <v>6259</v>
      </c>
      <c r="S1902" s="1">
        <v>45020.209027777775</v>
      </c>
      <c r="V1902">
        <v>1975</v>
      </c>
      <c r="W1902">
        <v>125.08</v>
      </c>
      <c r="X1902">
        <v>2.9</v>
      </c>
      <c r="Y1902" s="2">
        <v>19910000000000</v>
      </c>
      <c r="Z1902">
        <v>50.6</v>
      </c>
      <c r="AA1902">
        <v>100.2</v>
      </c>
      <c r="AB1902">
        <v>9.4</v>
      </c>
      <c r="AC1902">
        <v>59.2</v>
      </c>
      <c r="AD1902">
        <v>1397715000</v>
      </c>
    </row>
    <row r="1903" spans="1:30" hidden="1" x14ac:dyDescent="0.45">
      <c r="A1903">
        <v>1804</v>
      </c>
      <c r="B1903">
        <v>1600</v>
      </c>
      <c r="C1903" t="s">
        <v>326</v>
      </c>
      <c r="D1903" t="s">
        <v>6260</v>
      </c>
      <c r="E1903">
        <v>75</v>
      </c>
      <c r="F1903" t="s">
        <v>128</v>
      </c>
      <c r="G1903" t="s">
        <v>6261</v>
      </c>
      <c r="H1903" t="s">
        <v>2735</v>
      </c>
      <c r="I1903" t="s">
        <v>326</v>
      </c>
      <c r="J1903" t="s">
        <v>128</v>
      </c>
      <c r="L1903" t="b">
        <v>1</v>
      </c>
      <c r="M1903" t="s">
        <v>39</v>
      </c>
      <c r="N1903" t="s">
        <v>8245</v>
      </c>
      <c r="O1903" s="1">
        <v>17349</v>
      </c>
      <c r="P1903" t="s">
        <v>190</v>
      </c>
      <c r="Q1903" t="s">
        <v>6262</v>
      </c>
      <c r="S1903" s="1">
        <v>45020.209027777775</v>
      </c>
      <c r="V1903">
        <v>1947</v>
      </c>
      <c r="W1903">
        <v>125.08</v>
      </c>
      <c r="X1903">
        <v>2.9</v>
      </c>
      <c r="Y1903" s="2">
        <v>19910000000000</v>
      </c>
      <c r="Z1903">
        <v>50.6</v>
      </c>
      <c r="AA1903">
        <v>100.2</v>
      </c>
      <c r="AB1903">
        <v>9.4</v>
      </c>
      <c r="AC1903">
        <v>59.2</v>
      </c>
      <c r="AD1903">
        <v>1397715000</v>
      </c>
    </row>
    <row r="1904" spans="1:30" hidden="1" x14ac:dyDescent="0.45">
      <c r="A1904">
        <v>1804</v>
      </c>
      <c r="B1904">
        <v>1600</v>
      </c>
      <c r="C1904" t="s">
        <v>126</v>
      </c>
      <c r="D1904" t="s">
        <v>6263</v>
      </c>
      <c r="E1904">
        <v>58</v>
      </c>
      <c r="F1904" t="s">
        <v>128</v>
      </c>
      <c r="G1904" t="s">
        <v>6264</v>
      </c>
      <c r="H1904" t="s">
        <v>3509</v>
      </c>
      <c r="I1904" t="s">
        <v>126</v>
      </c>
      <c r="J1904" t="s">
        <v>128</v>
      </c>
      <c r="L1904" t="b">
        <v>1</v>
      </c>
      <c r="M1904" t="s">
        <v>39</v>
      </c>
      <c r="N1904" t="s">
        <v>8245</v>
      </c>
      <c r="O1904" s="1">
        <v>23651</v>
      </c>
      <c r="P1904" t="s">
        <v>190</v>
      </c>
      <c r="Q1904" t="s">
        <v>6265</v>
      </c>
      <c r="S1904" s="1">
        <v>45020.209027777775</v>
      </c>
      <c r="V1904">
        <v>1964</v>
      </c>
      <c r="W1904">
        <v>125.08</v>
      </c>
      <c r="X1904">
        <v>2.9</v>
      </c>
      <c r="Y1904" s="2">
        <v>19910000000000</v>
      </c>
      <c r="Z1904">
        <v>50.6</v>
      </c>
      <c r="AA1904">
        <v>100.2</v>
      </c>
      <c r="AB1904">
        <v>9.4</v>
      </c>
      <c r="AC1904">
        <v>59.2</v>
      </c>
      <c r="AD1904">
        <v>1397715000</v>
      </c>
    </row>
    <row r="1905" spans="1:30" hidden="1" x14ac:dyDescent="0.45">
      <c r="A1905">
        <v>1804</v>
      </c>
      <c r="B1905">
        <v>1600</v>
      </c>
      <c r="C1905" t="s">
        <v>239</v>
      </c>
      <c r="D1905" t="s">
        <v>6266</v>
      </c>
      <c r="E1905">
        <v>52</v>
      </c>
      <c r="F1905" t="s">
        <v>577</v>
      </c>
      <c r="G1905" t="s">
        <v>578</v>
      </c>
      <c r="H1905" t="s">
        <v>6267</v>
      </c>
      <c r="I1905" t="s">
        <v>239</v>
      </c>
      <c r="J1905" t="s">
        <v>577</v>
      </c>
      <c r="L1905" t="b">
        <v>1</v>
      </c>
      <c r="M1905" t="s">
        <v>29</v>
      </c>
      <c r="N1905" t="s">
        <v>8245</v>
      </c>
      <c r="O1905" s="1">
        <v>25952</v>
      </c>
      <c r="P1905" t="s">
        <v>6268</v>
      </c>
      <c r="Q1905" t="s">
        <v>1873</v>
      </c>
      <c r="S1905" s="1">
        <v>45020.209027777775</v>
      </c>
      <c r="V1905">
        <v>1971</v>
      </c>
      <c r="W1905">
        <v>110.51</v>
      </c>
      <c r="X1905">
        <v>1.8</v>
      </c>
      <c r="Y1905" s="2">
        <v>530832908738</v>
      </c>
      <c r="Z1905">
        <v>67</v>
      </c>
      <c r="AA1905">
        <v>126.6</v>
      </c>
      <c r="AB1905">
        <v>27.9</v>
      </c>
      <c r="AC1905">
        <v>49.1</v>
      </c>
      <c r="AD1905">
        <v>10285453</v>
      </c>
    </row>
    <row r="1906" spans="1:30" hidden="1" x14ac:dyDescent="0.45">
      <c r="A1906">
        <v>1905</v>
      </c>
      <c r="B1906">
        <v>1500</v>
      </c>
      <c r="C1906" t="s">
        <v>126</v>
      </c>
      <c r="D1906" t="s">
        <v>6269</v>
      </c>
      <c r="E1906">
        <v>82</v>
      </c>
      <c r="F1906" t="s">
        <v>93</v>
      </c>
      <c r="G1906" t="s">
        <v>5677</v>
      </c>
      <c r="H1906" t="s">
        <v>6270</v>
      </c>
      <c r="I1906" t="s">
        <v>126</v>
      </c>
      <c r="J1906" t="s">
        <v>93</v>
      </c>
      <c r="L1906" t="b">
        <v>0</v>
      </c>
      <c r="M1906" t="s">
        <v>258</v>
      </c>
      <c r="N1906" t="s">
        <v>8245</v>
      </c>
      <c r="O1906" s="1">
        <v>14977</v>
      </c>
      <c r="P1906" t="s">
        <v>6271</v>
      </c>
      <c r="Q1906" t="s">
        <v>6272</v>
      </c>
      <c r="S1906" s="1">
        <v>45020.209027777775</v>
      </c>
      <c r="V1906">
        <v>1941</v>
      </c>
      <c r="W1906">
        <v>180.44</v>
      </c>
      <c r="X1906">
        <v>7.7</v>
      </c>
      <c r="Y1906" s="2">
        <v>2611000000000</v>
      </c>
      <c r="Z1906">
        <v>28.1</v>
      </c>
      <c r="AA1906">
        <v>113</v>
      </c>
      <c r="AB1906">
        <v>11.2</v>
      </c>
      <c r="AC1906">
        <v>49.7</v>
      </c>
      <c r="AD1906">
        <v>1366417754</v>
      </c>
    </row>
    <row r="1907" spans="1:30" hidden="1" x14ac:dyDescent="0.45">
      <c r="A1907">
        <v>1905</v>
      </c>
      <c r="B1907">
        <v>1500</v>
      </c>
      <c r="C1907" t="s">
        <v>91</v>
      </c>
      <c r="D1907" t="s">
        <v>6273</v>
      </c>
      <c r="E1907">
        <v>62</v>
      </c>
      <c r="F1907" t="s">
        <v>6274</v>
      </c>
      <c r="G1907" t="s">
        <v>6275</v>
      </c>
      <c r="H1907" t="s">
        <v>6276</v>
      </c>
      <c r="I1907" t="s">
        <v>91</v>
      </c>
      <c r="J1907" t="s">
        <v>6274</v>
      </c>
      <c r="L1907" t="b">
        <v>0</v>
      </c>
      <c r="M1907" t="s">
        <v>39</v>
      </c>
      <c r="N1907" t="s">
        <v>8245</v>
      </c>
      <c r="O1907" s="1">
        <v>22282</v>
      </c>
      <c r="P1907" t="s">
        <v>6277</v>
      </c>
      <c r="Q1907" t="s">
        <v>6278</v>
      </c>
      <c r="S1907" s="1">
        <v>45020.209027777775</v>
      </c>
      <c r="V1907">
        <v>1961</v>
      </c>
      <c r="W1907">
        <v>111.07</v>
      </c>
      <c r="X1907">
        <v>0.2</v>
      </c>
      <c r="Y1907" s="2">
        <v>118725279596</v>
      </c>
      <c r="Z1907">
        <v>35.9</v>
      </c>
      <c r="AA1907">
        <v>113.9</v>
      </c>
      <c r="AB1907">
        <v>21.9</v>
      </c>
      <c r="AC1907">
        <v>45.8</v>
      </c>
      <c r="AD1907">
        <v>36910560</v>
      </c>
    </row>
    <row r="1908" spans="1:30" hidden="1" x14ac:dyDescent="0.45">
      <c r="A1908">
        <v>1905</v>
      </c>
      <c r="B1908">
        <v>1500</v>
      </c>
      <c r="C1908" t="s">
        <v>91</v>
      </c>
      <c r="D1908" t="s">
        <v>6279</v>
      </c>
      <c r="E1908">
        <v>68</v>
      </c>
      <c r="F1908" t="s">
        <v>2037</v>
      </c>
      <c r="G1908" t="s">
        <v>2038</v>
      </c>
      <c r="H1908" t="s">
        <v>91</v>
      </c>
      <c r="I1908" t="s">
        <v>91</v>
      </c>
      <c r="J1908" t="s">
        <v>2037</v>
      </c>
      <c r="L1908" t="b">
        <v>1</v>
      </c>
      <c r="M1908" t="s">
        <v>611</v>
      </c>
      <c r="N1908" t="s">
        <v>8245</v>
      </c>
      <c r="O1908" s="1">
        <v>20090</v>
      </c>
      <c r="P1908" t="s">
        <v>6280</v>
      </c>
      <c r="Q1908" t="s">
        <v>5142</v>
      </c>
      <c r="S1908" s="1">
        <v>45020.209027777775</v>
      </c>
      <c r="V1908">
        <v>1955</v>
      </c>
      <c r="W1908">
        <v>234.44</v>
      </c>
      <c r="X1908">
        <v>15.2</v>
      </c>
      <c r="Y1908" s="2">
        <v>754411708203</v>
      </c>
      <c r="Z1908">
        <v>23.9</v>
      </c>
      <c r="AA1908">
        <v>93.2</v>
      </c>
      <c r="AB1908">
        <v>17.899999999999999</v>
      </c>
      <c r="AC1908">
        <v>42.3</v>
      </c>
      <c r="AD1908">
        <v>83429615</v>
      </c>
    </row>
    <row r="1909" spans="1:30" hidden="1" x14ac:dyDescent="0.45">
      <c r="A1909">
        <v>1905</v>
      </c>
      <c r="B1909">
        <v>1500</v>
      </c>
      <c r="C1909" t="s">
        <v>296</v>
      </c>
      <c r="D1909" t="s">
        <v>6281</v>
      </c>
      <c r="E1909">
        <v>61</v>
      </c>
      <c r="F1909" t="s">
        <v>214</v>
      </c>
      <c r="G1909" t="s">
        <v>6282</v>
      </c>
      <c r="H1909" t="s">
        <v>6283</v>
      </c>
      <c r="I1909" t="s">
        <v>296</v>
      </c>
      <c r="J1909" t="s">
        <v>214</v>
      </c>
      <c r="L1909" t="b">
        <v>1</v>
      </c>
      <c r="M1909" t="s">
        <v>29</v>
      </c>
      <c r="N1909" t="s">
        <v>8245</v>
      </c>
      <c r="O1909" s="1">
        <v>22379</v>
      </c>
      <c r="P1909" t="s">
        <v>6284</v>
      </c>
      <c r="Q1909" t="s">
        <v>6285</v>
      </c>
      <c r="S1909" s="1">
        <v>45020.209027777775</v>
      </c>
      <c r="V1909">
        <v>1961</v>
      </c>
      <c r="W1909">
        <v>110.62</v>
      </c>
      <c r="X1909">
        <v>0.6</v>
      </c>
      <c r="Y1909" s="2">
        <v>2001244392042</v>
      </c>
      <c r="Z1909">
        <v>61.9</v>
      </c>
      <c r="AA1909">
        <v>101.9</v>
      </c>
      <c r="AB1909">
        <v>24.3</v>
      </c>
      <c r="AC1909">
        <v>59.1</v>
      </c>
      <c r="AD1909">
        <v>60297396</v>
      </c>
    </row>
    <row r="1910" spans="1:30" hidden="1" x14ac:dyDescent="0.45">
      <c r="A1910">
        <v>1905</v>
      </c>
      <c r="B1910">
        <v>1500</v>
      </c>
      <c r="C1910" t="s">
        <v>91</v>
      </c>
      <c r="D1910" t="s">
        <v>6286</v>
      </c>
      <c r="E1910">
        <v>26</v>
      </c>
      <c r="F1910" t="s">
        <v>1297</v>
      </c>
      <c r="G1910" t="s">
        <v>1298</v>
      </c>
      <c r="H1910" t="s">
        <v>317</v>
      </c>
      <c r="I1910" t="s">
        <v>91</v>
      </c>
      <c r="J1910" t="s">
        <v>1297</v>
      </c>
      <c r="L1910" t="b">
        <v>0</v>
      </c>
      <c r="M1910" t="s">
        <v>29</v>
      </c>
      <c r="N1910" t="s">
        <v>8246</v>
      </c>
      <c r="O1910" s="1">
        <v>35269</v>
      </c>
      <c r="P1910" t="s">
        <v>6287</v>
      </c>
      <c r="Q1910" t="s">
        <v>2204</v>
      </c>
      <c r="S1910" s="1">
        <v>45020.209027777775</v>
      </c>
      <c r="V1910">
        <v>1996</v>
      </c>
      <c r="W1910">
        <v>120.27</v>
      </c>
      <c r="X1910">
        <v>2.2000000000000002</v>
      </c>
      <c r="Y1910" s="2">
        <v>403336363636</v>
      </c>
      <c r="Z1910">
        <v>82</v>
      </c>
      <c r="AA1910">
        <v>100.3</v>
      </c>
      <c r="AB1910">
        <v>23.9</v>
      </c>
      <c r="AC1910">
        <v>36.200000000000003</v>
      </c>
      <c r="AD1910">
        <v>5347896</v>
      </c>
    </row>
    <row r="1911" spans="1:30" hidden="1" x14ac:dyDescent="0.45">
      <c r="A1911">
        <v>1905</v>
      </c>
      <c r="B1911">
        <v>1500</v>
      </c>
      <c r="C1911" t="s">
        <v>91</v>
      </c>
      <c r="D1911" t="s">
        <v>6288</v>
      </c>
      <c r="E1911">
        <v>27</v>
      </c>
      <c r="F1911" t="s">
        <v>1297</v>
      </c>
      <c r="G1911" t="s">
        <v>1298</v>
      </c>
      <c r="H1911" t="s">
        <v>317</v>
      </c>
      <c r="I1911" t="s">
        <v>91</v>
      </c>
      <c r="J1911" t="s">
        <v>1297</v>
      </c>
      <c r="L1911" t="b">
        <v>0</v>
      </c>
      <c r="M1911" t="s">
        <v>29</v>
      </c>
      <c r="N1911" t="s">
        <v>8246</v>
      </c>
      <c r="O1911" s="1">
        <v>34840</v>
      </c>
      <c r="P1911" t="s">
        <v>6287</v>
      </c>
      <c r="Q1911" t="s">
        <v>3593</v>
      </c>
      <c r="S1911" s="1">
        <v>45020.209027777775</v>
      </c>
      <c r="V1911">
        <v>1995</v>
      </c>
      <c r="W1911">
        <v>120.27</v>
      </c>
      <c r="X1911">
        <v>2.2000000000000002</v>
      </c>
      <c r="Y1911" s="2">
        <v>403336363636</v>
      </c>
      <c r="Z1911">
        <v>82</v>
      </c>
      <c r="AA1911">
        <v>100.3</v>
      </c>
      <c r="AB1911">
        <v>23.9</v>
      </c>
      <c r="AC1911">
        <v>36.200000000000003</v>
      </c>
      <c r="AD1911">
        <v>5347896</v>
      </c>
    </row>
    <row r="1912" spans="1:30" hidden="1" x14ac:dyDescent="0.45">
      <c r="A1912">
        <v>1905</v>
      </c>
      <c r="B1912">
        <v>1500</v>
      </c>
      <c r="C1912" t="s">
        <v>91</v>
      </c>
      <c r="D1912" t="s">
        <v>6289</v>
      </c>
      <c r="E1912">
        <v>68</v>
      </c>
      <c r="F1912" t="s">
        <v>393</v>
      </c>
      <c r="G1912" t="s">
        <v>394</v>
      </c>
      <c r="H1912" t="s">
        <v>5339</v>
      </c>
      <c r="I1912" t="s">
        <v>91</v>
      </c>
      <c r="J1912" t="s">
        <v>393</v>
      </c>
      <c r="L1912" t="b">
        <v>0</v>
      </c>
      <c r="M1912" t="s">
        <v>29</v>
      </c>
      <c r="N1912" t="s">
        <v>8246</v>
      </c>
      <c r="O1912" s="1">
        <v>19819</v>
      </c>
      <c r="P1912" t="s">
        <v>5340</v>
      </c>
      <c r="Q1912" t="s">
        <v>6290</v>
      </c>
      <c r="S1912" s="1">
        <v>45020.209027777775</v>
      </c>
      <c r="V1912">
        <v>1954</v>
      </c>
      <c r="W1912">
        <v>131.91</v>
      </c>
      <c r="X1912">
        <v>2.6</v>
      </c>
      <c r="Y1912" s="2">
        <v>282318159745</v>
      </c>
      <c r="Z1912">
        <v>88.5</v>
      </c>
      <c r="AA1912">
        <v>101.4</v>
      </c>
      <c r="AB1912">
        <v>18.2</v>
      </c>
      <c r="AC1912">
        <v>34</v>
      </c>
      <c r="AD1912">
        <v>18952038</v>
      </c>
    </row>
    <row r="1913" spans="1:30" hidden="1" x14ac:dyDescent="0.45">
      <c r="A1913">
        <v>1905</v>
      </c>
      <c r="B1913">
        <v>1500</v>
      </c>
      <c r="C1913" t="s">
        <v>402</v>
      </c>
      <c r="D1913" t="s">
        <v>6291</v>
      </c>
      <c r="E1913">
        <v>70</v>
      </c>
      <c r="F1913" t="s">
        <v>490</v>
      </c>
      <c r="G1913" t="s">
        <v>6292</v>
      </c>
      <c r="H1913" t="s">
        <v>610</v>
      </c>
      <c r="I1913" t="s">
        <v>402</v>
      </c>
      <c r="J1913" t="s">
        <v>490</v>
      </c>
      <c r="L1913" t="b">
        <v>1</v>
      </c>
      <c r="M1913" t="s">
        <v>39</v>
      </c>
      <c r="N1913" t="s">
        <v>8245</v>
      </c>
      <c r="O1913" s="1">
        <v>19261</v>
      </c>
      <c r="P1913" t="s">
        <v>6293</v>
      </c>
      <c r="Q1913" t="s">
        <v>3948</v>
      </c>
      <c r="S1913" s="1">
        <v>45020.209027777775</v>
      </c>
      <c r="V1913">
        <v>1952</v>
      </c>
      <c r="W1913">
        <v>108.15</v>
      </c>
      <c r="X1913">
        <v>0.8</v>
      </c>
      <c r="Y1913" s="2">
        <v>395098666122</v>
      </c>
      <c r="Z1913">
        <v>63.4</v>
      </c>
      <c r="AA1913">
        <v>104.9</v>
      </c>
      <c r="AB1913">
        <v>23.1</v>
      </c>
      <c r="AC1913">
        <v>25.3</v>
      </c>
      <c r="AD1913">
        <v>9053300</v>
      </c>
    </row>
    <row r="1914" spans="1:30" hidden="1" x14ac:dyDescent="0.45">
      <c r="A1914">
        <v>1905</v>
      </c>
      <c r="B1914">
        <v>1500</v>
      </c>
      <c r="C1914" t="s">
        <v>23</v>
      </c>
      <c r="D1914" t="s">
        <v>6294</v>
      </c>
      <c r="E1914">
        <v>53</v>
      </c>
      <c r="F1914" t="s">
        <v>214</v>
      </c>
      <c r="G1914" t="s">
        <v>6295</v>
      </c>
      <c r="H1914" t="s">
        <v>3375</v>
      </c>
      <c r="I1914" t="s">
        <v>23</v>
      </c>
      <c r="J1914" t="s">
        <v>214</v>
      </c>
      <c r="L1914" t="b">
        <v>0</v>
      </c>
      <c r="M1914" t="s">
        <v>29</v>
      </c>
      <c r="N1914" t="s">
        <v>8246</v>
      </c>
      <c r="O1914" s="1">
        <v>25386</v>
      </c>
      <c r="P1914" t="s">
        <v>3376</v>
      </c>
      <c r="Q1914" t="s">
        <v>5136</v>
      </c>
      <c r="S1914" s="1">
        <v>45020.209027777775</v>
      </c>
      <c r="V1914">
        <v>1969</v>
      </c>
      <c r="W1914">
        <v>110.62</v>
      </c>
      <c r="X1914">
        <v>0.6</v>
      </c>
      <c r="Y1914" s="2">
        <v>2001244392042</v>
      </c>
      <c r="Z1914">
        <v>61.9</v>
      </c>
      <c r="AA1914">
        <v>101.9</v>
      </c>
      <c r="AB1914">
        <v>24.3</v>
      </c>
      <c r="AC1914">
        <v>59.1</v>
      </c>
      <c r="AD1914">
        <v>60297396</v>
      </c>
    </row>
    <row r="1915" spans="1:30" hidden="1" x14ac:dyDescent="0.45">
      <c r="A1915">
        <v>1905</v>
      </c>
      <c r="B1915">
        <v>1500</v>
      </c>
      <c r="C1915" t="s">
        <v>326</v>
      </c>
      <c r="D1915" t="s">
        <v>6296</v>
      </c>
      <c r="E1915">
        <v>79</v>
      </c>
      <c r="F1915" t="s">
        <v>328</v>
      </c>
      <c r="G1915" t="s">
        <v>329</v>
      </c>
      <c r="H1915" t="s">
        <v>330</v>
      </c>
      <c r="I1915" t="s">
        <v>326</v>
      </c>
      <c r="J1915" t="s">
        <v>328</v>
      </c>
      <c r="L1915" t="b">
        <v>0</v>
      </c>
      <c r="M1915" t="s">
        <v>29</v>
      </c>
      <c r="N1915" t="s">
        <v>8246</v>
      </c>
      <c r="O1915" s="1">
        <v>16163</v>
      </c>
      <c r="P1915" t="s">
        <v>3301</v>
      </c>
      <c r="Q1915" t="s">
        <v>4089</v>
      </c>
      <c r="S1915" s="1">
        <v>45020.209027777775</v>
      </c>
      <c r="V1915">
        <v>1944</v>
      </c>
      <c r="W1915">
        <v>119.8</v>
      </c>
      <c r="X1915">
        <v>1.6</v>
      </c>
      <c r="Y1915" s="2">
        <v>1392680589329</v>
      </c>
      <c r="Z1915">
        <v>113.1</v>
      </c>
      <c r="AA1915">
        <v>100.3</v>
      </c>
      <c r="AB1915">
        <v>23</v>
      </c>
      <c r="AC1915">
        <v>47.4</v>
      </c>
      <c r="AD1915">
        <v>25766605</v>
      </c>
    </row>
    <row r="1916" spans="1:30" hidden="1" x14ac:dyDescent="0.45">
      <c r="A1916">
        <v>1905</v>
      </c>
      <c r="B1916">
        <v>1500</v>
      </c>
      <c r="C1916" t="s">
        <v>91</v>
      </c>
      <c r="D1916" t="s">
        <v>6297</v>
      </c>
      <c r="E1916">
        <v>79</v>
      </c>
      <c r="F1916" t="s">
        <v>490</v>
      </c>
      <c r="G1916" t="s">
        <v>1737</v>
      </c>
      <c r="H1916" t="s">
        <v>6298</v>
      </c>
      <c r="I1916" t="s">
        <v>91</v>
      </c>
      <c r="J1916" t="s">
        <v>490</v>
      </c>
      <c r="L1916" t="b">
        <v>1</v>
      </c>
      <c r="M1916" t="s">
        <v>39</v>
      </c>
      <c r="N1916" t="s">
        <v>8245</v>
      </c>
      <c r="O1916" s="1">
        <v>16072</v>
      </c>
      <c r="P1916" t="s">
        <v>6299</v>
      </c>
      <c r="Q1916" t="s">
        <v>6300</v>
      </c>
      <c r="S1916" s="1">
        <v>45020.209027777775</v>
      </c>
      <c r="V1916">
        <v>1944</v>
      </c>
      <c r="W1916">
        <v>108.15</v>
      </c>
      <c r="X1916">
        <v>0.8</v>
      </c>
      <c r="Y1916" s="2">
        <v>395098666122</v>
      </c>
      <c r="Z1916">
        <v>63.4</v>
      </c>
      <c r="AA1916">
        <v>104.9</v>
      </c>
      <c r="AB1916">
        <v>23.1</v>
      </c>
      <c r="AC1916">
        <v>25.3</v>
      </c>
      <c r="AD1916">
        <v>9053300</v>
      </c>
    </row>
    <row r="1917" spans="1:30" hidden="1" x14ac:dyDescent="0.45">
      <c r="A1917">
        <v>1905</v>
      </c>
      <c r="B1917">
        <v>1500</v>
      </c>
      <c r="C1917" t="s">
        <v>23</v>
      </c>
      <c r="D1917" t="s">
        <v>6301</v>
      </c>
      <c r="E1917">
        <v>85</v>
      </c>
      <c r="F1917" t="s">
        <v>214</v>
      </c>
      <c r="G1917" t="s">
        <v>2878</v>
      </c>
      <c r="H1917" t="s">
        <v>200</v>
      </c>
      <c r="I1917" t="s">
        <v>23</v>
      </c>
      <c r="J1917" t="s">
        <v>214</v>
      </c>
      <c r="L1917" t="b">
        <v>0</v>
      </c>
      <c r="M1917" t="s">
        <v>611</v>
      </c>
      <c r="N1917" t="s">
        <v>8245</v>
      </c>
      <c r="O1917" s="1">
        <v>13766</v>
      </c>
      <c r="P1917" t="s">
        <v>5354</v>
      </c>
      <c r="Q1917" t="s">
        <v>4127</v>
      </c>
      <c r="S1917" s="1">
        <v>45020.209027777775</v>
      </c>
      <c r="V1917">
        <v>1937</v>
      </c>
      <c r="W1917">
        <v>110.62</v>
      </c>
      <c r="X1917">
        <v>0.6</v>
      </c>
      <c r="Y1917" s="2">
        <v>2001244392042</v>
      </c>
      <c r="Z1917">
        <v>61.9</v>
      </c>
      <c r="AA1917">
        <v>101.9</v>
      </c>
      <c r="AB1917">
        <v>24.3</v>
      </c>
      <c r="AC1917">
        <v>59.1</v>
      </c>
      <c r="AD1917">
        <v>60297396</v>
      </c>
    </row>
    <row r="1918" spans="1:30" hidden="1" x14ac:dyDescent="0.45">
      <c r="A1918">
        <v>1905</v>
      </c>
      <c r="B1918">
        <v>1500</v>
      </c>
      <c r="C1918" t="s">
        <v>126</v>
      </c>
      <c r="D1918" t="s">
        <v>6302</v>
      </c>
      <c r="E1918">
        <v>46</v>
      </c>
      <c r="F1918" t="s">
        <v>360</v>
      </c>
      <c r="G1918" t="s">
        <v>767</v>
      </c>
      <c r="H1918" t="s">
        <v>2022</v>
      </c>
      <c r="I1918" t="s">
        <v>126</v>
      </c>
      <c r="J1918" t="s">
        <v>272</v>
      </c>
      <c r="L1918" t="b">
        <v>0</v>
      </c>
      <c r="M1918" t="s">
        <v>39</v>
      </c>
      <c r="N1918" t="s">
        <v>8245</v>
      </c>
      <c r="O1918" s="1">
        <v>28194</v>
      </c>
      <c r="P1918" t="s">
        <v>4349</v>
      </c>
      <c r="Q1918" t="s">
        <v>6303</v>
      </c>
      <c r="S1918" s="1">
        <v>45020.209027777775</v>
      </c>
      <c r="V1918">
        <v>1977</v>
      </c>
      <c r="W1918">
        <v>114.52</v>
      </c>
      <c r="X1918">
        <v>-1.9</v>
      </c>
      <c r="Y1918" s="2">
        <v>421142267938</v>
      </c>
      <c r="Z1918">
        <v>36.799999999999997</v>
      </c>
      <c r="AA1918">
        <v>108.4</v>
      </c>
      <c r="AB1918">
        <v>0.1</v>
      </c>
      <c r="AC1918">
        <v>15.9</v>
      </c>
      <c r="AD1918">
        <v>9770529</v>
      </c>
    </row>
    <row r="1919" spans="1:30" hidden="1" x14ac:dyDescent="0.45">
      <c r="A1919">
        <v>1905</v>
      </c>
      <c r="B1919">
        <v>1500</v>
      </c>
      <c r="C1919" t="s">
        <v>91</v>
      </c>
      <c r="D1919" t="s">
        <v>6304</v>
      </c>
      <c r="E1919">
        <v>65</v>
      </c>
      <c r="F1919" t="s">
        <v>2037</v>
      </c>
      <c r="G1919" t="s">
        <v>2038</v>
      </c>
      <c r="H1919" t="s">
        <v>6305</v>
      </c>
      <c r="I1919" t="s">
        <v>91</v>
      </c>
      <c r="J1919" t="s">
        <v>2037</v>
      </c>
      <c r="L1919" t="b">
        <v>1</v>
      </c>
      <c r="M1919" t="s">
        <v>611</v>
      </c>
      <c r="N1919" t="s">
        <v>8245</v>
      </c>
      <c r="O1919" s="1">
        <v>21245</v>
      </c>
      <c r="P1919" t="s">
        <v>6306</v>
      </c>
      <c r="Q1919" t="s">
        <v>6307</v>
      </c>
      <c r="S1919" s="1">
        <v>45020.209027777775</v>
      </c>
      <c r="V1919">
        <v>1958</v>
      </c>
      <c r="W1919">
        <v>234.44</v>
      </c>
      <c r="X1919">
        <v>15.2</v>
      </c>
      <c r="Y1919" s="2">
        <v>754411708203</v>
      </c>
      <c r="Z1919">
        <v>23.9</v>
      </c>
      <c r="AA1919">
        <v>93.2</v>
      </c>
      <c r="AB1919">
        <v>17.899999999999999</v>
      </c>
      <c r="AC1919">
        <v>42.3</v>
      </c>
      <c r="AD1919">
        <v>83429615</v>
      </c>
    </row>
    <row r="1920" spans="1:30" x14ac:dyDescent="0.45">
      <c r="A1920">
        <v>1905</v>
      </c>
      <c r="B1920" s="6">
        <v>1500</v>
      </c>
      <c r="C1920" t="s">
        <v>45</v>
      </c>
      <c r="D1920" t="s">
        <v>6308</v>
      </c>
      <c r="E1920">
        <v>61</v>
      </c>
      <c r="F1920" t="s">
        <v>35</v>
      </c>
      <c r="G1920" t="s">
        <v>6309</v>
      </c>
      <c r="H1920" t="s">
        <v>856</v>
      </c>
      <c r="I1920" t="s">
        <v>45</v>
      </c>
      <c r="J1920" t="s">
        <v>35</v>
      </c>
      <c r="K1920" t="s">
        <v>56</v>
      </c>
      <c r="L1920" t="b">
        <v>1</v>
      </c>
      <c r="M1920" t="s">
        <v>611</v>
      </c>
      <c r="N1920" t="s">
        <v>8246</v>
      </c>
      <c r="O1920" s="10">
        <v>22628</v>
      </c>
      <c r="P1920" t="s">
        <v>6310</v>
      </c>
      <c r="Q1920" t="s">
        <v>559</v>
      </c>
      <c r="R1920" t="s">
        <v>42</v>
      </c>
      <c r="S1920" s="8">
        <v>45020.209027777775</v>
      </c>
      <c r="T1920" t="s">
        <v>115</v>
      </c>
      <c r="U1920" t="s">
        <v>44</v>
      </c>
      <c r="V1920">
        <v>1961</v>
      </c>
      <c r="W1920" s="12">
        <v>117.24</v>
      </c>
      <c r="X1920">
        <v>7.5</v>
      </c>
      <c r="Y1920" s="14">
        <v>21427700000000</v>
      </c>
      <c r="Z1920">
        <v>88.2</v>
      </c>
      <c r="AA1920">
        <v>101.8</v>
      </c>
      <c r="AB1920">
        <v>9.6</v>
      </c>
      <c r="AC1920">
        <v>36.6</v>
      </c>
      <c r="AD1920">
        <v>328239523</v>
      </c>
    </row>
    <row r="1921" spans="1:30" hidden="1" x14ac:dyDescent="0.45">
      <c r="A1921">
        <v>1905</v>
      </c>
      <c r="B1921">
        <v>1500</v>
      </c>
      <c r="C1921" t="s">
        <v>203</v>
      </c>
      <c r="D1921" t="s">
        <v>6311</v>
      </c>
      <c r="E1921">
        <v>68</v>
      </c>
      <c r="F1921" t="s">
        <v>1259</v>
      </c>
      <c r="G1921" t="s">
        <v>1260</v>
      </c>
      <c r="H1921" t="s">
        <v>6312</v>
      </c>
      <c r="I1921" t="s">
        <v>203</v>
      </c>
      <c r="J1921" t="s">
        <v>1259</v>
      </c>
      <c r="L1921" t="b">
        <v>0</v>
      </c>
      <c r="M1921" t="s">
        <v>39</v>
      </c>
      <c r="N1921" t="s">
        <v>8245</v>
      </c>
      <c r="O1921" s="1">
        <v>20090</v>
      </c>
      <c r="P1921" t="s">
        <v>2327</v>
      </c>
      <c r="Q1921" t="s">
        <v>6313</v>
      </c>
      <c r="S1921" s="1">
        <v>45020.209027777775</v>
      </c>
      <c r="V1921">
        <v>1955</v>
      </c>
      <c r="W1921"/>
      <c r="Y1921"/>
    </row>
    <row r="1922" spans="1:30" hidden="1" x14ac:dyDescent="0.45">
      <c r="A1922">
        <v>1905</v>
      </c>
      <c r="B1922">
        <v>1500</v>
      </c>
      <c r="C1922" t="s">
        <v>296</v>
      </c>
      <c r="D1922" t="s">
        <v>6314</v>
      </c>
      <c r="E1922">
        <v>60</v>
      </c>
      <c r="F1922" t="s">
        <v>128</v>
      </c>
      <c r="G1922" t="s">
        <v>129</v>
      </c>
      <c r="H1922" t="s">
        <v>296</v>
      </c>
      <c r="I1922" t="s">
        <v>296</v>
      </c>
      <c r="J1922" t="s">
        <v>128</v>
      </c>
      <c r="L1922" t="b">
        <v>1</v>
      </c>
      <c r="M1922" t="s">
        <v>29</v>
      </c>
      <c r="N1922" t="s">
        <v>8245</v>
      </c>
      <c r="O1922" s="1">
        <v>23102</v>
      </c>
      <c r="P1922" t="s">
        <v>3656</v>
      </c>
      <c r="Q1922" t="s">
        <v>1703</v>
      </c>
      <c r="S1922" s="1">
        <v>45020.209027777775</v>
      </c>
      <c r="V1922">
        <v>1963</v>
      </c>
      <c r="W1922">
        <v>125.08</v>
      </c>
      <c r="X1922">
        <v>2.9</v>
      </c>
      <c r="Y1922" s="2">
        <v>19910000000000</v>
      </c>
      <c r="Z1922">
        <v>50.6</v>
      </c>
      <c r="AA1922">
        <v>100.2</v>
      </c>
      <c r="AB1922">
        <v>9.4</v>
      </c>
      <c r="AC1922">
        <v>59.2</v>
      </c>
      <c r="AD1922">
        <v>1397715000</v>
      </c>
    </row>
    <row r="1923" spans="1:30" hidden="1" x14ac:dyDescent="0.45">
      <c r="A1923">
        <v>1905</v>
      </c>
      <c r="B1923">
        <v>1500</v>
      </c>
      <c r="C1923" t="s">
        <v>91</v>
      </c>
      <c r="D1923" t="s">
        <v>6315</v>
      </c>
      <c r="E1923">
        <v>70</v>
      </c>
      <c r="F1923" t="s">
        <v>6316</v>
      </c>
      <c r="G1923" t="s">
        <v>6317</v>
      </c>
      <c r="H1923" t="s">
        <v>6318</v>
      </c>
      <c r="I1923" t="s">
        <v>91</v>
      </c>
      <c r="J1923" t="s">
        <v>6316</v>
      </c>
      <c r="L1923" t="b">
        <v>1</v>
      </c>
      <c r="M1923" t="s">
        <v>29</v>
      </c>
      <c r="N1923" t="s">
        <v>8245</v>
      </c>
      <c r="O1923" s="1">
        <v>19438</v>
      </c>
      <c r="P1923" t="s">
        <v>6319</v>
      </c>
      <c r="Q1923" t="s">
        <v>6320</v>
      </c>
      <c r="S1923" s="1">
        <v>45020.209027777775</v>
      </c>
      <c r="V1923">
        <v>1953</v>
      </c>
      <c r="W1923">
        <v>121.64</v>
      </c>
      <c r="X1923">
        <v>3.3</v>
      </c>
      <c r="Y1923" s="2">
        <v>160967157504</v>
      </c>
      <c r="Z1923">
        <v>48.5</v>
      </c>
      <c r="AA1923">
        <v>100.8</v>
      </c>
      <c r="AB1923">
        <v>23</v>
      </c>
      <c r="AC1923">
        <v>37.9</v>
      </c>
      <c r="AD1923">
        <v>9769949</v>
      </c>
    </row>
    <row r="1924" spans="1:30" hidden="1" x14ac:dyDescent="0.45">
      <c r="A1924">
        <v>1905</v>
      </c>
      <c r="B1924">
        <v>1500</v>
      </c>
      <c r="C1924" t="s">
        <v>61</v>
      </c>
      <c r="D1924" t="s">
        <v>6321</v>
      </c>
      <c r="E1924">
        <v>49</v>
      </c>
      <c r="F1924" t="s">
        <v>558</v>
      </c>
      <c r="G1924" t="s">
        <v>839</v>
      </c>
      <c r="H1924" t="s">
        <v>557</v>
      </c>
      <c r="I1924" t="s">
        <v>61</v>
      </c>
      <c r="J1924" t="s">
        <v>558</v>
      </c>
      <c r="L1924" t="b">
        <v>0</v>
      </c>
      <c r="M1924" t="s">
        <v>39</v>
      </c>
      <c r="N1924" t="s">
        <v>8246</v>
      </c>
      <c r="O1924" s="1">
        <v>26962</v>
      </c>
      <c r="P1924" t="s">
        <v>6322</v>
      </c>
      <c r="Q1924" t="s">
        <v>6323</v>
      </c>
      <c r="S1924" s="1">
        <v>45020.209027777775</v>
      </c>
      <c r="V1924">
        <v>1973</v>
      </c>
      <c r="W1924">
        <v>167.4</v>
      </c>
      <c r="X1924">
        <v>3.7</v>
      </c>
      <c r="Y1924" s="2">
        <v>1839758040766</v>
      </c>
      <c r="Z1924">
        <v>51.3</v>
      </c>
      <c r="AA1924">
        <v>115.4</v>
      </c>
      <c r="AB1924">
        <v>14.2</v>
      </c>
      <c r="AC1924">
        <v>65.099999999999994</v>
      </c>
      <c r="AD1924">
        <v>212559417</v>
      </c>
    </row>
    <row r="1925" spans="1:30" hidden="1" x14ac:dyDescent="0.45">
      <c r="A1925">
        <v>1905</v>
      </c>
      <c r="B1925">
        <v>1500</v>
      </c>
      <c r="C1925" t="s">
        <v>296</v>
      </c>
      <c r="D1925" t="s">
        <v>6324</v>
      </c>
      <c r="E1925">
        <v>55</v>
      </c>
      <c r="F1925" t="s">
        <v>214</v>
      </c>
      <c r="G1925" t="s">
        <v>802</v>
      </c>
      <c r="H1925" t="s">
        <v>6325</v>
      </c>
      <c r="I1925" t="s">
        <v>296</v>
      </c>
      <c r="J1925" t="s">
        <v>214</v>
      </c>
      <c r="L1925" t="b">
        <v>0</v>
      </c>
      <c r="M1925" t="s">
        <v>39</v>
      </c>
      <c r="N1925" t="s">
        <v>8245</v>
      </c>
      <c r="O1925" s="1">
        <v>24920</v>
      </c>
      <c r="P1925" t="s">
        <v>6326</v>
      </c>
      <c r="Q1925" t="s">
        <v>6327</v>
      </c>
      <c r="S1925" s="1">
        <v>45020.209027777775</v>
      </c>
      <c r="V1925">
        <v>1968</v>
      </c>
      <c r="W1925">
        <v>110.62</v>
      </c>
      <c r="X1925">
        <v>0.6</v>
      </c>
      <c r="Y1925" s="2">
        <v>2001244392042</v>
      </c>
      <c r="Z1925">
        <v>61.9</v>
      </c>
      <c r="AA1925">
        <v>101.9</v>
      </c>
      <c r="AB1925">
        <v>24.3</v>
      </c>
      <c r="AC1925">
        <v>59.1</v>
      </c>
      <c r="AD1925">
        <v>60297396</v>
      </c>
    </row>
    <row r="1926" spans="1:30" x14ac:dyDescent="0.45">
      <c r="A1926">
        <v>1905</v>
      </c>
      <c r="B1926" s="6">
        <v>1500</v>
      </c>
      <c r="C1926" t="s">
        <v>45</v>
      </c>
      <c r="D1926" t="s">
        <v>6328</v>
      </c>
      <c r="E1926">
        <v>70</v>
      </c>
      <c r="F1926" t="s">
        <v>35</v>
      </c>
      <c r="G1926" t="s">
        <v>6329</v>
      </c>
      <c r="H1926" t="s">
        <v>6330</v>
      </c>
      <c r="I1926" t="s">
        <v>45</v>
      </c>
      <c r="J1926" t="s">
        <v>35</v>
      </c>
      <c r="K1926" t="s">
        <v>6331</v>
      </c>
      <c r="L1926" t="b">
        <v>1</v>
      </c>
      <c r="M1926" t="s">
        <v>611</v>
      </c>
      <c r="N1926" t="s">
        <v>8245</v>
      </c>
      <c r="O1926" s="10">
        <v>19318</v>
      </c>
      <c r="P1926" t="s">
        <v>6332</v>
      </c>
      <c r="Q1926" t="s">
        <v>6333</v>
      </c>
      <c r="R1926" t="s">
        <v>6334</v>
      </c>
      <c r="S1926" s="8">
        <v>45020.209027777775</v>
      </c>
      <c r="T1926" t="s">
        <v>253</v>
      </c>
      <c r="U1926" t="s">
        <v>44</v>
      </c>
      <c r="V1926">
        <v>1952</v>
      </c>
      <c r="W1926" s="12">
        <v>117.24</v>
      </c>
      <c r="X1926">
        <v>7.5</v>
      </c>
      <c r="Y1926" s="14">
        <v>21427700000000</v>
      </c>
      <c r="Z1926">
        <v>88.2</v>
      </c>
      <c r="AA1926">
        <v>101.8</v>
      </c>
      <c r="AB1926">
        <v>9.6</v>
      </c>
      <c r="AC1926">
        <v>36.6</v>
      </c>
      <c r="AD1926">
        <v>328239523</v>
      </c>
    </row>
    <row r="1927" spans="1:30" hidden="1" x14ac:dyDescent="0.45">
      <c r="A1927">
        <v>1905</v>
      </c>
      <c r="B1927">
        <v>1500</v>
      </c>
      <c r="C1927" t="s">
        <v>91</v>
      </c>
      <c r="D1927" t="s">
        <v>6335</v>
      </c>
      <c r="E1927">
        <v>47</v>
      </c>
      <c r="F1927" t="s">
        <v>6336</v>
      </c>
      <c r="G1927" t="s">
        <v>6337</v>
      </c>
      <c r="H1927" t="s">
        <v>91</v>
      </c>
      <c r="I1927" t="s">
        <v>91</v>
      </c>
      <c r="J1927" t="s">
        <v>6336</v>
      </c>
      <c r="L1927" t="b">
        <v>0</v>
      </c>
      <c r="M1927" t="s">
        <v>611</v>
      </c>
      <c r="N1927" t="s">
        <v>8245</v>
      </c>
      <c r="O1927" s="1">
        <v>27522</v>
      </c>
      <c r="P1927" t="s">
        <v>6338</v>
      </c>
      <c r="Q1927" t="s">
        <v>6339</v>
      </c>
      <c r="S1927" s="1">
        <v>45020.209027777775</v>
      </c>
      <c r="V1927">
        <v>1975</v>
      </c>
      <c r="W1927">
        <v>187.43</v>
      </c>
      <c r="X1927">
        <v>3.5</v>
      </c>
      <c r="Y1927" s="2">
        <v>63177068175</v>
      </c>
      <c r="Z1927">
        <v>4</v>
      </c>
      <c r="AA1927">
        <v>94.2</v>
      </c>
      <c r="AB1927">
        <v>11.5</v>
      </c>
      <c r="AC1927">
        <v>43.8</v>
      </c>
      <c r="AD1927">
        <v>58005463</v>
      </c>
    </row>
    <row r="1928" spans="1:30" hidden="1" x14ac:dyDescent="0.45">
      <c r="A1928">
        <v>1905</v>
      </c>
      <c r="B1928">
        <v>1500</v>
      </c>
      <c r="C1928" t="s">
        <v>61</v>
      </c>
      <c r="D1928" t="s">
        <v>6340</v>
      </c>
      <c r="E1928">
        <v>49</v>
      </c>
      <c r="F1928" t="s">
        <v>35</v>
      </c>
      <c r="G1928" t="s">
        <v>583</v>
      </c>
      <c r="H1928" t="s">
        <v>930</v>
      </c>
      <c r="I1928" t="s">
        <v>61</v>
      </c>
      <c r="J1928" t="s">
        <v>35</v>
      </c>
      <c r="L1928" t="b">
        <v>1</v>
      </c>
      <c r="M1928" t="s">
        <v>611</v>
      </c>
      <c r="N1928" t="s">
        <v>8245</v>
      </c>
      <c r="O1928" s="1">
        <v>26899</v>
      </c>
      <c r="P1928" t="s">
        <v>6341</v>
      </c>
      <c r="Q1928" t="s">
        <v>6342</v>
      </c>
      <c r="S1928" s="1">
        <v>45020.209027777775</v>
      </c>
      <c r="T1928" t="s">
        <v>115</v>
      </c>
      <c r="U1928" t="s">
        <v>53</v>
      </c>
      <c r="V1928">
        <v>1973</v>
      </c>
      <c r="W1928">
        <v>117.24</v>
      </c>
      <c r="X1928">
        <v>7.5</v>
      </c>
      <c r="Y1928" s="2">
        <v>21427700000000</v>
      </c>
      <c r="Z1928">
        <v>88.2</v>
      </c>
      <c r="AA1928">
        <v>101.8</v>
      </c>
      <c r="AB1928">
        <v>9.6</v>
      </c>
      <c r="AC1928">
        <v>36.6</v>
      </c>
      <c r="AD1928">
        <v>328239523</v>
      </c>
    </row>
    <row r="1929" spans="1:30" hidden="1" x14ac:dyDescent="0.45">
      <c r="A1929">
        <v>1905</v>
      </c>
      <c r="B1929">
        <v>1500</v>
      </c>
      <c r="C1929" t="s">
        <v>296</v>
      </c>
      <c r="D1929" t="s">
        <v>6343</v>
      </c>
      <c r="E1929">
        <v>60</v>
      </c>
      <c r="F1929" t="s">
        <v>128</v>
      </c>
      <c r="G1929" t="s">
        <v>960</v>
      </c>
      <c r="H1929" t="s">
        <v>296</v>
      </c>
      <c r="I1929" t="s">
        <v>296</v>
      </c>
      <c r="J1929" t="s">
        <v>128</v>
      </c>
      <c r="L1929" t="b">
        <v>1</v>
      </c>
      <c r="M1929" t="s">
        <v>39</v>
      </c>
      <c r="N1929" t="s">
        <v>8245</v>
      </c>
      <c r="O1929" s="1">
        <v>23087</v>
      </c>
      <c r="P1929" t="s">
        <v>3309</v>
      </c>
      <c r="Q1929" t="s">
        <v>6344</v>
      </c>
      <c r="S1929" s="1">
        <v>45020.209027777775</v>
      </c>
      <c r="V1929">
        <v>1963</v>
      </c>
      <c r="W1929">
        <v>125.08</v>
      </c>
      <c r="X1929">
        <v>2.9</v>
      </c>
      <c r="Y1929" s="2">
        <v>19910000000000</v>
      </c>
      <c r="Z1929">
        <v>50.6</v>
      </c>
      <c r="AA1929">
        <v>100.2</v>
      </c>
      <c r="AB1929">
        <v>9.4</v>
      </c>
      <c r="AC1929">
        <v>59.2</v>
      </c>
      <c r="AD1929">
        <v>1397715000</v>
      </c>
    </row>
    <row r="1930" spans="1:30" hidden="1" x14ac:dyDescent="0.45">
      <c r="A1930">
        <v>1905</v>
      </c>
      <c r="B1930">
        <v>1500</v>
      </c>
      <c r="C1930" t="s">
        <v>76</v>
      </c>
      <c r="D1930" t="s">
        <v>6345</v>
      </c>
      <c r="E1930">
        <v>94</v>
      </c>
      <c r="F1930" t="s">
        <v>35</v>
      </c>
      <c r="G1930" t="s">
        <v>6346</v>
      </c>
      <c r="H1930" t="s">
        <v>1012</v>
      </c>
      <c r="I1930" t="s">
        <v>76</v>
      </c>
      <c r="J1930" t="s">
        <v>35</v>
      </c>
      <c r="L1930" t="b">
        <v>1</v>
      </c>
      <c r="M1930" t="s">
        <v>611</v>
      </c>
      <c r="N1930" t="s">
        <v>8245</v>
      </c>
      <c r="O1930" s="1">
        <v>10587</v>
      </c>
      <c r="P1930" t="s">
        <v>5833</v>
      </c>
      <c r="Q1930" t="s">
        <v>3026</v>
      </c>
      <c r="S1930" s="1">
        <v>45020.209027777775</v>
      </c>
      <c r="T1930" t="s">
        <v>78</v>
      </c>
      <c r="U1930" t="s">
        <v>82</v>
      </c>
      <c r="V1930">
        <v>1928</v>
      </c>
      <c r="W1930">
        <v>117.24</v>
      </c>
      <c r="X1930">
        <v>7.5</v>
      </c>
      <c r="Y1930" s="2">
        <v>21427700000000</v>
      </c>
      <c r="Z1930">
        <v>88.2</v>
      </c>
      <c r="AA1930">
        <v>101.8</v>
      </c>
      <c r="AB1930">
        <v>9.6</v>
      </c>
      <c r="AC1930">
        <v>36.6</v>
      </c>
      <c r="AD1930">
        <v>328239523</v>
      </c>
    </row>
    <row r="1931" spans="1:30" hidden="1" x14ac:dyDescent="0.45">
      <c r="A1931">
        <v>1905</v>
      </c>
      <c r="B1931">
        <v>1500</v>
      </c>
      <c r="C1931" t="s">
        <v>23</v>
      </c>
      <c r="D1931" t="s">
        <v>6347</v>
      </c>
      <c r="E1931">
        <v>69</v>
      </c>
      <c r="F1931" t="s">
        <v>25</v>
      </c>
      <c r="G1931" t="s">
        <v>6348</v>
      </c>
      <c r="H1931" t="s">
        <v>6349</v>
      </c>
      <c r="I1931" t="s">
        <v>23</v>
      </c>
      <c r="J1931" t="s">
        <v>25</v>
      </c>
      <c r="L1931" t="b">
        <v>1</v>
      </c>
      <c r="M1931" t="s">
        <v>39</v>
      </c>
      <c r="N1931" t="s">
        <v>8245</v>
      </c>
      <c r="O1931" s="1">
        <v>19725</v>
      </c>
      <c r="P1931" t="s">
        <v>6350</v>
      </c>
      <c r="Q1931" t="s">
        <v>1516</v>
      </c>
      <c r="S1931" s="1">
        <v>45020.209027777775</v>
      </c>
      <c r="V1931">
        <v>1954</v>
      </c>
      <c r="W1931">
        <v>110.05</v>
      </c>
      <c r="X1931">
        <v>1.1000000000000001</v>
      </c>
      <c r="Y1931" s="2">
        <v>2715518274227</v>
      </c>
      <c r="Z1931">
        <v>65.599999999999994</v>
      </c>
      <c r="AA1931">
        <v>102.5</v>
      </c>
      <c r="AB1931">
        <v>24.2</v>
      </c>
      <c r="AC1931">
        <v>60.7</v>
      </c>
      <c r="AD1931">
        <v>67059887</v>
      </c>
    </row>
    <row r="1932" spans="1:30" hidden="1" x14ac:dyDescent="0.45">
      <c r="A1932">
        <v>1905</v>
      </c>
      <c r="B1932">
        <v>1500</v>
      </c>
      <c r="C1932" t="s">
        <v>203</v>
      </c>
      <c r="D1932" t="s">
        <v>6351</v>
      </c>
      <c r="E1932">
        <v>78</v>
      </c>
      <c r="F1932" t="s">
        <v>762</v>
      </c>
      <c r="G1932" t="s">
        <v>889</v>
      </c>
      <c r="H1932" t="s">
        <v>1390</v>
      </c>
      <c r="I1932" t="s">
        <v>203</v>
      </c>
      <c r="J1932" t="s">
        <v>762</v>
      </c>
      <c r="L1932" t="b">
        <v>1</v>
      </c>
      <c r="M1932" t="s">
        <v>39</v>
      </c>
      <c r="N1932" t="s">
        <v>8245</v>
      </c>
      <c r="O1932" s="1">
        <v>16325</v>
      </c>
      <c r="P1932" t="s">
        <v>6352</v>
      </c>
      <c r="Q1932" t="s">
        <v>5479</v>
      </c>
      <c r="S1932" s="1">
        <v>45020.209027777775</v>
      </c>
      <c r="V1932">
        <v>1944</v>
      </c>
      <c r="W1932">
        <v>121.46</v>
      </c>
      <c r="X1932">
        <v>0.7</v>
      </c>
      <c r="Y1932" s="2">
        <v>364701517788</v>
      </c>
      <c r="Z1932">
        <v>45.1</v>
      </c>
      <c r="AA1932">
        <v>105.3</v>
      </c>
      <c r="AB1932">
        <v>12</v>
      </c>
      <c r="AC1932">
        <v>38.700000000000003</v>
      </c>
      <c r="AD1932">
        <v>32447385</v>
      </c>
    </row>
    <row r="1933" spans="1:30" hidden="1" x14ac:dyDescent="0.45">
      <c r="A1933">
        <v>1905</v>
      </c>
      <c r="B1933">
        <v>1500</v>
      </c>
      <c r="C1933" t="s">
        <v>23</v>
      </c>
      <c r="D1933" t="s">
        <v>6353</v>
      </c>
      <c r="E1933">
        <v>87</v>
      </c>
      <c r="F1933" t="s">
        <v>205</v>
      </c>
      <c r="G1933" t="s">
        <v>2206</v>
      </c>
      <c r="H1933" t="s">
        <v>3954</v>
      </c>
      <c r="I1933" t="s">
        <v>23</v>
      </c>
      <c r="J1933" t="s">
        <v>205</v>
      </c>
      <c r="L1933" t="b">
        <v>0</v>
      </c>
      <c r="M1933" t="s">
        <v>611</v>
      </c>
      <c r="N1933" t="s">
        <v>8246</v>
      </c>
      <c r="O1933" s="1">
        <v>13150</v>
      </c>
      <c r="P1933" t="s">
        <v>6354</v>
      </c>
      <c r="Q1933" t="s">
        <v>6355</v>
      </c>
      <c r="S1933" s="1">
        <v>45020.209027777775</v>
      </c>
      <c r="V1933">
        <v>1936</v>
      </c>
      <c r="W1933">
        <v>99.55</v>
      </c>
      <c r="X1933">
        <v>0.4</v>
      </c>
      <c r="Y1933" s="2">
        <v>703082435360</v>
      </c>
      <c r="Z1933">
        <v>59.6</v>
      </c>
      <c r="AA1933">
        <v>105.2</v>
      </c>
      <c r="AB1933">
        <v>10.1</v>
      </c>
      <c r="AC1933">
        <v>28.8</v>
      </c>
      <c r="AD1933">
        <v>8574832</v>
      </c>
    </row>
    <row r="1934" spans="1:30" hidden="1" x14ac:dyDescent="0.45">
      <c r="A1934">
        <v>1905</v>
      </c>
      <c r="B1934">
        <v>1500</v>
      </c>
      <c r="C1934" t="s">
        <v>296</v>
      </c>
      <c r="D1934" t="s">
        <v>6356</v>
      </c>
      <c r="E1934">
        <v>58</v>
      </c>
      <c r="F1934" t="s">
        <v>128</v>
      </c>
      <c r="G1934" t="s">
        <v>234</v>
      </c>
      <c r="H1934" t="s">
        <v>6357</v>
      </c>
      <c r="I1934" t="s">
        <v>296</v>
      </c>
      <c r="J1934" t="s">
        <v>128</v>
      </c>
      <c r="L1934" t="b">
        <v>1</v>
      </c>
      <c r="M1934" t="s">
        <v>611</v>
      </c>
      <c r="N1934" t="s">
        <v>8245</v>
      </c>
      <c r="O1934" s="1">
        <v>23769</v>
      </c>
      <c r="P1934" t="s">
        <v>3801</v>
      </c>
      <c r="Q1934" t="s">
        <v>440</v>
      </c>
      <c r="S1934" s="1">
        <v>45020.209027777775</v>
      </c>
      <c r="V1934">
        <v>1965</v>
      </c>
      <c r="W1934">
        <v>125.08</v>
      </c>
      <c r="X1934">
        <v>2.9</v>
      </c>
      <c r="Y1934" s="2">
        <v>19910000000000</v>
      </c>
      <c r="Z1934">
        <v>50.6</v>
      </c>
      <c r="AA1934">
        <v>100.2</v>
      </c>
      <c r="AB1934">
        <v>9.4</v>
      </c>
      <c r="AC1934">
        <v>59.2</v>
      </c>
      <c r="AD1934">
        <v>1397715000</v>
      </c>
    </row>
    <row r="1935" spans="1:30" hidden="1" x14ac:dyDescent="0.45">
      <c r="A1935">
        <v>1905</v>
      </c>
      <c r="B1935">
        <v>1500</v>
      </c>
      <c r="C1935" t="s">
        <v>45</v>
      </c>
      <c r="D1935" t="s">
        <v>6358</v>
      </c>
      <c r="E1935">
        <v>67</v>
      </c>
      <c r="F1935" t="s">
        <v>35</v>
      </c>
      <c r="G1935" t="s">
        <v>2298</v>
      </c>
      <c r="H1935" t="s">
        <v>856</v>
      </c>
      <c r="I1935" t="s">
        <v>45</v>
      </c>
      <c r="J1935" t="s">
        <v>35</v>
      </c>
      <c r="L1935" t="b">
        <v>1</v>
      </c>
      <c r="M1935" t="s">
        <v>39</v>
      </c>
      <c r="N1935" t="s">
        <v>8245</v>
      </c>
      <c r="O1935" s="1">
        <v>20217</v>
      </c>
      <c r="P1935" t="s">
        <v>6359</v>
      </c>
      <c r="Q1935" t="s">
        <v>1213</v>
      </c>
      <c r="S1935" s="1">
        <v>45020.209027777775</v>
      </c>
      <c r="T1935" t="s">
        <v>115</v>
      </c>
      <c r="U1935" t="s">
        <v>53</v>
      </c>
      <c r="V1935">
        <v>1955</v>
      </c>
      <c r="W1935">
        <v>117.24</v>
      </c>
      <c r="X1935">
        <v>7.5</v>
      </c>
      <c r="Y1935" s="2">
        <v>21427700000000</v>
      </c>
      <c r="Z1935">
        <v>88.2</v>
      </c>
      <c r="AA1935">
        <v>101.8</v>
      </c>
      <c r="AB1935">
        <v>9.6</v>
      </c>
      <c r="AC1935">
        <v>36.6</v>
      </c>
      <c r="AD1935">
        <v>328239523</v>
      </c>
    </row>
    <row r="1936" spans="1:30" hidden="1" x14ac:dyDescent="0.45">
      <c r="A1936">
        <v>1905</v>
      </c>
      <c r="B1936">
        <v>1500</v>
      </c>
      <c r="C1936" t="s">
        <v>61</v>
      </c>
      <c r="D1936" t="s">
        <v>6360</v>
      </c>
      <c r="E1936">
        <v>54</v>
      </c>
      <c r="F1936" t="s">
        <v>35</v>
      </c>
      <c r="G1936" t="s">
        <v>6361</v>
      </c>
      <c r="H1936" t="s">
        <v>930</v>
      </c>
      <c r="I1936" t="s">
        <v>61</v>
      </c>
      <c r="J1936" t="s">
        <v>35</v>
      </c>
      <c r="L1936" t="b">
        <v>1</v>
      </c>
      <c r="M1936" t="s">
        <v>611</v>
      </c>
      <c r="N1936" t="s">
        <v>8245</v>
      </c>
      <c r="O1936" s="1">
        <v>25092</v>
      </c>
      <c r="P1936" t="s">
        <v>4794</v>
      </c>
      <c r="Q1936" t="s">
        <v>2811</v>
      </c>
      <c r="S1936" s="1">
        <v>45020.209027777775</v>
      </c>
      <c r="T1936" t="s">
        <v>115</v>
      </c>
      <c r="U1936" t="s">
        <v>53</v>
      </c>
      <c r="V1936">
        <v>1968</v>
      </c>
      <c r="W1936">
        <v>117.24</v>
      </c>
      <c r="X1936">
        <v>7.5</v>
      </c>
      <c r="Y1936" s="2">
        <v>21427700000000</v>
      </c>
      <c r="Z1936">
        <v>88.2</v>
      </c>
      <c r="AA1936">
        <v>101.8</v>
      </c>
      <c r="AB1936">
        <v>9.6</v>
      </c>
      <c r="AC1936">
        <v>36.6</v>
      </c>
      <c r="AD1936">
        <v>328239523</v>
      </c>
    </row>
    <row r="1937" spans="1:30" hidden="1" x14ac:dyDescent="0.45">
      <c r="A1937">
        <v>1905</v>
      </c>
      <c r="B1937">
        <v>1500</v>
      </c>
      <c r="C1937" t="s">
        <v>61</v>
      </c>
      <c r="D1937" t="s">
        <v>6362</v>
      </c>
      <c r="E1937">
        <v>53</v>
      </c>
      <c r="F1937" t="s">
        <v>6043</v>
      </c>
      <c r="G1937" t="s">
        <v>6044</v>
      </c>
      <c r="H1937" t="s">
        <v>317</v>
      </c>
      <c r="I1937" t="s">
        <v>61</v>
      </c>
      <c r="J1937" t="s">
        <v>6043</v>
      </c>
      <c r="L1937" t="b">
        <v>1</v>
      </c>
      <c r="M1937" t="s">
        <v>29</v>
      </c>
      <c r="N1937" t="s">
        <v>8245</v>
      </c>
      <c r="O1937" s="1">
        <v>25445</v>
      </c>
      <c r="P1937" t="s">
        <v>6363</v>
      </c>
      <c r="Q1937" t="s">
        <v>6364</v>
      </c>
      <c r="S1937" s="1">
        <v>45020.209027777775</v>
      </c>
      <c r="V1937">
        <v>1969</v>
      </c>
      <c r="W1937">
        <v>115.34</v>
      </c>
      <c r="X1937">
        <v>2.7</v>
      </c>
      <c r="Y1937" s="2">
        <v>105422304976</v>
      </c>
      <c r="Z1937">
        <v>46.6</v>
      </c>
      <c r="AA1937">
        <v>98.7</v>
      </c>
      <c r="AB1937">
        <v>18.7</v>
      </c>
      <c r="AC1937">
        <v>49.7</v>
      </c>
      <c r="AD1937">
        <v>5454073</v>
      </c>
    </row>
    <row r="1938" spans="1:30" hidden="1" x14ac:dyDescent="0.45">
      <c r="A1938">
        <v>1905</v>
      </c>
      <c r="B1938">
        <v>1500</v>
      </c>
      <c r="C1938" t="s">
        <v>296</v>
      </c>
      <c r="D1938" t="s">
        <v>6365</v>
      </c>
      <c r="E1938">
        <v>69</v>
      </c>
      <c r="F1938" t="s">
        <v>128</v>
      </c>
      <c r="G1938" t="s">
        <v>6366</v>
      </c>
      <c r="H1938" t="s">
        <v>399</v>
      </c>
      <c r="I1938" t="s">
        <v>296</v>
      </c>
      <c r="J1938" t="s">
        <v>128</v>
      </c>
      <c r="L1938" t="b">
        <v>1</v>
      </c>
      <c r="M1938" t="s">
        <v>39</v>
      </c>
      <c r="N1938" t="s">
        <v>8245</v>
      </c>
      <c r="O1938" s="1">
        <v>19808</v>
      </c>
      <c r="P1938" t="s">
        <v>390</v>
      </c>
      <c r="Q1938" t="s">
        <v>5197</v>
      </c>
      <c r="S1938" s="1">
        <v>45020.209027777775</v>
      </c>
      <c r="V1938">
        <v>1954</v>
      </c>
      <c r="W1938">
        <v>125.08</v>
      </c>
      <c r="X1938">
        <v>2.9</v>
      </c>
      <c r="Y1938" s="2">
        <v>19910000000000</v>
      </c>
      <c r="Z1938">
        <v>50.6</v>
      </c>
      <c r="AA1938">
        <v>100.2</v>
      </c>
      <c r="AB1938">
        <v>9.4</v>
      </c>
      <c r="AC1938">
        <v>59.2</v>
      </c>
      <c r="AD1938">
        <v>1397715000</v>
      </c>
    </row>
    <row r="1939" spans="1:30" hidden="1" x14ac:dyDescent="0.45">
      <c r="A1939">
        <v>1905</v>
      </c>
      <c r="B1939">
        <v>1500</v>
      </c>
      <c r="C1939" t="s">
        <v>302</v>
      </c>
      <c r="D1939" t="s">
        <v>6367</v>
      </c>
      <c r="E1939">
        <v>73</v>
      </c>
      <c r="F1939" t="s">
        <v>93</v>
      </c>
      <c r="G1939" t="s">
        <v>94</v>
      </c>
      <c r="H1939" t="s">
        <v>304</v>
      </c>
      <c r="I1939" t="s">
        <v>302</v>
      </c>
      <c r="J1939" t="s">
        <v>93</v>
      </c>
      <c r="L1939" t="b">
        <v>1</v>
      </c>
      <c r="M1939" t="s">
        <v>611</v>
      </c>
      <c r="N1939" t="s">
        <v>8245</v>
      </c>
      <c r="O1939" s="1">
        <v>18330</v>
      </c>
      <c r="P1939" t="s">
        <v>5844</v>
      </c>
      <c r="Q1939" t="s">
        <v>6368</v>
      </c>
      <c r="S1939" s="1">
        <v>45020.209027777775</v>
      </c>
      <c r="V1939">
        <v>1950</v>
      </c>
      <c r="W1939">
        <v>180.44</v>
      </c>
      <c r="X1939">
        <v>7.7</v>
      </c>
      <c r="Y1939" s="2">
        <v>2611000000000</v>
      </c>
      <c r="Z1939">
        <v>28.1</v>
      </c>
      <c r="AA1939">
        <v>113</v>
      </c>
      <c r="AB1939">
        <v>11.2</v>
      </c>
      <c r="AC1939">
        <v>49.7</v>
      </c>
      <c r="AD1939">
        <v>1366417754</v>
      </c>
    </row>
    <row r="1940" spans="1:30" hidden="1" x14ac:dyDescent="0.45">
      <c r="A1940">
        <v>1905</v>
      </c>
      <c r="B1940">
        <v>1500</v>
      </c>
      <c r="C1940" t="s">
        <v>61</v>
      </c>
      <c r="D1940" t="s">
        <v>6369</v>
      </c>
      <c r="E1940">
        <v>52</v>
      </c>
      <c r="F1940" t="s">
        <v>2562</v>
      </c>
      <c r="G1940" t="s">
        <v>2563</v>
      </c>
      <c r="H1940" t="s">
        <v>6370</v>
      </c>
      <c r="I1940" t="s">
        <v>61</v>
      </c>
      <c r="J1940" t="s">
        <v>2562</v>
      </c>
      <c r="L1940" t="b">
        <v>1</v>
      </c>
      <c r="M1940" t="s">
        <v>39</v>
      </c>
      <c r="N1940" t="s">
        <v>8245</v>
      </c>
      <c r="O1940" s="1">
        <v>25727</v>
      </c>
      <c r="P1940" t="s">
        <v>3022</v>
      </c>
      <c r="Q1940" t="s">
        <v>6371</v>
      </c>
      <c r="S1940" s="1">
        <v>45020.209027777775</v>
      </c>
      <c r="V1940">
        <v>1970</v>
      </c>
      <c r="W1940">
        <v>163.52000000000001</v>
      </c>
      <c r="X1940">
        <v>2.8</v>
      </c>
      <c r="Y1940" s="2">
        <v>261921244843</v>
      </c>
      <c r="Z1940">
        <v>28.5</v>
      </c>
      <c r="AA1940">
        <v>110.6</v>
      </c>
      <c r="AB1940">
        <v>19.100000000000001</v>
      </c>
      <c r="AC1940">
        <v>37.6</v>
      </c>
      <c r="AD1940">
        <v>96462106</v>
      </c>
    </row>
    <row r="1941" spans="1:30" hidden="1" x14ac:dyDescent="0.45">
      <c r="A1941">
        <v>1905</v>
      </c>
      <c r="B1941">
        <v>1500</v>
      </c>
      <c r="C1941" t="s">
        <v>45</v>
      </c>
      <c r="D1941" t="s">
        <v>6372</v>
      </c>
      <c r="E1941">
        <v>70</v>
      </c>
      <c r="F1941" t="s">
        <v>1259</v>
      </c>
      <c r="G1941" t="s">
        <v>1260</v>
      </c>
      <c r="H1941" t="s">
        <v>442</v>
      </c>
      <c r="I1941" t="s">
        <v>45</v>
      </c>
      <c r="J1941" t="s">
        <v>1259</v>
      </c>
      <c r="L1941" t="b">
        <v>1</v>
      </c>
      <c r="M1941" t="s">
        <v>39</v>
      </c>
      <c r="N1941" t="s">
        <v>8245</v>
      </c>
      <c r="O1941" s="1">
        <v>19226</v>
      </c>
      <c r="P1941" t="s">
        <v>6373</v>
      </c>
      <c r="Q1941" t="s">
        <v>6374</v>
      </c>
      <c r="S1941" s="1">
        <v>45020.209027777775</v>
      </c>
      <c r="V1941">
        <v>1952</v>
      </c>
      <c r="W1941"/>
      <c r="Y1941"/>
    </row>
    <row r="1942" spans="1:30" hidden="1" x14ac:dyDescent="0.45">
      <c r="A1942">
        <v>1905</v>
      </c>
      <c r="B1942">
        <v>1500</v>
      </c>
      <c r="C1942" t="s">
        <v>76</v>
      </c>
      <c r="D1942" t="s">
        <v>6375</v>
      </c>
      <c r="E1942">
        <v>61</v>
      </c>
      <c r="F1942" t="s">
        <v>1094</v>
      </c>
      <c r="G1942" t="s">
        <v>6376</v>
      </c>
      <c r="H1942" t="s">
        <v>6377</v>
      </c>
      <c r="I1942" t="s">
        <v>76</v>
      </c>
      <c r="J1942" t="s">
        <v>1094</v>
      </c>
      <c r="K1942" t="s">
        <v>6378</v>
      </c>
      <c r="L1942" t="b">
        <v>1</v>
      </c>
      <c r="M1942" t="s">
        <v>611</v>
      </c>
      <c r="N1942" t="s">
        <v>8245</v>
      </c>
      <c r="O1942" s="1">
        <v>22585</v>
      </c>
      <c r="P1942" t="s">
        <v>224</v>
      </c>
      <c r="Q1942" t="s">
        <v>608</v>
      </c>
      <c r="R1942" t="s">
        <v>157</v>
      </c>
      <c r="S1942" s="1">
        <v>45020.209027777775</v>
      </c>
      <c r="V1942">
        <v>1961</v>
      </c>
      <c r="W1942">
        <v>114.24</v>
      </c>
      <c r="X1942">
        <v>1.6</v>
      </c>
      <c r="Y1942" s="2">
        <v>206928765544</v>
      </c>
      <c r="Z1942">
        <v>82</v>
      </c>
      <c r="AA1942">
        <v>100</v>
      </c>
      <c r="AB1942">
        <v>29</v>
      </c>
      <c r="AC1942">
        <v>34.6</v>
      </c>
      <c r="AD1942">
        <v>4841000</v>
      </c>
    </row>
    <row r="1943" spans="1:30" hidden="1" x14ac:dyDescent="0.45">
      <c r="A1943">
        <v>1905</v>
      </c>
      <c r="B1943">
        <v>1500</v>
      </c>
      <c r="C1943" t="s">
        <v>61</v>
      </c>
      <c r="D1943" t="s">
        <v>6379</v>
      </c>
      <c r="E1943">
        <v>97</v>
      </c>
      <c r="F1943" t="s">
        <v>164</v>
      </c>
      <c r="G1943" t="s">
        <v>1797</v>
      </c>
      <c r="H1943" t="s">
        <v>1580</v>
      </c>
      <c r="I1943" t="s">
        <v>61</v>
      </c>
      <c r="J1943" t="s">
        <v>164</v>
      </c>
      <c r="K1943" t="s">
        <v>6380</v>
      </c>
      <c r="L1943" t="b">
        <v>1</v>
      </c>
      <c r="M1943" t="s">
        <v>39</v>
      </c>
      <c r="N1943" t="s">
        <v>8245</v>
      </c>
      <c r="O1943" s="1">
        <v>9384</v>
      </c>
      <c r="P1943" t="s">
        <v>6381</v>
      </c>
      <c r="Q1943" t="s">
        <v>320</v>
      </c>
      <c r="R1943" t="s">
        <v>3894</v>
      </c>
      <c r="S1943" s="1">
        <v>45020.209027777775</v>
      </c>
      <c r="V1943">
        <v>1925</v>
      </c>
      <c r="W1943">
        <v>116.76</v>
      </c>
      <c r="X1943">
        <v>1.9</v>
      </c>
      <c r="Y1943" s="2">
        <v>1736425629520</v>
      </c>
      <c r="Z1943">
        <v>68.900000000000006</v>
      </c>
      <c r="AA1943">
        <v>100.9</v>
      </c>
      <c r="AB1943">
        <v>12.8</v>
      </c>
      <c r="AC1943">
        <v>24.5</v>
      </c>
      <c r="AD1943">
        <v>36991981</v>
      </c>
    </row>
    <row r="1944" spans="1:30" hidden="1" x14ac:dyDescent="0.45">
      <c r="A1944">
        <v>1905</v>
      </c>
      <c r="B1944">
        <v>1500</v>
      </c>
      <c r="C1944" t="s">
        <v>402</v>
      </c>
      <c r="D1944" t="s">
        <v>6382</v>
      </c>
      <c r="E1944">
        <v>57</v>
      </c>
      <c r="F1944" t="s">
        <v>93</v>
      </c>
      <c r="G1944" t="s">
        <v>343</v>
      </c>
      <c r="H1944" t="s">
        <v>6383</v>
      </c>
      <c r="I1944" t="s">
        <v>402</v>
      </c>
      <c r="J1944" t="s">
        <v>93</v>
      </c>
      <c r="L1944" t="b">
        <v>1</v>
      </c>
      <c r="M1944" t="s">
        <v>29</v>
      </c>
      <c r="N1944" t="s">
        <v>8245</v>
      </c>
      <c r="O1944" s="1">
        <v>23951</v>
      </c>
      <c r="P1944" t="s">
        <v>6384</v>
      </c>
      <c r="Q1944" t="s">
        <v>6385</v>
      </c>
      <c r="S1944" s="1">
        <v>45020.209027777775</v>
      </c>
      <c r="V1944">
        <v>1965</v>
      </c>
      <c r="W1944">
        <v>180.44</v>
      </c>
      <c r="X1944">
        <v>7.7</v>
      </c>
      <c r="Y1944" s="2">
        <v>2611000000000</v>
      </c>
      <c r="Z1944">
        <v>28.1</v>
      </c>
      <c r="AA1944">
        <v>113</v>
      </c>
      <c r="AB1944">
        <v>11.2</v>
      </c>
      <c r="AC1944">
        <v>49.7</v>
      </c>
      <c r="AD1944">
        <v>1366417754</v>
      </c>
    </row>
    <row r="1945" spans="1:30" hidden="1" x14ac:dyDescent="0.45">
      <c r="A1945">
        <v>1905</v>
      </c>
      <c r="B1945">
        <v>1500</v>
      </c>
      <c r="C1945" t="s">
        <v>402</v>
      </c>
      <c r="D1945" t="s">
        <v>6386</v>
      </c>
      <c r="E1945">
        <v>67</v>
      </c>
      <c r="F1945" t="s">
        <v>93</v>
      </c>
      <c r="G1945" t="s">
        <v>343</v>
      </c>
      <c r="H1945" t="s">
        <v>610</v>
      </c>
      <c r="I1945" t="s">
        <v>402</v>
      </c>
      <c r="J1945" t="s">
        <v>93</v>
      </c>
      <c r="L1945" t="b">
        <v>1</v>
      </c>
      <c r="M1945" t="s">
        <v>29</v>
      </c>
      <c r="N1945" t="s">
        <v>8245</v>
      </c>
      <c r="O1945" s="1">
        <v>20298</v>
      </c>
      <c r="P1945" t="s">
        <v>6384</v>
      </c>
      <c r="Q1945" t="s">
        <v>6387</v>
      </c>
      <c r="S1945" s="1">
        <v>45020.209027777775</v>
      </c>
      <c r="V1945">
        <v>1955</v>
      </c>
      <c r="W1945">
        <v>180.44</v>
      </c>
      <c r="X1945">
        <v>7.7</v>
      </c>
      <c r="Y1945" s="2">
        <v>2611000000000</v>
      </c>
      <c r="Z1945">
        <v>28.1</v>
      </c>
      <c r="AA1945">
        <v>113</v>
      </c>
      <c r="AB1945">
        <v>11.2</v>
      </c>
      <c r="AC1945">
        <v>49.7</v>
      </c>
      <c r="AD1945">
        <v>1366417754</v>
      </c>
    </row>
    <row r="1946" spans="1:30" hidden="1" x14ac:dyDescent="0.45">
      <c r="A1946">
        <v>1905</v>
      </c>
      <c r="B1946">
        <v>1500</v>
      </c>
      <c r="C1946" t="s">
        <v>91</v>
      </c>
      <c r="D1946" t="s">
        <v>6388</v>
      </c>
      <c r="E1946">
        <v>62</v>
      </c>
      <c r="F1946" t="s">
        <v>128</v>
      </c>
      <c r="G1946" t="s">
        <v>2921</v>
      </c>
      <c r="H1946" t="s">
        <v>317</v>
      </c>
      <c r="I1946" t="s">
        <v>91</v>
      </c>
      <c r="J1946" t="s">
        <v>128</v>
      </c>
      <c r="L1946" t="b">
        <v>1</v>
      </c>
      <c r="M1946" t="s">
        <v>611</v>
      </c>
      <c r="N1946" t="s">
        <v>8245</v>
      </c>
      <c r="O1946" s="1">
        <v>22074</v>
      </c>
      <c r="P1946" t="s">
        <v>6389</v>
      </c>
      <c r="Q1946" t="s">
        <v>6390</v>
      </c>
      <c r="S1946" s="1">
        <v>45020.209027777775</v>
      </c>
      <c r="V1946">
        <v>1960</v>
      </c>
      <c r="W1946">
        <v>125.08</v>
      </c>
      <c r="X1946">
        <v>2.9</v>
      </c>
      <c r="Y1946" s="2">
        <v>19910000000000</v>
      </c>
      <c r="Z1946">
        <v>50.6</v>
      </c>
      <c r="AA1946">
        <v>100.2</v>
      </c>
      <c r="AB1946">
        <v>9.4</v>
      </c>
      <c r="AC1946">
        <v>59.2</v>
      </c>
      <c r="AD1946">
        <v>1397715000</v>
      </c>
    </row>
    <row r="1947" spans="1:30" hidden="1" x14ac:dyDescent="0.45">
      <c r="A1947">
        <v>1905</v>
      </c>
      <c r="B1947">
        <v>1500</v>
      </c>
      <c r="C1947" t="s">
        <v>91</v>
      </c>
      <c r="D1947" t="s">
        <v>6391</v>
      </c>
      <c r="E1947">
        <v>78</v>
      </c>
      <c r="F1947" t="s">
        <v>928</v>
      </c>
      <c r="G1947" t="s">
        <v>929</v>
      </c>
      <c r="H1947" t="s">
        <v>91</v>
      </c>
      <c r="I1947" t="s">
        <v>91</v>
      </c>
      <c r="J1947" t="s">
        <v>928</v>
      </c>
      <c r="K1947" t="s">
        <v>6392</v>
      </c>
      <c r="L1947" t="b">
        <v>1</v>
      </c>
      <c r="M1947" t="s">
        <v>29</v>
      </c>
      <c r="N1947" t="s">
        <v>8245</v>
      </c>
      <c r="O1947" s="1">
        <v>16410</v>
      </c>
      <c r="P1947" t="s">
        <v>932</v>
      </c>
      <c r="Q1947" t="s">
        <v>6393</v>
      </c>
      <c r="S1947" s="1">
        <v>45020.209027777775</v>
      </c>
      <c r="V1947">
        <v>1944</v>
      </c>
      <c r="W1947">
        <v>115.16</v>
      </c>
      <c r="X1947">
        <v>0.4</v>
      </c>
      <c r="Y1947" s="2">
        <v>2029000000000</v>
      </c>
      <c r="Z1947">
        <v>94.3</v>
      </c>
      <c r="AA1947">
        <v>98.1</v>
      </c>
      <c r="AB1947">
        <v>15.6</v>
      </c>
      <c r="AC1947">
        <v>33.200000000000003</v>
      </c>
      <c r="AD1947">
        <v>51709098</v>
      </c>
    </row>
    <row r="1948" spans="1:30" hidden="1" x14ac:dyDescent="0.45">
      <c r="A1948">
        <v>1905</v>
      </c>
      <c r="B1948">
        <v>1500</v>
      </c>
      <c r="C1948" t="s">
        <v>23</v>
      </c>
      <c r="D1948" t="s">
        <v>6394</v>
      </c>
      <c r="E1948">
        <v>95</v>
      </c>
      <c r="F1948" t="s">
        <v>35</v>
      </c>
      <c r="G1948" t="s">
        <v>78</v>
      </c>
      <c r="H1948" t="s">
        <v>196</v>
      </c>
      <c r="I1948" t="s">
        <v>23</v>
      </c>
      <c r="J1948" t="s">
        <v>35</v>
      </c>
      <c r="L1948" t="b">
        <v>1</v>
      </c>
      <c r="M1948" t="s">
        <v>611</v>
      </c>
      <c r="N1948" t="s">
        <v>8245</v>
      </c>
      <c r="O1948" s="1">
        <v>10243</v>
      </c>
      <c r="P1948" t="s">
        <v>6395</v>
      </c>
      <c r="Q1948" t="s">
        <v>6396</v>
      </c>
      <c r="S1948" s="1">
        <v>45020.209027777775</v>
      </c>
      <c r="T1948" t="s">
        <v>78</v>
      </c>
      <c r="U1948" t="s">
        <v>82</v>
      </c>
      <c r="V1948">
        <v>1928</v>
      </c>
      <c r="W1948">
        <v>117.24</v>
      </c>
      <c r="X1948">
        <v>7.5</v>
      </c>
      <c r="Y1948" s="2">
        <v>21427700000000</v>
      </c>
      <c r="Z1948">
        <v>88.2</v>
      </c>
      <c r="AA1948">
        <v>101.8</v>
      </c>
      <c r="AB1948">
        <v>9.6</v>
      </c>
      <c r="AC1948">
        <v>36.6</v>
      </c>
      <c r="AD1948">
        <v>328239523</v>
      </c>
    </row>
    <row r="1949" spans="1:30" hidden="1" x14ac:dyDescent="0.45">
      <c r="A1949">
        <v>1905</v>
      </c>
      <c r="B1949">
        <v>1500</v>
      </c>
      <c r="C1949" t="s">
        <v>126</v>
      </c>
      <c r="D1949" t="s">
        <v>6397</v>
      </c>
      <c r="E1949">
        <v>73</v>
      </c>
      <c r="F1949" t="s">
        <v>35</v>
      </c>
      <c r="G1949" t="s">
        <v>2219</v>
      </c>
      <c r="H1949" t="s">
        <v>602</v>
      </c>
      <c r="I1949" t="s">
        <v>126</v>
      </c>
      <c r="J1949" t="s">
        <v>35</v>
      </c>
      <c r="L1949" t="b">
        <v>1</v>
      </c>
      <c r="M1949" t="s">
        <v>39</v>
      </c>
      <c r="N1949" t="s">
        <v>8245</v>
      </c>
      <c r="O1949" s="1">
        <v>18045</v>
      </c>
      <c r="P1949" t="s">
        <v>143</v>
      </c>
      <c r="Q1949" t="s">
        <v>153</v>
      </c>
      <c r="S1949" s="1">
        <v>45020.209027777775</v>
      </c>
      <c r="T1949" t="s">
        <v>427</v>
      </c>
      <c r="U1949" t="s">
        <v>82</v>
      </c>
      <c r="V1949">
        <v>1949</v>
      </c>
      <c r="W1949">
        <v>117.24</v>
      </c>
      <c r="X1949">
        <v>7.5</v>
      </c>
      <c r="Y1949" s="2">
        <v>21427700000000</v>
      </c>
      <c r="Z1949">
        <v>88.2</v>
      </c>
      <c r="AA1949">
        <v>101.8</v>
      </c>
      <c r="AB1949">
        <v>9.6</v>
      </c>
      <c r="AC1949">
        <v>36.6</v>
      </c>
      <c r="AD1949">
        <v>328239523</v>
      </c>
    </row>
    <row r="1950" spans="1:30" hidden="1" x14ac:dyDescent="0.45">
      <c r="A1950">
        <v>1905</v>
      </c>
      <c r="B1950">
        <v>1500</v>
      </c>
      <c r="C1950" t="s">
        <v>302</v>
      </c>
      <c r="D1950" t="s">
        <v>6398</v>
      </c>
      <c r="E1950">
        <v>68</v>
      </c>
      <c r="F1950" t="s">
        <v>574</v>
      </c>
      <c r="G1950" t="s">
        <v>574</v>
      </c>
      <c r="H1950" t="s">
        <v>6399</v>
      </c>
      <c r="I1950" t="s">
        <v>302</v>
      </c>
      <c r="J1950" t="s">
        <v>574</v>
      </c>
      <c r="L1950" t="b">
        <v>1</v>
      </c>
      <c r="M1950" t="s">
        <v>285</v>
      </c>
      <c r="N1950" t="s">
        <v>8245</v>
      </c>
      <c r="O1950" s="1">
        <v>19869</v>
      </c>
      <c r="P1950" t="s">
        <v>665</v>
      </c>
      <c r="Q1950" t="s">
        <v>4138</v>
      </c>
      <c r="S1950" s="1">
        <v>45020.209027777775</v>
      </c>
      <c r="V1950">
        <v>1954</v>
      </c>
      <c r="W1950">
        <v>114.41</v>
      </c>
      <c r="X1950">
        <v>0.6</v>
      </c>
      <c r="Y1950" s="2">
        <v>372062527489</v>
      </c>
      <c r="Z1950">
        <v>84.8</v>
      </c>
      <c r="AA1950">
        <v>100.6</v>
      </c>
      <c r="AB1950">
        <v>13.1</v>
      </c>
      <c r="AC1950">
        <v>21</v>
      </c>
      <c r="AD1950">
        <v>5703569</v>
      </c>
    </row>
    <row r="1951" spans="1:30" hidden="1" x14ac:dyDescent="0.45">
      <c r="A1951">
        <v>1905</v>
      </c>
      <c r="B1951">
        <v>1500</v>
      </c>
      <c r="C1951" t="s">
        <v>91</v>
      </c>
      <c r="D1951" t="s">
        <v>6400</v>
      </c>
      <c r="E1951">
        <v>76</v>
      </c>
      <c r="F1951" t="s">
        <v>205</v>
      </c>
      <c r="G1951" t="s">
        <v>284</v>
      </c>
      <c r="H1951" t="s">
        <v>6130</v>
      </c>
      <c r="I1951" t="s">
        <v>91</v>
      </c>
      <c r="J1951" t="s">
        <v>1887</v>
      </c>
      <c r="L1951" t="b">
        <v>0</v>
      </c>
      <c r="M1951" t="s">
        <v>1332</v>
      </c>
      <c r="N1951" t="s">
        <v>8245</v>
      </c>
      <c r="O1951" s="1">
        <v>17029</v>
      </c>
      <c r="P1951" t="s">
        <v>6131</v>
      </c>
      <c r="Q1951" t="s">
        <v>6401</v>
      </c>
      <c r="S1951" s="1">
        <v>45020.209027777775</v>
      </c>
      <c r="V1951">
        <v>1946</v>
      </c>
      <c r="W1951">
        <v>99.55</v>
      </c>
      <c r="X1951">
        <v>0.4</v>
      </c>
      <c r="Y1951" s="2">
        <v>703082435360</v>
      </c>
      <c r="Z1951">
        <v>59.6</v>
      </c>
      <c r="AA1951">
        <v>105.2</v>
      </c>
      <c r="AB1951">
        <v>10.1</v>
      </c>
      <c r="AC1951">
        <v>28.8</v>
      </c>
      <c r="AD1951">
        <v>8574832</v>
      </c>
    </row>
    <row r="1952" spans="1:30" hidden="1" x14ac:dyDescent="0.45">
      <c r="A1952">
        <v>1905</v>
      </c>
      <c r="B1952">
        <v>1500</v>
      </c>
      <c r="C1952" t="s">
        <v>296</v>
      </c>
      <c r="D1952" t="s">
        <v>6402</v>
      </c>
      <c r="E1952">
        <v>56</v>
      </c>
      <c r="F1952" t="s">
        <v>194</v>
      </c>
      <c r="G1952" t="s">
        <v>6403</v>
      </c>
      <c r="H1952" t="s">
        <v>6404</v>
      </c>
      <c r="I1952" t="s">
        <v>296</v>
      </c>
      <c r="J1952" t="s">
        <v>194</v>
      </c>
      <c r="L1952" t="b">
        <v>0</v>
      </c>
      <c r="M1952" t="s">
        <v>39</v>
      </c>
      <c r="N1952" t="s">
        <v>8245</v>
      </c>
      <c r="O1952" s="1">
        <v>24473</v>
      </c>
      <c r="P1952" t="s">
        <v>6405</v>
      </c>
      <c r="Q1952" t="s">
        <v>608</v>
      </c>
      <c r="S1952" s="1">
        <v>45020.209027777775</v>
      </c>
      <c r="V1952">
        <v>1967</v>
      </c>
      <c r="W1952">
        <v>112.85</v>
      </c>
      <c r="X1952">
        <v>1.4</v>
      </c>
      <c r="Y1952" s="2">
        <v>3845630030824</v>
      </c>
      <c r="Z1952">
        <v>70.2</v>
      </c>
      <c r="AA1952">
        <v>104</v>
      </c>
      <c r="AB1952">
        <v>11.5</v>
      </c>
      <c r="AC1952">
        <v>48.8</v>
      </c>
      <c r="AD1952">
        <v>83132799</v>
      </c>
    </row>
    <row r="1953" spans="1:30" hidden="1" x14ac:dyDescent="0.45">
      <c r="A1953">
        <v>1905</v>
      </c>
      <c r="B1953">
        <v>1500</v>
      </c>
      <c r="C1953" t="s">
        <v>296</v>
      </c>
      <c r="D1953" t="s">
        <v>6406</v>
      </c>
      <c r="E1953">
        <v>60</v>
      </c>
      <c r="F1953" t="s">
        <v>194</v>
      </c>
      <c r="G1953" t="s">
        <v>3607</v>
      </c>
      <c r="H1953" t="s">
        <v>6404</v>
      </c>
      <c r="I1953" t="s">
        <v>296</v>
      </c>
      <c r="J1953" t="s">
        <v>194</v>
      </c>
      <c r="L1953" t="b">
        <v>0</v>
      </c>
      <c r="M1953" t="s">
        <v>39</v>
      </c>
      <c r="N1953" t="s">
        <v>8246</v>
      </c>
      <c r="O1953" s="1">
        <v>23012</v>
      </c>
      <c r="P1953" t="s">
        <v>6405</v>
      </c>
      <c r="Q1953" t="s">
        <v>6407</v>
      </c>
      <c r="S1953" s="1">
        <v>45020.209027777775</v>
      </c>
      <c r="V1953">
        <v>1963</v>
      </c>
      <c r="W1953">
        <v>112.85</v>
      </c>
      <c r="X1953">
        <v>1.4</v>
      </c>
      <c r="Y1953" s="2">
        <v>3845630030824</v>
      </c>
      <c r="Z1953">
        <v>70.2</v>
      </c>
      <c r="AA1953">
        <v>104</v>
      </c>
      <c r="AB1953">
        <v>11.5</v>
      </c>
      <c r="AC1953">
        <v>48.8</v>
      </c>
      <c r="AD1953">
        <v>83132799</v>
      </c>
    </row>
    <row r="1954" spans="1:30" hidden="1" x14ac:dyDescent="0.45">
      <c r="A1954">
        <v>1905</v>
      </c>
      <c r="B1954">
        <v>1500</v>
      </c>
      <c r="C1954" t="s">
        <v>296</v>
      </c>
      <c r="D1954" t="s">
        <v>6408</v>
      </c>
      <c r="E1954">
        <v>63</v>
      </c>
      <c r="F1954" t="s">
        <v>194</v>
      </c>
      <c r="G1954" t="s">
        <v>3607</v>
      </c>
      <c r="H1954" t="s">
        <v>296</v>
      </c>
      <c r="I1954" t="s">
        <v>296</v>
      </c>
      <c r="J1954" t="s">
        <v>194</v>
      </c>
      <c r="L1954" t="b">
        <v>0</v>
      </c>
      <c r="M1954" t="s">
        <v>39</v>
      </c>
      <c r="N1954" t="s">
        <v>8246</v>
      </c>
      <c r="O1954" s="1">
        <v>21899</v>
      </c>
      <c r="P1954" t="s">
        <v>6409</v>
      </c>
      <c r="Q1954" t="s">
        <v>5355</v>
      </c>
      <c r="S1954" s="1">
        <v>45020.209027777775</v>
      </c>
      <c r="V1954">
        <v>1959</v>
      </c>
      <c r="W1954">
        <v>112.85</v>
      </c>
      <c r="X1954">
        <v>1.4</v>
      </c>
      <c r="Y1954" s="2">
        <v>3845630030824</v>
      </c>
      <c r="Z1954">
        <v>70.2</v>
      </c>
      <c r="AA1954">
        <v>104</v>
      </c>
      <c r="AB1954">
        <v>11.5</v>
      </c>
      <c r="AC1954">
        <v>48.8</v>
      </c>
      <c r="AD1954">
        <v>83132799</v>
      </c>
    </row>
    <row r="1955" spans="1:30" hidden="1" x14ac:dyDescent="0.45">
      <c r="A1955">
        <v>1905</v>
      </c>
      <c r="B1955">
        <v>1500</v>
      </c>
      <c r="C1955" t="s">
        <v>296</v>
      </c>
      <c r="D1955" t="s">
        <v>6410</v>
      </c>
      <c r="E1955">
        <v>50</v>
      </c>
      <c r="F1955" t="s">
        <v>128</v>
      </c>
      <c r="G1955" t="s">
        <v>234</v>
      </c>
      <c r="H1955" t="s">
        <v>6411</v>
      </c>
      <c r="I1955" t="s">
        <v>296</v>
      </c>
      <c r="J1955" t="s">
        <v>128</v>
      </c>
      <c r="L1955" t="b">
        <v>1</v>
      </c>
      <c r="M1955" t="s">
        <v>39</v>
      </c>
      <c r="N1955" t="s">
        <v>8245</v>
      </c>
      <c r="O1955" s="1">
        <v>26569</v>
      </c>
      <c r="P1955" t="s">
        <v>230</v>
      </c>
      <c r="Q1955" t="s">
        <v>6412</v>
      </c>
      <c r="S1955" s="1">
        <v>45020.209027777775</v>
      </c>
      <c r="V1955">
        <v>1972</v>
      </c>
      <c r="W1955">
        <v>125.08</v>
      </c>
      <c r="X1955">
        <v>2.9</v>
      </c>
      <c r="Y1955" s="2">
        <v>19910000000000</v>
      </c>
      <c r="Z1955">
        <v>50.6</v>
      </c>
      <c r="AA1955">
        <v>100.2</v>
      </c>
      <c r="AB1955">
        <v>9.4</v>
      </c>
      <c r="AC1955">
        <v>59.2</v>
      </c>
      <c r="AD1955">
        <v>1397715000</v>
      </c>
    </row>
    <row r="1956" spans="1:30" hidden="1" x14ac:dyDescent="0.45">
      <c r="A1956">
        <v>1905</v>
      </c>
      <c r="B1956">
        <v>1500</v>
      </c>
      <c r="C1956" t="s">
        <v>296</v>
      </c>
      <c r="D1956" t="s">
        <v>6413</v>
      </c>
      <c r="E1956">
        <v>59</v>
      </c>
      <c r="F1956" t="s">
        <v>128</v>
      </c>
      <c r="G1956" t="s">
        <v>777</v>
      </c>
      <c r="H1956" t="s">
        <v>399</v>
      </c>
      <c r="I1956" t="s">
        <v>296</v>
      </c>
      <c r="J1956" t="s">
        <v>128</v>
      </c>
      <c r="L1956" t="b">
        <v>1</v>
      </c>
      <c r="M1956" t="s">
        <v>39</v>
      </c>
      <c r="N1956" t="s">
        <v>8245</v>
      </c>
      <c r="O1956" s="1">
        <v>23260</v>
      </c>
      <c r="P1956" t="s">
        <v>230</v>
      </c>
      <c r="Q1956" t="s">
        <v>6414</v>
      </c>
      <c r="S1956" s="1">
        <v>45020.209027777775</v>
      </c>
      <c r="V1956">
        <v>1963</v>
      </c>
      <c r="W1956">
        <v>125.08</v>
      </c>
      <c r="X1956">
        <v>2.9</v>
      </c>
      <c r="Y1956" s="2">
        <v>19910000000000</v>
      </c>
      <c r="Z1956">
        <v>50.6</v>
      </c>
      <c r="AA1956">
        <v>100.2</v>
      </c>
      <c r="AB1956">
        <v>9.4</v>
      </c>
      <c r="AC1956">
        <v>59.2</v>
      </c>
      <c r="AD1956">
        <v>1397715000</v>
      </c>
    </row>
    <row r="1957" spans="1:30" hidden="1" x14ac:dyDescent="0.45">
      <c r="A1957">
        <v>1905</v>
      </c>
      <c r="B1957">
        <v>1500</v>
      </c>
      <c r="C1957" t="s">
        <v>23</v>
      </c>
      <c r="D1957" t="s">
        <v>6415</v>
      </c>
      <c r="E1957">
        <v>71</v>
      </c>
      <c r="F1957" t="s">
        <v>128</v>
      </c>
      <c r="G1957" t="s">
        <v>960</v>
      </c>
      <c r="H1957" t="s">
        <v>1475</v>
      </c>
      <c r="I1957" t="s">
        <v>23</v>
      </c>
      <c r="J1957" t="s">
        <v>128</v>
      </c>
      <c r="L1957" t="b">
        <v>1</v>
      </c>
      <c r="M1957" t="s">
        <v>39</v>
      </c>
      <c r="N1957" t="s">
        <v>8245</v>
      </c>
      <c r="O1957" s="1">
        <v>18792</v>
      </c>
      <c r="P1957" t="s">
        <v>230</v>
      </c>
      <c r="Q1957" t="s">
        <v>6416</v>
      </c>
      <c r="S1957" s="1">
        <v>45020.209027777775</v>
      </c>
      <c r="V1957">
        <v>1951</v>
      </c>
      <c r="W1957">
        <v>125.08</v>
      </c>
      <c r="X1957">
        <v>2.9</v>
      </c>
      <c r="Y1957" s="2">
        <v>19910000000000</v>
      </c>
      <c r="Z1957">
        <v>50.6</v>
      </c>
      <c r="AA1957">
        <v>100.2</v>
      </c>
      <c r="AB1957">
        <v>9.4</v>
      </c>
      <c r="AC1957">
        <v>59.2</v>
      </c>
      <c r="AD1957">
        <v>1397715000</v>
      </c>
    </row>
    <row r="1958" spans="1:30" hidden="1" x14ac:dyDescent="0.45">
      <c r="A1958">
        <v>1905</v>
      </c>
      <c r="B1958">
        <v>1500</v>
      </c>
      <c r="C1958" t="s">
        <v>296</v>
      </c>
      <c r="D1958" t="s">
        <v>6417</v>
      </c>
      <c r="E1958">
        <v>66</v>
      </c>
      <c r="F1958" t="s">
        <v>128</v>
      </c>
      <c r="G1958" t="s">
        <v>6418</v>
      </c>
      <c r="H1958" t="s">
        <v>6419</v>
      </c>
      <c r="I1958" t="s">
        <v>296</v>
      </c>
      <c r="J1958" t="s">
        <v>1259</v>
      </c>
      <c r="L1958" t="b">
        <v>1</v>
      </c>
      <c r="M1958" t="s">
        <v>29</v>
      </c>
      <c r="N1958" t="s">
        <v>8245</v>
      </c>
      <c r="O1958" s="1">
        <v>20668</v>
      </c>
      <c r="P1958" t="s">
        <v>230</v>
      </c>
      <c r="Q1958" t="s">
        <v>6420</v>
      </c>
      <c r="S1958" s="1">
        <v>45020.209027777775</v>
      </c>
      <c r="V1958">
        <v>1956</v>
      </c>
      <c r="W1958">
        <v>125.08</v>
      </c>
      <c r="X1958">
        <v>2.9</v>
      </c>
      <c r="Y1958" s="2">
        <v>19910000000000</v>
      </c>
      <c r="Z1958">
        <v>50.6</v>
      </c>
      <c r="AA1958">
        <v>100.2</v>
      </c>
      <c r="AB1958">
        <v>9.4</v>
      </c>
      <c r="AC1958">
        <v>59.2</v>
      </c>
      <c r="AD1958">
        <v>1397715000</v>
      </c>
    </row>
    <row r="1959" spans="1:30" hidden="1" x14ac:dyDescent="0.45">
      <c r="A1959">
        <v>1905</v>
      </c>
      <c r="B1959">
        <v>1500</v>
      </c>
      <c r="C1959" t="s">
        <v>45</v>
      </c>
      <c r="D1959" t="s">
        <v>6421</v>
      </c>
      <c r="E1959">
        <v>90</v>
      </c>
      <c r="F1959" t="s">
        <v>1259</v>
      </c>
      <c r="G1959" t="s">
        <v>6422</v>
      </c>
      <c r="H1959" t="s">
        <v>6423</v>
      </c>
      <c r="I1959" t="s">
        <v>45</v>
      </c>
      <c r="J1959" t="s">
        <v>1259</v>
      </c>
      <c r="L1959" t="b">
        <v>1</v>
      </c>
      <c r="M1959" t="s">
        <v>29</v>
      </c>
      <c r="N1959" t="s">
        <v>8245</v>
      </c>
      <c r="O1959" s="1">
        <v>12055</v>
      </c>
      <c r="P1959" t="s">
        <v>1261</v>
      </c>
      <c r="Q1959" t="s">
        <v>373</v>
      </c>
      <c r="S1959" s="1">
        <v>45020.209027777775</v>
      </c>
      <c r="V1959">
        <v>1933</v>
      </c>
      <c r="W1959"/>
      <c r="Y1959"/>
    </row>
    <row r="1960" spans="1:30" hidden="1" x14ac:dyDescent="0.45">
      <c r="A1960">
        <v>1905</v>
      </c>
      <c r="B1960">
        <v>1500</v>
      </c>
      <c r="C1960" t="s">
        <v>296</v>
      </c>
      <c r="D1960" t="s">
        <v>6424</v>
      </c>
      <c r="E1960">
        <v>66</v>
      </c>
      <c r="F1960" t="s">
        <v>128</v>
      </c>
      <c r="G1960" t="s">
        <v>292</v>
      </c>
      <c r="H1960" t="s">
        <v>399</v>
      </c>
      <c r="I1960" t="s">
        <v>296</v>
      </c>
      <c r="J1960" t="s">
        <v>35</v>
      </c>
      <c r="L1960" t="b">
        <v>1</v>
      </c>
      <c r="M1960" t="s">
        <v>39</v>
      </c>
      <c r="N1960" t="s">
        <v>8245</v>
      </c>
      <c r="O1960" s="1">
        <v>20880</v>
      </c>
      <c r="P1960" t="s">
        <v>779</v>
      </c>
      <c r="Q1960" t="s">
        <v>6425</v>
      </c>
      <c r="S1960" s="1">
        <v>45020.209027777775</v>
      </c>
      <c r="V1960">
        <v>1957</v>
      </c>
      <c r="W1960">
        <v>125.08</v>
      </c>
      <c r="X1960">
        <v>2.9</v>
      </c>
      <c r="Y1960" s="2">
        <v>19910000000000</v>
      </c>
      <c r="Z1960">
        <v>50.6</v>
      </c>
      <c r="AA1960">
        <v>100.2</v>
      </c>
      <c r="AB1960">
        <v>9.4</v>
      </c>
      <c r="AC1960">
        <v>59.2</v>
      </c>
      <c r="AD1960">
        <v>1397715000</v>
      </c>
    </row>
    <row r="1961" spans="1:30" hidden="1" x14ac:dyDescent="0.45">
      <c r="A1961">
        <v>1905</v>
      </c>
      <c r="B1961">
        <v>1500</v>
      </c>
      <c r="C1961" t="s">
        <v>33</v>
      </c>
      <c r="D1961" t="s">
        <v>6426</v>
      </c>
      <c r="E1961">
        <v>80</v>
      </c>
      <c r="F1961" t="s">
        <v>128</v>
      </c>
      <c r="G1961" t="s">
        <v>6427</v>
      </c>
      <c r="H1961" t="s">
        <v>3550</v>
      </c>
      <c r="I1961" t="s">
        <v>33</v>
      </c>
      <c r="J1961" t="s">
        <v>128</v>
      </c>
      <c r="L1961" t="b">
        <v>1</v>
      </c>
      <c r="M1961" t="s">
        <v>39</v>
      </c>
      <c r="N1961" t="s">
        <v>8246</v>
      </c>
      <c r="O1961" s="1">
        <v>15676</v>
      </c>
      <c r="P1961" t="s">
        <v>721</v>
      </c>
      <c r="Q1961" t="s">
        <v>6428</v>
      </c>
      <c r="S1961" s="1">
        <v>45020.209027777775</v>
      </c>
      <c r="V1961">
        <v>1942</v>
      </c>
      <c r="W1961">
        <v>125.08</v>
      </c>
      <c r="X1961">
        <v>2.9</v>
      </c>
      <c r="Y1961" s="2">
        <v>19910000000000</v>
      </c>
      <c r="Z1961">
        <v>50.6</v>
      </c>
      <c r="AA1961">
        <v>100.2</v>
      </c>
      <c r="AB1961">
        <v>9.4</v>
      </c>
      <c r="AC1961">
        <v>59.2</v>
      </c>
      <c r="AD1961">
        <v>1397715000</v>
      </c>
    </row>
    <row r="1962" spans="1:30" hidden="1" x14ac:dyDescent="0.45">
      <c r="A1962">
        <v>1905</v>
      </c>
      <c r="B1962">
        <v>1500</v>
      </c>
      <c r="C1962" t="s">
        <v>203</v>
      </c>
      <c r="D1962" t="s">
        <v>6429</v>
      </c>
      <c r="E1962">
        <v>59</v>
      </c>
      <c r="F1962" t="s">
        <v>128</v>
      </c>
      <c r="G1962" t="s">
        <v>292</v>
      </c>
      <c r="H1962" t="s">
        <v>203</v>
      </c>
      <c r="I1962" t="s">
        <v>203</v>
      </c>
      <c r="J1962" t="s">
        <v>128</v>
      </c>
      <c r="L1962" t="b">
        <v>1</v>
      </c>
      <c r="M1962" t="s">
        <v>39</v>
      </c>
      <c r="N1962" t="s">
        <v>8245</v>
      </c>
      <c r="O1962" s="1">
        <v>23163</v>
      </c>
      <c r="P1962" t="s">
        <v>721</v>
      </c>
      <c r="Q1962" t="s">
        <v>6430</v>
      </c>
      <c r="S1962" s="1">
        <v>45020.209027777775</v>
      </c>
      <c r="V1962">
        <v>1963</v>
      </c>
      <c r="W1962">
        <v>125.08</v>
      </c>
      <c r="X1962">
        <v>2.9</v>
      </c>
      <c r="Y1962" s="2">
        <v>19910000000000</v>
      </c>
      <c r="Z1962">
        <v>50.6</v>
      </c>
      <c r="AA1962">
        <v>100.2</v>
      </c>
      <c r="AB1962">
        <v>9.4</v>
      </c>
      <c r="AC1962">
        <v>59.2</v>
      </c>
      <c r="AD1962">
        <v>1397715000</v>
      </c>
    </row>
    <row r="1963" spans="1:30" hidden="1" x14ac:dyDescent="0.45">
      <c r="A1963">
        <v>1905</v>
      </c>
      <c r="B1963">
        <v>1500</v>
      </c>
      <c r="C1963" t="s">
        <v>91</v>
      </c>
      <c r="D1963" t="s">
        <v>6431</v>
      </c>
      <c r="E1963">
        <v>77</v>
      </c>
      <c r="F1963" t="s">
        <v>1365</v>
      </c>
      <c r="G1963" t="s">
        <v>1366</v>
      </c>
      <c r="H1963" t="s">
        <v>91</v>
      </c>
      <c r="I1963" t="s">
        <v>91</v>
      </c>
      <c r="J1963" t="s">
        <v>1365</v>
      </c>
      <c r="L1963" t="b">
        <v>1</v>
      </c>
      <c r="M1963" t="s">
        <v>611</v>
      </c>
      <c r="N1963" t="s">
        <v>8245</v>
      </c>
      <c r="O1963" s="1">
        <v>16578</v>
      </c>
      <c r="P1963" t="s">
        <v>3048</v>
      </c>
      <c r="Q1963" t="s">
        <v>6432</v>
      </c>
      <c r="S1963" s="1">
        <v>45020.209027777775</v>
      </c>
      <c r="V1963">
        <v>1945</v>
      </c>
      <c r="W1963">
        <v>288.57</v>
      </c>
      <c r="X1963">
        <v>9.1999999999999993</v>
      </c>
      <c r="Y1963" s="2">
        <v>303175127598</v>
      </c>
      <c r="Z1963">
        <v>35.200000000000003</v>
      </c>
      <c r="AA1963">
        <v>106.3</v>
      </c>
      <c r="AB1963">
        <v>12.5</v>
      </c>
      <c r="AC1963">
        <v>44.4</v>
      </c>
      <c r="AD1963">
        <v>100388073</v>
      </c>
    </row>
    <row r="1964" spans="1:30" hidden="1" x14ac:dyDescent="0.45">
      <c r="A1964">
        <v>1905</v>
      </c>
      <c r="B1964">
        <v>1500</v>
      </c>
      <c r="C1964" t="s">
        <v>302</v>
      </c>
      <c r="D1964" t="s">
        <v>6433</v>
      </c>
      <c r="E1964">
        <v>79</v>
      </c>
      <c r="F1964" t="s">
        <v>328</v>
      </c>
      <c r="G1964" t="s">
        <v>6434</v>
      </c>
      <c r="H1964" t="s">
        <v>3015</v>
      </c>
      <c r="I1964" t="s">
        <v>302</v>
      </c>
      <c r="J1964" t="s">
        <v>328</v>
      </c>
      <c r="L1964" t="b">
        <v>1</v>
      </c>
      <c r="M1964" t="s">
        <v>39</v>
      </c>
      <c r="N1964" t="s">
        <v>8245</v>
      </c>
      <c r="O1964" s="1">
        <v>16116</v>
      </c>
      <c r="P1964" t="s">
        <v>6435</v>
      </c>
      <c r="Q1964" t="s">
        <v>1660</v>
      </c>
      <c r="S1964" s="1">
        <v>45020.209027777775</v>
      </c>
      <c r="V1964">
        <v>1944</v>
      </c>
      <c r="W1964">
        <v>119.8</v>
      </c>
      <c r="X1964">
        <v>1.6</v>
      </c>
      <c r="Y1964" s="2">
        <v>1392680589329</v>
      </c>
      <c r="Z1964">
        <v>113.1</v>
      </c>
      <c r="AA1964">
        <v>100.3</v>
      </c>
      <c r="AB1964">
        <v>23</v>
      </c>
      <c r="AC1964">
        <v>47.4</v>
      </c>
      <c r="AD1964">
        <v>25766605</v>
      </c>
    </row>
    <row r="1965" spans="1:30" hidden="1" x14ac:dyDescent="0.45">
      <c r="A1965">
        <v>1905</v>
      </c>
      <c r="B1965">
        <v>1500</v>
      </c>
      <c r="C1965" t="s">
        <v>91</v>
      </c>
      <c r="D1965" t="s">
        <v>6436</v>
      </c>
      <c r="E1965">
        <v>88</v>
      </c>
      <c r="F1965" t="s">
        <v>214</v>
      </c>
      <c r="G1965" t="s">
        <v>6437</v>
      </c>
      <c r="H1965" t="s">
        <v>6438</v>
      </c>
      <c r="I1965" t="s">
        <v>91</v>
      </c>
      <c r="J1965" t="s">
        <v>214</v>
      </c>
      <c r="L1965" t="b">
        <v>1</v>
      </c>
      <c r="M1965" t="s">
        <v>39</v>
      </c>
      <c r="N1965" t="s">
        <v>8245</v>
      </c>
      <c r="O1965" s="1">
        <v>12849</v>
      </c>
      <c r="P1965" t="s">
        <v>6439</v>
      </c>
      <c r="Q1965" t="s">
        <v>6440</v>
      </c>
      <c r="S1965" s="1">
        <v>45020.209027777775</v>
      </c>
      <c r="V1965">
        <v>1935</v>
      </c>
      <c r="W1965">
        <v>110.62</v>
      </c>
      <c r="X1965">
        <v>0.6</v>
      </c>
      <c r="Y1965" s="2">
        <v>2001244392042</v>
      </c>
      <c r="Z1965">
        <v>61.9</v>
      </c>
      <c r="AA1965">
        <v>101.9</v>
      </c>
      <c r="AB1965">
        <v>24.3</v>
      </c>
      <c r="AC1965">
        <v>59.1</v>
      </c>
      <c r="AD1965">
        <v>60297396</v>
      </c>
    </row>
    <row r="1966" spans="1:30" hidden="1" x14ac:dyDescent="0.45">
      <c r="A1966">
        <v>1905</v>
      </c>
      <c r="B1966">
        <v>1500</v>
      </c>
      <c r="C1966" t="s">
        <v>61</v>
      </c>
      <c r="D1966" t="s">
        <v>6441</v>
      </c>
      <c r="E1966">
        <v>48</v>
      </c>
      <c r="F1966" t="s">
        <v>35</v>
      </c>
      <c r="G1966" t="s">
        <v>78</v>
      </c>
      <c r="H1966" t="s">
        <v>930</v>
      </c>
      <c r="I1966" t="s">
        <v>61</v>
      </c>
      <c r="J1966" t="s">
        <v>35</v>
      </c>
      <c r="L1966" t="b">
        <v>1</v>
      </c>
      <c r="M1966" t="s">
        <v>611</v>
      </c>
      <c r="N1966" t="s">
        <v>8245</v>
      </c>
      <c r="O1966" s="1">
        <v>27169</v>
      </c>
      <c r="P1966" t="s">
        <v>6442</v>
      </c>
      <c r="Q1966" t="s">
        <v>6443</v>
      </c>
      <c r="S1966" s="1">
        <v>45020.209027777775</v>
      </c>
      <c r="T1966" t="s">
        <v>78</v>
      </c>
      <c r="U1966" t="s">
        <v>82</v>
      </c>
      <c r="V1966">
        <v>1974</v>
      </c>
      <c r="W1966">
        <v>117.24</v>
      </c>
      <c r="X1966">
        <v>7.5</v>
      </c>
      <c r="Y1966" s="2">
        <v>21427700000000</v>
      </c>
      <c r="Z1966">
        <v>88.2</v>
      </c>
      <c r="AA1966">
        <v>101.8</v>
      </c>
      <c r="AB1966">
        <v>9.6</v>
      </c>
      <c r="AC1966">
        <v>36.6</v>
      </c>
      <c r="AD1966">
        <v>328239523</v>
      </c>
    </row>
    <row r="1967" spans="1:30" hidden="1" x14ac:dyDescent="0.45">
      <c r="A1967">
        <v>1905</v>
      </c>
      <c r="B1967">
        <v>1500</v>
      </c>
      <c r="C1967" t="s">
        <v>23</v>
      </c>
      <c r="D1967" t="s">
        <v>6444</v>
      </c>
      <c r="E1967">
        <v>70</v>
      </c>
      <c r="F1967" t="s">
        <v>214</v>
      </c>
      <c r="G1967" t="s">
        <v>6445</v>
      </c>
      <c r="H1967" t="s">
        <v>1273</v>
      </c>
      <c r="I1967" t="s">
        <v>23</v>
      </c>
      <c r="J1967" t="s">
        <v>214</v>
      </c>
      <c r="L1967" t="b">
        <v>1</v>
      </c>
      <c r="M1967" t="s">
        <v>39</v>
      </c>
      <c r="N1967" t="s">
        <v>8245</v>
      </c>
      <c r="O1967" s="1">
        <v>19222</v>
      </c>
      <c r="P1967" t="s">
        <v>6446</v>
      </c>
      <c r="Q1967" t="s">
        <v>5822</v>
      </c>
      <c r="S1967" s="1">
        <v>45020.209027777775</v>
      </c>
      <c r="V1967">
        <v>1952</v>
      </c>
      <c r="W1967">
        <v>110.62</v>
      </c>
      <c r="X1967">
        <v>0.6</v>
      </c>
      <c r="Y1967" s="2">
        <v>2001244392042</v>
      </c>
      <c r="Z1967">
        <v>61.9</v>
      </c>
      <c r="AA1967">
        <v>101.9</v>
      </c>
      <c r="AB1967">
        <v>24.3</v>
      </c>
      <c r="AC1967">
        <v>59.1</v>
      </c>
      <c r="AD1967">
        <v>60297396</v>
      </c>
    </row>
    <row r="1968" spans="1:30" hidden="1" x14ac:dyDescent="0.45">
      <c r="A1968">
        <v>1905</v>
      </c>
      <c r="B1968">
        <v>1500</v>
      </c>
      <c r="C1968" t="s">
        <v>436</v>
      </c>
      <c r="D1968" t="s">
        <v>6447</v>
      </c>
      <c r="E1968">
        <v>78</v>
      </c>
      <c r="F1968" t="s">
        <v>6448</v>
      </c>
      <c r="G1968" t="s">
        <v>6449</v>
      </c>
      <c r="H1968" t="s">
        <v>6450</v>
      </c>
      <c r="I1968" t="s">
        <v>436</v>
      </c>
      <c r="J1968" t="s">
        <v>3941</v>
      </c>
      <c r="L1968" t="b">
        <v>0</v>
      </c>
      <c r="M1968" t="s">
        <v>611</v>
      </c>
      <c r="N1968" t="s">
        <v>8245</v>
      </c>
      <c r="O1968" s="1">
        <v>16438</v>
      </c>
      <c r="P1968" t="s">
        <v>6451</v>
      </c>
      <c r="Q1968" t="s">
        <v>619</v>
      </c>
      <c r="S1968" s="1">
        <v>45020.209027777775</v>
      </c>
      <c r="V1968">
        <v>1945</v>
      </c>
      <c r="W1968">
        <v>117.59</v>
      </c>
      <c r="X1968">
        <v>2.1</v>
      </c>
      <c r="Y1968" s="2">
        <v>38574069149</v>
      </c>
      <c r="Z1968">
        <v>50.5</v>
      </c>
      <c r="AA1968">
        <v>99.4</v>
      </c>
      <c r="AB1968">
        <v>4.2</v>
      </c>
      <c r="AC1968">
        <v>13.8</v>
      </c>
      <c r="AD1968">
        <v>1501635</v>
      </c>
    </row>
    <row r="1969" spans="1:30" hidden="1" x14ac:dyDescent="0.45">
      <c r="A1969">
        <v>1905</v>
      </c>
      <c r="B1969">
        <v>1500</v>
      </c>
      <c r="C1969" t="s">
        <v>203</v>
      </c>
      <c r="D1969" t="s">
        <v>6452</v>
      </c>
      <c r="E1969">
        <v>79</v>
      </c>
      <c r="F1969" t="s">
        <v>35</v>
      </c>
      <c r="G1969" t="s">
        <v>6453</v>
      </c>
      <c r="H1969" t="s">
        <v>5853</v>
      </c>
      <c r="I1969" t="s">
        <v>203</v>
      </c>
      <c r="J1969" t="s">
        <v>35</v>
      </c>
      <c r="L1969" t="b">
        <v>1</v>
      </c>
      <c r="M1969" t="s">
        <v>29</v>
      </c>
      <c r="N1969" t="s">
        <v>8245</v>
      </c>
      <c r="O1969" s="1">
        <v>16086</v>
      </c>
      <c r="P1969" t="s">
        <v>6454</v>
      </c>
      <c r="Q1969" t="s">
        <v>707</v>
      </c>
      <c r="S1969" s="1">
        <v>45020.209027777775</v>
      </c>
      <c r="T1969" t="s">
        <v>2260</v>
      </c>
      <c r="U1969" t="s">
        <v>53</v>
      </c>
      <c r="V1969">
        <v>1944</v>
      </c>
      <c r="W1969">
        <v>117.24</v>
      </c>
      <c r="X1969">
        <v>7.5</v>
      </c>
      <c r="Y1969" s="2">
        <v>21427700000000</v>
      </c>
      <c r="Z1969">
        <v>88.2</v>
      </c>
      <c r="AA1969">
        <v>101.8</v>
      </c>
      <c r="AB1969">
        <v>9.6</v>
      </c>
      <c r="AC1969">
        <v>36.6</v>
      </c>
      <c r="AD1969">
        <v>328239523</v>
      </c>
    </row>
    <row r="1970" spans="1:30" hidden="1" x14ac:dyDescent="0.45">
      <c r="A1970">
        <v>1905</v>
      </c>
      <c r="B1970">
        <v>1500</v>
      </c>
      <c r="C1970" t="s">
        <v>45</v>
      </c>
      <c r="D1970" t="s">
        <v>6455</v>
      </c>
      <c r="E1970">
        <v>63</v>
      </c>
      <c r="F1970" t="s">
        <v>35</v>
      </c>
      <c r="G1970" t="s">
        <v>123</v>
      </c>
      <c r="H1970" t="s">
        <v>442</v>
      </c>
      <c r="I1970" t="s">
        <v>45</v>
      </c>
      <c r="J1970" t="s">
        <v>35</v>
      </c>
      <c r="L1970" t="b">
        <v>1</v>
      </c>
      <c r="M1970" t="s">
        <v>29</v>
      </c>
      <c r="N1970" t="s">
        <v>8245</v>
      </c>
      <c r="O1970" s="1">
        <v>21645</v>
      </c>
      <c r="P1970" t="s">
        <v>6456</v>
      </c>
      <c r="Q1970" t="s">
        <v>225</v>
      </c>
      <c r="S1970" s="1">
        <v>45020.209027777775</v>
      </c>
      <c r="T1970" t="s">
        <v>115</v>
      </c>
      <c r="U1970" t="s">
        <v>53</v>
      </c>
      <c r="V1970">
        <v>1959</v>
      </c>
      <c r="W1970">
        <v>117.24</v>
      </c>
      <c r="X1970">
        <v>7.5</v>
      </c>
      <c r="Y1970" s="2">
        <v>21427700000000</v>
      </c>
      <c r="Z1970">
        <v>88.2</v>
      </c>
      <c r="AA1970">
        <v>101.8</v>
      </c>
      <c r="AB1970">
        <v>9.6</v>
      </c>
      <c r="AC1970">
        <v>36.6</v>
      </c>
      <c r="AD1970">
        <v>328239523</v>
      </c>
    </row>
    <row r="1971" spans="1:30" hidden="1" x14ac:dyDescent="0.45">
      <c r="A1971">
        <v>1905</v>
      </c>
      <c r="B1971">
        <v>1500</v>
      </c>
      <c r="C1971" t="s">
        <v>91</v>
      </c>
      <c r="D1971" t="s">
        <v>6457</v>
      </c>
      <c r="E1971">
        <v>74</v>
      </c>
      <c r="F1971" t="s">
        <v>272</v>
      </c>
      <c r="G1971" t="s">
        <v>273</v>
      </c>
      <c r="H1971" t="s">
        <v>91</v>
      </c>
      <c r="I1971" t="s">
        <v>91</v>
      </c>
      <c r="J1971" t="s">
        <v>577</v>
      </c>
      <c r="L1971" t="b">
        <v>0</v>
      </c>
      <c r="M1971" t="s">
        <v>29</v>
      </c>
      <c r="N1971" t="s">
        <v>8245</v>
      </c>
      <c r="O1971" s="1">
        <v>17899</v>
      </c>
      <c r="P1971" t="s">
        <v>4111</v>
      </c>
      <c r="Q1971" t="s">
        <v>370</v>
      </c>
      <c r="S1971" s="1">
        <v>45020.209027777775</v>
      </c>
      <c r="V1971">
        <v>1949</v>
      </c>
      <c r="W1971">
        <v>119.62</v>
      </c>
      <c r="X1971">
        <v>1.7</v>
      </c>
      <c r="Y1971" s="2">
        <v>2827113184696</v>
      </c>
      <c r="Z1971">
        <v>60</v>
      </c>
      <c r="AA1971">
        <v>101.2</v>
      </c>
      <c r="AB1971">
        <v>25.5</v>
      </c>
      <c r="AC1971">
        <v>30.6</v>
      </c>
      <c r="AD1971">
        <v>66834405</v>
      </c>
    </row>
    <row r="1972" spans="1:30" hidden="1" x14ac:dyDescent="0.45">
      <c r="A1972">
        <v>1905</v>
      </c>
      <c r="B1972">
        <v>1500</v>
      </c>
      <c r="C1972" t="s">
        <v>347</v>
      </c>
      <c r="D1972" t="s">
        <v>6458</v>
      </c>
      <c r="E1972">
        <v>73</v>
      </c>
      <c r="F1972" t="s">
        <v>558</v>
      </c>
      <c r="G1972" t="s">
        <v>839</v>
      </c>
      <c r="H1972" t="s">
        <v>6459</v>
      </c>
      <c r="I1972" t="s">
        <v>347</v>
      </c>
      <c r="J1972" t="s">
        <v>558</v>
      </c>
      <c r="L1972" t="b">
        <v>0</v>
      </c>
      <c r="M1972" t="s">
        <v>39</v>
      </c>
      <c r="N1972" t="s">
        <v>8245</v>
      </c>
      <c r="O1972" s="1">
        <v>18264</v>
      </c>
      <c r="P1972" t="s">
        <v>6460</v>
      </c>
      <c r="Q1972" t="s">
        <v>6461</v>
      </c>
      <c r="S1972" s="1">
        <v>45020.209027777775</v>
      </c>
      <c r="V1972">
        <v>1950</v>
      </c>
      <c r="W1972">
        <v>167.4</v>
      </c>
      <c r="X1972">
        <v>3.7</v>
      </c>
      <c r="Y1972" s="2">
        <v>1839758040766</v>
      </c>
      <c r="Z1972">
        <v>51.3</v>
      </c>
      <c r="AA1972">
        <v>115.4</v>
      </c>
      <c r="AB1972">
        <v>14.2</v>
      </c>
      <c r="AC1972">
        <v>65.099999999999994</v>
      </c>
      <c r="AD1972">
        <v>212559417</v>
      </c>
    </row>
    <row r="1973" spans="1:30" hidden="1" x14ac:dyDescent="0.45">
      <c r="A1973">
        <v>1905</v>
      </c>
      <c r="B1973">
        <v>1500</v>
      </c>
      <c r="C1973" t="s">
        <v>61</v>
      </c>
      <c r="D1973" t="s">
        <v>6462</v>
      </c>
      <c r="H1973" t="s">
        <v>1839</v>
      </c>
      <c r="I1973" t="s">
        <v>61</v>
      </c>
      <c r="J1973" t="s">
        <v>6463</v>
      </c>
      <c r="L1973" t="b">
        <v>0</v>
      </c>
      <c r="M1973" t="s">
        <v>285</v>
      </c>
      <c r="N1973" t="s">
        <v>8246</v>
      </c>
      <c r="O1973"/>
      <c r="P1973" t="s">
        <v>6464</v>
      </c>
      <c r="Q1973" t="s">
        <v>6465</v>
      </c>
      <c r="S1973" s="1">
        <v>45020.209027777775</v>
      </c>
      <c r="W1973"/>
      <c r="Y1973"/>
    </row>
    <row r="1974" spans="1:30" hidden="1" x14ac:dyDescent="0.45">
      <c r="A1974">
        <v>1905</v>
      </c>
      <c r="B1974">
        <v>1500</v>
      </c>
      <c r="C1974" t="s">
        <v>61</v>
      </c>
      <c r="D1974" t="s">
        <v>6466</v>
      </c>
      <c r="H1974" t="s">
        <v>1839</v>
      </c>
      <c r="I1974" t="s">
        <v>61</v>
      </c>
      <c r="J1974" t="s">
        <v>6463</v>
      </c>
      <c r="L1974" t="b">
        <v>0</v>
      </c>
      <c r="M1974" t="s">
        <v>285</v>
      </c>
      <c r="N1974" t="s">
        <v>8245</v>
      </c>
      <c r="O1974"/>
      <c r="P1974" t="s">
        <v>6464</v>
      </c>
      <c r="Q1974" t="s">
        <v>714</v>
      </c>
      <c r="S1974" s="1">
        <v>45020.209027777775</v>
      </c>
      <c r="W1974"/>
      <c r="Y1974"/>
    </row>
    <row r="1975" spans="1:30" x14ac:dyDescent="0.45">
      <c r="A1975">
        <v>1905</v>
      </c>
      <c r="B1975" s="6">
        <v>1500</v>
      </c>
      <c r="C1975" t="s">
        <v>61</v>
      </c>
      <c r="D1975" t="s">
        <v>6467</v>
      </c>
      <c r="E1975">
        <v>80</v>
      </c>
      <c r="F1975" t="s">
        <v>35</v>
      </c>
      <c r="G1975" t="s">
        <v>6468</v>
      </c>
      <c r="H1975" t="s">
        <v>317</v>
      </c>
      <c r="I1975" t="s">
        <v>61</v>
      </c>
      <c r="J1975" t="s">
        <v>35</v>
      </c>
      <c r="K1975" t="s">
        <v>6469</v>
      </c>
      <c r="L1975" t="b">
        <v>1</v>
      </c>
      <c r="M1975" t="s">
        <v>39</v>
      </c>
      <c r="N1975" t="s">
        <v>8245</v>
      </c>
      <c r="O1975" s="10">
        <v>15493</v>
      </c>
      <c r="P1975" t="s">
        <v>6470</v>
      </c>
      <c r="Q1975" t="s">
        <v>3585</v>
      </c>
      <c r="R1975" t="s">
        <v>192</v>
      </c>
      <c r="S1975" s="8">
        <v>45020.209027777775</v>
      </c>
      <c r="T1975" t="s">
        <v>78</v>
      </c>
      <c r="U1975" t="s">
        <v>82</v>
      </c>
      <c r="V1975">
        <v>1942</v>
      </c>
      <c r="W1975" s="12">
        <v>117.24</v>
      </c>
      <c r="X1975">
        <v>7.5</v>
      </c>
      <c r="Y1975" s="14">
        <v>21427700000000</v>
      </c>
      <c r="Z1975">
        <v>88.2</v>
      </c>
      <c r="AA1975">
        <v>101.8</v>
      </c>
      <c r="AB1975">
        <v>9.6</v>
      </c>
      <c r="AC1975">
        <v>36.6</v>
      </c>
      <c r="AD1975">
        <v>328239523</v>
      </c>
    </row>
    <row r="1976" spans="1:30" hidden="1" x14ac:dyDescent="0.45">
      <c r="A1976">
        <v>1905</v>
      </c>
      <c r="B1976">
        <v>1500</v>
      </c>
      <c r="C1976" t="s">
        <v>689</v>
      </c>
      <c r="D1976" t="s">
        <v>6471</v>
      </c>
      <c r="E1976">
        <v>49</v>
      </c>
      <c r="F1976" t="s">
        <v>85</v>
      </c>
      <c r="G1976" t="s">
        <v>86</v>
      </c>
      <c r="H1976" t="s">
        <v>6472</v>
      </c>
      <c r="I1976" t="s">
        <v>689</v>
      </c>
      <c r="J1976" t="s">
        <v>85</v>
      </c>
      <c r="L1976" t="b">
        <v>0</v>
      </c>
      <c r="M1976" t="s">
        <v>29</v>
      </c>
      <c r="N1976" t="s">
        <v>8245</v>
      </c>
      <c r="O1976" s="1">
        <v>27030</v>
      </c>
      <c r="P1976" t="s">
        <v>6473</v>
      </c>
      <c r="Q1976" t="s">
        <v>169</v>
      </c>
      <c r="S1976" s="1">
        <v>45020.209027777775</v>
      </c>
      <c r="V1976">
        <v>1974</v>
      </c>
      <c r="W1976">
        <v>141.54</v>
      </c>
      <c r="X1976">
        <v>3.6</v>
      </c>
      <c r="Y1976" s="2">
        <v>1258286717125</v>
      </c>
      <c r="Z1976">
        <v>40.200000000000003</v>
      </c>
      <c r="AA1976">
        <v>105.8</v>
      </c>
      <c r="AB1976">
        <v>13.1</v>
      </c>
      <c r="AC1976">
        <v>55.1</v>
      </c>
      <c r="AD1976">
        <v>126014024</v>
      </c>
    </row>
    <row r="1977" spans="1:30" hidden="1" x14ac:dyDescent="0.45">
      <c r="A1977">
        <v>1905</v>
      </c>
      <c r="B1977">
        <v>1500</v>
      </c>
      <c r="C1977" t="s">
        <v>23</v>
      </c>
      <c r="D1977" t="s">
        <v>6474</v>
      </c>
      <c r="E1977">
        <v>48</v>
      </c>
      <c r="F1977" t="s">
        <v>577</v>
      </c>
      <c r="G1977" t="s">
        <v>578</v>
      </c>
      <c r="H1977" t="s">
        <v>579</v>
      </c>
      <c r="I1977" t="s">
        <v>23</v>
      </c>
      <c r="J1977" t="s">
        <v>577</v>
      </c>
      <c r="L1977" t="b">
        <v>0</v>
      </c>
      <c r="M1977" t="s">
        <v>611</v>
      </c>
      <c r="N1977" t="s">
        <v>8245</v>
      </c>
      <c r="O1977" s="1">
        <v>27478</v>
      </c>
      <c r="P1977" t="s">
        <v>581</v>
      </c>
      <c r="Q1977" t="s">
        <v>6475</v>
      </c>
      <c r="S1977" s="1">
        <v>45020.209027777775</v>
      </c>
      <c r="V1977">
        <v>1975</v>
      </c>
      <c r="W1977">
        <v>110.51</v>
      </c>
      <c r="X1977">
        <v>1.8</v>
      </c>
      <c r="Y1977" s="2">
        <v>530832908738</v>
      </c>
      <c r="Z1977">
        <v>67</v>
      </c>
      <c r="AA1977">
        <v>126.6</v>
      </c>
      <c r="AB1977">
        <v>27.9</v>
      </c>
      <c r="AC1977">
        <v>49.1</v>
      </c>
      <c r="AD1977">
        <v>10285453</v>
      </c>
    </row>
    <row r="1978" spans="1:30" hidden="1" x14ac:dyDescent="0.45">
      <c r="A1978">
        <v>1905</v>
      </c>
      <c r="B1978">
        <v>1500</v>
      </c>
      <c r="C1978" t="s">
        <v>126</v>
      </c>
      <c r="D1978" t="s">
        <v>6476</v>
      </c>
      <c r="E1978">
        <v>55</v>
      </c>
      <c r="F1978" t="s">
        <v>35</v>
      </c>
      <c r="G1978" t="s">
        <v>6477</v>
      </c>
      <c r="H1978" t="s">
        <v>6478</v>
      </c>
      <c r="I1978" t="s">
        <v>126</v>
      </c>
      <c r="J1978" t="s">
        <v>35</v>
      </c>
      <c r="L1978" t="b">
        <v>1</v>
      </c>
      <c r="M1978" t="s">
        <v>611</v>
      </c>
      <c r="N1978" t="s">
        <v>8245</v>
      </c>
      <c r="O1978" s="1">
        <v>24858</v>
      </c>
      <c r="P1978" t="s">
        <v>6479</v>
      </c>
      <c r="Q1978" t="s">
        <v>858</v>
      </c>
      <c r="S1978" s="1">
        <v>45020.209027777775</v>
      </c>
      <c r="T1978" t="s">
        <v>253</v>
      </c>
      <c r="U1978" t="s">
        <v>44</v>
      </c>
      <c r="V1978">
        <v>1968</v>
      </c>
      <c r="W1978">
        <v>117.24</v>
      </c>
      <c r="X1978">
        <v>7.5</v>
      </c>
      <c r="Y1978" s="2">
        <v>21427700000000</v>
      </c>
      <c r="Z1978">
        <v>88.2</v>
      </c>
      <c r="AA1978">
        <v>101.8</v>
      </c>
      <c r="AB1978">
        <v>9.6</v>
      </c>
      <c r="AC1978">
        <v>36.6</v>
      </c>
      <c r="AD1978">
        <v>328239523</v>
      </c>
    </row>
    <row r="1979" spans="1:30" hidden="1" x14ac:dyDescent="0.45">
      <c r="A1979">
        <v>1905</v>
      </c>
      <c r="B1979">
        <v>1500</v>
      </c>
      <c r="C1979" t="s">
        <v>126</v>
      </c>
      <c r="D1979" t="s">
        <v>6480</v>
      </c>
      <c r="E1979">
        <v>66</v>
      </c>
      <c r="F1979" t="s">
        <v>35</v>
      </c>
      <c r="G1979" t="s">
        <v>355</v>
      </c>
      <c r="H1979" t="s">
        <v>6481</v>
      </c>
      <c r="I1979" t="s">
        <v>126</v>
      </c>
      <c r="J1979" t="s">
        <v>35</v>
      </c>
      <c r="L1979" t="b">
        <v>0</v>
      </c>
      <c r="M1979" t="s">
        <v>29</v>
      </c>
      <c r="N1979" t="s">
        <v>8245</v>
      </c>
      <c r="O1979" s="1">
        <v>20902</v>
      </c>
      <c r="P1979" t="s">
        <v>1492</v>
      </c>
      <c r="Q1979" t="s">
        <v>6482</v>
      </c>
      <c r="S1979" s="1">
        <v>45020.209027777775</v>
      </c>
      <c r="T1979" t="s">
        <v>253</v>
      </c>
      <c r="U1979" t="s">
        <v>44</v>
      </c>
      <c r="V1979">
        <v>1957</v>
      </c>
      <c r="W1979">
        <v>117.24</v>
      </c>
      <c r="X1979">
        <v>7.5</v>
      </c>
      <c r="Y1979" s="2">
        <v>21427700000000</v>
      </c>
      <c r="Z1979">
        <v>88.2</v>
      </c>
      <c r="AA1979">
        <v>101.8</v>
      </c>
      <c r="AB1979">
        <v>9.6</v>
      </c>
      <c r="AC1979">
        <v>36.6</v>
      </c>
      <c r="AD1979">
        <v>328239523</v>
      </c>
    </row>
    <row r="1980" spans="1:30" hidden="1" x14ac:dyDescent="0.45">
      <c r="A1980">
        <v>1905</v>
      </c>
      <c r="B1980">
        <v>1500</v>
      </c>
      <c r="C1980" t="s">
        <v>302</v>
      </c>
      <c r="D1980" t="s">
        <v>6483</v>
      </c>
      <c r="E1980">
        <v>39</v>
      </c>
      <c r="F1980" t="s">
        <v>574</v>
      </c>
      <c r="G1980" t="s">
        <v>574</v>
      </c>
      <c r="H1980" t="s">
        <v>6399</v>
      </c>
      <c r="I1980" t="s">
        <v>302</v>
      </c>
      <c r="J1980" t="s">
        <v>574</v>
      </c>
      <c r="L1980" t="b">
        <v>0</v>
      </c>
      <c r="M1980" t="s">
        <v>285</v>
      </c>
      <c r="N1980" t="s">
        <v>8245</v>
      </c>
      <c r="O1980" s="1">
        <v>30441</v>
      </c>
      <c r="P1980" t="s">
        <v>6484</v>
      </c>
      <c r="Q1980" t="s">
        <v>6485</v>
      </c>
      <c r="S1980" s="1">
        <v>45020.209027777775</v>
      </c>
      <c r="V1980">
        <v>1983</v>
      </c>
      <c r="W1980">
        <v>114.41</v>
      </c>
      <c r="X1980">
        <v>0.6</v>
      </c>
      <c r="Y1980" s="2">
        <v>372062527489</v>
      </c>
      <c r="Z1980">
        <v>84.8</v>
      </c>
      <c r="AA1980">
        <v>100.6</v>
      </c>
      <c r="AB1980">
        <v>13.1</v>
      </c>
      <c r="AC1980">
        <v>21</v>
      </c>
      <c r="AD1980">
        <v>5703569</v>
      </c>
    </row>
    <row r="1981" spans="1:30" hidden="1" x14ac:dyDescent="0.45">
      <c r="A1981">
        <v>1905</v>
      </c>
      <c r="B1981">
        <v>1500</v>
      </c>
      <c r="C1981" t="s">
        <v>61</v>
      </c>
      <c r="D1981" t="s">
        <v>6486</v>
      </c>
      <c r="E1981">
        <v>63</v>
      </c>
      <c r="F1981" t="s">
        <v>6463</v>
      </c>
      <c r="G1981" t="s">
        <v>6487</v>
      </c>
      <c r="H1981" t="s">
        <v>1839</v>
      </c>
      <c r="I1981" t="s">
        <v>61</v>
      </c>
      <c r="J1981" t="s">
        <v>6463</v>
      </c>
      <c r="L1981" t="b">
        <v>0</v>
      </c>
      <c r="M1981" t="s">
        <v>285</v>
      </c>
      <c r="N1981" t="s">
        <v>8245</v>
      </c>
      <c r="O1981" s="1">
        <v>21651</v>
      </c>
      <c r="P1981" t="s">
        <v>6488</v>
      </c>
      <c r="Q1981" t="s">
        <v>89</v>
      </c>
      <c r="S1981" s="1">
        <v>45020.209027777775</v>
      </c>
      <c r="V1981">
        <v>1959</v>
      </c>
      <c r="W1981">
        <v>129.78</v>
      </c>
      <c r="X1981">
        <v>2.1</v>
      </c>
      <c r="Y1981" s="2">
        <v>226848050820</v>
      </c>
      <c r="Z1981">
        <v>70.7</v>
      </c>
      <c r="AA1981">
        <v>106.9</v>
      </c>
      <c r="AB1981">
        <v>14.3</v>
      </c>
      <c r="AC1981">
        <v>36.799999999999997</v>
      </c>
      <c r="AD1981">
        <v>32510453</v>
      </c>
    </row>
    <row r="1982" spans="1:30" hidden="1" x14ac:dyDescent="0.45">
      <c r="A1982">
        <v>1905</v>
      </c>
      <c r="B1982">
        <v>1500</v>
      </c>
      <c r="C1982" t="s">
        <v>61</v>
      </c>
      <c r="D1982" t="s">
        <v>6489</v>
      </c>
      <c r="E1982">
        <v>52</v>
      </c>
      <c r="F1982" t="s">
        <v>272</v>
      </c>
      <c r="G1982" t="s">
        <v>273</v>
      </c>
      <c r="H1982" t="s">
        <v>1513</v>
      </c>
      <c r="I1982" t="s">
        <v>61</v>
      </c>
      <c r="J1982" t="s">
        <v>272</v>
      </c>
      <c r="K1982" t="s">
        <v>6490</v>
      </c>
      <c r="L1982" t="b">
        <v>1</v>
      </c>
      <c r="M1982" t="s">
        <v>611</v>
      </c>
      <c r="N1982" t="s">
        <v>8245</v>
      </c>
      <c r="O1982" s="1">
        <v>25832</v>
      </c>
      <c r="P1982" t="s">
        <v>6491</v>
      </c>
      <c r="Q1982" t="s">
        <v>1585</v>
      </c>
      <c r="R1982" t="s">
        <v>6492</v>
      </c>
      <c r="S1982" s="1">
        <v>45020.209027777775</v>
      </c>
      <c r="V1982">
        <v>1970</v>
      </c>
      <c r="W1982">
        <v>119.62</v>
      </c>
      <c r="X1982">
        <v>1.7</v>
      </c>
      <c r="Y1982" s="2">
        <v>2827113184696</v>
      </c>
      <c r="Z1982">
        <v>60</v>
      </c>
      <c r="AA1982">
        <v>101.2</v>
      </c>
      <c r="AB1982">
        <v>25.5</v>
      </c>
      <c r="AC1982">
        <v>30.6</v>
      </c>
      <c r="AD1982">
        <v>66834405</v>
      </c>
    </row>
    <row r="1983" spans="1:30" hidden="1" x14ac:dyDescent="0.45">
      <c r="A1983">
        <v>1905</v>
      </c>
      <c r="B1983">
        <v>1500</v>
      </c>
      <c r="C1983" t="s">
        <v>436</v>
      </c>
      <c r="D1983" t="s">
        <v>6493</v>
      </c>
      <c r="E1983">
        <v>56</v>
      </c>
      <c r="F1983" t="s">
        <v>35</v>
      </c>
      <c r="G1983" t="s">
        <v>2579</v>
      </c>
      <c r="H1983" t="s">
        <v>6494</v>
      </c>
      <c r="I1983" t="s">
        <v>436</v>
      </c>
      <c r="J1983" t="s">
        <v>35</v>
      </c>
      <c r="L1983" t="b">
        <v>1</v>
      </c>
      <c r="M1983" t="s">
        <v>258</v>
      </c>
      <c r="N1983" t="s">
        <v>8245</v>
      </c>
      <c r="O1983" s="1">
        <v>24479</v>
      </c>
      <c r="P1983" t="s">
        <v>6495</v>
      </c>
      <c r="Q1983" t="s">
        <v>225</v>
      </c>
      <c r="S1983" s="1">
        <v>45020.209027777775</v>
      </c>
      <c r="T1983" t="s">
        <v>253</v>
      </c>
      <c r="U1983" t="s">
        <v>44</v>
      </c>
      <c r="V1983">
        <v>1967</v>
      </c>
      <c r="W1983">
        <v>117.24</v>
      </c>
      <c r="X1983">
        <v>7.5</v>
      </c>
      <c r="Y1983" s="2">
        <v>21427700000000</v>
      </c>
      <c r="Z1983">
        <v>88.2</v>
      </c>
      <c r="AA1983">
        <v>101.8</v>
      </c>
      <c r="AB1983">
        <v>9.6</v>
      </c>
      <c r="AC1983">
        <v>36.6</v>
      </c>
      <c r="AD1983">
        <v>328239523</v>
      </c>
    </row>
    <row r="1984" spans="1:30" x14ac:dyDescent="0.45">
      <c r="A1984">
        <v>1905</v>
      </c>
      <c r="B1984" s="6">
        <v>1500</v>
      </c>
      <c r="C1984" t="s">
        <v>45</v>
      </c>
      <c r="D1984" t="s">
        <v>6496</v>
      </c>
      <c r="E1984">
        <v>53</v>
      </c>
      <c r="F1984" t="s">
        <v>35</v>
      </c>
      <c r="G1984" t="s">
        <v>4881</v>
      </c>
      <c r="H1984" t="s">
        <v>134</v>
      </c>
      <c r="I1984" t="s">
        <v>45</v>
      </c>
      <c r="J1984" t="s">
        <v>35</v>
      </c>
      <c r="K1984" t="s">
        <v>135</v>
      </c>
      <c r="L1984" t="b">
        <v>1</v>
      </c>
      <c r="M1984" t="s">
        <v>39</v>
      </c>
      <c r="N1984" t="s">
        <v>8246</v>
      </c>
      <c r="O1984" s="10">
        <v>25443</v>
      </c>
      <c r="P1984" t="s">
        <v>6497</v>
      </c>
      <c r="Q1984" t="s">
        <v>6498</v>
      </c>
      <c r="R1984" t="s">
        <v>1632</v>
      </c>
      <c r="S1984" s="8">
        <v>45020.209027777775</v>
      </c>
      <c r="T1984" t="s">
        <v>115</v>
      </c>
      <c r="U1984" t="s">
        <v>53</v>
      </c>
      <c r="V1984">
        <v>1969</v>
      </c>
      <c r="W1984" s="12">
        <v>117.24</v>
      </c>
      <c r="X1984">
        <v>7.5</v>
      </c>
      <c r="Y1984" s="14">
        <v>21427700000000</v>
      </c>
      <c r="Z1984">
        <v>88.2</v>
      </c>
      <c r="AA1984">
        <v>101.8</v>
      </c>
      <c r="AB1984">
        <v>9.6</v>
      </c>
      <c r="AC1984">
        <v>36.6</v>
      </c>
      <c r="AD1984">
        <v>328239523</v>
      </c>
    </row>
    <row r="1985" spans="1:30" hidden="1" x14ac:dyDescent="0.45">
      <c r="A1985">
        <v>1905</v>
      </c>
      <c r="B1985">
        <v>1500</v>
      </c>
      <c r="C1985" t="s">
        <v>33</v>
      </c>
      <c r="D1985" t="s">
        <v>6499</v>
      </c>
      <c r="E1985">
        <v>62</v>
      </c>
      <c r="F1985" t="s">
        <v>490</v>
      </c>
      <c r="G1985" t="s">
        <v>6500</v>
      </c>
      <c r="H1985" t="s">
        <v>6501</v>
      </c>
      <c r="I1985" t="s">
        <v>33</v>
      </c>
      <c r="J1985" t="s">
        <v>490</v>
      </c>
      <c r="L1985" t="b">
        <v>1</v>
      </c>
      <c r="M1985" t="s">
        <v>611</v>
      </c>
      <c r="N1985" t="s">
        <v>8245</v>
      </c>
      <c r="O1985" s="1">
        <v>22062</v>
      </c>
      <c r="P1985" t="s">
        <v>6502</v>
      </c>
      <c r="Q1985" t="s">
        <v>6503</v>
      </c>
      <c r="S1985" s="1">
        <v>45020.209027777775</v>
      </c>
      <c r="V1985">
        <v>1960</v>
      </c>
      <c r="W1985">
        <v>108.15</v>
      </c>
      <c r="X1985">
        <v>0.8</v>
      </c>
      <c r="Y1985" s="2">
        <v>395098666122</v>
      </c>
      <c r="Z1985">
        <v>63.4</v>
      </c>
      <c r="AA1985">
        <v>104.9</v>
      </c>
      <c r="AB1985">
        <v>23.1</v>
      </c>
      <c r="AC1985">
        <v>25.3</v>
      </c>
      <c r="AD1985">
        <v>9053300</v>
      </c>
    </row>
    <row r="1986" spans="1:30" x14ac:dyDescent="0.45">
      <c r="A1986">
        <v>1905</v>
      </c>
      <c r="B1986" s="6">
        <v>1500</v>
      </c>
      <c r="C1986" t="s">
        <v>76</v>
      </c>
      <c r="D1986" t="s">
        <v>6504</v>
      </c>
      <c r="E1986">
        <v>40</v>
      </c>
      <c r="F1986" t="s">
        <v>35</v>
      </c>
      <c r="G1986" t="s">
        <v>991</v>
      </c>
      <c r="H1986" t="s">
        <v>6505</v>
      </c>
      <c r="I1986" t="s">
        <v>76</v>
      </c>
      <c r="J1986" t="s">
        <v>35</v>
      </c>
      <c r="K1986" t="s">
        <v>6506</v>
      </c>
      <c r="L1986" t="b">
        <v>1</v>
      </c>
      <c r="M1986" t="s">
        <v>29</v>
      </c>
      <c r="N1986" t="s">
        <v>8245</v>
      </c>
      <c r="O1986" s="10">
        <v>30146</v>
      </c>
      <c r="P1986" t="s">
        <v>6507</v>
      </c>
      <c r="Q1986" t="s">
        <v>2714</v>
      </c>
      <c r="R1986" t="s">
        <v>138</v>
      </c>
      <c r="S1986" s="8">
        <v>45020.209027777775</v>
      </c>
      <c r="T1986" t="s">
        <v>115</v>
      </c>
      <c r="U1986" t="s">
        <v>53</v>
      </c>
      <c r="V1986">
        <v>1982</v>
      </c>
      <c r="W1986" s="12">
        <v>117.24</v>
      </c>
      <c r="X1986">
        <v>7.5</v>
      </c>
      <c r="Y1986" s="14">
        <v>21427700000000</v>
      </c>
      <c r="Z1986">
        <v>88.2</v>
      </c>
      <c r="AA1986">
        <v>101.8</v>
      </c>
      <c r="AB1986">
        <v>9.6</v>
      </c>
      <c r="AC1986">
        <v>36.6</v>
      </c>
      <c r="AD1986">
        <v>328239523</v>
      </c>
    </row>
    <row r="1987" spans="1:30" hidden="1" x14ac:dyDescent="0.45">
      <c r="A1987">
        <v>1905</v>
      </c>
      <c r="B1987">
        <v>1500</v>
      </c>
      <c r="C1987" t="s">
        <v>23</v>
      </c>
      <c r="D1987" t="s">
        <v>6508</v>
      </c>
      <c r="E1987">
        <v>64</v>
      </c>
      <c r="F1987" t="s">
        <v>574</v>
      </c>
      <c r="G1987" t="s">
        <v>574</v>
      </c>
      <c r="H1987" t="s">
        <v>6509</v>
      </c>
      <c r="I1987" t="s">
        <v>23</v>
      </c>
      <c r="J1987" t="s">
        <v>574</v>
      </c>
      <c r="L1987" t="b">
        <v>1</v>
      </c>
      <c r="M1987" t="s">
        <v>29</v>
      </c>
      <c r="N1987" t="s">
        <v>8245</v>
      </c>
      <c r="O1987" s="1">
        <v>21520</v>
      </c>
      <c r="P1987" t="s">
        <v>6510</v>
      </c>
      <c r="Q1987" t="s">
        <v>2160</v>
      </c>
      <c r="S1987" s="1">
        <v>45020.209027777775</v>
      </c>
      <c r="V1987">
        <v>1958</v>
      </c>
      <c r="W1987">
        <v>114.41</v>
      </c>
      <c r="X1987">
        <v>0.6</v>
      </c>
      <c r="Y1987" s="2">
        <v>372062527489</v>
      </c>
      <c r="Z1987">
        <v>84.8</v>
      </c>
      <c r="AA1987">
        <v>100.6</v>
      </c>
      <c r="AB1987">
        <v>13.1</v>
      </c>
      <c r="AC1987">
        <v>21</v>
      </c>
      <c r="AD1987">
        <v>5703569</v>
      </c>
    </row>
    <row r="1988" spans="1:30" hidden="1" x14ac:dyDescent="0.45">
      <c r="A1988">
        <v>1905</v>
      </c>
      <c r="B1988">
        <v>1500</v>
      </c>
      <c r="C1988" t="s">
        <v>61</v>
      </c>
      <c r="D1988" t="s">
        <v>6511</v>
      </c>
      <c r="E1988">
        <v>73</v>
      </c>
      <c r="F1988" t="s">
        <v>363</v>
      </c>
      <c r="G1988" t="s">
        <v>381</v>
      </c>
      <c r="H1988" t="s">
        <v>317</v>
      </c>
      <c r="I1988" t="s">
        <v>61</v>
      </c>
      <c r="J1988" t="s">
        <v>363</v>
      </c>
      <c r="L1988" t="b">
        <v>1</v>
      </c>
      <c r="M1988" t="s">
        <v>1332</v>
      </c>
      <c r="N1988" t="s">
        <v>8245</v>
      </c>
      <c r="O1988" s="1">
        <v>18098</v>
      </c>
      <c r="P1988" t="s">
        <v>6512</v>
      </c>
      <c r="Q1988" t="s">
        <v>431</v>
      </c>
      <c r="S1988" s="1">
        <v>45020.209027777775</v>
      </c>
      <c r="V1988">
        <v>1949</v>
      </c>
      <c r="W1988">
        <v>180.75</v>
      </c>
      <c r="X1988">
        <v>4.5</v>
      </c>
      <c r="Y1988" s="2">
        <v>1699876578871</v>
      </c>
      <c r="Z1988">
        <v>81.900000000000006</v>
      </c>
      <c r="AA1988">
        <v>102.6</v>
      </c>
      <c r="AB1988">
        <v>11.4</v>
      </c>
      <c r="AC1988">
        <v>46.2</v>
      </c>
      <c r="AD1988">
        <v>144373535</v>
      </c>
    </row>
    <row r="1989" spans="1:30" hidden="1" x14ac:dyDescent="0.45">
      <c r="A1989">
        <v>1905</v>
      </c>
      <c r="B1989">
        <v>1500</v>
      </c>
      <c r="C1989" t="s">
        <v>402</v>
      </c>
      <c r="D1989" t="s">
        <v>6513</v>
      </c>
      <c r="E1989">
        <v>82</v>
      </c>
      <c r="F1989" t="s">
        <v>93</v>
      </c>
      <c r="G1989" t="s">
        <v>94</v>
      </c>
      <c r="H1989" t="s">
        <v>610</v>
      </c>
      <c r="I1989" t="s">
        <v>402</v>
      </c>
      <c r="J1989" t="s">
        <v>93</v>
      </c>
      <c r="L1989" t="b">
        <v>1</v>
      </c>
      <c r="M1989" t="s">
        <v>39</v>
      </c>
      <c r="N1989" t="s">
        <v>8245</v>
      </c>
      <c r="O1989" s="1">
        <v>14935</v>
      </c>
      <c r="P1989" t="s">
        <v>1173</v>
      </c>
      <c r="Q1989" t="s">
        <v>6514</v>
      </c>
      <c r="S1989" s="1">
        <v>45020.209027777775</v>
      </c>
      <c r="V1989">
        <v>1940</v>
      </c>
      <c r="W1989">
        <v>180.44</v>
      </c>
      <c r="X1989">
        <v>7.7</v>
      </c>
      <c r="Y1989" s="2">
        <v>2611000000000</v>
      </c>
      <c r="Z1989">
        <v>28.1</v>
      </c>
      <c r="AA1989">
        <v>113</v>
      </c>
      <c r="AB1989">
        <v>11.2</v>
      </c>
      <c r="AC1989">
        <v>49.7</v>
      </c>
      <c r="AD1989">
        <v>1366417754</v>
      </c>
    </row>
    <row r="1990" spans="1:30" hidden="1" x14ac:dyDescent="0.45">
      <c r="A1990">
        <v>1905</v>
      </c>
      <c r="B1990">
        <v>1500</v>
      </c>
      <c r="C1990" t="s">
        <v>45</v>
      </c>
      <c r="D1990" t="s">
        <v>6515</v>
      </c>
      <c r="E1990">
        <v>64</v>
      </c>
      <c r="F1990" t="s">
        <v>35</v>
      </c>
      <c r="G1990" t="s">
        <v>3132</v>
      </c>
      <c r="H1990" t="s">
        <v>856</v>
      </c>
      <c r="I1990" t="s">
        <v>45</v>
      </c>
      <c r="J1990" t="s">
        <v>35</v>
      </c>
      <c r="L1990" t="b">
        <v>1</v>
      </c>
      <c r="M1990" t="s">
        <v>39</v>
      </c>
      <c r="N1990" t="s">
        <v>8245</v>
      </c>
      <c r="O1990" s="1">
        <v>21461</v>
      </c>
      <c r="P1990" t="s">
        <v>6516</v>
      </c>
      <c r="Q1990" t="s">
        <v>1817</v>
      </c>
      <c r="S1990" s="1">
        <v>45020.209027777775</v>
      </c>
      <c r="T1990" t="s">
        <v>115</v>
      </c>
      <c r="U1990" t="s">
        <v>53</v>
      </c>
      <c r="V1990">
        <v>1958</v>
      </c>
      <c r="W1990">
        <v>117.24</v>
      </c>
      <c r="X1990">
        <v>7.5</v>
      </c>
      <c r="Y1990" s="2">
        <v>21427700000000</v>
      </c>
      <c r="Z1990">
        <v>88.2</v>
      </c>
      <c r="AA1990">
        <v>101.8</v>
      </c>
      <c r="AB1990">
        <v>9.6</v>
      </c>
      <c r="AC1990">
        <v>36.6</v>
      </c>
      <c r="AD1990">
        <v>328239523</v>
      </c>
    </row>
    <row r="1991" spans="1:30" hidden="1" x14ac:dyDescent="0.45">
      <c r="A1991">
        <v>1905</v>
      </c>
      <c r="B1991">
        <v>1500</v>
      </c>
      <c r="C1991" t="s">
        <v>302</v>
      </c>
      <c r="D1991" t="s">
        <v>6517</v>
      </c>
      <c r="E1991">
        <v>79</v>
      </c>
      <c r="F1991" t="s">
        <v>328</v>
      </c>
      <c r="G1991" t="s">
        <v>6518</v>
      </c>
      <c r="H1991" t="s">
        <v>6519</v>
      </c>
      <c r="I1991" t="s">
        <v>302</v>
      </c>
      <c r="J1991" t="s">
        <v>328</v>
      </c>
      <c r="L1991" t="b">
        <v>1</v>
      </c>
      <c r="M1991" t="s">
        <v>29</v>
      </c>
      <c r="N1991" t="s">
        <v>8245</v>
      </c>
      <c r="O1991" s="1">
        <v>16063</v>
      </c>
      <c r="P1991" t="s">
        <v>6520</v>
      </c>
      <c r="Q1991" t="s">
        <v>1403</v>
      </c>
      <c r="S1991" s="1">
        <v>45020.209027777775</v>
      </c>
      <c r="V1991">
        <v>1943</v>
      </c>
      <c r="W1991">
        <v>119.8</v>
      </c>
      <c r="X1991">
        <v>1.6</v>
      </c>
      <c r="Y1991" s="2">
        <v>1392680589329</v>
      </c>
      <c r="Z1991">
        <v>113.1</v>
      </c>
      <c r="AA1991">
        <v>100.3</v>
      </c>
      <c r="AB1991">
        <v>23</v>
      </c>
      <c r="AC1991">
        <v>47.4</v>
      </c>
      <c r="AD1991">
        <v>25766605</v>
      </c>
    </row>
    <row r="1992" spans="1:30" hidden="1" x14ac:dyDescent="0.45">
      <c r="A1992">
        <v>1905</v>
      </c>
      <c r="B1992">
        <v>1500</v>
      </c>
      <c r="C1992" t="s">
        <v>302</v>
      </c>
      <c r="D1992" t="s">
        <v>6521</v>
      </c>
      <c r="E1992">
        <v>72</v>
      </c>
      <c r="F1992" t="s">
        <v>35</v>
      </c>
      <c r="G1992" t="s">
        <v>6522</v>
      </c>
      <c r="H1992" t="s">
        <v>304</v>
      </c>
      <c r="I1992" t="s">
        <v>302</v>
      </c>
      <c r="J1992" t="s">
        <v>35</v>
      </c>
      <c r="L1992" t="b">
        <v>1</v>
      </c>
      <c r="M1992" t="s">
        <v>29</v>
      </c>
      <c r="N1992" t="s">
        <v>8245</v>
      </c>
      <c r="O1992" s="1">
        <v>18581</v>
      </c>
      <c r="P1992" t="s">
        <v>6523</v>
      </c>
      <c r="Q1992" t="s">
        <v>6524</v>
      </c>
      <c r="S1992" s="1">
        <v>45020.209027777775</v>
      </c>
      <c r="T1992" t="s">
        <v>78</v>
      </c>
      <c r="U1992" t="s">
        <v>82</v>
      </c>
      <c r="V1992">
        <v>1950</v>
      </c>
      <c r="W1992">
        <v>117.24</v>
      </c>
      <c r="X1992">
        <v>7.5</v>
      </c>
      <c r="Y1992" s="2">
        <v>21427700000000</v>
      </c>
      <c r="Z1992">
        <v>88.2</v>
      </c>
      <c r="AA1992">
        <v>101.8</v>
      </c>
      <c r="AB1992">
        <v>9.6</v>
      </c>
      <c r="AC1992">
        <v>36.6</v>
      </c>
      <c r="AD1992">
        <v>328239523</v>
      </c>
    </row>
    <row r="1993" spans="1:30" hidden="1" x14ac:dyDescent="0.45">
      <c r="A1993">
        <v>1905</v>
      </c>
      <c r="B1993">
        <v>1500</v>
      </c>
      <c r="C1993" t="s">
        <v>61</v>
      </c>
      <c r="D1993" t="s">
        <v>6525</v>
      </c>
      <c r="E1993">
        <v>65</v>
      </c>
      <c r="F1993" t="s">
        <v>35</v>
      </c>
      <c r="G1993" t="s">
        <v>991</v>
      </c>
      <c r="H1993" t="s">
        <v>248</v>
      </c>
      <c r="I1993" t="s">
        <v>61</v>
      </c>
      <c r="J1993" t="s">
        <v>35</v>
      </c>
      <c r="L1993" t="b">
        <v>1</v>
      </c>
      <c r="M1993" t="s">
        <v>611</v>
      </c>
      <c r="N1993" t="s">
        <v>8245</v>
      </c>
      <c r="O1993" s="1">
        <v>20998</v>
      </c>
      <c r="P1993" t="s">
        <v>6526</v>
      </c>
      <c r="Q1993" t="s">
        <v>358</v>
      </c>
      <c r="S1993" s="1">
        <v>45020.209027777775</v>
      </c>
      <c r="T1993" t="s">
        <v>115</v>
      </c>
      <c r="U1993" t="s">
        <v>53</v>
      </c>
      <c r="V1993">
        <v>1957</v>
      </c>
      <c r="W1993">
        <v>117.24</v>
      </c>
      <c r="X1993">
        <v>7.5</v>
      </c>
      <c r="Y1993" s="2">
        <v>21427700000000</v>
      </c>
      <c r="Z1993">
        <v>88.2</v>
      </c>
      <c r="AA1993">
        <v>101.8</v>
      </c>
      <c r="AB1993">
        <v>9.6</v>
      </c>
      <c r="AC1993">
        <v>36.6</v>
      </c>
      <c r="AD1993">
        <v>328239523</v>
      </c>
    </row>
    <row r="1994" spans="1:30" hidden="1" x14ac:dyDescent="0.45">
      <c r="A1994">
        <v>1905</v>
      </c>
      <c r="B1994">
        <v>1500</v>
      </c>
      <c r="C1994" t="s">
        <v>23</v>
      </c>
      <c r="D1994" t="s">
        <v>6527</v>
      </c>
      <c r="E1994">
        <v>56</v>
      </c>
      <c r="F1994" t="s">
        <v>363</v>
      </c>
      <c r="G1994" t="s">
        <v>381</v>
      </c>
      <c r="H1994" t="s">
        <v>6528</v>
      </c>
      <c r="I1994" t="s">
        <v>23</v>
      </c>
      <c r="J1994" t="s">
        <v>363</v>
      </c>
      <c r="L1994" t="b">
        <v>1</v>
      </c>
      <c r="M1994" t="s">
        <v>1332</v>
      </c>
      <c r="N1994" t="s">
        <v>8245</v>
      </c>
      <c r="O1994" s="1">
        <v>24555</v>
      </c>
      <c r="P1994" t="s">
        <v>6529</v>
      </c>
      <c r="Q1994" t="s">
        <v>3423</v>
      </c>
      <c r="S1994" s="1">
        <v>45020.209027777775</v>
      </c>
      <c r="V1994">
        <v>1967</v>
      </c>
      <c r="W1994">
        <v>180.75</v>
      </c>
      <c r="X1994">
        <v>4.5</v>
      </c>
      <c r="Y1994" s="2">
        <v>1699876578871</v>
      </c>
      <c r="Z1994">
        <v>81.900000000000006</v>
      </c>
      <c r="AA1994">
        <v>102.6</v>
      </c>
      <c r="AB1994">
        <v>11.4</v>
      </c>
      <c r="AC1994">
        <v>46.2</v>
      </c>
      <c r="AD1994">
        <v>144373535</v>
      </c>
    </row>
    <row r="1995" spans="1:30" hidden="1" x14ac:dyDescent="0.45">
      <c r="A1995">
        <v>1905</v>
      </c>
      <c r="B1995">
        <v>1500</v>
      </c>
      <c r="C1995" t="s">
        <v>302</v>
      </c>
      <c r="D1995" t="s">
        <v>6530</v>
      </c>
      <c r="E1995">
        <v>74</v>
      </c>
      <c r="F1995" t="s">
        <v>128</v>
      </c>
      <c r="G1995" t="s">
        <v>4232</v>
      </c>
      <c r="H1995" t="s">
        <v>6531</v>
      </c>
      <c r="I1995" t="s">
        <v>302</v>
      </c>
      <c r="J1995" t="s">
        <v>128</v>
      </c>
      <c r="L1995" t="b">
        <v>1</v>
      </c>
      <c r="M1995" t="s">
        <v>39</v>
      </c>
      <c r="N1995" t="s">
        <v>8246</v>
      </c>
      <c r="O1995" s="1">
        <v>17861</v>
      </c>
      <c r="P1995" t="s">
        <v>2922</v>
      </c>
      <c r="Q1995" t="s">
        <v>6532</v>
      </c>
      <c r="S1995" s="1">
        <v>45020.209027777775</v>
      </c>
      <c r="V1995">
        <v>1948</v>
      </c>
      <c r="W1995">
        <v>125.08</v>
      </c>
      <c r="X1995">
        <v>2.9</v>
      </c>
      <c r="Y1995" s="2">
        <v>19910000000000</v>
      </c>
      <c r="Z1995">
        <v>50.6</v>
      </c>
      <c r="AA1995">
        <v>100.2</v>
      </c>
      <c r="AB1995">
        <v>9.4</v>
      </c>
      <c r="AC1995">
        <v>59.2</v>
      </c>
      <c r="AD1995">
        <v>1397715000</v>
      </c>
    </row>
    <row r="1996" spans="1:30" x14ac:dyDescent="0.45">
      <c r="A1996">
        <v>1905</v>
      </c>
      <c r="B1996" s="6">
        <v>1500</v>
      </c>
      <c r="C1996" t="s">
        <v>45</v>
      </c>
      <c r="D1996" t="s">
        <v>6533</v>
      </c>
      <c r="E1996">
        <v>39</v>
      </c>
      <c r="F1996" t="s">
        <v>35</v>
      </c>
      <c r="G1996" t="s">
        <v>991</v>
      </c>
      <c r="H1996" t="s">
        <v>6534</v>
      </c>
      <c r="I1996" t="s">
        <v>45</v>
      </c>
      <c r="J1996" t="s">
        <v>35</v>
      </c>
      <c r="K1996" t="s">
        <v>6534</v>
      </c>
      <c r="L1996" t="b">
        <v>1</v>
      </c>
      <c r="M1996" t="s">
        <v>611</v>
      </c>
      <c r="N1996" t="s">
        <v>8245</v>
      </c>
      <c r="O1996" s="10">
        <v>30680</v>
      </c>
      <c r="P1996" t="s">
        <v>6535</v>
      </c>
      <c r="Q1996" t="s">
        <v>6536</v>
      </c>
      <c r="R1996" t="s">
        <v>138</v>
      </c>
      <c r="S1996" s="8">
        <v>45020.209027777775</v>
      </c>
      <c r="T1996" t="s">
        <v>115</v>
      </c>
      <c r="U1996" t="s">
        <v>53</v>
      </c>
      <c r="V1996">
        <v>1983</v>
      </c>
      <c r="W1996" s="12">
        <v>117.24</v>
      </c>
      <c r="X1996">
        <v>7.5</v>
      </c>
      <c r="Y1996" s="14">
        <v>21427700000000</v>
      </c>
      <c r="Z1996">
        <v>88.2</v>
      </c>
      <c r="AA1996">
        <v>101.8</v>
      </c>
      <c r="AB1996">
        <v>9.6</v>
      </c>
      <c r="AC1996">
        <v>36.6</v>
      </c>
      <c r="AD1996">
        <v>328239523</v>
      </c>
    </row>
    <row r="1997" spans="1:30" hidden="1" x14ac:dyDescent="0.45">
      <c r="A1997">
        <v>1905</v>
      </c>
      <c r="B1997">
        <v>1500</v>
      </c>
      <c r="C1997" t="s">
        <v>126</v>
      </c>
      <c r="D1997" t="s">
        <v>6537</v>
      </c>
      <c r="F1997" t="s">
        <v>128</v>
      </c>
      <c r="G1997" t="s">
        <v>719</v>
      </c>
      <c r="H1997" t="s">
        <v>6538</v>
      </c>
      <c r="I1997" t="s">
        <v>126</v>
      </c>
      <c r="J1997" t="s">
        <v>128</v>
      </c>
      <c r="L1997" t="b">
        <v>1</v>
      </c>
      <c r="M1997" t="s">
        <v>39</v>
      </c>
      <c r="N1997" t="s">
        <v>8246</v>
      </c>
      <c r="O1997"/>
      <c r="P1997" t="s">
        <v>4458</v>
      </c>
      <c r="Q1997" t="s">
        <v>6257</v>
      </c>
      <c r="S1997" s="1">
        <v>45020.209027777775</v>
      </c>
      <c r="W1997">
        <v>125.08</v>
      </c>
      <c r="X1997">
        <v>2.9</v>
      </c>
      <c r="Y1997" s="2">
        <v>19910000000000</v>
      </c>
      <c r="Z1997">
        <v>50.6</v>
      </c>
      <c r="AA1997">
        <v>100.2</v>
      </c>
      <c r="AB1997">
        <v>9.4</v>
      </c>
      <c r="AC1997">
        <v>59.2</v>
      </c>
      <c r="AD1997">
        <v>1397715000</v>
      </c>
    </row>
    <row r="1998" spans="1:30" hidden="1" x14ac:dyDescent="0.45">
      <c r="A1998">
        <v>1905</v>
      </c>
      <c r="B1998">
        <v>1500</v>
      </c>
      <c r="C1998" t="s">
        <v>126</v>
      </c>
      <c r="D1998" t="s">
        <v>6539</v>
      </c>
      <c r="E1998">
        <v>40</v>
      </c>
      <c r="F1998" t="s">
        <v>128</v>
      </c>
      <c r="G1998" t="s">
        <v>187</v>
      </c>
      <c r="H1998" t="s">
        <v>1426</v>
      </c>
      <c r="I1998" t="s">
        <v>126</v>
      </c>
      <c r="J1998" t="s">
        <v>128</v>
      </c>
      <c r="L1998" t="b">
        <v>1</v>
      </c>
      <c r="M1998" t="s">
        <v>611</v>
      </c>
      <c r="N1998" t="s">
        <v>8245</v>
      </c>
      <c r="O1998" s="1">
        <v>30297</v>
      </c>
      <c r="P1998" t="s">
        <v>4708</v>
      </c>
      <c r="Q1998" t="s">
        <v>6540</v>
      </c>
      <c r="S1998" s="1">
        <v>45020.209027777775</v>
      </c>
      <c r="V1998">
        <v>1982</v>
      </c>
      <c r="W1998">
        <v>125.08</v>
      </c>
      <c r="X1998">
        <v>2.9</v>
      </c>
      <c r="Y1998" s="2">
        <v>19910000000000</v>
      </c>
      <c r="Z1998">
        <v>50.6</v>
      </c>
      <c r="AA1998">
        <v>100.2</v>
      </c>
      <c r="AB1998">
        <v>9.4</v>
      </c>
      <c r="AC1998">
        <v>59.2</v>
      </c>
      <c r="AD1998">
        <v>1397715000</v>
      </c>
    </row>
    <row r="1999" spans="1:30" hidden="1" x14ac:dyDescent="0.45">
      <c r="A1999">
        <v>1905</v>
      </c>
      <c r="B1999">
        <v>1500</v>
      </c>
      <c r="C1999" t="s">
        <v>45</v>
      </c>
      <c r="D1999" t="s">
        <v>6541</v>
      </c>
      <c r="F1999" t="s">
        <v>128</v>
      </c>
      <c r="G1999" t="s">
        <v>292</v>
      </c>
      <c r="H1999" t="s">
        <v>442</v>
      </c>
      <c r="I1999" t="s">
        <v>45</v>
      </c>
      <c r="J1999" t="s">
        <v>128</v>
      </c>
      <c r="L1999" t="b">
        <v>1</v>
      </c>
      <c r="M1999" t="s">
        <v>258</v>
      </c>
      <c r="N1999" t="s">
        <v>8245</v>
      </c>
      <c r="O1999"/>
      <c r="P1999" t="s">
        <v>4708</v>
      </c>
      <c r="Q1999" t="s">
        <v>6542</v>
      </c>
      <c r="S1999" s="1">
        <v>45020.209027777775</v>
      </c>
      <c r="W1999">
        <v>125.08</v>
      </c>
      <c r="X1999">
        <v>2.9</v>
      </c>
      <c r="Y1999" s="2">
        <v>19910000000000</v>
      </c>
      <c r="Z1999">
        <v>50.6</v>
      </c>
      <c r="AA1999">
        <v>100.2</v>
      </c>
      <c r="AB1999">
        <v>9.4</v>
      </c>
      <c r="AC1999">
        <v>59.2</v>
      </c>
      <c r="AD1999">
        <v>1397715000</v>
      </c>
    </row>
    <row r="2000" spans="1:30" hidden="1" x14ac:dyDescent="0.45">
      <c r="A2000">
        <v>1905</v>
      </c>
      <c r="B2000">
        <v>1500</v>
      </c>
      <c r="C2000" t="s">
        <v>296</v>
      </c>
      <c r="D2000" t="s">
        <v>6543</v>
      </c>
      <c r="E2000">
        <v>79</v>
      </c>
      <c r="F2000" t="s">
        <v>628</v>
      </c>
      <c r="G2000" t="s">
        <v>629</v>
      </c>
      <c r="H2000" t="s">
        <v>659</v>
      </c>
      <c r="I2000" t="s">
        <v>296</v>
      </c>
      <c r="J2000" t="s">
        <v>628</v>
      </c>
      <c r="L2000" t="b">
        <v>1</v>
      </c>
      <c r="M2000" t="s">
        <v>29</v>
      </c>
      <c r="N2000" t="s">
        <v>8245</v>
      </c>
      <c r="O2000" s="1">
        <v>16157</v>
      </c>
      <c r="P2000" t="s">
        <v>6544</v>
      </c>
      <c r="Q2000" t="s">
        <v>6545</v>
      </c>
      <c r="S2000" s="1">
        <v>45020.209027777775</v>
      </c>
      <c r="V2000">
        <v>1944</v>
      </c>
      <c r="W2000">
        <v>113.27</v>
      </c>
      <c r="X2000">
        <v>0.7</v>
      </c>
      <c r="Y2000" s="2">
        <v>543649976166</v>
      </c>
      <c r="Z2000">
        <v>49.3</v>
      </c>
      <c r="AA2000">
        <v>99.8</v>
      </c>
      <c r="AB2000">
        <v>14.9</v>
      </c>
      <c r="AC2000">
        <v>29.5</v>
      </c>
      <c r="AD2000">
        <v>69625582</v>
      </c>
    </row>
    <row r="2001" spans="1:30" x14ac:dyDescent="0.45">
      <c r="A2001">
        <v>1905</v>
      </c>
      <c r="B2001" s="6">
        <v>1500</v>
      </c>
      <c r="C2001" t="s">
        <v>402</v>
      </c>
      <c r="D2001" t="s">
        <v>6546</v>
      </c>
      <c r="E2001">
        <v>50</v>
      </c>
      <c r="F2001" t="s">
        <v>35</v>
      </c>
      <c r="G2001" t="s">
        <v>110</v>
      </c>
      <c r="H2001" t="s">
        <v>6547</v>
      </c>
      <c r="I2001" t="s">
        <v>402</v>
      </c>
      <c r="J2001" t="s">
        <v>35</v>
      </c>
      <c r="K2001" t="s">
        <v>6548</v>
      </c>
      <c r="L2001" t="b">
        <v>1</v>
      </c>
      <c r="M2001" t="s">
        <v>39</v>
      </c>
      <c r="N2001" t="s">
        <v>8245</v>
      </c>
      <c r="O2001" s="10">
        <v>26520</v>
      </c>
      <c r="P2001" t="s">
        <v>6549</v>
      </c>
      <c r="Q2001" t="s">
        <v>50</v>
      </c>
      <c r="R2001" t="s">
        <v>42</v>
      </c>
      <c r="S2001" s="8">
        <v>45020.209027777775</v>
      </c>
      <c r="T2001" t="s">
        <v>115</v>
      </c>
      <c r="U2001" t="s">
        <v>53</v>
      </c>
      <c r="V2001">
        <v>1972</v>
      </c>
      <c r="W2001" s="12">
        <v>117.24</v>
      </c>
      <c r="X2001">
        <v>7.5</v>
      </c>
      <c r="Y2001" s="14">
        <v>21427700000000</v>
      </c>
      <c r="Z2001">
        <v>88.2</v>
      </c>
      <c r="AA2001">
        <v>101.8</v>
      </c>
      <c r="AB2001">
        <v>9.6</v>
      </c>
      <c r="AC2001">
        <v>36.6</v>
      </c>
      <c r="AD2001">
        <v>328239523</v>
      </c>
    </row>
    <row r="2002" spans="1:30" hidden="1" x14ac:dyDescent="0.45">
      <c r="A2002">
        <v>1905</v>
      </c>
      <c r="B2002">
        <v>1500</v>
      </c>
      <c r="C2002" t="s">
        <v>23</v>
      </c>
      <c r="D2002" t="s">
        <v>6550</v>
      </c>
      <c r="E2002">
        <v>63</v>
      </c>
      <c r="F2002" t="s">
        <v>128</v>
      </c>
      <c r="G2002" t="s">
        <v>1302</v>
      </c>
      <c r="H2002" t="s">
        <v>6551</v>
      </c>
      <c r="I2002" t="s">
        <v>23</v>
      </c>
      <c r="J2002" t="s">
        <v>128</v>
      </c>
      <c r="L2002" t="b">
        <v>1</v>
      </c>
      <c r="M2002" t="s">
        <v>39</v>
      </c>
      <c r="N2002" t="s">
        <v>8245</v>
      </c>
      <c r="O2002" s="1">
        <v>21916</v>
      </c>
      <c r="P2002" t="s">
        <v>2270</v>
      </c>
      <c r="Q2002" t="s">
        <v>6552</v>
      </c>
      <c r="S2002" s="1">
        <v>45020.209027777775</v>
      </c>
      <c r="V2002">
        <v>1960</v>
      </c>
      <c r="W2002">
        <v>125.08</v>
      </c>
      <c r="X2002">
        <v>2.9</v>
      </c>
      <c r="Y2002" s="2">
        <v>19910000000000</v>
      </c>
      <c r="Z2002">
        <v>50.6</v>
      </c>
      <c r="AA2002">
        <v>100.2</v>
      </c>
      <c r="AB2002">
        <v>9.4</v>
      </c>
      <c r="AC2002">
        <v>59.2</v>
      </c>
      <c r="AD2002">
        <v>1397715000</v>
      </c>
    </row>
    <row r="2003" spans="1:30" hidden="1" x14ac:dyDescent="0.45">
      <c r="A2003">
        <v>1905</v>
      </c>
      <c r="B2003">
        <v>1500</v>
      </c>
      <c r="C2003" t="s">
        <v>83</v>
      </c>
      <c r="D2003" t="s">
        <v>6553</v>
      </c>
      <c r="E2003">
        <v>67</v>
      </c>
      <c r="F2003" t="s">
        <v>328</v>
      </c>
      <c r="G2003" t="s">
        <v>724</v>
      </c>
      <c r="H2003" t="s">
        <v>83</v>
      </c>
      <c r="I2003" t="s">
        <v>83</v>
      </c>
      <c r="J2003" t="s">
        <v>328</v>
      </c>
      <c r="L2003" t="b">
        <v>1</v>
      </c>
      <c r="M2003" t="s">
        <v>39</v>
      </c>
      <c r="N2003" t="s">
        <v>8245</v>
      </c>
      <c r="O2003" s="1">
        <v>20455</v>
      </c>
      <c r="P2003" t="s">
        <v>6554</v>
      </c>
      <c r="Q2003" t="s">
        <v>169</v>
      </c>
      <c r="S2003" s="1">
        <v>45020.209027777775</v>
      </c>
      <c r="V2003">
        <v>1956</v>
      </c>
      <c r="W2003">
        <v>119.8</v>
      </c>
      <c r="X2003">
        <v>1.6</v>
      </c>
      <c r="Y2003" s="2">
        <v>1392680589329</v>
      </c>
      <c r="Z2003">
        <v>113.1</v>
      </c>
      <c r="AA2003">
        <v>100.3</v>
      </c>
      <c r="AB2003">
        <v>23</v>
      </c>
      <c r="AC2003">
        <v>47.4</v>
      </c>
      <c r="AD2003">
        <v>25766605</v>
      </c>
    </row>
    <row r="2004" spans="1:30" hidden="1" x14ac:dyDescent="0.45">
      <c r="A2004">
        <v>1905</v>
      </c>
      <c r="B2004">
        <v>1500</v>
      </c>
      <c r="C2004" t="s">
        <v>296</v>
      </c>
      <c r="D2004" t="s">
        <v>6555</v>
      </c>
      <c r="E2004">
        <v>79</v>
      </c>
      <c r="F2004" t="s">
        <v>6556</v>
      </c>
      <c r="H2004" t="s">
        <v>6557</v>
      </c>
      <c r="I2004" t="s">
        <v>296</v>
      </c>
      <c r="J2004" t="s">
        <v>117</v>
      </c>
      <c r="L2004" t="b">
        <v>0</v>
      </c>
      <c r="M2004" t="s">
        <v>29</v>
      </c>
      <c r="N2004" t="s">
        <v>8246</v>
      </c>
      <c r="O2004" s="1">
        <v>15819</v>
      </c>
      <c r="P2004" t="s">
        <v>6558</v>
      </c>
      <c r="Q2004" t="s">
        <v>6559</v>
      </c>
      <c r="S2004" s="1">
        <v>45020.209027777775</v>
      </c>
      <c r="V2004">
        <v>1943</v>
      </c>
      <c r="W2004"/>
      <c r="Y2004" s="2">
        <v>3154057987</v>
      </c>
      <c r="AA2004">
        <v>106.4</v>
      </c>
      <c r="AD2004">
        <v>77142</v>
      </c>
    </row>
    <row r="2005" spans="1:30" hidden="1" x14ac:dyDescent="0.45">
      <c r="A2005">
        <v>1905</v>
      </c>
      <c r="B2005">
        <v>1500</v>
      </c>
      <c r="C2005" t="s">
        <v>33</v>
      </c>
      <c r="D2005" t="s">
        <v>6560</v>
      </c>
      <c r="E2005">
        <v>63</v>
      </c>
      <c r="F2005" t="s">
        <v>2562</v>
      </c>
      <c r="G2005" t="s">
        <v>4843</v>
      </c>
      <c r="H2005" t="s">
        <v>33</v>
      </c>
      <c r="I2005" t="s">
        <v>33</v>
      </c>
      <c r="J2005" t="s">
        <v>2562</v>
      </c>
      <c r="L2005" t="b">
        <v>1</v>
      </c>
      <c r="M2005" t="s">
        <v>39</v>
      </c>
      <c r="N2005" t="s">
        <v>8245</v>
      </c>
      <c r="O2005" s="1">
        <v>22007</v>
      </c>
      <c r="P2005" t="s">
        <v>6561</v>
      </c>
      <c r="Q2005" t="s">
        <v>6562</v>
      </c>
      <c r="S2005" s="1">
        <v>45020.209027777775</v>
      </c>
      <c r="V2005">
        <v>1960</v>
      </c>
      <c r="W2005">
        <v>163.52000000000001</v>
      </c>
      <c r="X2005">
        <v>2.8</v>
      </c>
      <c r="Y2005" s="2">
        <v>261921244843</v>
      </c>
      <c r="Z2005">
        <v>28.5</v>
      </c>
      <c r="AA2005">
        <v>110.6</v>
      </c>
      <c r="AB2005">
        <v>19.100000000000001</v>
      </c>
      <c r="AC2005">
        <v>37.6</v>
      </c>
      <c r="AD2005">
        <v>96462106</v>
      </c>
    </row>
    <row r="2006" spans="1:30" hidden="1" x14ac:dyDescent="0.45">
      <c r="A2006">
        <v>1905</v>
      </c>
      <c r="B2006">
        <v>1500</v>
      </c>
      <c r="C2006" t="s">
        <v>83</v>
      </c>
      <c r="D2006" t="s">
        <v>6563</v>
      </c>
      <c r="E2006">
        <v>75</v>
      </c>
      <c r="F2006" t="s">
        <v>35</v>
      </c>
      <c r="G2006" t="s">
        <v>704</v>
      </c>
      <c r="H2006" t="s">
        <v>83</v>
      </c>
      <c r="I2006" t="s">
        <v>83</v>
      </c>
      <c r="J2006" t="s">
        <v>35</v>
      </c>
      <c r="L2006" t="b">
        <v>1</v>
      </c>
      <c r="M2006" t="s">
        <v>611</v>
      </c>
      <c r="N2006" t="s">
        <v>8245</v>
      </c>
      <c r="O2006" s="1">
        <v>17540</v>
      </c>
      <c r="P2006" t="s">
        <v>6564</v>
      </c>
      <c r="Q2006" t="s">
        <v>6565</v>
      </c>
      <c r="S2006" s="1">
        <v>45020.209027777775</v>
      </c>
      <c r="T2006" t="s">
        <v>43</v>
      </c>
      <c r="U2006" t="s">
        <v>44</v>
      </c>
      <c r="V2006">
        <v>1948</v>
      </c>
      <c r="W2006">
        <v>117.24</v>
      </c>
      <c r="X2006">
        <v>7.5</v>
      </c>
      <c r="Y2006" s="2">
        <v>21427700000000</v>
      </c>
      <c r="Z2006">
        <v>88.2</v>
      </c>
      <c r="AA2006">
        <v>101.8</v>
      </c>
      <c r="AB2006">
        <v>9.6</v>
      </c>
      <c r="AC2006">
        <v>36.6</v>
      </c>
      <c r="AD2006">
        <v>328239523</v>
      </c>
    </row>
    <row r="2007" spans="1:30" hidden="1" x14ac:dyDescent="0.45">
      <c r="A2007">
        <v>1905</v>
      </c>
      <c r="B2007">
        <v>1500</v>
      </c>
      <c r="C2007" t="s">
        <v>239</v>
      </c>
      <c r="D2007" t="s">
        <v>6566</v>
      </c>
      <c r="E2007">
        <v>52</v>
      </c>
      <c r="F2007" t="s">
        <v>577</v>
      </c>
      <c r="G2007" t="s">
        <v>578</v>
      </c>
      <c r="H2007" t="s">
        <v>6267</v>
      </c>
      <c r="I2007" t="s">
        <v>239</v>
      </c>
      <c r="J2007" t="s">
        <v>577</v>
      </c>
      <c r="L2007" t="b">
        <v>1</v>
      </c>
      <c r="M2007" t="s">
        <v>29</v>
      </c>
      <c r="N2007" t="s">
        <v>8245</v>
      </c>
      <c r="O2007" s="1">
        <v>25986</v>
      </c>
      <c r="P2007" t="s">
        <v>6567</v>
      </c>
      <c r="Q2007" t="s">
        <v>6568</v>
      </c>
      <c r="S2007" s="1">
        <v>45020.209027777775</v>
      </c>
      <c r="V2007">
        <v>1971</v>
      </c>
      <c r="W2007">
        <v>110.51</v>
      </c>
      <c r="X2007">
        <v>1.8</v>
      </c>
      <c r="Y2007" s="2">
        <v>530832908738</v>
      </c>
      <c r="Z2007">
        <v>67</v>
      </c>
      <c r="AA2007">
        <v>126.6</v>
      </c>
      <c r="AB2007">
        <v>27.9</v>
      </c>
      <c r="AC2007">
        <v>49.1</v>
      </c>
      <c r="AD2007">
        <v>10285453</v>
      </c>
    </row>
    <row r="2008" spans="1:30" hidden="1" x14ac:dyDescent="0.45">
      <c r="A2008">
        <v>1905</v>
      </c>
      <c r="B2008">
        <v>1500</v>
      </c>
      <c r="C2008" t="s">
        <v>402</v>
      </c>
      <c r="D2008" t="s">
        <v>6569</v>
      </c>
      <c r="E2008">
        <v>54</v>
      </c>
      <c r="F2008" t="s">
        <v>128</v>
      </c>
      <c r="G2008" t="s">
        <v>777</v>
      </c>
      <c r="H2008" t="s">
        <v>610</v>
      </c>
      <c r="I2008" t="s">
        <v>402</v>
      </c>
      <c r="J2008" t="s">
        <v>128</v>
      </c>
      <c r="L2008" t="b">
        <v>1</v>
      </c>
      <c r="M2008" t="s">
        <v>29</v>
      </c>
      <c r="N2008" t="s">
        <v>8245</v>
      </c>
      <c r="O2008" s="1">
        <v>25184</v>
      </c>
      <c r="P2008" t="s">
        <v>439</v>
      </c>
      <c r="Q2008" t="s">
        <v>6570</v>
      </c>
      <c r="S2008" s="1">
        <v>45020.209027777775</v>
      </c>
      <c r="V2008">
        <v>1968</v>
      </c>
      <c r="W2008">
        <v>125.08</v>
      </c>
      <c r="X2008">
        <v>2.9</v>
      </c>
      <c r="Y2008" s="2">
        <v>19910000000000</v>
      </c>
      <c r="Z2008">
        <v>50.6</v>
      </c>
      <c r="AA2008">
        <v>100.2</v>
      </c>
      <c r="AB2008">
        <v>9.4</v>
      </c>
      <c r="AC2008">
        <v>59.2</v>
      </c>
      <c r="AD2008">
        <v>1397715000</v>
      </c>
    </row>
    <row r="2009" spans="1:30" hidden="1" x14ac:dyDescent="0.45">
      <c r="A2009">
        <v>1905</v>
      </c>
      <c r="B2009">
        <v>1500</v>
      </c>
      <c r="C2009" t="s">
        <v>402</v>
      </c>
      <c r="D2009" t="s">
        <v>6571</v>
      </c>
      <c r="E2009">
        <v>61</v>
      </c>
      <c r="F2009" t="s">
        <v>128</v>
      </c>
      <c r="G2009" t="s">
        <v>234</v>
      </c>
      <c r="H2009" t="s">
        <v>645</v>
      </c>
      <c r="I2009" t="s">
        <v>402</v>
      </c>
      <c r="J2009" t="s">
        <v>128</v>
      </c>
      <c r="L2009" t="b">
        <v>1</v>
      </c>
      <c r="M2009" t="s">
        <v>29</v>
      </c>
      <c r="N2009" t="s">
        <v>8245</v>
      </c>
      <c r="O2009" s="1">
        <v>22613</v>
      </c>
      <c r="P2009" t="s">
        <v>6572</v>
      </c>
      <c r="Q2009" t="s">
        <v>6573</v>
      </c>
      <c r="S2009" s="1">
        <v>45020.209027777775</v>
      </c>
      <c r="V2009">
        <v>1961</v>
      </c>
      <c r="W2009">
        <v>125.08</v>
      </c>
      <c r="X2009">
        <v>2.9</v>
      </c>
      <c r="Y2009" s="2">
        <v>19910000000000</v>
      </c>
      <c r="Z2009">
        <v>50.6</v>
      </c>
      <c r="AA2009">
        <v>100.2</v>
      </c>
      <c r="AB2009">
        <v>9.4</v>
      </c>
      <c r="AC2009">
        <v>59.2</v>
      </c>
      <c r="AD2009">
        <v>1397715000</v>
      </c>
    </row>
    <row r="2010" spans="1:30" hidden="1" x14ac:dyDescent="0.45">
      <c r="A2010">
        <v>1905</v>
      </c>
      <c r="B2010">
        <v>1500</v>
      </c>
      <c r="C2010" t="s">
        <v>347</v>
      </c>
      <c r="D2010" t="s">
        <v>6574</v>
      </c>
      <c r="E2010">
        <v>71</v>
      </c>
      <c r="F2010" t="s">
        <v>35</v>
      </c>
      <c r="G2010" t="s">
        <v>6229</v>
      </c>
      <c r="H2010" t="s">
        <v>1612</v>
      </c>
      <c r="I2010" t="s">
        <v>347</v>
      </c>
      <c r="J2010" t="s">
        <v>35</v>
      </c>
      <c r="L2010" t="b">
        <v>1</v>
      </c>
      <c r="M2010" t="s">
        <v>29</v>
      </c>
      <c r="N2010" t="s">
        <v>8245</v>
      </c>
      <c r="O2010" s="1">
        <v>19033</v>
      </c>
      <c r="P2010" t="s">
        <v>6230</v>
      </c>
      <c r="Q2010" t="s">
        <v>6575</v>
      </c>
      <c r="S2010" s="1">
        <v>45020.209027777775</v>
      </c>
      <c r="T2010" t="s">
        <v>43</v>
      </c>
      <c r="U2010" t="s">
        <v>44</v>
      </c>
      <c r="V2010">
        <v>1952</v>
      </c>
      <c r="W2010">
        <v>117.24</v>
      </c>
      <c r="X2010">
        <v>7.5</v>
      </c>
      <c r="Y2010" s="2">
        <v>21427700000000</v>
      </c>
      <c r="Z2010">
        <v>88.2</v>
      </c>
      <c r="AA2010">
        <v>101.8</v>
      </c>
      <c r="AB2010">
        <v>9.6</v>
      </c>
      <c r="AC2010">
        <v>36.6</v>
      </c>
      <c r="AD2010">
        <v>328239523</v>
      </c>
    </row>
    <row r="2011" spans="1:30" hidden="1" x14ac:dyDescent="0.45">
      <c r="A2011">
        <v>1905</v>
      </c>
      <c r="B2011">
        <v>1500</v>
      </c>
      <c r="C2011" t="s">
        <v>302</v>
      </c>
      <c r="D2011" t="s">
        <v>6576</v>
      </c>
      <c r="E2011">
        <v>87</v>
      </c>
      <c r="F2011" t="s">
        <v>228</v>
      </c>
      <c r="G2011" t="s">
        <v>228</v>
      </c>
      <c r="H2011" t="s">
        <v>304</v>
      </c>
      <c r="I2011" t="s">
        <v>302</v>
      </c>
      <c r="J2011" t="s">
        <v>228</v>
      </c>
      <c r="L2011" t="b">
        <v>1</v>
      </c>
      <c r="M2011" t="s">
        <v>39</v>
      </c>
      <c r="N2011" t="s">
        <v>8245</v>
      </c>
      <c r="O2011" s="1">
        <v>13121</v>
      </c>
      <c r="P2011" t="s">
        <v>894</v>
      </c>
      <c r="Q2011" t="s">
        <v>1560</v>
      </c>
      <c r="S2011" s="1">
        <v>45020.209027777775</v>
      </c>
      <c r="V2011">
        <v>1935</v>
      </c>
      <c r="W2011"/>
      <c r="Y2011"/>
    </row>
    <row r="2012" spans="1:30" hidden="1" x14ac:dyDescent="0.45">
      <c r="A2012">
        <v>1905</v>
      </c>
      <c r="B2012">
        <v>1500</v>
      </c>
      <c r="C2012" t="s">
        <v>45</v>
      </c>
      <c r="D2012" t="s">
        <v>6577</v>
      </c>
      <c r="E2012">
        <v>47</v>
      </c>
      <c r="F2012" t="s">
        <v>128</v>
      </c>
      <c r="G2012" t="s">
        <v>234</v>
      </c>
      <c r="H2012" t="s">
        <v>856</v>
      </c>
      <c r="I2012" t="s">
        <v>45</v>
      </c>
      <c r="J2012" t="s">
        <v>128</v>
      </c>
      <c r="L2012" t="b">
        <v>1</v>
      </c>
      <c r="M2012" t="s">
        <v>611</v>
      </c>
      <c r="N2012" t="s">
        <v>8245</v>
      </c>
      <c r="O2012" s="1">
        <v>27760</v>
      </c>
      <c r="P2012" t="s">
        <v>6578</v>
      </c>
      <c r="Q2012" t="s">
        <v>894</v>
      </c>
      <c r="S2012" s="1">
        <v>45020.209027777775</v>
      </c>
      <c r="V2012">
        <v>1976</v>
      </c>
      <c r="W2012">
        <v>125.08</v>
      </c>
      <c r="X2012">
        <v>2.9</v>
      </c>
      <c r="Y2012" s="2">
        <v>19910000000000</v>
      </c>
      <c r="Z2012">
        <v>50.6</v>
      </c>
      <c r="AA2012">
        <v>100.2</v>
      </c>
      <c r="AB2012">
        <v>9.4</v>
      </c>
      <c r="AC2012">
        <v>59.2</v>
      </c>
      <c r="AD2012">
        <v>1397715000</v>
      </c>
    </row>
    <row r="2013" spans="1:30" hidden="1" x14ac:dyDescent="0.45">
      <c r="A2013">
        <v>1905</v>
      </c>
      <c r="B2013">
        <v>1500</v>
      </c>
      <c r="C2013" t="s">
        <v>76</v>
      </c>
      <c r="D2013" t="s">
        <v>6579</v>
      </c>
      <c r="F2013" t="s">
        <v>128</v>
      </c>
      <c r="G2013" t="s">
        <v>292</v>
      </c>
      <c r="H2013" t="s">
        <v>336</v>
      </c>
      <c r="I2013" t="s">
        <v>76</v>
      </c>
      <c r="J2013" t="s">
        <v>128</v>
      </c>
      <c r="L2013" t="b">
        <v>1</v>
      </c>
      <c r="M2013" t="s">
        <v>611</v>
      </c>
      <c r="N2013" t="s">
        <v>8245</v>
      </c>
      <c r="O2013"/>
      <c r="P2013" t="s">
        <v>646</v>
      </c>
      <c r="Q2013" t="s">
        <v>1081</v>
      </c>
      <c r="S2013" s="1">
        <v>45020.209027777775</v>
      </c>
      <c r="W2013">
        <v>125.08</v>
      </c>
      <c r="X2013">
        <v>2.9</v>
      </c>
      <c r="Y2013" s="2">
        <v>19910000000000</v>
      </c>
      <c r="Z2013">
        <v>50.6</v>
      </c>
      <c r="AA2013">
        <v>100.2</v>
      </c>
      <c r="AB2013">
        <v>9.4</v>
      </c>
      <c r="AC2013">
        <v>59.2</v>
      </c>
      <c r="AD2013">
        <v>1397715000</v>
      </c>
    </row>
    <row r="2014" spans="1:30" hidden="1" x14ac:dyDescent="0.45">
      <c r="A2014">
        <v>1905</v>
      </c>
      <c r="B2014">
        <v>1500</v>
      </c>
      <c r="C2014" t="s">
        <v>45</v>
      </c>
      <c r="D2014" t="s">
        <v>6580</v>
      </c>
      <c r="E2014">
        <v>50</v>
      </c>
      <c r="F2014" t="s">
        <v>128</v>
      </c>
      <c r="G2014" t="s">
        <v>2993</v>
      </c>
      <c r="H2014" t="s">
        <v>1400</v>
      </c>
      <c r="I2014" t="s">
        <v>45</v>
      </c>
      <c r="J2014" t="s">
        <v>128</v>
      </c>
      <c r="L2014" t="b">
        <v>1</v>
      </c>
      <c r="M2014" t="s">
        <v>39</v>
      </c>
      <c r="N2014" t="s">
        <v>8245</v>
      </c>
      <c r="O2014" s="1">
        <v>26633</v>
      </c>
      <c r="P2014" t="s">
        <v>646</v>
      </c>
      <c r="Q2014" t="s">
        <v>6581</v>
      </c>
      <c r="S2014" s="1">
        <v>45020.209027777775</v>
      </c>
      <c r="V2014">
        <v>1972</v>
      </c>
      <c r="W2014">
        <v>125.08</v>
      </c>
      <c r="X2014">
        <v>2.9</v>
      </c>
      <c r="Y2014" s="2">
        <v>19910000000000</v>
      </c>
      <c r="Z2014">
        <v>50.6</v>
      </c>
      <c r="AA2014">
        <v>100.2</v>
      </c>
      <c r="AB2014">
        <v>9.4</v>
      </c>
      <c r="AC2014">
        <v>59.2</v>
      </c>
      <c r="AD2014">
        <v>1397715000</v>
      </c>
    </row>
    <row r="2015" spans="1:30" hidden="1" x14ac:dyDescent="0.45">
      <c r="A2015">
        <v>1905</v>
      </c>
      <c r="B2015">
        <v>1500</v>
      </c>
      <c r="C2015" t="s">
        <v>126</v>
      </c>
      <c r="D2015" t="s">
        <v>6582</v>
      </c>
      <c r="E2015">
        <v>62</v>
      </c>
      <c r="F2015" t="s">
        <v>128</v>
      </c>
      <c r="G2015" t="s">
        <v>6264</v>
      </c>
      <c r="H2015" t="s">
        <v>6583</v>
      </c>
      <c r="I2015" t="s">
        <v>126</v>
      </c>
      <c r="J2015" t="s">
        <v>128</v>
      </c>
      <c r="L2015" t="b">
        <v>1</v>
      </c>
      <c r="M2015" t="s">
        <v>39</v>
      </c>
      <c r="N2015" t="s">
        <v>8245</v>
      </c>
      <c r="O2015" s="1">
        <v>22056</v>
      </c>
      <c r="P2015" t="s">
        <v>1179</v>
      </c>
      <c r="Q2015" t="s">
        <v>6584</v>
      </c>
      <c r="S2015" s="1">
        <v>45020.209027777775</v>
      </c>
      <c r="V2015">
        <v>1960</v>
      </c>
      <c r="W2015">
        <v>125.08</v>
      </c>
      <c r="X2015">
        <v>2.9</v>
      </c>
      <c r="Y2015" s="2">
        <v>19910000000000</v>
      </c>
      <c r="Z2015">
        <v>50.6</v>
      </c>
      <c r="AA2015">
        <v>100.2</v>
      </c>
      <c r="AB2015">
        <v>9.4</v>
      </c>
      <c r="AC2015">
        <v>59.2</v>
      </c>
      <c r="AD2015">
        <v>1397715000</v>
      </c>
    </row>
    <row r="2016" spans="1:30" hidden="1" x14ac:dyDescent="0.45">
      <c r="A2016">
        <v>1905</v>
      </c>
      <c r="B2016">
        <v>1500</v>
      </c>
      <c r="C2016" t="s">
        <v>436</v>
      </c>
      <c r="D2016" t="s">
        <v>6585</v>
      </c>
      <c r="E2016">
        <v>61</v>
      </c>
      <c r="F2016" t="s">
        <v>128</v>
      </c>
      <c r="G2016" t="s">
        <v>187</v>
      </c>
      <c r="H2016" t="s">
        <v>3550</v>
      </c>
      <c r="I2016" t="s">
        <v>436</v>
      </c>
      <c r="J2016" t="s">
        <v>128</v>
      </c>
      <c r="L2016" t="b">
        <v>1</v>
      </c>
      <c r="M2016" t="s">
        <v>1332</v>
      </c>
      <c r="N2016" t="s">
        <v>8245</v>
      </c>
      <c r="O2016" s="1">
        <v>22647</v>
      </c>
      <c r="P2016" t="s">
        <v>2314</v>
      </c>
      <c r="Q2016" t="s">
        <v>6586</v>
      </c>
      <c r="S2016" s="1">
        <v>45020.209027777775</v>
      </c>
      <c r="V2016">
        <v>1962</v>
      </c>
      <c r="W2016">
        <v>125.08</v>
      </c>
      <c r="X2016">
        <v>2.9</v>
      </c>
      <c r="Y2016" s="2">
        <v>19910000000000</v>
      </c>
      <c r="Z2016">
        <v>50.6</v>
      </c>
      <c r="AA2016">
        <v>100.2</v>
      </c>
      <c r="AB2016">
        <v>9.4</v>
      </c>
      <c r="AC2016">
        <v>59.2</v>
      </c>
      <c r="AD2016">
        <v>1397715000</v>
      </c>
    </row>
    <row r="2017" spans="1:30" hidden="1" x14ac:dyDescent="0.45">
      <c r="A2017">
        <v>1905</v>
      </c>
      <c r="B2017">
        <v>1500</v>
      </c>
      <c r="C2017" t="s">
        <v>76</v>
      </c>
      <c r="D2017" t="s">
        <v>6587</v>
      </c>
      <c r="F2017" t="s">
        <v>128</v>
      </c>
      <c r="G2017" t="s">
        <v>292</v>
      </c>
      <c r="H2017" t="s">
        <v>336</v>
      </c>
      <c r="I2017" t="s">
        <v>76</v>
      </c>
      <c r="J2017" t="s">
        <v>128</v>
      </c>
      <c r="L2017" t="b">
        <v>1</v>
      </c>
      <c r="M2017" t="s">
        <v>611</v>
      </c>
      <c r="N2017" t="s">
        <v>8245</v>
      </c>
      <c r="O2017"/>
      <c r="P2017" t="s">
        <v>3281</v>
      </c>
      <c r="Q2017" t="s">
        <v>4640</v>
      </c>
      <c r="S2017" s="1">
        <v>45020.209027777775</v>
      </c>
      <c r="W2017">
        <v>125.08</v>
      </c>
      <c r="X2017">
        <v>2.9</v>
      </c>
      <c r="Y2017" s="2">
        <v>19910000000000</v>
      </c>
      <c r="Z2017">
        <v>50.6</v>
      </c>
      <c r="AA2017">
        <v>100.2</v>
      </c>
      <c r="AB2017">
        <v>9.4</v>
      </c>
      <c r="AC2017">
        <v>59.2</v>
      </c>
      <c r="AD2017">
        <v>1397715000</v>
      </c>
    </row>
    <row r="2018" spans="1:30" hidden="1" x14ac:dyDescent="0.45">
      <c r="A2018">
        <v>1905</v>
      </c>
      <c r="B2018">
        <v>1500</v>
      </c>
      <c r="C2018" t="s">
        <v>436</v>
      </c>
      <c r="D2018" t="s">
        <v>6588</v>
      </c>
      <c r="E2018">
        <v>43</v>
      </c>
      <c r="F2018" t="s">
        <v>128</v>
      </c>
      <c r="G2018" t="s">
        <v>187</v>
      </c>
      <c r="H2018" t="s">
        <v>3550</v>
      </c>
      <c r="I2018" t="s">
        <v>436</v>
      </c>
      <c r="J2018" t="s">
        <v>128</v>
      </c>
      <c r="L2018" t="b">
        <v>1</v>
      </c>
      <c r="M2018" t="s">
        <v>1332</v>
      </c>
      <c r="N2018" t="s">
        <v>8245</v>
      </c>
      <c r="O2018" s="1">
        <v>29221</v>
      </c>
      <c r="P2018" t="s">
        <v>190</v>
      </c>
      <c r="Q2018" t="s">
        <v>6589</v>
      </c>
      <c r="S2018" s="1">
        <v>45020.209027777775</v>
      </c>
      <c r="V2018">
        <v>1980</v>
      </c>
      <c r="W2018">
        <v>125.08</v>
      </c>
      <c r="X2018">
        <v>2.9</v>
      </c>
      <c r="Y2018" s="2">
        <v>19910000000000</v>
      </c>
      <c r="Z2018">
        <v>50.6</v>
      </c>
      <c r="AA2018">
        <v>100.2</v>
      </c>
      <c r="AB2018">
        <v>9.4</v>
      </c>
      <c r="AC2018">
        <v>59.2</v>
      </c>
      <c r="AD2018">
        <v>1397715000</v>
      </c>
    </row>
    <row r="2019" spans="1:30" hidden="1" x14ac:dyDescent="0.45">
      <c r="A2019">
        <v>1905</v>
      </c>
      <c r="B2019">
        <v>1500</v>
      </c>
      <c r="C2019" t="s">
        <v>347</v>
      </c>
      <c r="D2019" t="s">
        <v>6590</v>
      </c>
      <c r="F2019" t="s">
        <v>128</v>
      </c>
      <c r="G2019" t="s">
        <v>129</v>
      </c>
      <c r="H2019" t="s">
        <v>6591</v>
      </c>
      <c r="I2019" t="s">
        <v>347</v>
      </c>
      <c r="J2019" t="s">
        <v>128</v>
      </c>
      <c r="L2019" t="b">
        <v>1</v>
      </c>
      <c r="M2019" t="s">
        <v>285</v>
      </c>
      <c r="N2019" t="s">
        <v>8246</v>
      </c>
      <c r="O2019"/>
      <c r="P2019" t="s">
        <v>190</v>
      </c>
      <c r="Q2019" t="s">
        <v>2340</v>
      </c>
      <c r="S2019" s="1">
        <v>45020.209027777775</v>
      </c>
      <c r="W2019">
        <v>125.08</v>
      </c>
      <c r="X2019">
        <v>2.9</v>
      </c>
      <c r="Y2019" s="2">
        <v>19910000000000</v>
      </c>
      <c r="Z2019">
        <v>50.6</v>
      </c>
      <c r="AA2019">
        <v>100.2</v>
      </c>
      <c r="AB2019">
        <v>9.4</v>
      </c>
      <c r="AC2019">
        <v>59.2</v>
      </c>
      <c r="AD2019">
        <v>1397715000</v>
      </c>
    </row>
    <row r="2020" spans="1:30" hidden="1" x14ac:dyDescent="0.45">
      <c r="A2020">
        <v>1905</v>
      </c>
      <c r="B2020">
        <v>1500</v>
      </c>
      <c r="C2020" t="s">
        <v>23</v>
      </c>
      <c r="D2020" t="s">
        <v>6592</v>
      </c>
      <c r="E2020">
        <v>66</v>
      </c>
      <c r="F2020" t="s">
        <v>128</v>
      </c>
      <c r="G2020" t="s">
        <v>234</v>
      </c>
      <c r="H2020" t="s">
        <v>3885</v>
      </c>
      <c r="I2020" t="s">
        <v>23</v>
      </c>
      <c r="J2020" t="s">
        <v>128</v>
      </c>
      <c r="L2020" t="b">
        <v>1</v>
      </c>
      <c r="M2020" t="s">
        <v>39</v>
      </c>
      <c r="N2020" t="s">
        <v>8245</v>
      </c>
      <c r="O2020" s="1">
        <v>20880</v>
      </c>
      <c r="P2020" t="s">
        <v>1784</v>
      </c>
      <c r="Q2020" t="s">
        <v>6593</v>
      </c>
      <c r="S2020" s="1">
        <v>45020.209027777775</v>
      </c>
      <c r="V2020">
        <v>1957</v>
      </c>
      <c r="W2020">
        <v>125.08</v>
      </c>
      <c r="X2020">
        <v>2.9</v>
      </c>
      <c r="Y2020" s="2">
        <v>19910000000000</v>
      </c>
      <c r="Z2020">
        <v>50.6</v>
      </c>
      <c r="AA2020">
        <v>100.2</v>
      </c>
      <c r="AB2020">
        <v>9.4</v>
      </c>
      <c r="AC2020">
        <v>59.2</v>
      </c>
      <c r="AD2020">
        <v>1397715000</v>
      </c>
    </row>
    <row r="2021" spans="1:30" hidden="1" x14ac:dyDescent="0.45">
      <c r="A2021">
        <v>2020</v>
      </c>
      <c r="B2021">
        <v>1400</v>
      </c>
      <c r="C2021" t="s">
        <v>91</v>
      </c>
      <c r="D2021" t="s">
        <v>6594</v>
      </c>
      <c r="E2021">
        <v>83</v>
      </c>
      <c r="F2021" t="s">
        <v>2660</v>
      </c>
      <c r="G2021" t="s">
        <v>5232</v>
      </c>
      <c r="H2021" t="s">
        <v>91</v>
      </c>
      <c r="I2021" t="s">
        <v>91</v>
      </c>
      <c r="J2021" t="s">
        <v>2660</v>
      </c>
      <c r="L2021" t="b">
        <v>0</v>
      </c>
      <c r="M2021" t="s">
        <v>39</v>
      </c>
      <c r="N2021" t="s">
        <v>8245</v>
      </c>
      <c r="O2021" s="1">
        <v>14665</v>
      </c>
      <c r="P2021" t="s">
        <v>6595</v>
      </c>
      <c r="Q2021" t="s">
        <v>2664</v>
      </c>
      <c r="S2021" s="1">
        <v>45020.209027777775</v>
      </c>
      <c r="V2021">
        <v>1940</v>
      </c>
      <c r="W2021">
        <v>112.33</v>
      </c>
      <c r="X2021">
        <v>1</v>
      </c>
      <c r="Y2021" s="2">
        <v>268761201365</v>
      </c>
      <c r="Z2021">
        <v>88.2</v>
      </c>
      <c r="AA2021">
        <v>100.2</v>
      </c>
      <c r="AB2021">
        <v>20.8</v>
      </c>
      <c r="AC2021">
        <v>36.6</v>
      </c>
      <c r="AD2021">
        <v>5520314</v>
      </c>
    </row>
    <row r="2022" spans="1:30" hidden="1" x14ac:dyDescent="0.45">
      <c r="A2022">
        <v>2020</v>
      </c>
      <c r="B2022">
        <v>1400</v>
      </c>
      <c r="C2022" t="s">
        <v>61</v>
      </c>
      <c r="D2022" t="s">
        <v>6596</v>
      </c>
      <c r="E2022">
        <v>80</v>
      </c>
      <c r="F2022" t="s">
        <v>117</v>
      </c>
      <c r="G2022" t="s">
        <v>2480</v>
      </c>
      <c r="H2022" t="s">
        <v>317</v>
      </c>
      <c r="I2022" t="s">
        <v>61</v>
      </c>
      <c r="J2022" t="s">
        <v>117</v>
      </c>
      <c r="L2022" t="b">
        <v>1</v>
      </c>
      <c r="M2022" t="s">
        <v>29</v>
      </c>
      <c r="N2022" t="s">
        <v>8245</v>
      </c>
      <c r="O2022" s="1">
        <v>15682</v>
      </c>
      <c r="P2022" t="s">
        <v>6597</v>
      </c>
      <c r="Q2022" t="s">
        <v>3766</v>
      </c>
      <c r="S2022" s="1">
        <v>45020.209027777775</v>
      </c>
      <c r="V2022">
        <v>1942</v>
      </c>
      <c r="W2022">
        <v>110.96</v>
      </c>
      <c r="X2022">
        <v>0.7</v>
      </c>
      <c r="Y2022" s="2">
        <v>1394116310769</v>
      </c>
      <c r="Z2022">
        <v>88.9</v>
      </c>
      <c r="AA2022">
        <v>102.7</v>
      </c>
      <c r="AB2022">
        <v>14.2</v>
      </c>
      <c r="AC2022">
        <v>47</v>
      </c>
      <c r="AD2022">
        <v>47076781</v>
      </c>
    </row>
    <row r="2023" spans="1:30" hidden="1" x14ac:dyDescent="0.45">
      <c r="A2023">
        <v>2020</v>
      </c>
      <c r="B2023">
        <v>1400</v>
      </c>
      <c r="C2023" t="s">
        <v>23</v>
      </c>
      <c r="D2023" t="s">
        <v>6598</v>
      </c>
      <c r="E2023">
        <v>52</v>
      </c>
      <c r="F2023" t="s">
        <v>328</v>
      </c>
      <c r="G2023" t="s">
        <v>795</v>
      </c>
      <c r="H2023" t="s">
        <v>196</v>
      </c>
      <c r="I2023" t="s">
        <v>23</v>
      </c>
      <c r="J2023" t="s">
        <v>328</v>
      </c>
      <c r="L2023" t="b">
        <v>1</v>
      </c>
      <c r="M2023" t="s">
        <v>39</v>
      </c>
      <c r="N2023" t="s">
        <v>8245</v>
      </c>
      <c r="O2023" s="1">
        <v>25836</v>
      </c>
      <c r="P2023" t="s">
        <v>36</v>
      </c>
      <c r="Q2023" t="s">
        <v>6599</v>
      </c>
      <c r="S2023" s="1">
        <v>45020.209027777775</v>
      </c>
      <c r="V2023">
        <v>1970</v>
      </c>
      <c r="W2023">
        <v>119.8</v>
      </c>
      <c r="X2023">
        <v>1.6</v>
      </c>
      <c r="Y2023" s="2">
        <v>1392680589329</v>
      </c>
      <c r="Z2023">
        <v>113.1</v>
      </c>
      <c r="AA2023">
        <v>100.3</v>
      </c>
      <c r="AB2023">
        <v>23</v>
      </c>
      <c r="AC2023">
        <v>47.4</v>
      </c>
      <c r="AD2023">
        <v>25766605</v>
      </c>
    </row>
    <row r="2024" spans="1:30" hidden="1" x14ac:dyDescent="0.45">
      <c r="A2024">
        <v>2020</v>
      </c>
      <c r="B2024">
        <v>1400</v>
      </c>
      <c r="C2024" t="s">
        <v>45</v>
      </c>
      <c r="D2024" t="s">
        <v>6600</v>
      </c>
      <c r="E2024">
        <v>40</v>
      </c>
      <c r="F2024" t="s">
        <v>574</v>
      </c>
      <c r="G2024" t="s">
        <v>574</v>
      </c>
      <c r="H2024" t="s">
        <v>6601</v>
      </c>
      <c r="I2024" t="s">
        <v>45</v>
      </c>
      <c r="J2024" t="s">
        <v>93</v>
      </c>
      <c r="L2024" t="b">
        <v>1</v>
      </c>
      <c r="M2024" t="s">
        <v>29</v>
      </c>
      <c r="N2024" t="s">
        <v>8245</v>
      </c>
      <c r="O2024" s="1">
        <v>30288</v>
      </c>
      <c r="P2024" t="s">
        <v>6602</v>
      </c>
      <c r="Q2024" t="s">
        <v>6603</v>
      </c>
      <c r="S2024" s="1">
        <v>45020.209027777775</v>
      </c>
      <c r="V2024">
        <v>1982</v>
      </c>
      <c r="W2024">
        <v>114.41</v>
      </c>
      <c r="X2024">
        <v>0.6</v>
      </c>
      <c r="Y2024" s="2">
        <v>372062527489</v>
      </c>
      <c r="Z2024">
        <v>84.8</v>
      </c>
      <c r="AA2024">
        <v>100.6</v>
      </c>
      <c r="AB2024">
        <v>13.1</v>
      </c>
      <c r="AC2024">
        <v>21</v>
      </c>
      <c r="AD2024">
        <v>5703569</v>
      </c>
    </row>
    <row r="2025" spans="1:30" hidden="1" x14ac:dyDescent="0.45">
      <c r="A2025">
        <v>2020</v>
      </c>
      <c r="B2025">
        <v>1400</v>
      </c>
      <c r="C2025" t="s">
        <v>402</v>
      </c>
      <c r="D2025" t="s">
        <v>6604</v>
      </c>
      <c r="E2025">
        <v>75</v>
      </c>
      <c r="F2025" t="s">
        <v>93</v>
      </c>
      <c r="G2025" t="s">
        <v>94</v>
      </c>
      <c r="H2025" t="s">
        <v>610</v>
      </c>
      <c r="I2025" t="s">
        <v>402</v>
      </c>
      <c r="J2025" t="s">
        <v>93</v>
      </c>
      <c r="L2025" t="b">
        <v>1</v>
      </c>
      <c r="M2025" t="s">
        <v>39</v>
      </c>
      <c r="N2025" t="s">
        <v>8245</v>
      </c>
      <c r="O2025" s="1">
        <v>17382</v>
      </c>
      <c r="P2025" t="s">
        <v>6605</v>
      </c>
      <c r="Q2025" t="s">
        <v>6606</v>
      </c>
      <c r="S2025" s="1">
        <v>45020.209027777775</v>
      </c>
      <c r="V2025">
        <v>1947</v>
      </c>
      <c r="W2025">
        <v>180.44</v>
      </c>
      <c r="X2025">
        <v>7.7</v>
      </c>
      <c r="Y2025" s="2">
        <v>2611000000000</v>
      </c>
      <c r="Z2025">
        <v>28.1</v>
      </c>
      <c r="AA2025">
        <v>113</v>
      </c>
      <c r="AB2025">
        <v>11.2</v>
      </c>
      <c r="AC2025">
        <v>49.7</v>
      </c>
      <c r="AD2025">
        <v>1366417754</v>
      </c>
    </row>
    <row r="2026" spans="1:30" hidden="1" x14ac:dyDescent="0.45">
      <c r="A2026">
        <v>2020</v>
      </c>
      <c r="B2026">
        <v>1400</v>
      </c>
      <c r="C2026" t="s">
        <v>91</v>
      </c>
      <c r="D2026" t="s">
        <v>6607</v>
      </c>
      <c r="E2026">
        <v>79</v>
      </c>
      <c r="F2026" t="s">
        <v>272</v>
      </c>
      <c r="G2026" t="s">
        <v>6608</v>
      </c>
      <c r="H2026" t="s">
        <v>6609</v>
      </c>
      <c r="I2026" t="s">
        <v>91</v>
      </c>
      <c r="J2026" t="s">
        <v>272</v>
      </c>
      <c r="L2026" t="b">
        <v>1</v>
      </c>
      <c r="M2026" t="s">
        <v>39</v>
      </c>
      <c r="N2026" t="s">
        <v>8245</v>
      </c>
      <c r="O2026" s="1">
        <v>15873</v>
      </c>
      <c r="P2026" t="s">
        <v>6610</v>
      </c>
      <c r="Q2026" t="s">
        <v>225</v>
      </c>
      <c r="S2026" s="1">
        <v>45020.209027777775</v>
      </c>
      <c r="V2026">
        <v>1943</v>
      </c>
      <c r="W2026">
        <v>119.62</v>
      </c>
      <c r="X2026">
        <v>1.7</v>
      </c>
      <c r="Y2026" s="2">
        <v>2827113184696</v>
      </c>
      <c r="Z2026">
        <v>60</v>
      </c>
      <c r="AA2026">
        <v>101.2</v>
      </c>
      <c r="AB2026">
        <v>25.5</v>
      </c>
      <c r="AC2026">
        <v>30.6</v>
      </c>
      <c r="AD2026">
        <v>66834405</v>
      </c>
    </row>
    <row r="2027" spans="1:30" hidden="1" x14ac:dyDescent="0.45">
      <c r="A2027">
        <v>2020</v>
      </c>
      <c r="B2027">
        <v>1400</v>
      </c>
      <c r="C2027" t="s">
        <v>347</v>
      </c>
      <c r="D2027" t="s">
        <v>6611</v>
      </c>
      <c r="E2027">
        <v>71</v>
      </c>
      <c r="F2027" t="s">
        <v>363</v>
      </c>
      <c r="G2027" t="s">
        <v>6612</v>
      </c>
      <c r="H2027" t="s">
        <v>462</v>
      </c>
      <c r="I2027" t="s">
        <v>347</v>
      </c>
      <c r="J2027" t="s">
        <v>363</v>
      </c>
      <c r="L2027" t="b">
        <v>1</v>
      </c>
      <c r="M2027" t="s">
        <v>1332</v>
      </c>
      <c r="N2027" t="s">
        <v>8245</v>
      </c>
      <c r="O2027" s="1">
        <v>18776</v>
      </c>
      <c r="P2027" t="s">
        <v>6613</v>
      </c>
      <c r="Q2027" t="s">
        <v>384</v>
      </c>
      <c r="S2027" s="1">
        <v>45020.209027777775</v>
      </c>
      <c r="V2027">
        <v>1951</v>
      </c>
      <c r="W2027">
        <v>180.75</v>
      </c>
      <c r="X2027">
        <v>4.5</v>
      </c>
      <c r="Y2027" s="2">
        <v>1699876578871</v>
      </c>
      <c r="Z2027">
        <v>81.900000000000006</v>
      </c>
      <c r="AA2027">
        <v>102.6</v>
      </c>
      <c r="AB2027">
        <v>11.4</v>
      </c>
      <c r="AC2027">
        <v>46.2</v>
      </c>
      <c r="AD2027">
        <v>144373535</v>
      </c>
    </row>
    <row r="2028" spans="1:30" hidden="1" x14ac:dyDescent="0.45">
      <c r="A2028">
        <v>2020</v>
      </c>
      <c r="B2028">
        <v>1400</v>
      </c>
      <c r="C2028" t="s">
        <v>126</v>
      </c>
      <c r="D2028" t="s">
        <v>6614</v>
      </c>
      <c r="E2028">
        <v>53</v>
      </c>
      <c r="F2028" t="s">
        <v>93</v>
      </c>
      <c r="G2028" t="s">
        <v>343</v>
      </c>
      <c r="H2028" t="s">
        <v>2022</v>
      </c>
      <c r="I2028" t="s">
        <v>126</v>
      </c>
      <c r="J2028" t="s">
        <v>93</v>
      </c>
      <c r="L2028" t="b">
        <v>0</v>
      </c>
      <c r="M2028" t="s">
        <v>39</v>
      </c>
      <c r="N2028" t="s">
        <v>8245</v>
      </c>
      <c r="O2028" s="1">
        <v>25385</v>
      </c>
      <c r="P2028" t="s">
        <v>4349</v>
      </c>
      <c r="Q2028" t="s">
        <v>6615</v>
      </c>
      <c r="S2028" s="1">
        <v>45020.209027777775</v>
      </c>
      <c r="V2028">
        <v>1969</v>
      </c>
      <c r="W2028">
        <v>180.44</v>
      </c>
      <c r="X2028">
        <v>7.7</v>
      </c>
      <c r="Y2028" s="2">
        <v>2611000000000</v>
      </c>
      <c r="Z2028">
        <v>28.1</v>
      </c>
      <c r="AA2028">
        <v>113</v>
      </c>
      <c r="AB2028">
        <v>11.2</v>
      </c>
      <c r="AC2028">
        <v>49.7</v>
      </c>
      <c r="AD2028">
        <v>1366417754</v>
      </c>
    </row>
    <row r="2029" spans="1:30" hidden="1" x14ac:dyDescent="0.45">
      <c r="A2029">
        <v>2020</v>
      </c>
      <c r="B2029">
        <v>1400</v>
      </c>
      <c r="C2029" t="s">
        <v>326</v>
      </c>
      <c r="D2029" t="s">
        <v>6616</v>
      </c>
      <c r="E2029">
        <v>52</v>
      </c>
      <c r="F2029" t="s">
        <v>128</v>
      </c>
      <c r="G2029" t="s">
        <v>960</v>
      </c>
      <c r="H2029" t="s">
        <v>6617</v>
      </c>
      <c r="I2029" t="s">
        <v>326</v>
      </c>
      <c r="J2029" t="s">
        <v>128</v>
      </c>
      <c r="L2029" t="b">
        <v>1</v>
      </c>
      <c r="M2029" t="s">
        <v>258</v>
      </c>
      <c r="N2029" t="s">
        <v>8245</v>
      </c>
      <c r="O2029" s="1">
        <v>25934</v>
      </c>
      <c r="P2029" t="s">
        <v>6618</v>
      </c>
      <c r="Q2029" t="s">
        <v>6619</v>
      </c>
      <c r="S2029" s="1">
        <v>45020.209027777775</v>
      </c>
      <c r="V2029">
        <v>1971</v>
      </c>
      <c r="W2029">
        <v>125.08</v>
      </c>
      <c r="X2029">
        <v>2.9</v>
      </c>
      <c r="Y2029" s="2">
        <v>19910000000000</v>
      </c>
      <c r="Z2029">
        <v>50.6</v>
      </c>
      <c r="AA2029">
        <v>100.2</v>
      </c>
      <c r="AB2029">
        <v>9.4</v>
      </c>
      <c r="AC2029">
        <v>59.2</v>
      </c>
      <c r="AD2029">
        <v>1397715000</v>
      </c>
    </row>
    <row r="2030" spans="1:30" hidden="1" x14ac:dyDescent="0.45">
      <c r="A2030">
        <v>2020</v>
      </c>
      <c r="B2030">
        <v>1400</v>
      </c>
      <c r="C2030" t="s">
        <v>45</v>
      </c>
      <c r="D2030" t="s">
        <v>6620</v>
      </c>
      <c r="E2030">
        <v>64</v>
      </c>
      <c r="F2030" t="s">
        <v>35</v>
      </c>
      <c r="G2030" t="s">
        <v>3659</v>
      </c>
      <c r="H2030" t="s">
        <v>6621</v>
      </c>
      <c r="I2030" t="s">
        <v>45</v>
      </c>
      <c r="J2030" t="s">
        <v>35</v>
      </c>
      <c r="L2030" t="b">
        <v>1</v>
      </c>
      <c r="M2030" t="s">
        <v>39</v>
      </c>
      <c r="N2030" t="s">
        <v>8245</v>
      </c>
      <c r="O2030" s="1">
        <v>21418</v>
      </c>
      <c r="P2030" t="s">
        <v>6622</v>
      </c>
      <c r="Q2030" t="s">
        <v>103</v>
      </c>
      <c r="S2030" s="1">
        <v>45020.209027777775</v>
      </c>
      <c r="T2030" t="s">
        <v>222</v>
      </c>
      <c r="U2030" t="s">
        <v>44</v>
      </c>
      <c r="V2030">
        <v>1958</v>
      </c>
      <c r="W2030">
        <v>117.24</v>
      </c>
      <c r="X2030">
        <v>7.5</v>
      </c>
      <c r="Y2030" s="2">
        <v>21427700000000</v>
      </c>
      <c r="Z2030">
        <v>88.2</v>
      </c>
      <c r="AA2030">
        <v>101.8</v>
      </c>
      <c r="AB2030">
        <v>9.6</v>
      </c>
      <c r="AC2030">
        <v>36.6</v>
      </c>
      <c r="AD2030">
        <v>328239523</v>
      </c>
    </row>
    <row r="2031" spans="1:30" hidden="1" x14ac:dyDescent="0.45">
      <c r="A2031">
        <v>2020</v>
      </c>
      <c r="B2031">
        <v>1400</v>
      </c>
      <c r="C2031" t="s">
        <v>45</v>
      </c>
      <c r="D2031" t="s">
        <v>6623</v>
      </c>
      <c r="E2031">
        <v>55</v>
      </c>
      <c r="F2031" t="s">
        <v>128</v>
      </c>
      <c r="G2031" t="s">
        <v>2006</v>
      </c>
      <c r="H2031" t="s">
        <v>6624</v>
      </c>
      <c r="I2031" t="s">
        <v>45</v>
      </c>
      <c r="J2031" t="s">
        <v>128</v>
      </c>
      <c r="L2031" t="b">
        <v>1</v>
      </c>
      <c r="M2031" t="s">
        <v>611</v>
      </c>
      <c r="N2031" t="s">
        <v>8245</v>
      </c>
      <c r="O2031" s="1">
        <v>24838</v>
      </c>
      <c r="P2031" t="s">
        <v>679</v>
      </c>
      <c r="Q2031" t="s">
        <v>6625</v>
      </c>
      <c r="S2031" s="1">
        <v>45020.209027777775</v>
      </c>
      <c r="V2031">
        <v>1968</v>
      </c>
      <c r="W2031">
        <v>125.08</v>
      </c>
      <c r="X2031">
        <v>2.9</v>
      </c>
      <c r="Y2031" s="2">
        <v>19910000000000</v>
      </c>
      <c r="Z2031">
        <v>50.6</v>
      </c>
      <c r="AA2031">
        <v>100.2</v>
      </c>
      <c r="AB2031">
        <v>9.4</v>
      </c>
      <c r="AC2031">
        <v>59.2</v>
      </c>
      <c r="AD2031">
        <v>1397715000</v>
      </c>
    </row>
    <row r="2032" spans="1:30" hidden="1" x14ac:dyDescent="0.45">
      <c r="A2032">
        <v>2020</v>
      </c>
      <c r="B2032">
        <v>1400</v>
      </c>
      <c r="C2032" t="s">
        <v>302</v>
      </c>
      <c r="D2032" t="s">
        <v>6626</v>
      </c>
      <c r="E2032">
        <v>74</v>
      </c>
      <c r="F2032" t="s">
        <v>574</v>
      </c>
      <c r="G2032" t="s">
        <v>574</v>
      </c>
      <c r="H2032" t="s">
        <v>304</v>
      </c>
      <c r="I2032" t="s">
        <v>302</v>
      </c>
      <c r="J2032" t="s">
        <v>574</v>
      </c>
      <c r="L2032" t="b">
        <v>1</v>
      </c>
      <c r="M2032" t="s">
        <v>29</v>
      </c>
      <c r="N2032" t="s">
        <v>8245</v>
      </c>
      <c r="O2032" s="1">
        <v>17725</v>
      </c>
      <c r="P2032" t="s">
        <v>6627</v>
      </c>
      <c r="Q2032" t="s">
        <v>6628</v>
      </c>
      <c r="S2032" s="1">
        <v>45020.209027777775</v>
      </c>
      <c r="V2032">
        <v>1948</v>
      </c>
      <c r="W2032">
        <v>114.41</v>
      </c>
      <c r="X2032">
        <v>0.6</v>
      </c>
      <c r="Y2032" s="2">
        <v>372062527489</v>
      </c>
      <c r="Z2032">
        <v>84.8</v>
      </c>
      <c r="AA2032">
        <v>100.6</v>
      </c>
      <c r="AB2032">
        <v>13.1</v>
      </c>
      <c r="AC2032">
        <v>21</v>
      </c>
      <c r="AD2032">
        <v>5703569</v>
      </c>
    </row>
    <row r="2033" spans="1:30" hidden="1" x14ac:dyDescent="0.45">
      <c r="A2033">
        <v>2020</v>
      </c>
      <c r="B2033">
        <v>1400</v>
      </c>
      <c r="C2033" t="s">
        <v>61</v>
      </c>
      <c r="D2033" t="s">
        <v>6629</v>
      </c>
      <c r="E2033">
        <v>83</v>
      </c>
      <c r="F2033" t="s">
        <v>558</v>
      </c>
      <c r="G2033" t="s">
        <v>839</v>
      </c>
      <c r="H2033" t="s">
        <v>557</v>
      </c>
      <c r="I2033" t="s">
        <v>61</v>
      </c>
      <c r="J2033" t="s">
        <v>558</v>
      </c>
      <c r="L2033" t="b">
        <v>1</v>
      </c>
      <c r="M2033" t="s">
        <v>29</v>
      </c>
      <c r="N2033" t="s">
        <v>8245</v>
      </c>
      <c r="O2033" s="1">
        <v>14702</v>
      </c>
      <c r="P2033" t="s">
        <v>6630</v>
      </c>
      <c r="Q2033" t="s">
        <v>6631</v>
      </c>
      <c r="S2033" s="1">
        <v>45020.209027777775</v>
      </c>
      <c r="V2033">
        <v>1940</v>
      </c>
      <c r="W2033">
        <v>167.4</v>
      </c>
      <c r="X2033">
        <v>3.7</v>
      </c>
      <c r="Y2033" s="2">
        <v>1839758040766</v>
      </c>
      <c r="Z2033">
        <v>51.3</v>
      </c>
      <c r="AA2033">
        <v>115.4</v>
      </c>
      <c r="AB2033">
        <v>14.2</v>
      </c>
      <c r="AC2033">
        <v>65.099999999999994</v>
      </c>
      <c r="AD2033">
        <v>212559417</v>
      </c>
    </row>
    <row r="2034" spans="1:30" hidden="1" x14ac:dyDescent="0.45">
      <c r="A2034">
        <v>2020</v>
      </c>
      <c r="B2034">
        <v>1400</v>
      </c>
      <c r="C2034" t="s">
        <v>326</v>
      </c>
      <c r="D2034" t="s">
        <v>6632</v>
      </c>
      <c r="E2034">
        <v>65</v>
      </c>
      <c r="F2034" t="s">
        <v>328</v>
      </c>
      <c r="G2034" t="s">
        <v>329</v>
      </c>
      <c r="H2034" t="s">
        <v>330</v>
      </c>
      <c r="I2034" t="s">
        <v>326</v>
      </c>
      <c r="J2034" t="s">
        <v>328</v>
      </c>
      <c r="L2034" t="b">
        <v>1</v>
      </c>
      <c r="M2034" t="s">
        <v>258</v>
      </c>
      <c r="N2034" t="s">
        <v>8245</v>
      </c>
      <c r="O2034" s="1">
        <v>20997</v>
      </c>
      <c r="P2034" t="s">
        <v>57</v>
      </c>
      <c r="Q2034" t="s">
        <v>4821</v>
      </c>
      <c r="S2034" s="1">
        <v>45020.209027777775</v>
      </c>
      <c r="V2034">
        <v>1957</v>
      </c>
      <c r="W2034">
        <v>119.8</v>
      </c>
      <c r="X2034">
        <v>1.6</v>
      </c>
      <c r="Y2034" s="2">
        <v>1392680589329</v>
      </c>
      <c r="Z2034">
        <v>113.1</v>
      </c>
      <c r="AA2034">
        <v>100.3</v>
      </c>
      <c r="AB2034">
        <v>23</v>
      </c>
      <c r="AC2034">
        <v>47.4</v>
      </c>
      <c r="AD2034">
        <v>25766605</v>
      </c>
    </row>
    <row r="2035" spans="1:30" hidden="1" x14ac:dyDescent="0.45">
      <c r="A2035">
        <v>2020</v>
      </c>
      <c r="B2035">
        <v>1400</v>
      </c>
      <c r="C2035" t="s">
        <v>296</v>
      </c>
      <c r="D2035" t="s">
        <v>6633</v>
      </c>
      <c r="E2035">
        <v>97</v>
      </c>
      <c r="F2035" t="s">
        <v>35</v>
      </c>
      <c r="G2035" t="s">
        <v>78</v>
      </c>
      <c r="H2035" t="s">
        <v>399</v>
      </c>
      <c r="I2035" t="s">
        <v>296</v>
      </c>
      <c r="J2035" t="s">
        <v>35</v>
      </c>
      <c r="L2035" t="b">
        <v>1</v>
      </c>
      <c r="M2035" t="s">
        <v>39</v>
      </c>
      <c r="N2035" t="s">
        <v>8245</v>
      </c>
      <c r="O2035" s="1">
        <v>9367</v>
      </c>
      <c r="P2035" t="s">
        <v>6634</v>
      </c>
      <c r="Q2035" t="s">
        <v>225</v>
      </c>
      <c r="R2035" t="s">
        <v>6635</v>
      </c>
      <c r="S2035" s="1">
        <v>45020.209027777775</v>
      </c>
      <c r="T2035" t="s">
        <v>78</v>
      </c>
      <c r="U2035" t="s">
        <v>82</v>
      </c>
      <c r="V2035">
        <v>1925</v>
      </c>
      <c r="W2035">
        <v>117.24</v>
      </c>
      <c r="X2035">
        <v>7.5</v>
      </c>
      <c r="Y2035" s="2">
        <v>21427700000000</v>
      </c>
      <c r="Z2035">
        <v>88.2</v>
      </c>
      <c r="AA2035">
        <v>101.8</v>
      </c>
      <c r="AB2035">
        <v>9.6</v>
      </c>
      <c r="AC2035">
        <v>36.6</v>
      </c>
      <c r="AD2035">
        <v>328239523</v>
      </c>
    </row>
    <row r="2036" spans="1:30" x14ac:dyDescent="0.45">
      <c r="A2036">
        <v>2020</v>
      </c>
      <c r="B2036" s="6">
        <v>1400</v>
      </c>
      <c r="C2036" t="s">
        <v>61</v>
      </c>
      <c r="D2036" t="s">
        <v>6636</v>
      </c>
      <c r="E2036">
        <v>65</v>
      </c>
      <c r="F2036" t="s">
        <v>35</v>
      </c>
      <c r="G2036" t="s">
        <v>355</v>
      </c>
      <c r="H2036" t="s">
        <v>317</v>
      </c>
      <c r="I2036" t="s">
        <v>61</v>
      </c>
      <c r="J2036" t="s">
        <v>35</v>
      </c>
      <c r="K2036" t="s">
        <v>6637</v>
      </c>
      <c r="L2036" t="b">
        <v>1</v>
      </c>
      <c r="M2036" t="s">
        <v>29</v>
      </c>
      <c r="N2036" t="s">
        <v>8245</v>
      </c>
      <c r="O2036" s="10">
        <v>21120</v>
      </c>
      <c r="P2036" t="s">
        <v>6638</v>
      </c>
      <c r="Q2036" t="s">
        <v>1493</v>
      </c>
      <c r="R2036" t="s">
        <v>6639</v>
      </c>
      <c r="S2036" s="8">
        <v>45020.209027777775</v>
      </c>
      <c r="T2036" t="s">
        <v>253</v>
      </c>
      <c r="U2036" t="s">
        <v>44</v>
      </c>
      <c r="V2036">
        <v>1957</v>
      </c>
      <c r="W2036" s="12">
        <v>117.24</v>
      </c>
      <c r="X2036">
        <v>7.5</v>
      </c>
      <c r="Y2036" s="14">
        <v>21427700000000</v>
      </c>
      <c r="Z2036">
        <v>88.2</v>
      </c>
      <c r="AA2036">
        <v>101.8</v>
      </c>
      <c r="AB2036">
        <v>9.6</v>
      </c>
      <c r="AC2036">
        <v>36.6</v>
      </c>
      <c r="AD2036">
        <v>328239523</v>
      </c>
    </row>
    <row r="2037" spans="1:30" hidden="1" x14ac:dyDescent="0.45">
      <c r="A2037">
        <v>2020</v>
      </c>
      <c r="B2037">
        <v>1400</v>
      </c>
      <c r="C2037" t="s">
        <v>23</v>
      </c>
      <c r="D2037" t="s">
        <v>6640</v>
      </c>
      <c r="E2037">
        <v>75</v>
      </c>
      <c r="F2037" t="s">
        <v>205</v>
      </c>
      <c r="G2037" t="s">
        <v>284</v>
      </c>
      <c r="H2037" t="s">
        <v>6641</v>
      </c>
      <c r="I2037" t="s">
        <v>23</v>
      </c>
      <c r="J2037" t="s">
        <v>255</v>
      </c>
      <c r="L2037" t="b">
        <v>1</v>
      </c>
      <c r="M2037" t="s">
        <v>39</v>
      </c>
      <c r="N2037" t="s">
        <v>8245</v>
      </c>
      <c r="O2037" s="1">
        <v>17358</v>
      </c>
      <c r="P2037" t="s">
        <v>6642</v>
      </c>
      <c r="Q2037" t="s">
        <v>6643</v>
      </c>
      <c r="S2037" s="1">
        <v>45020.209027777775</v>
      </c>
      <c r="V2037">
        <v>1947</v>
      </c>
      <c r="W2037">
        <v>99.55</v>
      </c>
      <c r="X2037">
        <v>0.4</v>
      </c>
      <c r="Y2037" s="2">
        <v>703082435360</v>
      </c>
      <c r="Z2037">
        <v>59.6</v>
      </c>
      <c r="AA2037">
        <v>105.2</v>
      </c>
      <c r="AB2037">
        <v>10.1</v>
      </c>
      <c r="AC2037">
        <v>28.8</v>
      </c>
      <c r="AD2037">
        <v>8574832</v>
      </c>
    </row>
    <row r="2038" spans="1:30" hidden="1" x14ac:dyDescent="0.45">
      <c r="A2038">
        <v>2020</v>
      </c>
      <c r="B2038">
        <v>1400</v>
      </c>
      <c r="C2038" t="s">
        <v>45</v>
      </c>
      <c r="D2038" t="s">
        <v>6644</v>
      </c>
      <c r="E2038">
        <v>44</v>
      </c>
      <c r="F2038" t="s">
        <v>35</v>
      </c>
      <c r="G2038" t="s">
        <v>991</v>
      </c>
      <c r="H2038" t="s">
        <v>6645</v>
      </c>
      <c r="I2038" t="s">
        <v>45</v>
      </c>
      <c r="J2038" t="s">
        <v>577</v>
      </c>
      <c r="L2038" t="b">
        <v>1</v>
      </c>
      <c r="M2038" t="s">
        <v>39</v>
      </c>
      <c r="N2038" t="s">
        <v>8245</v>
      </c>
      <c r="O2038" s="1">
        <v>28832</v>
      </c>
      <c r="P2038" t="s">
        <v>6646</v>
      </c>
      <c r="Q2038" t="s">
        <v>2330</v>
      </c>
      <c r="S2038" s="1">
        <v>45020.209027777775</v>
      </c>
      <c r="T2038" t="s">
        <v>115</v>
      </c>
      <c r="U2038" t="s">
        <v>53</v>
      </c>
      <c r="V2038">
        <v>1978</v>
      </c>
      <c r="W2038">
        <v>117.24</v>
      </c>
      <c r="X2038">
        <v>7.5</v>
      </c>
      <c r="Y2038" s="2">
        <v>21427700000000</v>
      </c>
      <c r="Z2038">
        <v>88.2</v>
      </c>
      <c r="AA2038">
        <v>101.8</v>
      </c>
      <c r="AB2038">
        <v>9.6</v>
      </c>
      <c r="AC2038">
        <v>36.6</v>
      </c>
      <c r="AD2038">
        <v>328239523</v>
      </c>
    </row>
    <row r="2039" spans="1:30" hidden="1" x14ac:dyDescent="0.45">
      <c r="A2039">
        <v>2020</v>
      </c>
      <c r="B2039">
        <v>1400</v>
      </c>
      <c r="C2039" t="s">
        <v>91</v>
      </c>
      <c r="D2039" t="s">
        <v>6647</v>
      </c>
      <c r="E2039">
        <v>55</v>
      </c>
      <c r="F2039" t="s">
        <v>1111</v>
      </c>
      <c r="G2039" t="s">
        <v>1112</v>
      </c>
      <c r="H2039" t="s">
        <v>91</v>
      </c>
      <c r="I2039" t="s">
        <v>91</v>
      </c>
      <c r="J2039" t="s">
        <v>1111</v>
      </c>
      <c r="L2039" t="b">
        <v>0</v>
      </c>
      <c r="M2039" t="s">
        <v>39</v>
      </c>
      <c r="N2039" t="s">
        <v>8245</v>
      </c>
      <c r="O2039" s="1">
        <v>24807</v>
      </c>
      <c r="P2039" t="s">
        <v>6648</v>
      </c>
      <c r="Q2039" t="s">
        <v>6649</v>
      </c>
      <c r="S2039" s="1">
        <v>45020.209027777775</v>
      </c>
      <c r="V2039">
        <v>1967</v>
      </c>
      <c r="W2039">
        <v>129.61000000000001</v>
      </c>
      <c r="X2039">
        <v>2.5</v>
      </c>
      <c r="Y2039" s="2">
        <v>376795508680</v>
      </c>
      <c r="Z2039">
        <v>35.5</v>
      </c>
      <c r="AA2039">
        <v>107.5</v>
      </c>
      <c r="AB2039">
        <v>14</v>
      </c>
      <c r="AC2039">
        <v>43.1</v>
      </c>
      <c r="AD2039">
        <v>108116615</v>
      </c>
    </row>
    <row r="2040" spans="1:30" hidden="1" x14ac:dyDescent="0.45">
      <c r="A2040">
        <v>2020</v>
      </c>
      <c r="B2040">
        <v>1400</v>
      </c>
      <c r="C2040" t="s">
        <v>126</v>
      </c>
      <c r="D2040" t="s">
        <v>6650</v>
      </c>
      <c r="E2040">
        <v>53</v>
      </c>
      <c r="F2040" t="s">
        <v>128</v>
      </c>
      <c r="G2040" t="s">
        <v>719</v>
      </c>
      <c r="H2040" t="s">
        <v>6651</v>
      </c>
      <c r="I2040" t="s">
        <v>126</v>
      </c>
      <c r="J2040" t="s">
        <v>128</v>
      </c>
      <c r="L2040" t="b">
        <v>1</v>
      </c>
      <c r="M2040" t="s">
        <v>29</v>
      </c>
      <c r="N2040" t="s">
        <v>8245</v>
      </c>
      <c r="O2040"/>
      <c r="P2040" t="s">
        <v>6652</v>
      </c>
      <c r="Q2040" t="s">
        <v>6653</v>
      </c>
      <c r="S2040" s="1">
        <v>45020.209027777775</v>
      </c>
      <c r="W2040">
        <v>125.08</v>
      </c>
      <c r="X2040">
        <v>2.9</v>
      </c>
      <c r="Y2040" s="2">
        <v>19910000000000</v>
      </c>
      <c r="Z2040">
        <v>50.6</v>
      </c>
      <c r="AA2040">
        <v>100.2</v>
      </c>
      <c r="AB2040">
        <v>9.4</v>
      </c>
      <c r="AC2040">
        <v>59.2</v>
      </c>
      <c r="AD2040">
        <v>1397715000</v>
      </c>
    </row>
    <row r="2041" spans="1:30" hidden="1" x14ac:dyDescent="0.45">
      <c r="A2041">
        <v>2020</v>
      </c>
      <c r="B2041">
        <v>1400</v>
      </c>
      <c r="C2041" t="s">
        <v>296</v>
      </c>
      <c r="D2041" t="s">
        <v>6654</v>
      </c>
      <c r="E2041">
        <v>64</v>
      </c>
      <c r="F2041" t="s">
        <v>93</v>
      </c>
      <c r="G2041" t="s">
        <v>6655</v>
      </c>
      <c r="H2041" t="s">
        <v>6656</v>
      </c>
      <c r="I2041" t="s">
        <v>296</v>
      </c>
      <c r="J2041" t="s">
        <v>93</v>
      </c>
      <c r="L2041" t="b">
        <v>1</v>
      </c>
      <c r="M2041" t="s">
        <v>39</v>
      </c>
      <c r="N2041" t="s">
        <v>8245</v>
      </c>
      <c r="O2041" s="1">
        <v>21552</v>
      </c>
      <c r="P2041" t="s">
        <v>2725</v>
      </c>
      <c r="Q2041" t="s">
        <v>6657</v>
      </c>
      <c r="S2041" s="1">
        <v>45020.209027777775</v>
      </c>
      <c r="V2041">
        <v>1959</v>
      </c>
      <c r="W2041">
        <v>180.44</v>
      </c>
      <c r="X2041">
        <v>7.7</v>
      </c>
      <c r="Y2041" s="2">
        <v>2611000000000</v>
      </c>
      <c r="Z2041">
        <v>28.1</v>
      </c>
      <c r="AA2041">
        <v>113</v>
      </c>
      <c r="AB2041">
        <v>11.2</v>
      </c>
      <c r="AC2041">
        <v>49.7</v>
      </c>
      <c r="AD2041">
        <v>1366417754</v>
      </c>
    </row>
    <row r="2042" spans="1:30" hidden="1" x14ac:dyDescent="0.45">
      <c r="A2042">
        <v>2020</v>
      </c>
      <c r="B2042">
        <v>1400</v>
      </c>
      <c r="C2042" t="s">
        <v>436</v>
      </c>
      <c r="D2042" t="s">
        <v>6658</v>
      </c>
      <c r="E2042">
        <v>80</v>
      </c>
      <c r="F2042" t="s">
        <v>205</v>
      </c>
      <c r="G2042" t="s">
        <v>2011</v>
      </c>
      <c r="H2042" t="s">
        <v>6659</v>
      </c>
      <c r="I2042" t="s">
        <v>436</v>
      </c>
      <c r="J2042" t="s">
        <v>1297</v>
      </c>
      <c r="L2042" t="b">
        <v>1</v>
      </c>
      <c r="M2042" t="s">
        <v>39</v>
      </c>
      <c r="N2042" t="s">
        <v>8245</v>
      </c>
      <c r="O2042" s="1">
        <v>15755</v>
      </c>
      <c r="P2042" t="s">
        <v>2595</v>
      </c>
      <c r="Q2042" t="s">
        <v>6660</v>
      </c>
      <c r="S2042" s="1">
        <v>45020.209027777775</v>
      </c>
      <c r="V2042">
        <v>1943</v>
      </c>
      <c r="W2042">
        <v>99.55</v>
      </c>
      <c r="X2042">
        <v>0.4</v>
      </c>
      <c r="Y2042" s="2">
        <v>703082435360</v>
      </c>
      <c r="Z2042">
        <v>59.6</v>
      </c>
      <c r="AA2042">
        <v>105.2</v>
      </c>
      <c r="AB2042">
        <v>10.1</v>
      </c>
      <c r="AC2042">
        <v>28.8</v>
      </c>
      <c r="AD2042">
        <v>8574832</v>
      </c>
    </row>
    <row r="2043" spans="1:30" hidden="1" x14ac:dyDescent="0.45">
      <c r="A2043">
        <v>2020</v>
      </c>
      <c r="B2043">
        <v>1400</v>
      </c>
      <c r="C2043" t="s">
        <v>689</v>
      </c>
      <c r="D2043" t="s">
        <v>6661</v>
      </c>
      <c r="E2043">
        <v>44</v>
      </c>
      <c r="F2043" t="s">
        <v>25</v>
      </c>
      <c r="G2043" t="s">
        <v>26</v>
      </c>
      <c r="H2043" t="s">
        <v>1367</v>
      </c>
      <c r="I2043" t="s">
        <v>689</v>
      </c>
      <c r="J2043" t="s">
        <v>3941</v>
      </c>
      <c r="L2043" t="b">
        <v>0</v>
      </c>
      <c r="M2043" t="s">
        <v>611</v>
      </c>
      <c r="N2043" t="s">
        <v>8245</v>
      </c>
      <c r="O2043" s="1">
        <v>28626</v>
      </c>
      <c r="P2043" t="s">
        <v>5011</v>
      </c>
      <c r="Q2043" t="s">
        <v>6662</v>
      </c>
      <c r="S2043" s="1">
        <v>45020.209027777775</v>
      </c>
      <c r="V2043">
        <v>1978</v>
      </c>
      <c r="W2043">
        <v>110.05</v>
      </c>
      <c r="X2043">
        <v>1.1000000000000001</v>
      </c>
      <c r="Y2043" s="2">
        <v>2715518274227</v>
      </c>
      <c r="Z2043">
        <v>65.599999999999994</v>
      </c>
      <c r="AA2043">
        <v>102.5</v>
      </c>
      <c r="AB2043">
        <v>24.2</v>
      </c>
      <c r="AC2043">
        <v>60.7</v>
      </c>
      <c r="AD2043">
        <v>67059887</v>
      </c>
    </row>
    <row r="2044" spans="1:30" hidden="1" x14ac:dyDescent="0.45">
      <c r="A2044">
        <v>2020</v>
      </c>
      <c r="B2044">
        <v>1400</v>
      </c>
      <c r="C2044" t="s">
        <v>61</v>
      </c>
      <c r="D2044" t="s">
        <v>6663</v>
      </c>
      <c r="E2044">
        <v>79</v>
      </c>
      <c r="F2044" t="s">
        <v>85</v>
      </c>
      <c r="G2044" t="s">
        <v>86</v>
      </c>
      <c r="H2044" t="s">
        <v>5414</v>
      </c>
      <c r="I2044" t="s">
        <v>61</v>
      </c>
      <c r="J2044" t="s">
        <v>85</v>
      </c>
      <c r="L2044" t="b">
        <v>1</v>
      </c>
      <c r="M2044" t="s">
        <v>29</v>
      </c>
      <c r="N2044" t="s">
        <v>8245</v>
      </c>
      <c r="O2044" s="1">
        <v>16142</v>
      </c>
      <c r="P2044" t="s">
        <v>6664</v>
      </c>
      <c r="Q2044" t="s">
        <v>6067</v>
      </c>
      <c r="S2044" s="1">
        <v>45020.209027777775</v>
      </c>
      <c r="V2044">
        <v>1944</v>
      </c>
      <c r="W2044">
        <v>141.54</v>
      </c>
      <c r="X2044">
        <v>3.6</v>
      </c>
      <c r="Y2044" s="2">
        <v>1258286717125</v>
      </c>
      <c r="Z2044">
        <v>40.200000000000003</v>
      </c>
      <c r="AA2044">
        <v>105.8</v>
      </c>
      <c r="AB2044">
        <v>13.1</v>
      </c>
      <c r="AC2044">
        <v>55.1</v>
      </c>
      <c r="AD2044">
        <v>126014024</v>
      </c>
    </row>
    <row r="2045" spans="1:30" hidden="1" x14ac:dyDescent="0.45">
      <c r="A2045">
        <v>2020</v>
      </c>
      <c r="B2045">
        <v>1400</v>
      </c>
      <c r="C2045" t="s">
        <v>33</v>
      </c>
      <c r="D2045" t="s">
        <v>6665</v>
      </c>
      <c r="E2045">
        <v>45</v>
      </c>
      <c r="F2045" t="s">
        <v>128</v>
      </c>
      <c r="G2045" t="s">
        <v>719</v>
      </c>
      <c r="H2045" t="s">
        <v>2905</v>
      </c>
      <c r="I2045" t="s">
        <v>33</v>
      </c>
      <c r="J2045" t="s">
        <v>128</v>
      </c>
      <c r="L2045" t="b">
        <v>1</v>
      </c>
      <c r="M2045" t="s">
        <v>39</v>
      </c>
      <c r="N2045" t="s">
        <v>8245</v>
      </c>
      <c r="O2045" s="1">
        <v>28432</v>
      </c>
      <c r="P2045" t="s">
        <v>390</v>
      </c>
      <c r="Q2045" t="s">
        <v>6666</v>
      </c>
      <c r="S2045" s="1">
        <v>45020.209027777775</v>
      </c>
      <c r="V2045">
        <v>1977</v>
      </c>
      <c r="W2045">
        <v>125.08</v>
      </c>
      <c r="X2045">
        <v>2.9</v>
      </c>
      <c r="Y2045" s="2">
        <v>19910000000000</v>
      </c>
      <c r="Z2045">
        <v>50.6</v>
      </c>
      <c r="AA2045">
        <v>100.2</v>
      </c>
      <c r="AB2045">
        <v>9.4</v>
      </c>
      <c r="AC2045">
        <v>59.2</v>
      </c>
      <c r="AD2045">
        <v>1397715000</v>
      </c>
    </row>
    <row r="2046" spans="1:30" hidden="1" x14ac:dyDescent="0.45">
      <c r="A2046">
        <v>2020</v>
      </c>
      <c r="B2046">
        <v>1400</v>
      </c>
      <c r="C2046" t="s">
        <v>23</v>
      </c>
      <c r="D2046" t="s">
        <v>6667</v>
      </c>
      <c r="E2046">
        <v>65</v>
      </c>
      <c r="F2046" t="s">
        <v>272</v>
      </c>
      <c r="G2046" t="s">
        <v>273</v>
      </c>
      <c r="H2046" t="s">
        <v>2022</v>
      </c>
      <c r="I2046" t="s">
        <v>23</v>
      </c>
      <c r="J2046" t="s">
        <v>194</v>
      </c>
      <c r="L2046" t="b">
        <v>0</v>
      </c>
      <c r="M2046" t="s">
        <v>611</v>
      </c>
      <c r="N2046" t="s">
        <v>8245</v>
      </c>
      <c r="O2046" s="1">
        <v>21227</v>
      </c>
      <c r="P2046" t="s">
        <v>6668</v>
      </c>
      <c r="Q2046" t="s">
        <v>4746</v>
      </c>
      <c r="S2046" s="1">
        <v>45020.209027777775</v>
      </c>
      <c r="V2046">
        <v>1958</v>
      </c>
      <c r="W2046">
        <v>119.62</v>
      </c>
      <c r="X2046">
        <v>1.7</v>
      </c>
      <c r="Y2046" s="2">
        <v>2827113184696</v>
      </c>
      <c r="Z2046">
        <v>60</v>
      </c>
      <c r="AA2046">
        <v>101.2</v>
      </c>
      <c r="AB2046">
        <v>25.5</v>
      </c>
      <c r="AC2046">
        <v>30.6</v>
      </c>
      <c r="AD2046">
        <v>66834405</v>
      </c>
    </row>
    <row r="2047" spans="1:30" hidden="1" x14ac:dyDescent="0.45">
      <c r="A2047">
        <v>2020</v>
      </c>
      <c r="B2047">
        <v>1400</v>
      </c>
      <c r="C2047" t="s">
        <v>23</v>
      </c>
      <c r="D2047" t="s">
        <v>6669</v>
      </c>
      <c r="E2047">
        <v>81</v>
      </c>
      <c r="F2047" t="s">
        <v>35</v>
      </c>
      <c r="G2047" t="s">
        <v>6670</v>
      </c>
      <c r="H2047" t="s">
        <v>268</v>
      </c>
      <c r="I2047" t="s">
        <v>23</v>
      </c>
      <c r="J2047" t="s">
        <v>35</v>
      </c>
      <c r="L2047" t="b">
        <v>0</v>
      </c>
      <c r="M2047" t="s">
        <v>611</v>
      </c>
      <c r="N2047" t="s">
        <v>8245</v>
      </c>
      <c r="O2047" s="1">
        <v>15127</v>
      </c>
      <c r="P2047" t="s">
        <v>6671</v>
      </c>
      <c r="Q2047" t="s">
        <v>520</v>
      </c>
      <c r="S2047" s="1">
        <v>45020.209027777775</v>
      </c>
      <c r="T2047" t="s">
        <v>68</v>
      </c>
      <c r="U2047" t="s">
        <v>69</v>
      </c>
      <c r="V2047">
        <v>1941</v>
      </c>
      <c r="W2047">
        <v>117.24</v>
      </c>
      <c r="X2047">
        <v>7.5</v>
      </c>
      <c r="Y2047" s="2">
        <v>21427700000000</v>
      </c>
      <c r="Z2047">
        <v>88.2</v>
      </c>
      <c r="AA2047">
        <v>101.8</v>
      </c>
      <c r="AB2047">
        <v>9.6</v>
      </c>
      <c r="AC2047">
        <v>36.6</v>
      </c>
      <c r="AD2047">
        <v>328239523</v>
      </c>
    </row>
    <row r="2048" spans="1:30" x14ac:dyDescent="0.45">
      <c r="A2048">
        <v>2020</v>
      </c>
      <c r="B2048" s="6">
        <v>1400</v>
      </c>
      <c r="C2048" t="s">
        <v>45</v>
      </c>
      <c r="D2048" t="s">
        <v>6672</v>
      </c>
      <c r="E2048">
        <v>40</v>
      </c>
      <c r="F2048" t="s">
        <v>35</v>
      </c>
      <c r="G2048" t="s">
        <v>36</v>
      </c>
      <c r="H2048" t="s">
        <v>6673</v>
      </c>
      <c r="I2048" t="s">
        <v>45</v>
      </c>
      <c r="J2048" t="s">
        <v>35</v>
      </c>
      <c r="K2048" t="s">
        <v>6674</v>
      </c>
      <c r="L2048" t="b">
        <v>1</v>
      </c>
      <c r="M2048" t="s">
        <v>39</v>
      </c>
      <c r="N2048" t="s">
        <v>8245</v>
      </c>
      <c r="O2048" s="10">
        <v>30379</v>
      </c>
      <c r="P2048" t="s">
        <v>870</v>
      </c>
      <c r="Q2048" t="s">
        <v>6675</v>
      </c>
      <c r="R2048" t="s">
        <v>42</v>
      </c>
      <c r="S2048" s="8">
        <v>45020.209027777775</v>
      </c>
      <c r="T2048" t="s">
        <v>43</v>
      </c>
      <c r="U2048" t="s">
        <v>44</v>
      </c>
      <c r="V2048">
        <v>1983</v>
      </c>
      <c r="W2048" s="12">
        <v>117.24</v>
      </c>
      <c r="X2048">
        <v>7.5</v>
      </c>
      <c r="Y2048" s="14">
        <v>21427700000000</v>
      </c>
      <c r="Z2048">
        <v>88.2</v>
      </c>
      <c r="AA2048">
        <v>101.8</v>
      </c>
      <c r="AB2048">
        <v>9.6</v>
      </c>
      <c r="AC2048">
        <v>36.6</v>
      </c>
      <c r="AD2048">
        <v>328239523</v>
      </c>
    </row>
    <row r="2049" spans="1:30" hidden="1" x14ac:dyDescent="0.45">
      <c r="A2049">
        <v>2020</v>
      </c>
      <c r="B2049">
        <v>1400</v>
      </c>
      <c r="C2049" t="s">
        <v>296</v>
      </c>
      <c r="D2049" t="s">
        <v>6676</v>
      </c>
      <c r="E2049">
        <v>58</v>
      </c>
      <c r="F2049" t="s">
        <v>128</v>
      </c>
      <c r="G2049" t="s">
        <v>6677</v>
      </c>
      <c r="H2049" t="s">
        <v>399</v>
      </c>
      <c r="I2049" t="s">
        <v>296</v>
      </c>
      <c r="J2049" t="s">
        <v>128</v>
      </c>
      <c r="L2049" t="b">
        <v>1</v>
      </c>
      <c r="M2049" t="s">
        <v>29</v>
      </c>
      <c r="N2049" t="s">
        <v>8245</v>
      </c>
      <c r="O2049" s="1">
        <v>23769</v>
      </c>
      <c r="P2049" t="s">
        <v>294</v>
      </c>
      <c r="Q2049" t="s">
        <v>6678</v>
      </c>
      <c r="S2049" s="1">
        <v>45020.209027777775</v>
      </c>
      <c r="V2049">
        <v>1965</v>
      </c>
      <c r="W2049">
        <v>125.08</v>
      </c>
      <c r="X2049">
        <v>2.9</v>
      </c>
      <c r="Y2049" s="2">
        <v>19910000000000</v>
      </c>
      <c r="Z2049">
        <v>50.6</v>
      </c>
      <c r="AA2049">
        <v>100.2</v>
      </c>
      <c r="AB2049">
        <v>9.4</v>
      </c>
      <c r="AC2049">
        <v>59.2</v>
      </c>
      <c r="AD2049">
        <v>1397715000</v>
      </c>
    </row>
    <row r="2050" spans="1:30" hidden="1" x14ac:dyDescent="0.45">
      <c r="A2050">
        <v>2020</v>
      </c>
      <c r="B2050">
        <v>1400</v>
      </c>
      <c r="C2050" t="s">
        <v>296</v>
      </c>
      <c r="D2050" t="s">
        <v>6679</v>
      </c>
      <c r="E2050">
        <v>74</v>
      </c>
      <c r="F2050" t="s">
        <v>93</v>
      </c>
      <c r="G2050" t="s">
        <v>94</v>
      </c>
      <c r="H2050" t="s">
        <v>6680</v>
      </c>
      <c r="I2050" t="s">
        <v>296</v>
      </c>
      <c r="J2050" t="s">
        <v>93</v>
      </c>
      <c r="L2050" t="b">
        <v>1</v>
      </c>
      <c r="M2050" t="s">
        <v>29</v>
      </c>
      <c r="N2050" t="s">
        <v>8245</v>
      </c>
      <c r="O2050" s="1">
        <v>17706</v>
      </c>
      <c r="P2050" t="s">
        <v>3696</v>
      </c>
      <c r="Q2050" t="s">
        <v>6681</v>
      </c>
      <c r="S2050" s="1">
        <v>45020.209027777775</v>
      </c>
      <c r="V2050">
        <v>1948</v>
      </c>
      <c r="W2050">
        <v>180.44</v>
      </c>
      <c r="X2050">
        <v>7.7</v>
      </c>
      <c r="Y2050" s="2">
        <v>2611000000000</v>
      </c>
      <c r="Z2050">
        <v>28.1</v>
      </c>
      <c r="AA2050">
        <v>113</v>
      </c>
      <c r="AB2050">
        <v>11.2</v>
      </c>
      <c r="AC2050">
        <v>49.7</v>
      </c>
      <c r="AD2050">
        <v>1366417754</v>
      </c>
    </row>
    <row r="2051" spans="1:30" hidden="1" x14ac:dyDescent="0.45">
      <c r="A2051">
        <v>2020</v>
      </c>
      <c r="B2051">
        <v>1400</v>
      </c>
      <c r="C2051" t="s">
        <v>402</v>
      </c>
      <c r="D2051" t="s">
        <v>6682</v>
      </c>
      <c r="E2051">
        <v>68</v>
      </c>
      <c r="F2051" t="s">
        <v>128</v>
      </c>
      <c r="G2051" t="s">
        <v>777</v>
      </c>
      <c r="H2051" t="s">
        <v>610</v>
      </c>
      <c r="I2051" t="s">
        <v>402</v>
      </c>
      <c r="J2051" t="s">
        <v>128</v>
      </c>
      <c r="L2051" t="b">
        <v>1</v>
      </c>
      <c r="M2051" t="s">
        <v>39</v>
      </c>
      <c r="N2051" t="s">
        <v>8245</v>
      </c>
      <c r="O2051" s="1">
        <v>19906</v>
      </c>
      <c r="P2051" t="s">
        <v>6389</v>
      </c>
      <c r="Q2051" t="s">
        <v>6683</v>
      </c>
      <c r="S2051" s="1">
        <v>45020.209027777775</v>
      </c>
      <c r="V2051">
        <v>1954</v>
      </c>
      <c r="W2051">
        <v>125.08</v>
      </c>
      <c r="X2051">
        <v>2.9</v>
      </c>
      <c r="Y2051" s="2">
        <v>19910000000000</v>
      </c>
      <c r="Z2051">
        <v>50.6</v>
      </c>
      <c r="AA2051">
        <v>100.2</v>
      </c>
      <c r="AB2051">
        <v>9.4</v>
      </c>
      <c r="AC2051">
        <v>59.2</v>
      </c>
      <c r="AD2051">
        <v>1397715000</v>
      </c>
    </row>
    <row r="2052" spans="1:30" hidden="1" x14ac:dyDescent="0.45">
      <c r="A2052">
        <v>2020</v>
      </c>
      <c r="B2052">
        <v>1400</v>
      </c>
      <c r="C2052" t="s">
        <v>76</v>
      </c>
      <c r="D2052" t="s">
        <v>6684</v>
      </c>
      <c r="E2052">
        <v>56</v>
      </c>
      <c r="F2052" t="s">
        <v>928</v>
      </c>
      <c r="G2052" t="s">
        <v>929</v>
      </c>
      <c r="H2052" t="s">
        <v>336</v>
      </c>
      <c r="I2052" t="s">
        <v>76</v>
      </c>
      <c r="J2052" t="s">
        <v>928</v>
      </c>
      <c r="K2052" t="s">
        <v>6685</v>
      </c>
      <c r="L2052" t="b">
        <v>1</v>
      </c>
      <c r="M2052" t="s">
        <v>39</v>
      </c>
      <c r="N2052" t="s">
        <v>8245</v>
      </c>
      <c r="O2052" s="1">
        <v>24545</v>
      </c>
      <c r="P2052" t="s">
        <v>932</v>
      </c>
      <c r="Q2052" t="s">
        <v>6686</v>
      </c>
      <c r="S2052" s="1">
        <v>45020.209027777775</v>
      </c>
      <c r="V2052">
        <v>1967</v>
      </c>
      <c r="W2052">
        <v>115.16</v>
      </c>
      <c r="X2052">
        <v>0.4</v>
      </c>
      <c r="Y2052" s="2">
        <v>2029000000000</v>
      </c>
      <c r="Z2052">
        <v>94.3</v>
      </c>
      <c r="AA2052">
        <v>98.1</v>
      </c>
      <c r="AB2052">
        <v>15.6</v>
      </c>
      <c r="AC2052">
        <v>33.200000000000003</v>
      </c>
      <c r="AD2052">
        <v>51709098</v>
      </c>
    </row>
    <row r="2053" spans="1:30" hidden="1" x14ac:dyDescent="0.45">
      <c r="A2053">
        <v>2020</v>
      </c>
      <c r="B2053">
        <v>1400</v>
      </c>
      <c r="C2053" t="s">
        <v>302</v>
      </c>
      <c r="D2053" t="s">
        <v>6687</v>
      </c>
      <c r="E2053">
        <v>59</v>
      </c>
      <c r="F2053" t="s">
        <v>574</v>
      </c>
      <c r="G2053" t="s">
        <v>574</v>
      </c>
      <c r="H2053" t="s">
        <v>6399</v>
      </c>
      <c r="I2053" t="s">
        <v>302</v>
      </c>
      <c r="J2053" t="s">
        <v>574</v>
      </c>
      <c r="L2053" t="b">
        <v>1</v>
      </c>
      <c r="M2053" t="s">
        <v>29</v>
      </c>
      <c r="N2053" t="s">
        <v>8245</v>
      </c>
      <c r="O2053" s="1">
        <v>23193</v>
      </c>
      <c r="P2053" t="s">
        <v>6688</v>
      </c>
      <c r="Q2053" t="s">
        <v>6689</v>
      </c>
      <c r="S2053" s="1">
        <v>45020.209027777775</v>
      </c>
      <c r="V2053">
        <v>1963</v>
      </c>
      <c r="W2053">
        <v>114.41</v>
      </c>
      <c r="X2053">
        <v>0.6</v>
      </c>
      <c r="Y2053" s="2">
        <v>372062527489</v>
      </c>
      <c r="Z2053">
        <v>84.8</v>
      </c>
      <c r="AA2053">
        <v>100.6</v>
      </c>
      <c r="AB2053">
        <v>13.1</v>
      </c>
      <c r="AC2053">
        <v>21</v>
      </c>
      <c r="AD2053">
        <v>5703569</v>
      </c>
    </row>
    <row r="2054" spans="1:30" hidden="1" x14ac:dyDescent="0.45">
      <c r="A2054">
        <v>2020</v>
      </c>
      <c r="B2054">
        <v>1400</v>
      </c>
      <c r="C2054" t="s">
        <v>296</v>
      </c>
      <c r="D2054" t="s">
        <v>6690</v>
      </c>
      <c r="E2054">
        <v>51</v>
      </c>
      <c r="F2054" t="s">
        <v>363</v>
      </c>
      <c r="G2054" t="s">
        <v>381</v>
      </c>
      <c r="H2054" t="s">
        <v>3991</v>
      </c>
      <c r="I2054" t="s">
        <v>296</v>
      </c>
      <c r="J2054" t="s">
        <v>363</v>
      </c>
      <c r="L2054" t="b">
        <v>1</v>
      </c>
      <c r="M2054" t="s">
        <v>29</v>
      </c>
      <c r="N2054" t="s">
        <v>8245</v>
      </c>
      <c r="O2054" s="1">
        <v>26354</v>
      </c>
      <c r="P2054" t="s">
        <v>6691</v>
      </c>
      <c r="Q2054" t="s">
        <v>3423</v>
      </c>
      <c r="S2054" s="1">
        <v>45020.209027777775</v>
      </c>
      <c r="V2054">
        <v>1972</v>
      </c>
      <c r="W2054">
        <v>180.75</v>
      </c>
      <c r="X2054">
        <v>4.5</v>
      </c>
      <c r="Y2054" s="2">
        <v>1699876578871</v>
      </c>
      <c r="Z2054">
        <v>81.900000000000006</v>
      </c>
      <c r="AA2054">
        <v>102.6</v>
      </c>
      <c r="AB2054">
        <v>11.4</v>
      </c>
      <c r="AC2054">
        <v>46.2</v>
      </c>
      <c r="AD2054">
        <v>144373535</v>
      </c>
    </row>
    <row r="2055" spans="1:30" hidden="1" x14ac:dyDescent="0.45">
      <c r="A2055">
        <v>2020</v>
      </c>
      <c r="B2055">
        <v>1400</v>
      </c>
      <c r="C2055" t="s">
        <v>61</v>
      </c>
      <c r="D2055" t="s">
        <v>6692</v>
      </c>
      <c r="E2055">
        <v>76</v>
      </c>
      <c r="F2055" t="s">
        <v>93</v>
      </c>
      <c r="G2055" t="s">
        <v>94</v>
      </c>
      <c r="H2055" t="s">
        <v>2380</v>
      </c>
      <c r="I2055" t="s">
        <v>61</v>
      </c>
      <c r="J2055" t="s">
        <v>93</v>
      </c>
      <c r="L2055" t="b">
        <v>0</v>
      </c>
      <c r="M2055" t="s">
        <v>39</v>
      </c>
      <c r="N2055" t="s">
        <v>8245</v>
      </c>
      <c r="O2055" s="1">
        <v>17040</v>
      </c>
      <c r="P2055" t="s">
        <v>6693</v>
      </c>
      <c r="Q2055" t="s">
        <v>6694</v>
      </c>
      <c r="S2055" s="1">
        <v>45020.209027777775</v>
      </c>
      <c r="V2055">
        <v>1946</v>
      </c>
      <c r="W2055">
        <v>180.44</v>
      </c>
      <c r="X2055">
        <v>7.7</v>
      </c>
      <c r="Y2055" s="2">
        <v>2611000000000</v>
      </c>
      <c r="Z2055">
        <v>28.1</v>
      </c>
      <c r="AA2055">
        <v>113</v>
      </c>
      <c r="AB2055">
        <v>11.2</v>
      </c>
      <c r="AC2055">
        <v>49.7</v>
      </c>
      <c r="AD2055">
        <v>1366417754</v>
      </c>
    </row>
    <row r="2056" spans="1:30" hidden="1" x14ac:dyDescent="0.45">
      <c r="A2056">
        <v>2020</v>
      </c>
      <c r="B2056">
        <v>1400</v>
      </c>
      <c r="C2056" t="s">
        <v>61</v>
      </c>
      <c r="D2056" t="s">
        <v>6695</v>
      </c>
      <c r="E2056">
        <v>42</v>
      </c>
      <c r="F2056" t="s">
        <v>205</v>
      </c>
      <c r="H2056" t="s">
        <v>91</v>
      </c>
      <c r="I2056" t="s">
        <v>61</v>
      </c>
      <c r="J2056" t="s">
        <v>1761</v>
      </c>
      <c r="L2056" t="b">
        <v>0</v>
      </c>
      <c r="M2056" t="s">
        <v>611</v>
      </c>
      <c r="N2056" t="s">
        <v>8245</v>
      </c>
      <c r="O2056" s="1">
        <v>29541</v>
      </c>
      <c r="P2056" t="s">
        <v>5437</v>
      </c>
      <c r="Q2056" t="s">
        <v>3849</v>
      </c>
      <c r="S2056" s="1">
        <v>45020.209027777775</v>
      </c>
      <c r="V2056">
        <v>1980</v>
      </c>
      <c r="W2056">
        <v>99.55</v>
      </c>
      <c r="X2056">
        <v>0.4</v>
      </c>
      <c r="Y2056" s="2">
        <v>703082435360</v>
      </c>
      <c r="Z2056">
        <v>59.6</v>
      </c>
      <c r="AA2056">
        <v>105.2</v>
      </c>
      <c r="AB2056">
        <v>10.1</v>
      </c>
      <c r="AC2056">
        <v>28.8</v>
      </c>
      <c r="AD2056">
        <v>8574832</v>
      </c>
    </row>
    <row r="2057" spans="1:30" hidden="1" x14ac:dyDescent="0.45">
      <c r="A2057">
        <v>2020</v>
      </c>
      <c r="B2057">
        <v>1400</v>
      </c>
      <c r="C2057" t="s">
        <v>302</v>
      </c>
      <c r="D2057" t="s">
        <v>6696</v>
      </c>
      <c r="E2057">
        <v>77</v>
      </c>
      <c r="F2057" t="s">
        <v>574</v>
      </c>
      <c r="G2057" t="s">
        <v>574</v>
      </c>
      <c r="H2057" t="s">
        <v>304</v>
      </c>
      <c r="I2057" t="s">
        <v>302</v>
      </c>
      <c r="J2057" t="s">
        <v>574</v>
      </c>
      <c r="L2057" t="b">
        <v>0</v>
      </c>
      <c r="M2057" t="s">
        <v>285</v>
      </c>
      <c r="N2057" t="s">
        <v>8245</v>
      </c>
      <c r="O2057" s="1">
        <v>16803</v>
      </c>
      <c r="P2057" t="s">
        <v>6697</v>
      </c>
      <c r="Q2057" t="s">
        <v>6698</v>
      </c>
      <c r="S2057" s="1">
        <v>45020.209027777775</v>
      </c>
      <c r="V2057">
        <v>1946</v>
      </c>
      <c r="W2057">
        <v>114.41</v>
      </c>
      <c r="X2057">
        <v>0.6</v>
      </c>
      <c r="Y2057" s="2">
        <v>372062527489</v>
      </c>
      <c r="Z2057">
        <v>84.8</v>
      </c>
      <c r="AA2057">
        <v>100.6</v>
      </c>
      <c r="AB2057">
        <v>13.1</v>
      </c>
      <c r="AC2057">
        <v>21</v>
      </c>
      <c r="AD2057">
        <v>5703569</v>
      </c>
    </row>
    <row r="2058" spans="1:30" hidden="1" x14ac:dyDescent="0.45">
      <c r="A2058">
        <v>2020</v>
      </c>
      <c r="B2058">
        <v>1400</v>
      </c>
      <c r="C2058" t="s">
        <v>302</v>
      </c>
      <c r="D2058" t="s">
        <v>6699</v>
      </c>
      <c r="E2058">
        <v>65</v>
      </c>
      <c r="F2058" t="s">
        <v>574</v>
      </c>
      <c r="G2058" t="s">
        <v>574</v>
      </c>
      <c r="H2058" t="s">
        <v>304</v>
      </c>
      <c r="I2058" t="s">
        <v>302</v>
      </c>
      <c r="J2058" t="s">
        <v>574</v>
      </c>
      <c r="L2058" t="b">
        <v>0</v>
      </c>
      <c r="M2058" t="s">
        <v>285</v>
      </c>
      <c r="N2058" t="s">
        <v>8245</v>
      </c>
      <c r="O2058" s="1">
        <v>21186</v>
      </c>
      <c r="P2058" t="s">
        <v>6697</v>
      </c>
      <c r="Q2058" t="s">
        <v>6700</v>
      </c>
      <c r="S2058" s="1">
        <v>45020.209027777775</v>
      </c>
      <c r="V2058">
        <v>1958</v>
      </c>
      <c r="W2058">
        <v>114.41</v>
      </c>
      <c r="X2058">
        <v>0.6</v>
      </c>
      <c r="Y2058" s="2">
        <v>372062527489</v>
      </c>
      <c r="Z2058">
        <v>84.8</v>
      </c>
      <c r="AA2058">
        <v>100.6</v>
      </c>
      <c r="AB2058">
        <v>13.1</v>
      </c>
      <c r="AC2058">
        <v>21</v>
      </c>
      <c r="AD2058">
        <v>5703569</v>
      </c>
    </row>
    <row r="2059" spans="1:30" hidden="1" x14ac:dyDescent="0.45">
      <c r="A2059">
        <v>2020</v>
      </c>
      <c r="B2059">
        <v>1400</v>
      </c>
      <c r="C2059" t="s">
        <v>302</v>
      </c>
      <c r="D2059" t="s">
        <v>6701</v>
      </c>
      <c r="E2059">
        <v>70</v>
      </c>
      <c r="F2059" t="s">
        <v>574</v>
      </c>
      <c r="G2059" t="s">
        <v>574</v>
      </c>
      <c r="H2059" t="s">
        <v>304</v>
      </c>
      <c r="I2059" t="s">
        <v>302</v>
      </c>
      <c r="J2059" t="s">
        <v>574</v>
      </c>
      <c r="L2059" t="b">
        <v>0</v>
      </c>
      <c r="M2059" t="s">
        <v>285</v>
      </c>
      <c r="N2059" t="s">
        <v>8245</v>
      </c>
      <c r="O2059" s="1">
        <v>19360</v>
      </c>
      <c r="P2059" t="s">
        <v>6697</v>
      </c>
      <c r="Q2059" t="s">
        <v>6702</v>
      </c>
      <c r="S2059" s="1">
        <v>45020.209027777775</v>
      </c>
      <c r="V2059">
        <v>1953</v>
      </c>
      <c r="W2059">
        <v>114.41</v>
      </c>
      <c r="X2059">
        <v>0.6</v>
      </c>
      <c r="Y2059" s="2">
        <v>372062527489</v>
      </c>
      <c r="Z2059">
        <v>84.8</v>
      </c>
      <c r="AA2059">
        <v>100.6</v>
      </c>
      <c r="AB2059">
        <v>13.1</v>
      </c>
      <c r="AC2059">
        <v>21</v>
      </c>
      <c r="AD2059">
        <v>5703569</v>
      </c>
    </row>
    <row r="2060" spans="1:30" hidden="1" x14ac:dyDescent="0.45">
      <c r="A2060">
        <v>2020</v>
      </c>
      <c r="B2060">
        <v>1400</v>
      </c>
      <c r="C2060" t="s">
        <v>302</v>
      </c>
      <c r="D2060" t="s">
        <v>6703</v>
      </c>
      <c r="E2060">
        <v>76</v>
      </c>
      <c r="F2060" t="s">
        <v>574</v>
      </c>
      <c r="G2060" t="s">
        <v>574</v>
      </c>
      <c r="H2060" t="s">
        <v>304</v>
      </c>
      <c r="I2060" t="s">
        <v>302</v>
      </c>
      <c r="J2060" t="s">
        <v>574</v>
      </c>
      <c r="L2060" t="b">
        <v>0</v>
      </c>
      <c r="M2060" t="s">
        <v>285</v>
      </c>
      <c r="N2060" t="s">
        <v>8245</v>
      </c>
      <c r="O2060" s="1">
        <v>17168</v>
      </c>
      <c r="P2060" t="s">
        <v>6697</v>
      </c>
      <c r="Q2060" t="s">
        <v>6704</v>
      </c>
      <c r="S2060" s="1">
        <v>45020.209027777775</v>
      </c>
      <c r="V2060">
        <v>1947</v>
      </c>
      <c r="W2060">
        <v>114.41</v>
      </c>
      <c r="X2060">
        <v>0.6</v>
      </c>
      <c r="Y2060" s="2">
        <v>372062527489</v>
      </c>
      <c r="Z2060">
        <v>84.8</v>
      </c>
      <c r="AA2060">
        <v>100.6</v>
      </c>
      <c r="AB2060">
        <v>13.1</v>
      </c>
      <c r="AC2060">
        <v>21</v>
      </c>
      <c r="AD2060">
        <v>5703569</v>
      </c>
    </row>
    <row r="2061" spans="1:30" hidden="1" x14ac:dyDescent="0.45">
      <c r="A2061">
        <v>2020</v>
      </c>
      <c r="B2061">
        <v>1400</v>
      </c>
      <c r="C2061" t="s">
        <v>91</v>
      </c>
      <c r="D2061" t="s">
        <v>6705</v>
      </c>
      <c r="E2061">
        <v>71</v>
      </c>
      <c r="F2061" t="s">
        <v>574</v>
      </c>
      <c r="G2061" t="s">
        <v>574</v>
      </c>
      <c r="H2061" t="s">
        <v>91</v>
      </c>
      <c r="I2061" t="s">
        <v>91</v>
      </c>
      <c r="J2061" t="s">
        <v>574</v>
      </c>
      <c r="L2061" t="b">
        <v>0</v>
      </c>
      <c r="M2061" t="s">
        <v>258</v>
      </c>
      <c r="N2061" t="s">
        <v>8245</v>
      </c>
      <c r="O2061" s="1">
        <v>18994</v>
      </c>
      <c r="P2061" t="s">
        <v>3321</v>
      </c>
      <c r="Q2061" t="s">
        <v>6706</v>
      </c>
      <c r="S2061" s="1">
        <v>45020.209027777775</v>
      </c>
      <c r="V2061">
        <v>1952</v>
      </c>
      <c r="W2061">
        <v>114.41</v>
      </c>
      <c r="X2061">
        <v>0.6</v>
      </c>
      <c r="Y2061" s="2">
        <v>372062527489</v>
      </c>
      <c r="Z2061">
        <v>84.8</v>
      </c>
      <c r="AA2061">
        <v>100.6</v>
      </c>
      <c r="AB2061">
        <v>13.1</v>
      </c>
      <c r="AC2061">
        <v>21</v>
      </c>
      <c r="AD2061">
        <v>5703569</v>
      </c>
    </row>
    <row r="2062" spans="1:30" hidden="1" x14ac:dyDescent="0.45">
      <c r="A2062">
        <v>2020</v>
      </c>
      <c r="B2062">
        <v>1400</v>
      </c>
      <c r="C2062" t="s">
        <v>91</v>
      </c>
      <c r="D2062" t="s">
        <v>6707</v>
      </c>
      <c r="E2062">
        <v>67</v>
      </c>
      <c r="F2062" t="s">
        <v>574</v>
      </c>
      <c r="G2062" t="s">
        <v>574</v>
      </c>
      <c r="H2062" t="s">
        <v>91</v>
      </c>
      <c r="I2062" t="s">
        <v>91</v>
      </c>
      <c r="J2062" t="s">
        <v>574</v>
      </c>
      <c r="L2062" t="b">
        <v>0</v>
      </c>
      <c r="M2062" t="s">
        <v>29</v>
      </c>
      <c r="N2062" t="s">
        <v>8245</v>
      </c>
      <c r="O2062" s="1">
        <v>20455</v>
      </c>
      <c r="P2062" t="s">
        <v>3321</v>
      </c>
      <c r="Q2062" t="s">
        <v>6708</v>
      </c>
      <c r="S2062" s="1">
        <v>45020.209027777775</v>
      </c>
      <c r="V2062">
        <v>1956</v>
      </c>
      <c r="W2062">
        <v>114.41</v>
      </c>
      <c r="X2062">
        <v>0.6</v>
      </c>
      <c r="Y2062" s="2">
        <v>372062527489</v>
      </c>
      <c r="Z2062">
        <v>84.8</v>
      </c>
      <c r="AA2062">
        <v>100.6</v>
      </c>
      <c r="AB2062">
        <v>13.1</v>
      </c>
      <c r="AC2062">
        <v>21</v>
      </c>
      <c r="AD2062">
        <v>5703569</v>
      </c>
    </row>
    <row r="2063" spans="1:30" hidden="1" x14ac:dyDescent="0.45">
      <c r="A2063">
        <v>2020</v>
      </c>
      <c r="B2063">
        <v>1400</v>
      </c>
      <c r="C2063" t="s">
        <v>302</v>
      </c>
      <c r="D2063" t="s">
        <v>6709</v>
      </c>
      <c r="E2063">
        <v>69</v>
      </c>
      <c r="F2063" t="s">
        <v>228</v>
      </c>
      <c r="G2063" t="s">
        <v>228</v>
      </c>
      <c r="H2063" t="s">
        <v>304</v>
      </c>
      <c r="I2063" t="s">
        <v>302</v>
      </c>
      <c r="J2063" t="s">
        <v>228</v>
      </c>
      <c r="L2063" t="b">
        <v>0</v>
      </c>
      <c r="M2063" t="s">
        <v>29</v>
      </c>
      <c r="N2063" t="s">
        <v>8245</v>
      </c>
      <c r="O2063" s="1">
        <v>19459</v>
      </c>
      <c r="P2063" t="s">
        <v>4075</v>
      </c>
      <c r="Q2063" t="s">
        <v>6710</v>
      </c>
      <c r="S2063" s="1">
        <v>45020.209027777775</v>
      </c>
      <c r="V2063">
        <v>1953</v>
      </c>
      <c r="W2063"/>
      <c r="Y2063"/>
    </row>
    <row r="2064" spans="1:30" hidden="1" x14ac:dyDescent="0.45">
      <c r="A2064">
        <v>2020</v>
      </c>
      <c r="B2064">
        <v>1400</v>
      </c>
      <c r="C2064" t="s">
        <v>91</v>
      </c>
      <c r="D2064" t="s">
        <v>6711</v>
      </c>
      <c r="E2064">
        <v>60</v>
      </c>
      <c r="F2064" t="s">
        <v>928</v>
      </c>
      <c r="G2064" t="s">
        <v>929</v>
      </c>
      <c r="H2064" t="s">
        <v>91</v>
      </c>
      <c r="I2064" t="s">
        <v>91</v>
      </c>
      <c r="J2064" t="s">
        <v>928</v>
      </c>
      <c r="K2064" t="s">
        <v>6712</v>
      </c>
      <c r="L2064" t="b">
        <v>0</v>
      </c>
      <c r="M2064" t="s">
        <v>29</v>
      </c>
      <c r="N2064" t="s">
        <v>8245</v>
      </c>
      <c r="O2064" s="1">
        <v>22988</v>
      </c>
      <c r="P2064" t="s">
        <v>305</v>
      </c>
      <c r="Q2064" t="s">
        <v>6713</v>
      </c>
      <c r="S2064" s="1">
        <v>45020.209027777775</v>
      </c>
      <c r="V2064">
        <v>1962</v>
      </c>
      <c r="W2064">
        <v>115.16</v>
      </c>
      <c r="X2064">
        <v>0.4</v>
      </c>
      <c r="Y2064" s="2">
        <v>2029000000000</v>
      </c>
      <c r="Z2064">
        <v>94.3</v>
      </c>
      <c r="AA2064">
        <v>98.1</v>
      </c>
      <c r="AB2064">
        <v>15.6</v>
      </c>
      <c r="AC2064">
        <v>33.200000000000003</v>
      </c>
      <c r="AD2064">
        <v>51709098</v>
      </c>
    </row>
    <row r="2065" spans="1:30" hidden="1" x14ac:dyDescent="0.45">
      <c r="A2065">
        <v>2020</v>
      </c>
      <c r="B2065">
        <v>1400</v>
      </c>
      <c r="C2065" t="s">
        <v>61</v>
      </c>
      <c r="D2065" t="s">
        <v>6714</v>
      </c>
      <c r="E2065">
        <v>72</v>
      </c>
      <c r="F2065" t="s">
        <v>164</v>
      </c>
      <c r="G2065" t="s">
        <v>6715</v>
      </c>
      <c r="H2065" t="s">
        <v>5786</v>
      </c>
      <c r="I2065" t="s">
        <v>61</v>
      </c>
      <c r="J2065" t="s">
        <v>164</v>
      </c>
      <c r="L2065" t="b">
        <v>1</v>
      </c>
      <c r="M2065" t="s">
        <v>39</v>
      </c>
      <c r="N2065" t="s">
        <v>8245</v>
      </c>
      <c r="O2065" s="1">
        <v>18631</v>
      </c>
      <c r="P2065" t="s">
        <v>6716</v>
      </c>
      <c r="Q2065" t="s">
        <v>81</v>
      </c>
      <c r="S2065" s="1">
        <v>45020.209027777775</v>
      </c>
      <c r="V2065">
        <v>1951</v>
      </c>
      <c r="W2065">
        <v>116.76</v>
      </c>
      <c r="X2065">
        <v>1.9</v>
      </c>
      <c r="Y2065" s="2">
        <v>1736425629520</v>
      </c>
      <c r="Z2065">
        <v>68.900000000000006</v>
      </c>
      <c r="AA2065">
        <v>100.9</v>
      </c>
      <c r="AB2065">
        <v>12.8</v>
      </c>
      <c r="AC2065">
        <v>24.5</v>
      </c>
      <c r="AD2065">
        <v>36991981</v>
      </c>
    </row>
    <row r="2066" spans="1:30" hidden="1" x14ac:dyDescent="0.45">
      <c r="A2066">
        <v>2020</v>
      </c>
      <c r="B2066">
        <v>1400</v>
      </c>
      <c r="C2066" t="s">
        <v>436</v>
      </c>
      <c r="D2066" t="s">
        <v>6717</v>
      </c>
      <c r="E2066">
        <v>69</v>
      </c>
      <c r="F2066" t="s">
        <v>487</v>
      </c>
      <c r="G2066" t="s">
        <v>488</v>
      </c>
      <c r="H2066" t="s">
        <v>6659</v>
      </c>
      <c r="I2066" t="s">
        <v>436</v>
      </c>
      <c r="J2066" t="s">
        <v>214</v>
      </c>
      <c r="L2066" t="b">
        <v>0</v>
      </c>
      <c r="M2066" t="s">
        <v>39</v>
      </c>
      <c r="N2066" t="s">
        <v>8245</v>
      </c>
      <c r="O2066" s="1">
        <v>19479</v>
      </c>
      <c r="P2066" t="s">
        <v>6718</v>
      </c>
      <c r="Q2066" t="s">
        <v>6719</v>
      </c>
      <c r="S2066" s="1">
        <v>45020.209027777775</v>
      </c>
      <c r="V2066">
        <v>1953</v>
      </c>
      <c r="W2066"/>
      <c r="Y2066" s="2">
        <v>7184844193</v>
      </c>
      <c r="AD2066">
        <v>38964</v>
      </c>
    </row>
    <row r="2067" spans="1:30" hidden="1" x14ac:dyDescent="0.45">
      <c r="A2067">
        <v>2020</v>
      </c>
      <c r="B2067">
        <v>1400</v>
      </c>
      <c r="C2067" t="s">
        <v>23</v>
      </c>
      <c r="D2067" t="s">
        <v>6720</v>
      </c>
      <c r="E2067">
        <v>97</v>
      </c>
      <c r="F2067" t="s">
        <v>272</v>
      </c>
      <c r="G2067" t="s">
        <v>273</v>
      </c>
      <c r="H2067" t="s">
        <v>6721</v>
      </c>
      <c r="I2067" t="s">
        <v>23</v>
      </c>
      <c r="J2067" t="s">
        <v>272</v>
      </c>
      <c r="L2067" t="b">
        <v>1</v>
      </c>
      <c r="M2067" t="s">
        <v>29</v>
      </c>
      <c r="N2067" t="s">
        <v>8245</v>
      </c>
      <c r="O2067" s="1">
        <v>9538</v>
      </c>
      <c r="P2067" t="s">
        <v>1814</v>
      </c>
      <c r="Q2067" t="s">
        <v>31</v>
      </c>
      <c r="S2067" s="1">
        <v>45020.209027777775</v>
      </c>
      <c r="V2067">
        <v>1926</v>
      </c>
      <c r="W2067">
        <v>119.62</v>
      </c>
      <c r="X2067">
        <v>1.7</v>
      </c>
      <c r="Y2067" s="2">
        <v>2827113184696</v>
      </c>
      <c r="Z2067">
        <v>60</v>
      </c>
      <c r="AA2067">
        <v>101.2</v>
      </c>
      <c r="AB2067">
        <v>25.5</v>
      </c>
      <c r="AC2067">
        <v>30.6</v>
      </c>
      <c r="AD2067">
        <v>66834405</v>
      </c>
    </row>
    <row r="2068" spans="1:30" hidden="1" x14ac:dyDescent="0.45">
      <c r="A2068">
        <v>2020</v>
      </c>
      <c r="B2068">
        <v>1400</v>
      </c>
      <c r="C2068" t="s">
        <v>326</v>
      </c>
      <c r="D2068" t="s">
        <v>6722</v>
      </c>
      <c r="F2068" t="s">
        <v>128</v>
      </c>
      <c r="G2068" t="s">
        <v>6723</v>
      </c>
      <c r="H2068" t="s">
        <v>330</v>
      </c>
      <c r="I2068" t="s">
        <v>326</v>
      </c>
      <c r="J2068" t="s">
        <v>128</v>
      </c>
      <c r="L2068" t="b">
        <v>0</v>
      </c>
      <c r="M2068" t="s">
        <v>39</v>
      </c>
      <c r="N2068" t="s">
        <v>8246</v>
      </c>
      <c r="O2068"/>
      <c r="P2068" t="s">
        <v>230</v>
      </c>
      <c r="Q2068" t="s">
        <v>6724</v>
      </c>
      <c r="S2068" s="1">
        <v>45020.209027777775</v>
      </c>
      <c r="W2068">
        <v>125.08</v>
      </c>
      <c r="X2068">
        <v>2.9</v>
      </c>
      <c r="Y2068" s="2">
        <v>19910000000000</v>
      </c>
      <c r="Z2068">
        <v>50.6</v>
      </c>
      <c r="AA2068">
        <v>100.2</v>
      </c>
      <c r="AB2068">
        <v>9.4</v>
      </c>
      <c r="AC2068">
        <v>59.2</v>
      </c>
      <c r="AD2068">
        <v>1397715000</v>
      </c>
    </row>
    <row r="2069" spans="1:30" hidden="1" x14ac:dyDescent="0.45">
      <c r="A2069">
        <v>2020</v>
      </c>
      <c r="B2069">
        <v>1400</v>
      </c>
      <c r="C2069" t="s">
        <v>33</v>
      </c>
      <c r="D2069" t="s">
        <v>6725</v>
      </c>
      <c r="E2069">
        <v>48</v>
      </c>
      <c r="F2069" t="s">
        <v>128</v>
      </c>
      <c r="G2069" t="s">
        <v>187</v>
      </c>
      <c r="H2069" t="s">
        <v>2905</v>
      </c>
      <c r="I2069" t="s">
        <v>33</v>
      </c>
      <c r="J2069" t="s">
        <v>128</v>
      </c>
      <c r="L2069" t="b">
        <v>1</v>
      </c>
      <c r="M2069" t="s">
        <v>39</v>
      </c>
      <c r="N2069" t="s">
        <v>8245</v>
      </c>
      <c r="O2069" s="1">
        <v>27395</v>
      </c>
      <c r="P2069" t="s">
        <v>230</v>
      </c>
      <c r="Q2069" t="s">
        <v>338</v>
      </c>
      <c r="S2069" s="1">
        <v>45020.209027777775</v>
      </c>
      <c r="V2069">
        <v>1975</v>
      </c>
      <c r="W2069">
        <v>125.08</v>
      </c>
      <c r="X2069">
        <v>2.9</v>
      </c>
      <c r="Y2069" s="2">
        <v>19910000000000</v>
      </c>
      <c r="Z2069">
        <v>50.6</v>
      </c>
      <c r="AA2069">
        <v>100.2</v>
      </c>
      <c r="AB2069">
        <v>9.4</v>
      </c>
      <c r="AC2069">
        <v>59.2</v>
      </c>
      <c r="AD2069">
        <v>1397715000</v>
      </c>
    </row>
    <row r="2070" spans="1:30" hidden="1" x14ac:dyDescent="0.45">
      <c r="A2070">
        <v>2020</v>
      </c>
      <c r="B2070">
        <v>1400</v>
      </c>
      <c r="C2070" t="s">
        <v>296</v>
      </c>
      <c r="D2070" t="s">
        <v>6726</v>
      </c>
      <c r="E2070">
        <v>52</v>
      </c>
      <c r="F2070" t="s">
        <v>577</v>
      </c>
      <c r="G2070" t="s">
        <v>6727</v>
      </c>
      <c r="H2070" t="s">
        <v>6728</v>
      </c>
      <c r="I2070" t="s">
        <v>296</v>
      </c>
      <c r="J2070" t="s">
        <v>577</v>
      </c>
      <c r="L2070" t="b">
        <v>0</v>
      </c>
      <c r="M2070" t="s">
        <v>611</v>
      </c>
      <c r="N2070" t="s">
        <v>8246</v>
      </c>
      <c r="O2070" s="1">
        <v>26021</v>
      </c>
      <c r="P2070" t="s">
        <v>6729</v>
      </c>
      <c r="Q2070" t="s">
        <v>6730</v>
      </c>
      <c r="S2070" s="1">
        <v>45020.209027777775</v>
      </c>
      <c r="V2070">
        <v>1971</v>
      </c>
      <c r="W2070">
        <v>110.51</v>
      </c>
      <c r="X2070">
        <v>1.8</v>
      </c>
      <c r="Y2070" s="2">
        <v>530832908738</v>
      </c>
      <c r="Z2070">
        <v>67</v>
      </c>
      <c r="AA2070">
        <v>126.6</v>
      </c>
      <c r="AB2070">
        <v>27.9</v>
      </c>
      <c r="AC2070">
        <v>49.1</v>
      </c>
      <c r="AD2070">
        <v>10285453</v>
      </c>
    </row>
    <row r="2071" spans="1:30" hidden="1" x14ac:dyDescent="0.45">
      <c r="A2071">
        <v>2020</v>
      </c>
      <c r="B2071">
        <v>1400</v>
      </c>
      <c r="C2071" t="s">
        <v>402</v>
      </c>
      <c r="D2071" t="s">
        <v>6731</v>
      </c>
      <c r="E2071">
        <v>53</v>
      </c>
      <c r="F2071" t="s">
        <v>128</v>
      </c>
      <c r="G2071" t="s">
        <v>292</v>
      </c>
      <c r="H2071" t="s">
        <v>1529</v>
      </c>
      <c r="I2071" t="s">
        <v>402</v>
      </c>
      <c r="J2071" t="s">
        <v>128</v>
      </c>
      <c r="L2071" t="b">
        <v>1</v>
      </c>
      <c r="M2071" t="s">
        <v>39</v>
      </c>
      <c r="N2071" t="s">
        <v>8245</v>
      </c>
      <c r="O2071"/>
      <c r="P2071" t="s">
        <v>779</v>
      </c>
      <c r="Q2071" t="s">
        <v>6732</v>
      </c>
      <c r="S2071" s="1">
        <v>45020.209027777775</v>
      </c>
      <c r="W2071">
        <v>125.08</v>
      </c>
      <c r="X2071">
        <v>2.9</v>
      </c>
      <c r="Y2071" s="2">
        <v>19910000000000</v>
      </c>
      <c r="Z2071">
        <v>50.6</v>
      </c>
      <c r="AA2071">
        <v>100.2</v>
      </c>
      <c r="AB2071">
        <v>9.4</v>
      </c>
      <c r="AC2071">
        <v>59.2</v>
      </c>
      <c r="AD2071">
        <v>1397715000</v>
      </c>
    </row>
    <row r="2072" spans="1:30" hidden="1" x14ac:dyDescent="0.45">
      <c r="A2072">
        <v>2020</v>
      </c>
      <c r="B2072">
        <v>1400</v>
      </c>
      <c r="C2072" t="s">
        <v>45</v>
      </c>
      <c r="D2072" t="s">
        <v>6733</v>
      </c>
      <c r="E2072">
        <v>69</v>
      </c>
      <c r="F2072" t="s">
        <v>1259</v>
      </c>
      <c r="G2072" t="s">
        <v>1260</v>
      </c>
      <c r="H2072" t="s">
        <v>296</v>
      </c>
      <c r="I2072" t="s">
        <v>45</v>
      </c>
      <c r="J2072" t="s">
        <v>1259</v>
      </c>
      <c r="L2072" t="b">
        <v>1</v>
      </c>
      <c r="M2072" t="s">
        <v>39</v>
      </c>
      <c r="N2072" t="s">
        <v>8245</v>
      </c>
      <c r="O2072" s="1">
        <v>19803</v>
      </c>
      <c r="P2072" t="s">
        <v>779</v>
      </c>
      <c r="Q2072" t="s">
        <v>6734</v>
      </c>
      <c r="S2072" s="1">
        <v>45020.209027777775</v>
      </c>
      <c r="V2072">
        <v>1954</v>
      </c>
      <c r="W2072"/>
      <c r="Y2072"/>
    </row>
    <row r="2073" spans="1:30" hidden="1" x14ac:dyDescent="0.45">
      <c r="A2073">
        <v>2020</v>
      </c>
      <c r="B2073">
        <v>1400</v>
      </c>
      <c r="C2073" t="s">
        <v>296</v>
      </c>
      <c r="D2073" t="s">
        <v>6735</v>
      </c>
      <c r="E2073">
        <v>60</v>
      </c>
      <c r="F2073" t="s">
        <v>228</v>
      </c>
      <c r="G2073" t="s">
        <v>228</v>
      </c>
      <c r="H2073" t="s">
        <v>3138</v>
      </c>
      <c r="I2073" t="s">
        <v>296</v>
      </c>
      <c r="J2073" t="s">
        <v>558</v>
      </c>
      <c r="L2073" t="b">
        <v>1</v>
      </c>
      <c r="M2073" t="s">
        <v>39</v>
      </c>
      <c r="N2073" t="s">
        <v>8245</v>
      </c>
      <c r="O2073" s="1">
        <v>23012</v>
      </c>
      <c r="P2073" t="s">
        <v>779</v>
      </c>
      <c r="Q2073" t="s">
        <v>6736</v>
      </c>
      <c r="S2073" s="1">
        <v>45020.209027777775</v>
      </c>
      <c r="V2073">
        <v>1963</v>
      </c>
      <c r="W2073"/>
      <c r="Y2073"/>
    </row>
    <row r="2074" spans="1:30" hidden="1" x14ac:dyDescent="0.45">
      <c r="A2074">
        <v>2020</v>
      </c>
      <c r="B2074">
        <v>1400</v>
      </c>
      <c r="C2074" t="s">
        <v>326</v>
      </c>
      <c r="D2074" t="s">
        <v>6737</v>
      </c>
      <c r="E2074">
        <v>70</v>
      </c>
      <c r="F2074" t="s">
        <v>363</v>
      </c>
      <c r="G2074" t="s">
        <v>381</v>
      </c>
      <c r="H2074" t="s">
        <v>317</v>
      </c>
      <c r="I2074" t="s">
        <v>326</v>
      </c>
      <c r="J2074" t="s">
        <v>363</v>
      </c>
      <c r="L2074" t="b">
        <v>1</v>
      </c>
      <c r="M2074" t="s">
        <v>611</v>
      </c>
      <c r="N2074" t="s">
        <v>8245</v>
      </c>
      <c r="O2074" s="1">
        <v>19175</v>
      </c>
      <c r="P2074" t="s">
        <v>5052</v>
      </c>
      <c r="Q2074" t="s">
        <v>5711</v>
      </c>
      <c r="S2074" s="1">
        <v>45020.209027777775</v>
      </c>
      <c r="V2074">
        <v>1952</v>
      </c>
      <c r="W2074">
        <v>180.75</v>
      </c>
      <c r="X2074">
        <v>4.5</v>
      </c>
      <c r="Y2074" s="2">
        <v>1699876578871</v>
      </c>
      <c r="Z2074">
        <v>81.900000000000006</v>
      </c>
      <c r="AA2074">
        <v>102.6</v>
      </c>
      <c r="AB2074">
        <v>11.4</v>
      </c>
      <c r="AC2074">
        <v>46.2</v>
      </c>
      <c r="AD2074">
        <v>144373535</v>
      </c>
    </row>
    <row r="2075" spans="1:30" hidden="1" x14ac:dyDescent="0.45">
      <c r="A2075">
        <v>2020</v>
      </c>
      <c r="B2075">
        <v>1400</v>
      </c>
      <c r="C2075" t="s">
        <v>126</v>
      </c>
      <c r="D2075" t="s">
        <v>6738</v>
      </c>
      <c r="E2075">
        <v>79</v>
      </c>
      <c r="F2075" t="s">
        <v>164</v>
      </c>
      <c r="G2075" t="s">
        <v>978</v>
      </c>
      <c r="H2075" t="s">
        <v>1155</v>
      </c>
      <c r="I2075" t="s">
        <v>126</v>
      </c>
      <c r="J2075" t="s">
        <v>164</v>
      </c>
      <c r="L2075" t="b">
        <v>0</v>
      </c>
      <c r="M2075" t="s">
        <v>39</v>
      </c>
      <c r="N2075" t="s">
        <v>8245</v>
      </c>
      <c r="O2075" s="1">
        <v>15892</v>
      </c>
      <c r="P2075" t="s">
        <v>6739</v>
      </c>
      <c r="Q2075" t="s">
        <v>6740</v>
      </c>
      <c r="S2075" s="1">
        <v>45020.209027777775</v>
      </c>
      <c r="V2075">
        <v>1943</v>
      </c>
      <c r="W2075">
        <v>116.76</v>
      </c>
      <c r="X2075">
        <v>1.9</v>
      </c>
      <c r="Y2075" s="2">
        <v>1736425629520</v>
      </c>
      <c r="Z2075">
        <v>68.900000000000006</v>
      </c>
      <c r="AA2075">
        <v>100.9</v>
      </c>
      <c r="AB2075">
        <v>12.8</v>
      </c>
      <c r="AC2075">
        <v>24.5</v>
      </c>
      <c r="AD2075">
        <v>36991981</v>
      </c>
    </row>
    <row r="2076" spans="1:30" hidden="1" x14ac:dyDescent="0.45">
      <c r="A2076">
        <v>2020</v>
      </c>
      <c r="B2076">
        <v>1400</v>
      </c>
      <c r="C2076" t="s">
        <v>91</v>
      </c>
      <c r="D2076" t="s">
        <v>6741</v>
      </c>
      <c r="E2076">
        <v>90</v>
      </c>
      <c r="F2076" t="s">
        <v>558</v>
      </c>
      <c r="G2076" t="s">
        <v>6742</v>
      </c>
      <c r="H2076" t="s">
        <v>778</v>
      </c>
      <c r="I2076" t="s">
        <v>91</v>
      </c>
      <c r="J2076" t="s">
        <v>558</v>
      </c>
      <c r="L2076" t="b">
        <v>1</v>
      </c>
      <c r="M2076" t="s">
        <v>285</v>
      </c>
      <c r="N2076" t="s">
        <v>8246</v>
      </c>
      <c r="O2076" s="1">
        <v>11890</v>
      </c>
      <c r="P2076" t="s">
        <v>6743</v>
      </c>
      <c r="Q2076" t="s">
        <v>6744</v>
      </c>
      <c r="R2076" t="s">
        <v>162</v>
      </c>
      <c r="S2076" s="1">
        <v>45020.209027777775</v>
      </c>
      <c r="V2076">
        <v>1932</v>
      </c>
      <c r="W2076">
        <v>167.4</v>
      </c>
      <c r="X2076">
        <v>3.7</v>
      </c>
      <c r="Y2076" s="2">
        <v>1839758040766</v>
      </c>
      <c r="Z2076">
        <v>51.3</v>
      </c>
      <c r="AA2076">
        <v>115.4</v>
      </c>
      <c r="AB2076">
        <v>14.2</v>
      </c>
      <c r="AC2076">
        <v>65.099999999999994</v>
      </c>
      <c r="AD2076">
        <v>212559417</v>
      </c>
    </row>
    <row r="2077" spans="1:30" hidden="1" x14ac:dyDescent="0.45">
      <c r="A2077">
        <v>2020</v>
      </c>
      <c r="B2077">
        <v>1400</v>
      </c>
      <c r="C2077" t="s">
        <v>76</v>
      </c>
      <c r="D2077" t="s">
        <v>6745</v>
      </c>
      <c r="E2077">
        <v>69</v>
      </c>
      <c r="F2077" t="s">
        <v>35</v>
      </c>
      <c r="G2077" t="s">
        <v>816</v>
      </c>
      <c r="H2077" t="s">
        <v>6746</v>
      </c>
      <c r="I2077" t="s">
        <v>76</v>
      </c>
      <c r="J2077" t="s">
        <v>35</v>
      </c>
      <c r="L2077" t="b">
        <v>0</v>
      </c>
      <c r="M2077" t="s">
        <v>611</v>
      </c>
      <c r="N2077" t="s">
        <v>8245</v>
      </c>
      <c r="O2077" s="1">
        <v>19781</v>
      </c>
      <c r="P2077" t="s">
        <v>6747</v>
      </c>
      <c r="Q2077" t="s">
        <v>2060</v>
      </c>
      <c r="S2077" s="1">
        <v>45020.209027777775</v>
      </c>
      <c r="T2077" t="s">
        <v>820</v>
      </c>
      <c r="U2077" t="s">
        <v>53</v>
      </c>
      <c r="V2077">
        <v>1954</v>
      </c>
      <c r="W2077">
        <v>117.24</v>
      </c>
      <c r="X2077">
        <v>7.5</v>
      </c>
      <c r="Y2077" s="2">
        <v>21427700000000</v>
      </c>
      <c r="Z2077">
        <v>88.2</v>
      </c>
      <c r="AA2077">
        <v>101.8</v>
      </c>
      <c r="AB2077">
        <v>9.6</v>
      </c>
      <c r="AC2077">
        <v>36.6</v>
      </c>
      <c r="AD2077">
        <v>328239523</v>
      </c>
    </row>
    <row r="2078" spans="1:30" hidden="1" x14ac:dyDescent="0.45">
      <c r="A2078">
        <v>2020</v>
      </c>
      <c r="B2078">
        <v>1400</v>
      </c>
      <c r="C2078" t="s">
        <v>45</v>
      </c>
      <c r="D2078" t="s">
        <v>6748</v>
      </c>
      <c r="E2078">
        <v>82</v>
      </c>
      <c r="F2078" t="s">
        <v>128</v>
      </c>
      <c r="G2078" t="s">
        <v>960</v>
      </c>
      <c r="H2078" t="s">
        <v>6749</v>
      </c>
      <c r="I2078" t="s">
        <v>45</v>
      </c>
      <c r="J2078" t="s">
        <v>128</v>
      </c>
      <c r="L2078" t="b">
        <v>1</v>
      </c>
      <c r="M2078" t="s">
        <v>39</v>
      </c>
      <c r="N2078" t="s">
        <v>8245</v>
      </c>
      <c r="O2078" s="1">
        <v>14977</v>
      </c>
      <c r="P2078" t="s">
        <v>6750</v>
      </c>
      <c r="Q2078" t="s">
        <v>6751</v>
      </c>
      <c r="S2078" s="1">
        <v>45020.209027777775</v>
      </c>
      <c r="V2078">
        <v>1941</v>
      </c>
      <c r="W2078">
        <v>125.08</v>
      </c>
      <c r="X2078">
        <v>2.9</v>
      </c>
      <c r="Y2078" s="2">
        <v>19910000000000</v>
      </c>
      <c r="Z2078">
        <v>50.6</v>
      </c>
      <c r="AA2078">
        <v>100.2</v>
      </c>
      <c r="AB2078">
        <v>9.4</v>
      </c>
      <c r="AC2078">
        <v>59.2</v>
      </c>
      <c r="AD2078">
        <v>1397715000</v>
      </c>
    </row>
    <row r="2079" spans="1:30" hidden="1" x14ac:dyDescent="0.45">
      <c r="A2079">
        <v>2020</v>
      </c>
      <c r="B2079">
        <v>1400</v>
      </c>
      <c r="C2079" t="s">
        <v>296</v>
      </c>
      <c r="D2079" t="s">
        <v>6752</v>
      </c>
      <c r="E2079">
        <v>82</v>
      </c>
      <c r="F2079" t="s">
        <v>272</v>
      </c>
      <c r="G2079" t="s">
        <v>6753</v>
      </c>
      <c r="H2079" t="s">
        <v>296</v>
      </c>
      <c r="I2079" t="s">
        <v>296</v>
      </c>
      <c r="J2079" t="s">
        <v>272</v>
      </c>
      <c r="L2079" t="b">
        <v>1</v>
      </c>
      <c r="M2079" t="s">
        <v>39</v>
      </c>
      <c r="N2079" t="s">
        <v>8245</v>
      </c>
      <c r="O2079" s="1">
        <v>14734</v>
      </c>
      <c r="P2079" t="s">
        <v>6754</v>
      </c>
      <c r="Q2079" t="s">
        <v>169</v>
      </c>
      <c r="S2079" s="1">
        <v>45020.209027777775</v>
      </c>
      <c r="V2079">
        <v>1940</v>
      </c>
      <c r="W2079">
        <v>119.62</v>
      </c>
      <c r="X2079">
        <v>1.7</v>
      </c>
      <c r="Y2079" s="2">
        <v>2827113184696</v>
      </c>
      <c r="Z2079">
        <v>60</v>
      </c>
      <c r="AA2079">
        <v>101.2</v>
      </c>
      <c r="AB2079">
        <v>25.5</v>
      </c>
      <c r="AC2079">
        <v>30.6</v>
      </c>
      <c r="AD2079">
        <v>66834405</v>
      </c>
    </row>
    <row r="2080" spans="1:30" hidden="1" x14ac:dyDescent="0.45">
      <c r="A2080">
        <v>2020</v>
      </c>
      <c r="B2080">
        <v>1400</v>
      </c>
      <c r="C2080" t="s">
        <v>296</v>
      </c>
      <c r="D2080" t="s">
        <v>6755</v>
      </c>
      <c r="E2080">
        <v>66</v>
      </c>
      <c r="F2080" t="s">
        <v>93</v>
      </c>
      <c r="G2080" t="s">
        <v>6756</v>
      </c>
      <c r="H2080" t="s">
        <v>399</v>
      </c>
      <c r="I2080" t="s">
        <v>296</v>
      </c>
      <c r="J2080" t="s">
        <v>93</v>
      </c>
      <c r="L2080" t="b">
        <v>0</v>
      </c>
      <c r="M2080" t="s">
        <v>39</v>
      </c>
      <c r="N2080" t="s">
        <v>8245</v>
      </c>
      <c r="O2080" s="1">
        <v>20801</v>
      </c>
      <c r="P2080" t="s">
        <v>3448</v>
      </c>
      <c r="Q2080" t="s">
        <v>6757</v>
      </c>
      <c r="S2080" s="1">
        <v>45020.209027777775</v>
      </c>
      <c r="V2080">
        <v>1956</v>
      </c>
      <c r="W2080">
        <v>180.44</v>
      </c>
      <c r="X2080">
        <v>7.7</v>
      </c>
      <c r="Y2080" s="2">
        <v>2611000000000</v>
      </c>
      <c r="Z2080">
        <v>28.1</v>
      </c>
      <c r="AA2080">
        <v>113</v>
      </c>
      <c r="AB2080">
        <v>11.2</v>
      </c>
      <c r="AC2080">
        <v>49.7</v>
      </c>
      <c r="AD2080">
        <v>1366417754</v>
      </c>
    </row>
    <row r="2081" spans="1:30" hidden="1" x14ac:dyDescent="0.45">
      <c r="A2081">
        <v>2020</v>
      </c>
      <c r="B2081">
        <v>1400</v>
      </c>
      <c r="C2081" t="s">
        <v>302</v>
      </c>
      <c r="D2081" t="s">
        <v>6758</v>
      </c>
      <c r="E2081">
        <v>68</v>
      </c>
      <c r="F2081" t="s">
        <v>128</v>
      </c>
      <c r="G2081" t="s">
        <v>234</v>
      </c>
      <c r="H2081" t="s">
        <v>304</v>
      </c>
      <c r="I2081" t="s">
        <v>302</v>
      </c>
      <c r="J2081" t="s">
        <v>128</v>
      </c>
      <c r="L2081" t="b">
        <v>1</v>
      </c>
      <c r="M2081" t="s">
        <v>39</v>
      </c>
      <c r="N2081" t="s">
        <v>8245</v>
      </c>
      <c r="O2081" s="1">
        <v>20090</v>
      </c>
      <c r="P2081" t="s">
        <v>2008</v>
      </c>
      <c r="Q2081" t="s">
        <v>6759</v>
      </c>
      <c r="S2081" s="1">
        <v>45020.209027777775</v>
      </c>
      <c r="V2081">
        <v>1955</v>
      </c>
      <c r="W2081">
        <v>125.08</v>
      </c>
      <c r="X2081">
        <v>2.9</v>
      </c>
      <c r="Y2081" s="2">
        <v>19910000000000</v>
      </c>
      <c r="Z2081">
        <v>50.6</v>
      </c>
      <c r="AA2081">
        <v>100.2</v>
      </c>
      <c r="AB2081">
        <v>9.4</v>
      </c>
      <c r="AC2081">
        <v>59.2</v>
      </c>
      <c r="AD2081">
        <v>1397715000</v>
      </c>
    </row>
    <row r="2082" spans="1:30" hidden="1" x14ac:dyDescent="0.45">
      <c r="A2082">
        <v>2020</v>
      </c>
      <c r="B2082">
        <v>1400</v>
      </c>
      <c r="C2082" t="s">
        <v>402</v>
      </c>
      <c r="D2082" t="s">
        <v>6760</v>
      </c>
      <c r="E2082">
        <v>55</v>
      </c>
      <c r="F2082" t="s">
        <v>128</v>
      </c>
      <c r="G2082" t="s">
        <v>5526</v>
      </c>
      <c r="H2082" t="s">
        <v>6761</v>
      </c>
      <c r="I2082" t="s">
        <v>402</v>
      </c>
      <c r="J2082" t="s">
        <v>128</v>
      </c>
      <c r="L2082" t="b">
        <v>1</v>
      </c>
      <c r="M2082" t="s">
        <v>29</v>
      </c>
      <c r="N2082" t="s">
        <v>8245</v>
      </c>
      <c r="O2082" s="1">
        <v>24807</v>
      </c>
      <c r="P2082" t="s">
        <v>2008</v>
      </c>
      <c r="Q2082" t="s">
        <v>6762</v>
      </c>
      <c r="S2082" s="1">
        <v>45020.209027777775</v>
      </c>
      <c r="V2082">
        <v>1967</v>
      </c>
      <c r="W2082">
        <v>125.08</v>
      </c>
      <c r="X2082">
        <v>2.9</v>
      </c>
      <c r="Y2082" s="2">
        <v>19910000000000</v>
      </c>
      <c r="Z2082">
        <v>50.6</v>
      </c>
      <c r="AA2082">
        <v>100.2</v>
      </c>
      <c r="AB2082">
        <v>9.4</v>
      </c>
      <c r="AC2082">
        <v>59.2</v>
      </c>
      <c r="AD2082">
        <v>1397715000</v>
      </c>
    </row>
    <row r="2083" spans="1:30" hidden="1" x14ac:dyDescent="0.45">
      <c r="A2083">
        <v>2020</v>
      </c>
      <c r="B2083">
        <v>1400</v>
      </c>
      <c r="C2083" t="s">
        <v>302</v>
      </c>
      <c r="D2083" t="s">
        <v>6763</v>
      </c>
      <c r="E2083">
        <v>82</v>
      </c>
      <c r="F2083" t="s">
        <v>266</v>
      </c>
      <c r="G2083" t="s">
        <v>267</v>
      </c>
      <c r="H2083" t="s">
        <v>304</v>
      </c>
      <c r="I2083" t="s">
        <v>302</v>
      </c>
      <c r="J2083" t="s">
        <v>266</v>
      </c>
      <c r="L2083" t="b">
        <v>0</v>
      </c>
      <c r="M2083" t="s">
        <v>29</v>
      </c>
      <c r="N2083" t="s">
        <v>8246</v>
      </c>
      <c r="O2083" s="1">
        <v>14878</v>
      </c>
      <c r="P2083" t="s">
        <v>3948</v>
      </c>
      <c r="Q2083" t="s">
        <v>6764</v>
      </c>
      <c r="S2083" s="1">
        <v>45020.209027777775</v>
      </c>
      <c r="V2083">
        <v>1940</v>
      </c>
      <c r="W2083">
        <v>105.48</v>
      </c>
      <c r="X2083">
        <v>0.5</v>
      </c>
      <c r="Y2083" s="2">
        <v>5081769542380</v>
      </c>
      <c r="Z2083">
        <v>63.2</v>
      </c>
      <c r="AA2083">
        <v>98.8</v>
      </c>
      <c r="AB2083">
        <v>11.9</v>
      </c>
      <c r="AC2083">
        <v>46.7</v>
      </c>
      <c r="AD2083">
        <v>126226568</v>
      </c>
    </row>
    <row r="2084" spans="1:30" hidden="1" x14ac:dyDescent="0.45">
      <c r="A2084">
        <v>2020</v>
      </c>
      <c r="B2084">
        <v>1400</v>
      </c>
      <c r="C2084" t="s">
        <v>45</v>
      </c>
      <c r="D2084" t="s">
        <v>6765</v>
      </c>
      <c r="E2084">
        <v>57</v>
      </c>
      <c r="F2084" t="s">
        <v>490</v>
      </c>
      <c r="G2084" t="s">
        <v>1737</v>
      </c>
      <c r="H2084" t="s">
        <v>856</v>
      </c>
      <c r="I2084" t="s">
        <v>45</v>
      </c>
      <c r="J2084" t="s">
        <v>490</v>
      </c>
      <c r="L2084" t="b">
        <v>1</v>
      </c>
      <c r="M2084" t="s">
        <v>611</v>
      </c>
      <c r="N2084" t="s">
        <v>8245</v>
      </c>
      <c r="O2084" s="1">
        <v>24108</v>
      </c>
      <c r="P2084" t="s">
        <v>6766</v>
      </c>
      <c r="Q2084" t="s">
        <v>6767</v>
      </c>
      <c r="S2084" s="1">
        <v>45020.209027777775</v>
      </c>
      <c r="V2084">
        <v>1966</v>
      </c>
      <c r="W2084">
        <v>108.15</v>
      </c>
      <c r="X2084">
        <v>0.8</v>
      </c>
      <c r="Y2084" s="2">
        <v>395098666122</v>
      </c>
      <c r="Z2084">
        <v>63.4</v>
      </c>
      <c r="AA2084">
        <v>104.9</v>
      </c>
      <c r="AB2084">
        <v>23.1</v>
      </c>
      <c r="AC2084">
        <v>25.3</v>
      </c>
      <c r="AD2084">
        <v>9053300</v>
      </c>
    </row>
    <row r="2085" spans="1:30" hidden="1" x14ac:dyDescent="0.45">
      <c r="A2085">
        <v>2020</v>
      </c>
      <c r="B2085">
        <v>1400</v>
      </c>
      <c r="C2085" t="s">
        <v>402</v>
      </c>
      <c r="D2085" t="s">
        <v>6768</v>
      </c>
      <c r="F2085" t="s">
        <v>266</v>
      </c>
      <c r="G2085" t="s">
        <v>6769</v>
      </c>
      <c r="H2085" t="s">
        <v>6770</v>
      </c>
      <c r="I2085" t="s">
        <v>402</v>
      </c>
      <c r="J2085" t="s">
        <v>266</v>
      </c>
      <c r="L2085" t="b">
        <v>0</v>
      </c>
      <c r="M2085" t="s">
        <v>39</v>
      </c>
      <c r="N2085" t="s">
        <v>8246</v>
      </c>
      <c r="O2085"/>
      <c r="P2085" t="s">
        <v>6771</v>
      </c>
      <c r="Q2085" t="s">
        <v>6772</v>
      </c>
      <c r="S2085" s="1">
        <v>45020.209027777775</v>
      </c>
      <c r="W2085">
        <v>105.48</v>
      </c>
      <c r="X2085">
        <v>0.5</v>
      </c>
      <c r="Y2085" s="2">
        <v>5081769542380</v>
      </c>
      <c r="Z2085">
        <v>63.2</v>
      </c>
      <c r="AA2085">
        <v>98.8</v>
      </c>
      <c r="AB2085">
        <v>11.9</v>
      </c>
      <c r="AC2085">
        <v>46.7</v>
      </c>
      <c r="AD2085">
        <v>126226568</v>
      </c>
    </row>
    <row r="2086" spans="1:30" hidden="1" x14ac:dyDescent="0.45">
      <c r="A2086">
        <v>2020</v>
      </c>
      <c r="B2086">
        <v>1400</v>
      </c>
      <c r="C2086" t="s">
        <v>326</v>
      </c>
      <c r="D2086" t="s">
        <v>6773</v>
      </c>
      <c r="E2086">
        <v>59</v>
      </c>
      <c r="F2086" t="s">
        <v>1855</v>
      </c>
      <c r="G2086" t="s">
        <v>5091</v>
      </c>
      <c r="H2086" t="s">
        <v>523</v>
      </c>
      <c r="I2086" t="s">
        <v>326</v>
      </c>
      <c r="J2086" t="s">
        <v>1855</v>
      </c>
      <c r="L2086" t="b">
        <v>1</v>
      </c>
      <c r="M2086" t="s">
        <v>29</v>
      </c>
      <c r="N2086" t="s">
        <v>8245</v>
      </c>
      <c r="O2086" s="1">
        <v>23165</v>
      </c>
      <c r="P2086" t="s">
        <v>6774</v>
      </c>
      <c r="Q2086" t="s">
        <v>4678</v>
      </c>
      <c r="S2086" s="1">
        <v>45020.209027777775</v>
      </c>
      <c r="V2086">
        <v>1963</v>
      </c>
      <c r="W2086">
        <v>281.66000000000003</v>
      </c>
      <c r="X2086">
        <v>7.9</v>
      </c>
      <c r="Y2086" s="2">
        <v>153781069118</v>
      </c>
      <c r="Z2086">
        <v>82.7</v>
      </c>
      <c r="AA2086">
        <v>99</v>
      </c>
      <c r="AB2086">
        <v>20.100000000000001</v>
      </c>
      <c r="AC2086">
        <v>45.2</v>
      </c>
      <c r="AD2086">
        <v>44385155</v>
      </c>
    </row>
    <row r="2087" spans="1:30" hidden="1" x14ac:dyDescent="0.45">
      <c r="A2087">
        <v>2020</v>
      </c>
      <c r="B2087">
        <v>1400</v>
      </c>
      <c r="C2087" t="s">
        <v>61</v>
      </c>
      <c r="D2087" t="s">
        <v>6775</v>
      </c>
      <c r="E2087">
        <v>49</v>
      </c>
      <c r="F2087" t="s">
        <v>628</v>
      </c>
      <c r="G2087" t="s">
        <v>629</v>
      </c>
      <c r="H2087" t="s">
        <v>6776</v>
      </c>
      <c r="I2087" t="s">
        <v>61</v>
      </c>
      <c r="J2087" t="s">
        <v>628</v>
      </c>
      <c r="L2087" t="b">
        <v>0</v>
      </c>
      <c r="M2087" t="s">
        <v>39</v>
      </c>
      <c r="N2087" t="s">
        <v>8245</v>
      </c>
      <c r="O2087" s="1">
        <v>26955</v>
      </c>
      <c r="P2087" t="s">
        <v>6777</v>
      </c>
      <c r="Q2087" t="s">
        <v>6778</v>
      </c>
      <c r="S2087" s="1">
        <v>45020.209027777775</v>
      </c>
      <c r="V2087">
        <v>1973</v>
      </c>
      <c r="W2087">
        <v>113.27</v>
      </c>
      <c r="X2087">
        <v>0.7</v>
      </c>
      <c r="Y2087" s="2">
        <v>543649976166</v>
      </c>
      <c r="Z2087">
        <v>49.3</v>
      </c>
      <c r="AA2087">
        <v>99.8</v>
      </c>
      <c r="AB2087">
        <v>14.9</v>
      </c>
      <c r="AC2087">
        <v>29.5</v>
      </c>
      <c r="AD2087">
        <v>69625582</v>
      </c>
    </row>
    <row r="2088" spans="1:30" hidden="1" x14ac:dyDescent="0.45">
      <c r="A2088">
        <v>2020</v>
      </c>
      <c r="B2088">
        <v>1400</v>
      </c>
      <c r="C2088" t="s">
        <v>61</v>
      </c>
      <c r="D2088" t="s">
        <v>6779</v>
      </c>
      <c r="E2088">
        <v>57</v>
      </c>
      <c r="F2088" t="s">
        <v>328</v>
      </c>
      <c r="G2088" t="s">
        <v>724</v>
      </c>
      <c r="H2088" t="s">
        <v>317</v>
      </c>
      <c r="I2088" t="s">
        <v>61</v>
      </c>
      <c r="J2088" t="s">
        <v>328</v>
      </c>
      <c r="L2088" t="b">
        <v>0</v>
      </c>
      <c r="M2088" t="s">
        <v>39</v>
      </c>
      <c r="N2088" t="s">
        <v>8246</v>
      </c>
      <c r="O2088" s="1">
        <v>24198</v>
      </c>
      <c r="P2088" t="s">
        <v>4280</v>
      </c>
      <c r="Q2088" t="s">
        <v>6780</v>
      </c>
      <c r="S2088" s="1">
        <v>45020.209027777775</v>
      </c>
      <c r="V2088">
        <v>1966</v>
      </c>
      <c r="W2088">
        <v>119.8</v>
      </c>
      <c r="X2088">
        <v>1.6</v>
      </c>
      <c r="Y2088" s="2">
        <v>1392680589329</v>
      </c>
      <c r="Z2088">
        <v>113.1</v>
      </c>
      <c r="AA2088">
        <v>100.3</v>
      </c>
      <c r="AB2088">
        <v>23</v>
      </c>
      <c r="AC2088">
        <v>47.4</v>
      </c>
      <c r="AD2088">
        <v>25766605</v>
      </c>
    </row>
    <row r="2089" spans="1:30" hidden="1" x14ac:dyDescent="0.45">
      <c r="A2089">
        <v>2020</v>
      </c>
      <c r="B2089">
        <v>1400</v>
      </c>
      <c r="C2089" t="s">
        <v>296</v>
      </c>
      <c r="D2089" t="s">
        <v>6781</v>
      </c>
      <c r="E2089">
        <v>58</v>
      </c>
      <c r="F2089" t="s">
        <v>128</v>
      </c>
      <c r="G2089" t="s">
        <v>4471</v>
      </c>
      <c r="H2089" t="s">
        <v>296</v>
      </c>
      <c r="I2089" t="s">
        <v>296</v>
      </c>
      <c r="J2089" t="s">
        <v>128</v>
      </c>
      <c r="L2089" t="b">
        <v>1</v>
      </c>
      <c r="M2089" t="s">
        <v>258</v>
      </c>
      <c r="N2089" t="s">
        <v>8245</v>
      </c>
      <c r="O2089" s="1">
        <v>23743</v>
      </c>
      <c r="P2089" t="s">
        <v>4117</v>
      </c>
      <c r="Q2089" t="s">
        <v>6782</v>
      </c>
      <c r="S2089" s="1">
        <v>45020.209027777775</v>
      </c>
      <c r="V2089">
        <v>1965</v>
      </c>
      <c r="W2089">
        <v>125.08</v>
      </c>
      <c r="X2089">
        <v>2.9</v>
      </c>
      <c r="Y2089" s="2">
        <v>19910000000000</v>
      </c>
      <c r="Z2089">
        <v>50.6</v>
      </c>
      <c r="AA2089">
        <v>100.2</v>
      </c>
      <c r="AB2089">
        <v>9.4</v>
      </c>
      <c r="AC2089">
        <v>59.2</v>
      </c>
      <c r="AD2089">
        <v>1397715000</v>
      </c>
    </row>
    <row r="2090" spans="1:30" hidden="1" x14ac:dyDescent="0.45">
      <c r="A2090">
        <v>2020</v>
      </c>
      <c r="B2090">
        <v>1400</v>
      </c>
      <c r="C2090" t="s">
        <v>302</v>
      </c>
      <c r="D2090" t="s">
        <v>6783</v>
      </c>
      <c r="E2090">
        <v>60</v>
      </c>
      <c r="F2090" t="s">
        <v>128</v>
      </c>
      <c r="G2090" t="s">
        <v>187</v>
      </c>
      <c r="H2090" t="s">
        <v>304</v>
      </c>
      <c r="I2090" t="s">
        <v>302</v>
      </c>
      <c r="J2090" t="s">
        <v>128</v>
      </c>
      <c r="L2090" t="b">
        <v>1</v>
      </c>
      <c r="M2090" t="s">
        <v>285</v>
      </c>
      <c r="N2090" t="s">
        <v>8245</v>
      </c>
      <c r="O2090" s="1">
        <v>23012</v>
      </c>
      <c r="P2090" t="s">
        <v>4117</v>
      </c>
      <c r="Q2090" t="s">
        <v>6784</v>
      </c>
      <c r="S2090" s="1">
        <v>45020.209027777775</v>
      </c>
      <c r="V2090">
        <v>1963</v>
      </c>
      <c r="W2090">
        <v>125.08</v>
      </c>
      <c r="X2090">
        <v>2.9</v>
      </c>
      <c r="Y2090" s="2">
        <v>19910000000000</v>
      </c>
      <c r="Z2090">
        <v>50.6</v>
      </c>
      <c r="AA2090">
        <v>100.2</v>
      </c>
      <c r="AB2090">
        <v>9.4</v>
      </c>
      <c r="AC2090">
        <v>59.2</v>
      </c>
      <c r="AD2090">
        <v>1397715000</v>
      </c>
    </row>
    <row r="2091" spans="1:30" x14ac:dyDescent="0.45">
      <c r="A2091">
        <v>2020</v>
      </c>
      <c r="B2091" s="6">
        <v>1400</v>
      </c>
      <c r="C2091" t="s">
        <v>402</v>
      </c>
      <c r="D2091" t="s">
        <v>6785</v>
      </c>
      <c r="E2091">
        <v>56</v>
      </c>
      <c r="F2091" t="s">
        <v>35</v>
      </c>
      <c r="G2091" t="s">
        <v>6786</v>
      </c>
      <c r="H2091" t="s">
        <v>645</v>
      </c>
      <c r="I2091" t="s">
        <v>402</v>
      </c>
      <c r="J2091" t="s">
        <v>35</v>
      </c>
      <c r="K2091" t="s">
        <v>6787</v>
      </c>
      <c r="L2091" t="b">
        <v>1</v>
      </c>
      <c r="M2091" t="s">
        <v>39</v>
      </c>
      <c r="N2091" t="s">
        <v>8245</v>
      </c>
      <c r="O2091" s="10">
        <v>24466</v>
      </c>
      <c r="P2091" t="s">
        <v>1977</v>
      </c>
      <c r="Q2091" t="s">
        <v>169</v>
      </c>
      <c r="R2091" t="s">
        <v>4049</v>
      </c>
      <c r="S2091" s="8">
        <v>45020.209027777775</v>
      </c>
      <c r="T2091" t="s">
        <v>311</v>
      </c>
      <c r="U2091" t="s">
        <v>82</v>
      </c>
      <c r="V2091">
        <v>1966</v>
      </c>
      <c r="W2091" s="12">
        <v>117.24</v>
      </c>
      <c r="X2091">
        <v>7.5</v>
      </c>
      <c r="Y2091" s="14">
        <v>21427700000000</v>
      </c>
      <c r="Z2091">
        <v>88.2</v>
      </c>
      <c r="AA2091">
        <v>101.8</v>
      </c>
      <c r="AB2091">
        <v>9.6</v>
      </c>
      <c r="AC2091">
        <v>36.6</v>
      </c>
      <c r="AD2091">
        <v>328239523</v>
      </c>
    </row>
    <row r="2092" spans="1:30" hidden="1" x14ac:dyDescent="0.45">
      <c r="A2092">
        <v>2020</v>
      </c>
      <c r="B2092">
        <v>1400</v>
      </c>
      <c r="C2092" t="s">
        <v>23</v>
      </c>
      <c r="D2092" t="s">
        <v>6788</v>
      </c>
      <c r="E2092">
        <v>38</v>
      </c>
      <c r="F2092" t="s">
        <v>577</v>
      </c>
      <c r="G2092" t="s">
        <v>578</v>
      </c>
      <c r="H2092" t="s">
        <v>579</v>
      </c>
      <c r="I2092" t="s">
        <v>23</v>
      </c>
      <c r="J2092" t="s">
        <v>577</v>
      </c>
      <c r="L2092" t="b">
        <v>0</v>
      </c>
      <c r="M2092" t="s">
        <v>39</v>
      </c>
      <c r="N2092" t="s">
        <v>8245</v>
      </c>
      <c r="O2092" s="1">
        <v>31048</v>
      </c>
      <c r="P2092" t="s">
        <v>581</v>
      </c>
      <c r="Q2092" t="s">
        <v>1770</v>
      </c>
      <c r="S2092" s="1">
        <v>45020.209027777775</v>
      </c>
      <c r="V2092">
        <v>1985</v>
      </c>
      <c r="W2092">
        <v>110.51</v>
      </c>
      <c r="X2092">
        <v>1.8</v>
      </c>
      <c r="Y2092" s="2">
        <v>530832908738</v>
      </c>
      <c r="Z2092">
        <v>67</v>
      </c>
      <c r="AA2092">
        <v>126.6</v>
      </c>
      <c r="AB2092">
        <v>27.9</v>
      </c>
      <c r="AC2092">
        <v>49.1</v>
      </c>
      <c r="AD2092">
        <v>10285453</v>
      </c>
    </row>
    <row r="2093" spans="1:30" hidden="1" x14ac:dyDescent="0.45">
      <c r="A2093">
        <v>2020</v>
      </c>
      <c r="B2093">
        <v>1400</v>
      </c>
      <c r="C2093" t="s">
        <v>33</v>
      </c>
      <c r="D2093" t="s">
        <v>6789</v>
      </c>
      <c r="E2093">
        <v>50</v>
      </c>
      <c r="F2093" t="s">
        <v>128</v>
      </c>
      <c r="G2093" t="s">
        <v>2993</v>
      </c>
      <c r="H2093" t="s">
        <v>3404</v>
      </c>
      <c r="I2093" t="s">
        <v>33</v>
      </c>
      <c r="J2093" t="s">
        <v>128</v>
      </c>
      <c r="L2093" t="b">
        <v>1</v>
      </c>
      <c r="M2093" t="s">
        <v>1332</v>
      </c>
      <c r="N2093" t="s">
        <v>8246</v>
      </c>
      <c r="O2093" s="1">
        <v>26665</v>
      </c>
      <c r="P2093" t="s">
        <v>2506</v>
      </c>
      <c r="Q2093" t="s">
        <v>6790</v>
      </c>
      <c r="S2093" s="1">
        <v>45020.209027777775</v>
      </c>
      <c r="V2093">
        <v>1973</v>
      </c>
      <c r="W2093">
        <v>125.08</v>
      </c>
      <c r="X2093">
        <v>2.9</v>
      </c>
      <c r="Y2093" s="2">
        <v>19910000000000</v>
      </c>
      <c r="Z2093">
        <v>50.6</v>
      </c>
      <c r="AA2093">
        <v>100.2</v>
      </c>
      <c r="AB2093">
        <v>9.4</v>
      </c>
      <c r="AC2093">
        <v>59.2</v>
      </c>
      <c r="AD2093">
        <v>1397715000</v>
      </c>
    </row>
    <row r="2094" spans="1:30" hidden="1" x14ac:dyDescent="0.45">
      <c r="A2094">
        <v>2020</v>
      </c>
      <c r="B2094">
        <v>1400</v>
      </c>
      <c r="C2094" t="s">
        <v>296</v>
      </c>
      <c r="D2094" t="s">
        <v>6791</v>
      </c>
      <c r="E2094">
        <v>57</v>
      </c>
      <c r="F2094" t="s">
        <v>128</v>
      </c>
      <c r="G2094" t="s">
        <v>3190</v>
      </c>
      <c r="H2094" t="s">
        <v>6792</v>
      </c>
      <c r="I2094" t="s">
        <v>296</v>
      </c>
      <c r="J2094" t="s">
        <v>128</v>
      </c>
      <c r="L2094" t="b">
        <v>1</v>
      </c>
      <c r="M2094" t="s">
        <v>39</v>
      </c>
      <c r="N2094" t="s">
        <v>8245</v>
      </c>
      <c r="O2094" s="1">
        <v>23924</v>
      </c>
      <c r="P2094" t="s">
        <v>496</v>
      </c>
      <c r="Q2094" t="s">
        <v>4642</v>
      </c>
      <c r="S2094" s="1">
        <v>45020.209027777775</v>
      </c>
      <c r="V2094">
        <v>1965</v>
      </c>
      <c r="W2094">
        <v>125.08</v>
      </c>
      <c r="X2094">
        <v>2.9</v>
      </c>
      <c r="Y2094" s="2">
        <v>19910000000000</v>
      </c>
      <c r="Z2094">
        <v>50.6</v>
      </c>
      <c r="AA2094">
        <v>100.2</v>
      </c>
      <c r="AB2094">
        <v>9.4</v>
      </c>
      <c r="AC2094">
        <v>59.2</v>
      </c>
      <c r="AD2094">
        <v>1397715000</v>
      </c>
    </row>
    <row r="2095" spans="1:30" hidden="1" x14ac:dyDescent="0.45">
      <c r="A2095">
        <v>2020</v>
      </c>
      <c r="B2095">
        <v>1400</v>
      </c>
      <c r="C2095" t="s">
        <v>402</v>
      </c>
      <c r="D2095" t="s">
        <v>6793</v>
      </c>
      <c r="E2095">
        <v>65</v>
      </c>
      <c r="F2095" t="s">
        <v>93</v>
      </c>
      <c r="G2095" t="s">
        <v>2223</v>
      </c>
      <c r="H2095" t="s">
        <v>610</v>
      </c>
      <c r="I2095" t="s">
        <v>402</v>
      </c>
      <c r="J2095" t="s">
        <v>93</v>
      </c>
      <c r="L2095" t="b">
        <v>1</v>
      </c>
      <c r="M2095" t="s">
        <v>39</v>
      </c>
      <c r="N2095" t="s">
        <v>8245</v>
      </c>
      <c r="O2095" s="1">
        <v>20928</v>
      </c>
      <c r="P2095" t="s">
        <v>4862</v>
      </c>
      <c r="Q2095" t="s">
        <v>6794</v>
      </c>
      <c r="S2095" s="1">
        <v>45020.209027777775</v>
      </c>
      <c r="V2095">
        <v>1957</v>
      </c>
      <c r="W2095">
        <v>180.44</v>
      </c>
      <c r="X2095">
        <v>7.7</v>
      </c>
      <c r="Y2095" s="2">
        <v>2611000000000</v>
      </c>
      <c r="Z2095">
        <v>28.1</v>
      </c>
      <c r="AA2095">
        <v>113</v>
      </c>
      <c r="AB2095">
        <v>11.2</v>
      </c>
      <c r="AC2095">
        <v>49.7</v>
      </c>
      <c r="AD2095">
        <v>1366417754</v>
      </c>
    </row>
    <row r="2096" spans="1:30" hidden="1" x14ac:dyDescent="0.45">
      <c r="A2096">
        <v>2020</v>
      </c>
      <c r="B2096">
        <v>1400</v>
      </c>
      <c r="C2096" t="s">
        <v>91</v>
      </c>
      <c r="D2096" t="s">
        <v>6795</v>
      </c>
      <c r="E2096">
        <v>93</v>
      </c>
      <c r="F2096" t="s">
        <v>349</v>
      </c>
      <c r="G2096" t="s">
        <v>350</v>
      </c>
      <c r="H2096" t="s">
        <v>91</v>
      </c>
      <c r="I2096" t="s">
        <v>91</v>
      </c>
      <c r="J2096" t="s">
        <v>349</v>
      </c>
      <c r="L2096" t="b">
        <v>1</v>
      </c>
      <c r="M2096" t="s">
        <v>39</v>
      </c>
      <c r="N2096" t="s">
        <v>8245</v>
      </c>
      <c r="O2096" s="1">
        <v>10725</v>
      </c>
      <c r="P2096" t="s">
        <v>6796</v>
      </c>
      <c r="Q2096" t="s">
        <v>6797</v>
      </c>
      <c r="S2096" s="1">
        <v>45020.209027777775</v>
      </c>
      <c r="V2096">
        <v>1929</v>
      </c>
      <c r="W2096">
        <v>151.18</v>
      </c>
      <c r="X2096">
        <v>3</v>
      </c>
      <c r="Y2096" s="2">
        <v>1119190780753</v>
      </c>
      <c r="Z2096">
        <v>36.299999999999997</v>
      </c>
      <c r="AA2096">
        <v>106.4</v>
      </c>
      <c r="AB2096">
        <v>10.199999999999999</v>
      </c>
      <c r="AC2096">
        <v>30.1</v>
      </c>
      <c r="AD2096">
        <v>270203917</v>
      </c>
    </row>
    <row r="2097" spans="1:30" hidden="1" x14ac:dyDescent="0.45">
      <c r="A2097">
        <v>2020</v>
      </c>
      <c r="B2097">
        <v>1400</v>
      </c>
      <c r="C2097" t="s">
        <v>23</v>
      </c>
      <c r="D2097" t="s">
        <v>6798</v>
      </c>
      <c r="E2097">
        <v>35</v>
      </c>
      <c r="F2097" t="s">
        <v>35</v>
      </c>
      <c r="G2097" t="s">
        <v>964</v>
      </c>
      <c r="H2097" t="s">
        <v>6799</v>
      </c>
      <c r="I2097" t="s">
        <v>23</v>
      </c>
      <c r="J2097" t="s">
        <v>6800</v>
      </c>
      <c r="L2097" t="b">
        <v>1</v>
      </c>
      <c r="M2097" t="s">
        <v>39</v>
      </c>
      <c r="N2097" t="s">
        <v>8246</v>
      </c>
      <c r="O2097" s="1">
        <v>32193</v>
      </c>
      <c r="P2097" t="s">
        <v>6798</v>
      </c>
      <c r="R2097" t="s">
        <v>6801</v>
      </c>
      <c r="S2097" s="1">
        <v>45020.209027777775</v>
      </c>
      <c r="T2097" t="s">
        <v>115</v>
      </c>
      <c r="U2097" t="s">
        <v>53</v>
      </c>
      <c r="V2097">
        <v>1988</v>
      </c>
      <c r="W2097">
        <v>117.24</v>
      </c>
      <c r="X2097">
        <v>7.5</v>
      </c>
      <c r="Y2097" s="2">
        <v>21427700000000</v>
      </c>
      <c r="Z2097">
        <v>88.2</v>
      </c>
      <c r="AA2097">
        <v>101.8</v>
      </c>
      <c r="AB2097">
        <v>9.6</v>
      </c>
      <c r="AC2097">
        <v>36.6</v>
      </c>
      <c r="AD2097">
        <v>328239523</v>
      </c>
    </row>
    <row r="2098" spans="1:30" hidden="1" x14ac:dyDescent="0.45">
      <c r="A2098">
        <v>2020</v>
      </c>
      <c r="B2098">
        <v>1400</v>
      </c>
      <c r="C2098" t="s">
        <v>689</v>
      </c>
      <c r="D2098" t="s">
        <v>6802</v>
      </c>
      <c r="E2098">
        <v>66</v>
      </c>
      <c r="F2098" t="s">
        <v>363</v>
      </c>
      <c r="G2098" t="s">
        <v>381</v>
      </c>
      <c r="H2098" t="s">
        <v>6803</v>
      </c>
      <c r="I2098" t="s">
        <v>689</v>
      </c>
      <c r="J2098" t="s">
        <v>363</v>
      </c>
      <c r="L2098" t="b">
        <v>1</v>
      </c>
      <c r="M2098" t="s">
        <v>29</v>
      </c>
      <c r="N2098" t="s">
        <v>8245</v>
      </c>
      <c r="O2098" s="1">
        <v>20823</v>
      </c>
      <c r="P2098" t="s">
        <v>3162</v>
      </c>
      <c r="Q2098" t="s">
        <v>6804</v>
      </c>
      <c r="S2098" s="1">
        <v>45020.209027777775</v>
      </c>
      <c r="V2098">
        <v>1957</v>
      </c>
      <c r="W2098">
        <v>180.75</v>
      </c>
      <c r="X2098">
        <v>4.5</v>
      </c>
      <c r="Y2098" s="2">
        <v>1699876578871</v>
      </c>
      <c r="Z2098">
        <v>81.900000000000006</v>
      </c>
      <c r="AA2098">
        <v>102.6</v>
      </c>
      <c r="AB2098">
        <v>11.4</v>
      </c>
      <c r="AC2098">
        <v>46.2</v>
      </c>
      <c r="AD2098">
        <v>144373535</v>
      </c>
    </row>
    <row r="2099" spans="1:30" hidden="1" x14ac:dyDescent="0.45">
      <c r="A2099">
        <v>2020</v>
      </c>
      <c r="B2099">
        <v>1400</v>
      </c>
      <c r="C2099" t="s">
        <v>302</v>
      </c>
      <c r="D2099" t="s">
        <v>6805</v>
      </c>
      <c r="E2099">
        <v>79</v>
      </c>
      <c r="F2099" t="s">
        <v>93</v>
      </c>
      <c r="G2099" t="s">
        <v>94</v>
      </c>
      <c r="H2099" t="s">
        <v>304</v>
      </c>
      <c r="I2099" t="s">
        <v>302</v>
      </c>
      <c r="J2099" t="s">
        <v>93</v>
      </c>
      <c r="L2099" t="b">
        <v>1</v>
      </c>
      <c r="M2099" t="s">
        <v>611</v>
      </c>
      <c r="N2099" t="s">
        <v>8245</v>
      </c>
      <c r="O2099" s="1">
        <v>15848</v>
      </c>
      <c r="P2099" t="s">
        <v>6806</v>
      </c>
      <c r="Q2099" t="s">
        <v>6807</v>
      </c>
      <c r="S2099" s="1">
        <v>45020.209027777775</v>
      </c>
      <c r="V2099">
        <v>1943</v>
      </c>
      <c r="W2099">
        <v>180.44</v>
      </c>
      <c r="X2099">
        <v>7.7</v>
      </c>
      <c r="Y2099" s="2">
        <v>2611000000000</v>
      </c>
      <c r="Z2099">
        <v>28.1</v>
      </c>
      <c r="AA2099">
        <v>113</v>
      </c>
      <c r="AB2099">
        <v>11.2</v>
      </c>
      <c r="AC2099">
        <v>49.7</v>
      </c>
      <c r="AD2099">
        <v>1366417754</v>
      </c>
    </row>
    <row r="2100" spans="1:30" hidden="1" x14ac:dyDescent="0.45">
      <c r="A2100">
        <v>2020</v>
      </c>
      <c r="B2100">
        <v>1400</v>
      </c>
      <c r="C2100" t="s">
        <v>296</v>
      </c>
      <c r="D2100" t="s">
        <v>6808</v>
      </c>
      <c r="E2100">
        <v>50</v>
      </c>
      <c r="F2100" t="s">
        <v>363</v>
      </c>
      <c r="G2100" t="s">
        <v>381</v>
      </c>
      <c r="H2100" t="s">
        <v>3991</v>
      </c>
      <c r="I2100" t="s">
        <v>296</v>
      </c>
      <c r="J2100" t="s">
        <v>363</v>
      </c>
      <c r="L2100" t="b">
        <v>1</v>
      </c>
      <c r="M2100" t="s">
        <v>29</v>
      </c>
      <c r="N2100" t="s">
        <v>8245</v>
      </c>
      <c r="O2100" s="1">
        <v>26435</v>
      </c>
      <c r="P2100" t="s">
        <v>6809</v>
      </c>
      <c r="Q2100" t="s">
        <v>1466</v>
      </c>
      <c r="S2100" s="1">
        <v>45020.209027777775</v>
      </c>
      <c r="V2100">
        <v>1972</v>
      </c>
      <c r="W2100">
        <v>180.75</v>
      </c>
      <c r="X2100">
        <v>4.5</v>
      </c>
      <c r="Y2100" s="2">
        <v>1699876578871</v>
      </c>
      <c r="Z2100">
        <v>81.900000000000006</v>
      </c>
      <c r="AA2100">
        <v>102.6</v>
      </c>
      <c r="AB2100">
        <v>11.4</v>
      </c>
      <c r="AC2100">
        <v>46.2</v>
      </c>
      <c r="AD2100">
        <v>144373535</v>
      </c>
    </row>
    <row r="2101" spans="1:30" hidden="1" x14ac:dyDescent="0.45">
      <c r="A2101">
        <v>2020</v>
      </c>
      <c r="B2101">
        <v>1400</v>
      </c>
      <c r="C2101" t="s">
        <v>402</v>
      </c>
      <c r="D2101" t="s">
        <v>6810</v>
      </c>
      <c r="E2101">
        <v>61</v>
      </c>
      <c r="F2101" t="s">
        <v>558</v>
      </c>
      <c r="G2101" t="s">
        <v>6811</v>
      </c>
      <c r="H2101" t="s">
        <v>3094</v>
      </c>
      <c r="I2101" t="s">
        <v>402</v>
      </c>
      <c r="J2101" t="s">
        <v>558</v>
      </c>
      <c r="L2101" t="b">
        <v>0</v>
      </c>
      <c r="M2101" t="s">
        <v>611</v>
      </c>
      <c r="N2101" t="s">
        <v>8245</v>
      </c>
      <c r="O2101" s="1">
        <v>22667</v>
      </c>
      <c r="P2101" t="s">
        <v>6812</v>
      </c>
      <c r="Q2101" t="s">
        <v>89</v>
      </c>
      <c r="S2101" s="1">
        <v>45020.209027777775</v>
      </c>
      <c r="V2101">
        <v>1962</v>
      </c>
      <c r="W2101">
        <v>167.4</v>
      </c>
      <c r="X2101">
        <v>3.7</v>
      </c>
      <c r="Y2101" s="2">
        <v>1839758040766</v>
      </c>
      <c r="Z2101">
        <v>51.3</v>
      </c>
      <c r="AA2101">
        <v>115.4</v>
      </c>
      <c r="AB2101">
        <v>14.2</v>
      </c>
      <c r="AC2101">
        <v>65.099999999999994</v>
      </c>
      <c r="AD2101">
        <v>212559417</v>
      </c>
    </row>
    <row r="2102" spans="1:30" hidden="1" x14ac:dyDescent="0.45">
      <c r="A2102">
        <v>2020</v>
      </c>
      <c r="B2102">
        <v>1400</v>
      </c>
      <c r="C2102" t="s">
        <v>302</v>
      </c>
      <c r="D2102" t="s">
        <v>6813</v>
      </c>
      <c r="E2102">
        <v>85</v>
      </c>
      <c r="F2102" t="s">
        <v>35</v>
      </c>
      <c r="G2102" t="s">
        <v>372</v>
      </c>
      <c r="H2102" t="s">
        <v>304</v>
      </c>
      <c r="I2102" t="s">
        <v>302</v>
      </c>
      <c r="J2102" t="s">
        <v>35</v>
      </c>
      <c r="L2102" t="b">
        <v>1</v>
      </c>
      <c r="M2102" t="s">
        <v>611</v>
      </c>
      <c r="N2102" t="s">
        <v>8245</v>
      </c>
      <c r="O2102" s="1">
        <v>13880</v>
      </c>
      <c r="P2102" t="s">
        <v>6814</v>
      </c>
      <c r="Q2102" t="s">
        <v>2173</v>
      </c>
      <c r="S2102" s="1">
        <v>45020.209027777775</v>
      </c>
      <c r="T2102" t="s">
        <v>52</v>
      </c>
      <c r="U2102" t="s">
        <v>53</v>
      </c>
      <c r="V2102">
        <v>1937</v>
      </c>
      <c r="W2102">
        <v>117.24</v>
      </c>
      <c r="X2102">
        <v>7.5</v>
      </c>
      <c r="Y2102" s="2">
        <v>21427700000000</v>
      </c>
      <c r="Z2102">
        <v>88.2</v>
      </c>
      <c r="AA2102">
        <v>101.8</v>
      </c>
      <c r="AB2102">
        <v>9.6</v>
      </c>
      <c r="AC2102">
        <v>36.6</v>
      </c>
      <c r="AD2102">
        <v>328239523</v>
      </c>
    </row>
    <row r="2103" spans="1:30" hidden="1" x14ac:dyDescent="0.45">
      <c r="A2103">
        <v>2020</v>
      </c>
      <c r="B2103">
        <v>1400</v>
      </c>
      <c r="C2103" t="s">
        <v>347</v>
      </c>
      <c r="D2103" t="s">
        <v>6815</v>
      </c>
      <c r="E2103">
        <v>61</v>
      </c>
      <c r="F2103" t="s">
        <v>363</v>
      </c>
      <c r="G2103" t="s">
        <v>6816</v>
      </c>
      <c r="H2103" t="s">
        <v>6817</v>
      </c>
      <c r="I2103" t="s">
        <v>347</v>
      </c>
      <c r="J2103" t="s">
        <v>363</v>
      </c>
      <c r="L2103" t="b">
        <v>1</v>
      </c>
      <c r="M2103" t="s">
        <v>29</v>
      </c>
      <c r="N2103" t="s">
        <v>8245</v>
      </c>
      <c r="O2103" s="1">
        <v>22712</v>
      </c>
      <c r="P2103" t="s">
        <v>6818</v>
      </c>
      <c r="Q2103" t="s">
        <v>6819</v>
      </c>
      <c r="S2103" s="1">
        <v>45020.209027777775</v>
      </c>
      <c r="V2103">
        <v>1962</v>
      </c>
      <c r="W2103">
        <v>180.75</v>
      </c>
      <c r="X2103">
        <v>4.5</v>
      </c>
      <c r="Y2103" s="2">
        <v>1699876578871</v>
      </c>
      <c r="Z2103">
        <v>81.900000000000006</v>
      </c>
      <c r="AA2103">
        <v>102.6</v>
      </c>
      <c r="AB2103">
        <v>11.4</v>
      </c>
      <c r="AC2103">
        <v>46.2</v>
      </c>
      <c r="AD2103">
        <v>144373535</v>
      </c>
    </row>
    <row r="2104" spans="1:30" hidden="1" x14ac:dyDescent="0.45">
      <c r="A2104">
        <v>2020</v>
      </c>
      <c r="B2104">
        <v>1400</v>
      </c>
      <c r="C2104" t="s">
        <v>347</v>
      </c>
      <c r="D2104" t="s">
        <v>6820</v>
      </c>
      <c r="E2104">
        <v>58</v>
      </c>
      <c r="F2104" t="s">
        <v>363</v>
      </c>
      <c r="G2104" t="s">
        <v>6816</v>
      </c>
      <c r="H2104" t="s">
        <v>6817</v>
      </c>
      <c r="I2104" t="s">
        <v>347</v>
      </c>
      <c r="J2104" t="s">
        <v>363</v>
      </c>
      <c r="L2104" t="b">
        <v>1</v>
      </c>
      <c r="M2104" t="s">
        <v>29</v>
      </c>
      <c r="N2104" t="s">
        <v>8245</v>
      </c>
      <c r="O2104" s="1">
        <v>23695</v>
      </c>
      <c r="P2104" t="s">
        <v>6818</v>
      </c>
      <c r="Q2104" t="s">
        <v>6821</v>
      </c>
      <c r="S2104" s="1">
        <v>45020.209027777775</v>
      </c>
      <c r="V2104">
        <v>1964</v>
      </c>
      <c r="W2104">
        <v>180.75</v>
      </c>
      <c r="X2104">
        <v>4.5</v>
      </c>
      <c r="Y2104" s="2">
        <v>1699876578871</v>
      </c>
      <c r="Z2104">
        <v>81.900000000000006</v>
      </c>
      <c r="AA2104">
        <v>102.6</v>
      </c>
      <c r="AB2104">
        <v>11.4</v>
      </c>
      <c r="AC2104">
        <v>46.2</v>
      </c>
      <c r="AD2104">
        <v>144373535</v>
      </c>
    </row>
    <row r="2105" spans="1:30" hidden="1" x14ac:dyDescent="0.45">
      <c r="A2105">
        <v>2020</v>
      </c>
      <c r="B2105">
        <v>1400</v>
      </c>
      <c r="C2105" t="s">
        <v>23</v>
      </c>
      <c r="D2105" t="s">
        <v>6822</v>
      </c>
      <c r="E2105">
        <v>97</v>
      </c>
      <c r="F2105" t="s">
        <v>266</v>
      </c>
      <c r="G2105" t="s">
        <v>6823</v>
      </c>
      <c r="H2105" t="s">
        <v>196</v>
      </c>
      <c r="I2105" t="s">
        <v>23</v>
      </c>
      <c r="J2105" t="s">
        <v>266</v>
      </c>
      <c r="L2105" t="b">
        <v>1</v>
      </c>
      <c r="M2105" t="s">
        <v>29</v>
      </c>
      <c r="N2105" t="s">
        <v>8245</v>
      </c>
      <c r="O2105" s="1">
        <v>9564</v>
      </c>
      <c r="P2105" t="s">
        <v>6824</v>
      </c>
      <c r="Q2105" t="s">
        <v>6825</v>
      </c>
      <c r="S2105" s="1">
        <v>45020.209027777775</v>
      </c>
      <c r="V2105">
        <v>1926</v>
      </c>
      <c r="W2105">
        <v>105.48</v>
      </c>
      <c r="X2105">
        <v>0.5</v>
      </c>
      <c r="Y2105" s="2">
        <v>5081769542380</v>
      </c>
      <c r="Z2105">
        <v>63.2</v>
      </c>
      <c r="AA2105">
        <v>98.8</v>
      </c>
      <c r="AB2105">
        <v>11.9</v>
      </c>
      <c r="AC2105">
        <v>46.7</v>
      </c>
      <c r="AD2105">
        <v>126226568</v>
      </c>
    </row>
    <row r="2106" spans="1:30" hidden="1" x14ac:dyDescent="0.45">
      <c r="A2106">
        <v>2020</v>
      </c>
      <c r="B2106">
        <v>1400</v>
      </c>
      <c r="C2106" t="s">
        <v>45</v>
      </c>
      <c r="D2106" t="s">
        <v>6826</v>
      </c>
      <c r="E2106">
        <v>48</v>
      </c>
      <c r="F2106" t="s">
        <v>35</v>
      </c>
      <c r="G2106" t="s">
        <v>6194</v>
      </c>
      <c r="H2106" t="s">
        <v>5696</v>
      </c>
      <c r="I2106" t="s">
        <v>45</v>
      </c>
      <c r="J2106" t="s">
        <v>35</v>
      </c>
      <c r="L2106" t="b">
        <v>1</v>
      </c>
      <c r="M2106" t="s">
        <v>611</v>
      </c>
      <c r="N2106" t="s">
        <v>8245</v>
      </c>
      <c r="O2106" s="1">
        <v>27304</v>
      </c>
      <c r="P2106" t="s">
        <v>1215</v>
      </c>
      <c r="Q2106" t="s">
        <v>5023</v>
      </c>
      <c r="S2106" s="1">
        <v>45020.209027777775</v>
      </c>
      <c r="T2106" t="s">
        <v>2752</v>
      </c>
      <c r="U2106" t="s">
        <v>53</v>
      </c>
      <c r="V2106">
        <v>1974</v>
      </c>
      <c r="W2106">
        <v>117.24</v>
      </c>
      <c r="X2106">
        <v>7.5</v>
      </c>
      <c r="Y2106" s="2">
        <v>21427700000000</v>
      </c>
      <c r="Z2106">
        <v>88.2</v>
      </c>
      <c r="AA2106">
        <v>101.8</v>
      </c>
      <c r="AB2106">
        <v>9.6</v>
      </c>
      <c r="AC2106">
        <v>36.6</v>
      </c>
      <c r="AD2106">
        <v>328239523</v>
      </c>
    </row>
    <row r="2107" spans="1:30" hidden="1" x14ac:dyDescent="0.45">
      <c r="A2107">
        <v>2020</v>
      </c>
      <c r="B2107">
        <v>1400</v>
      </c>
      <c r="C2107" t="s">
        <v>23</v>
      </c>
      <c r="D2107" t="s">
        <v>6827</v>
      </c>
      <c r="E2107">
        <v>46</v>
      </c>
      <c r="F2107" t="s">
        <v>577</v>
      </c>
      <c r="G2107" t="s">
        <v>578</v>
      </c>
      <c r="H2107" t="s">
        <v>579</v>
      </c>
      <c r="I2107" t="s">
        <v>23</v>
      </c>
      <c r="J2107" t="s">
        <v>577</v>
      </c>
      <c r="L2107" t="b">
        <v>0</v>
      </c>
      <c r="M2107" t="s">
        <v>39</v>
      </c>
      <c r="N2107" t="s">
        <v>8246</v>
      </c>
      <c r="O2107" s="1">
        <v>28126</v>
      </c>
      <c r="P2107" t="s">
        <v>6828</v>
      </c>
      <c r="Q2107" t="s">
        <v>6829</v>
      </c>
      <c r="S2107" s="1">
        <v>45020.209027777775</v>
      </c>
      <c r="V2107">
        <v>1977</v>
      </c>
      <c r="W2107">
        <v>110.51</v>
      </c>
      <c r="X2107">
        <v>1.8</v>
      </c>
      <c r="Y2107" s="2">
        <v>530832908738</v>
      </c>
      <c r="Z2107">
        <v>67</v>
      </c>
      <c r="AA2107">
        <v>126.6</v>
      </c>
      <c r="AB2107">
        <v>27.9</v>
      </c>
      <c r="AC2107">
        <v>49.1</v>
      </c>
      <c r="AD2107">
        <v>10285453</v>
      </c>
    </row>
    <row r="2108" spans="1:30" hidden="1" x14ac:dyDescent="0.45">
      <c r="A2108">
        <v>2020</v>
      </c>
      <c r="B2108">
        <v>1400</v>
      </c>
      <c r="C2108" t="s">
        <v>402</v>
      </c>
      <c r="D2108" t="s">
        <v>6830</v>
      </c>
      <c r="E2108">
        <v>52</v>
      </c>
      <c r="F2108" t="s">
        <v>93</v>
      </c>
      <c r="G2108" t="s">
        <v>1015</v>
      </c>
      <c r="H2108" t="s">
        <v>610</v>
      </c>
      <c r="I2108" t="s">
        <v>402</v>
      </c>
      <c r="J2108" t="s">
        <v>93</v>
      </c>
      <c r="L2108" t="b">
        <v>0</v>
      </c>
      <c r="M2108" t="s">
        <v>39</v>
      </c>
      <c r="N2108" t="s">
        <v>8245</v>
      </c>
      <c r="O2108" s="1">
        <v>26016</v>
      </c>
      <c r="P2108" t="s">
        <v>6831</v>
      </c>
      <c r="Q2108" t="s">
        <v>4953</v>
      </c>
      <c r="S2108" s="1">
        <v>45020.209027777775</v>
      </c>
      <c r="V2108">
        <v>1971</v>
      </c>
      <c r="W2108">
        <v>180.44</v>
      </c>
      <c r="X2108">
        <v>7.7</v>
      </c>
      <c r="Y2108" s="2">
        <v>2611000000000</v>
      </c>
      <c r="Z2108">
        <v>28.1</v>
      </c>
      <c r="AA2108">
        <v>113</v>
      </c>
      <c r="AB2108">
        <v>11.2</v>
      </c>
      <c r="AC2108">
        <v>49.7</v>
      </c>
      <c r="AD2108">
        <v>1366417754</v>
      </c>
    </row>
    <row r="2109" spans="1:30" hidden="1" x14ac:dyDescent="0.45">
      <c r="A2109">
        <v>2020</v>
      </c>
      <c r="B2109">
        <v>1400</v>
      </c>
      <c r="C2109" t="s">
        <v>402</v>
      </c>
      <c r="D2109" t="s">
        <v>6832</v>
      </c>
      <c r="E2109">
        <v>57</v>
      </c>
      <c r="F2109" t="s">
        <v>93</v>
      </c>
      <c r="G2109" t="s">
        <v>1015</v>
      </c>
      <c r="H2109" t="s">
        <v>610</v>
      </c>
      <c r="I2109" t="s">
        <v>402</v>
      </c>
      <c r="J2109" t="s">
        <v>93</v>
      </c>
      <c r="L2109" t="b">
        <v>0</v>
      </c>
      <c r="M2109" t="s">
        <v>39</v>
      </c>
      <c r="N2109" t="s">
        <v>8245</v>
      </c>
      <c r="O2109" s="1">
        <v>24125</v>
      </c>
      <c r="P2109" t="s">
        <v>6831</v>
      </c>
      <c r="Q2109" t="s">
        <v>613</v>
      </c>
      <c r="S2109" s="1">
        <v>45020.209027777775</v>
      </c>
      <c r="V2109">
        <v>1966</v>
      </c>
      <c r="W2109">
        <v>180.44</v>
      </c>
      <c r="X2109">
        <v>7.7</v>
      </c>
      <c r="Y2109" s="2">
        <v>2611000000000</v>
      </c>
      <c r="Z2109">
        <v>28.1</v>
      </c>
      <c r="AA2109">
        <v>113</v>
      </c>
      <c r="AB2109">
        <v>11.2</v>
      </c>
      <c r="AC2109">
        <v>49.7</v>
      </c>
      <c r="AD2109">
        <v>1366417754</v>
      </c>
    </row>
    <row r="2110" spans="1:30" hidden="1" x14ac:dyDescent="0.45">
      <c r="A2110">
        <v>2020</v>
      </c>
      <c r="B2110">
        <v>1400</v>
      </c>
      <c r="C2110" t="s">
        <v>61</v>
      </c>
      <c r="D2110" t="s">
        <v>6833</v>
      </c>
      <c r="E2110">
        <v>95</v>
      </c>
      <c r="F2110" t="s">
        <v>35</v>
      </c>
      <c r="G2110" t="s">
        <v>78</v>
      </c>
      <c r="H2110" t="s">
        <v>91</v>
      </c>
      <c r="I2110" t="s">
        <v>61</v>
      </c>
      <c r="J2110" t="s">
        <v>35</v>
      </c>
      <c r="L2110" t="b">
        <v>0</v>
      </c>
      <c r="M2110" t="s">
        <v>39</v>
      </c>
      <c r="N2110" t="s">
        <v>8246</v>
      </c>
      <c r="O2110" s="1">
        <v>10038</v>
      </c>
      <c r="P2110" t="s">
        <v>5959</v>
      </c>
      <c r="Q2110" t="s">
        <v>6834</v>
      </c>
      <c r="S2110" s="1">
        <v>45020.209027777775</v>
      </c>
      <c r="T2110" t="s">
        <v>78</v>
      </c>
      <c r="U2110" t="s">
        <v>82</v>
      </c>
      <c r="V2110">
        <v>1927</v>
      </c>
      <c r="W2110">
        <v>117.24</v>
      </c>
      <c r="X2110">
        <v>7.5</v>
      </c>
      <c r="Y2110" s="2">
        <v>21427700000000</v>
      </c>
      <c r="Z2110">
        <v>88.2</v>
      </c>
      <c r="AA2110">
        <v>101.8</v>
      </c>
      <c r="AB2110">
        <v>9.6</v>
      </c>
      <c r="AC2110">
        <v>36.6</v>
      </c>
      <c r="AD2110">
        <v>328239523</v>
      </c>
    </row>
    <row r="2111" spans="1:30" hidden="1" x14ac:dyDescent="0.45">
      <c r="A2111">
        <v>2020</v>
      </c>
      <c r="B2111">
        <v>1400</v>
      </c>
      <c r="C2111" t="s">
        <v>45</v>
      </c>
      <c r="D2111" t="s">
        <v>6835</v>
      </c>
      <c r="E2111">
        <v>60</v>
      </c>
      <c r="F2111" t="s">
        <v>128</v>
      </c>
      <c r="G2111" t="s">
        <v>129</v>
      </c>
      <c r="H2111" t="s">
        <v>6836</v>
      </c>
      <c r="I2111" t="s">
        <v>45</v>
      </c>
      <c r="J2111" t="s">
        <v>128</v>
      </c>
      <c r="L2111" t="b">
        <v>1</v>
      </c>
      <c r="M2111" t="s">
        <v>29</v>
      </c>
      <c r="N2111" t="s">
        <v>8245</v>
      </c>
      <c r="O2111" s="1">
        <v>23023</v>
      </c>
      <c r="P2111" t="s">
        <v>439</v>
      </c>
      <c r="Q2111" t="s">
        <v>6837</v>
      </c>
      <c r="S2111" s="1">
        <v>45020.209027777775</v>
      </c>
      <c r="V2111">
        <v>1963</v>
      </c>
      <c r="W2111">
        <v>125.08</v>
      </c>
      <c r="X2111">
        <v>2.9</v>
      </c>
      <c r="Y2111" s="2">
        <v>19910000000000</v>
      </c>
      <c r="Z2111">
        <v>50.6</v>
      </c>
      <c r="AA2111">
        <v>100.2</v>
      </c>
      <c r="AB2111">
        <v>9.4</v>
      </c>
      <c r="AC2111">
        <v>59.2</v>
      </c>
      <c r="AD2111">
        <v>1397715000</v>
      </c>
    </row>
    <row r="2112" spans="1:30" hidden="1" x14ac:dyDescent="0.45">
      <c r="A2112">
        <v>2020</v>
      </c>
      <c r="B2112">
        <v>1400</v>
      </c>
      <c r="C2112" t="s">
        <v>203</v>
      </c>
      <c r="D2112" t="s">
        <v>6838</v>
      </c>
      <c r="E2112">
        <v>58</v>
      </c>
      <c r="F2112" t="s">
        <v>128</v>
      </c>
      <c r="G2112" t="s">
        <v>292</v>
      </c>
      <c r="H2112" t="s">
        <v>203</v>
      </c>
      <c r="I2112" t="s">
        <v>203</v>
      </c>
      <c r="J2112" t="s">
        <v>128</v>
      </c>
      <c r="L2112" t="b">
        <v>1</v>
      </c>
      <c r="M2112" t="s">
        <v>29</v>
      </c>
      <c r="N2112" t="s">
        <v>8245</v>
      </c>
      <c r="O2112" s="1">
        <v>23743</v>
      </c>
      <c r="P2112" t="s">
        <v>439</v>
      </c>
      <c r="Q2112" t="s">
        <v>6839</v>
      </c>
      <c r="S2112" s="1">
        <v>45020.209027777775</v>
      </c>
      <c r="V2112">
        <v>1965</v>
      </c>
      <c r="W2112">
        <v>125.08</v>
      </c>
      <c r="X2112">
        <v>2.9</v>
      </c>
      <c r="Y2112" s="2">
        <v>19910000000000</v>
      </c>
      <c r="Z2112">
        <v>50.6</v>
      </c>
      <c r="AA2112">
        <v>100.2</v>
      </c>
      <c r="AB2112">
        <v>9.4</v>
      </c>
      <c r="AC2112">
        <v>59.2</v>
      </c>
      <c r="AD2112">
        <v>1397715000</v>
      </c>
    </row>
    <row r="2113" spans="1:30" hidden="1" x14ac:dyDescent="0.45">
      <c r="A2113">
        <v>2020</v>
      </c>
      <c r="B2113">
        <v>1400</v>
      </c>
      <c r="C2113" t="s">
        <v>296</v>
      </c>
      <c r="D2113" t="s">
        <v>6840</v>
      </c>
      <c r="E2113">
        <v>68</v>
      </c>
      <c r="F2113" t="s">
        <v>128</v>
      </c>
      <c r="G2113" t="s">
        <v>129</v>
      </c>
      <c r="H2113" t="s">
        <v>296</v>
      </c>
      <c r="I2113" t="s">
        <v>296</v>
      </c>
      <c r="J2113" t="s">
        <v>128</v>
      </c>
      <c r="L2113" t="b">
        <v>1</v>
      </c>
      <c r="M2113" t="s">
        <v>39</v>
      </c>
      <c r="N2113" t="s">
        <v>8245</v>
      </c>
      <c r="O2113" s="1">
        <v>20130</v>
      </c>
      <c r="P2113" t="s">
        <v>439</v>
      </c>
      <c r="Q2113" t="s">
        <v>6841</v>
      </c>
      <c r="S2113" s="1">
        <v>45020.209027777775</v>
      </c>
      <c r="V2113">
        <v>1955</v>
      </c>
      <c r="W2113">
        <v>125.08</v>
      </c>
      <c r="X2113">
        <v>2.9</v>
      </c>
      <c r="Y2113" s="2">
        <v>19910000000000</v>
      </c>
      <c r="Z2113">
        <v>50.6</v>
      </c>
      <c r="AA2113">
        <v>100.2</v>
      </c>
      <c r="AB2113">
        <v>9.4</v>
      </c>
      <c r="AC2113">
        <v>59.2</v>
      </c>
      <c r="AD2113">
        <v>1397715000</v>
      </c>
    </row>
    <row r="2114" spans="1:30" hidden="1" x14ac:dyDescent="0.45">
      <c r="A2114">
        <v>2020</v>
      </c>
      <c r="B2114">
        <v>1400</v>
      </c>
      <c r="C2114" t="s">
        <v>296</v>
      </c>
      <c r="D2114" t="s">
        <v>2992</v>
      </c>
      <c r="E2114">
        <v>76</v>
      </c>
      <c r="F2114" t="s">
        <v>128</v>
      </c>
      <c r="G2114" t="s">
        <v>4776</v>
      </c>
      <c r="H2114" t="s">
        <v>6842</v>
      </c>
      <c r="I2114" t="s">
        <v>296</v>
      </c>
      <c r="J2114" t="s">
        <v>128</v>
      </c>
      <c r="L2114" t="b">
        <v>0</v>
      </c>
      <c r="M2114" t="s">
        <v>39</v>
      </c>
      <c r="N2114" t="s">
        <v>8246</v>
      </c>
      <c r="O2114" s="1">
        <v>16985</v>
      </c>
      <c r="P2114" t="s">
        <v>439</v>
      </c>
      <c r="Q2114" t="s">
        <v>2994</v>
      </c>
      <c r="S2114" s="1">
        <v>45020.209027777775</v>
      </c>
      <c r="V2114">
        <v>1946</v>
      </c>
      <c r="W2114">
        <v>125.08</v>
      </c>
      <c r="X2114">
        <v>2.9</v>
      </c>
      <c r="Y2114" s="2">
        <v>19910000000000</v>
      </c>
      <c r="Z2114">
        <v>50.6</v>
      </c>
      <c r="AA2114">
        <v>100.2</v>
      </c>
      <c r="AB2114">
        <v>9.4</v>
      </c>
      <c r="AC2114">
        <v>59.2</v>
      </c>
      <c r="AD2114">
        <v>1397715000</v>
      </c>
    </row>
    <row r="2115" spans="1:30" hidden="1" x14ac:dyDescent="0.45">
      <c r="A2115">
        <v>2020</v>
      </c>
      <c r="B2115">
        <v>1400</v>
      </c>
      <c r="C2115" t="s">
        <v>326</v>
      </c>
      <c r="D2115" t="s">
        <v>6843</v>
      </c>
      <c r="E2115">
        <v>26</v>
      </c>
      <c r="F2115" t="s">
        <v>128</v>
      </c>
      <c r="G2115" t="s">
        <v>6844</v>
      </c>
      <c r="H2115" t="s">
        <v>399</v>
      </c>
      <c r="I2115" t="s">
        <v>326</v>
      </c>
      <c r="J2115" t="s">
        <v>128</v>
      </c>
      <c r="L2115" t="b">
        <v>0</v>
      </c>
      <c r="M2115" t="s">
        <v>39</v>
      </c>
      <c r="N2115" t="s">
        <v>8245</v>
      </c>
      <c r="O2115" s="1">
        <v>35247</v>
      </c>
      <c r="P2115" t="s">
        <v>439</v>
      </c>
      <c r="Q2115" t="s">
        <v>6845</v>
      </c>
      <c r="S2115" s="1">
        <v>45020.209027777775</v>
      </c>
      <c r="V2115">
        <v>1996</v>
      </c>
      <c r="W2115">
        <v>125.08</v>
      </c>
      <c r="X2115">
        <v>2.9</v>
      </c>
      <c r="Y2115" s="2">
        <v>19910000000000</v>
      </c>
      <c r="Z2115">
        <v>50.6</v>
      </c>
      <c r="AA2115">
        <v>100.2</v>
      </c>
      <c r="AB2115">
        <v>9.4</v>
      </c>
      <c r="AC2115">
        <v>59.2</v>
      </c>
      <c r="AD2115">
        <v>1397715000</v>
      </c>
    </row>
    <row r="2116" spans="1:30" hidden="1" x14ac:dyDescent="0.45">
      <c r="A2116">
        <v>2020</v>
      </c>
      <c r="B2116">
        <v>1400</v>
      </c>
      <c r="C2116" t="s">
        <v>296</v>
      </c>
      <c r="D2116" t="s">
        <v>6846</v>
      </c>
      <c r="E2116">
        <v>84</v>
      </c>
      <c r="F2116" t="s">
        <v>205</v>
      </c>
      <c r="G2116" t="s">
        <v>601</v>
      </c>
      <c r="H2116" t="s">
        <v>6256</v>
      </c>
      <c r="I2116" t="s">
        <v>296</v>
      </c>
      <c r="J2116" t="s">
        <v>205</v>
      </c>
      <c r="L2116" t="b">
        <v>1</v>
      </c>
      <c r="M2116" t="s">
        <v>611</v>
      </c>
      <c r="N2116" t="s">
        <v>8245</v>
      </c>
      <c r="O2116" s="1">
        <v>14285</v>
      </c>
      <c r="P2116" t="s">
        <v>5531</v>
      </c>
      <c r="Q2116" t="s">
        <v>6847</v>
      </c>
      <c r="S2116" s="1">
        <v>45020.209027777775</v>
      </c>
      <c r="V2116">
        <v>1939</v>
      </c>
      <c r="W2116">
        <v>99.55</v>
      </c>
      <c r="X2116">
        <v>0.4</v>
      </c>
      <c r="Y2116" s="2">
        <v>703082435360</v>
      </c>
      <c r="Z2116">
        <v>59.6</v>
      </c>
      <c r="AA2116">
        <v>105.2</v>
      </c>
      <c r="AB2116">
        <v>10.1</v>
      </c>
      <c r="AC2116">
        <v>28.8</v>
      </c>
      <c r="AD2116">
        <v>8574832</v>
      </c>
    </row>
    <row r="2117" spans="1:30" hidden="1" x14ac:dyDescent="0.45">
      <c r="A2117">
        <v>2020</v>
      </c>
      <c r="B2117">
        <v>1400</v>
      </c>
      <c r="C2117" t="s">
        <v>296</v>
      </c>
      <c r="D2117" t="s">
        <v>6848</v>
      </c>
      <c r="E2117">
        <v>37</v>
      </c>
      <c r="F2117" t="s">
        <v>558</v>
      </c>
      <c r="G2117" t="s">
        <v>6849</v>
      </c>
      <c r="H2117" t="s">
        <v>6850</v>
      </c>
      <c r="I2117" t="s">
        <v>296</v>
      </c>
      <c r="J2117" t="s">
        <v>558</v>
      </c>
      <c r="L2117" t="b">
        <v>0</v>
      </c>
      <c r="M2117" t="s">
        <v>29</v>
      </c>
      <c r="N2117" t="s">
        <v>8246</v>
      </c>
      <c r="O2117" s="1">
        <v>31413</v>
      </c>
      <c r="P2117" t="s">
        <v>6851</v>
      </c>
      <c r="Q2117" t="s">
        <v>4022</v>
      </c>
      <c r="S2117" s="1">
        <v>45020.209027777775</v>
      </c>
      <c r="V2117">
        <v>1986</v>
      </c>
      <c r="W2117">
        <v>167.4</v>
      </c>
      <c r="X2117">
        <v>3.7</v>
      </c>
      <c r="Y2117" s="2">
        <v>1839758040766</v>
      </c>
      <c r="Z2117">
        <v>51.3</v>
      </c>
      <c r="AA2117">
        <v>115.4</v>
      </c>
      <c r="AB2117">
        <v>14.2</v>
      </c>
      <c r="AC2117">
        <v>65.099999999999994</v>
      </c>
      <c r="AD2117">
        <v>212559417</v>
      </c>
    </row>
    <row r="2118" spans="1:30" hidden="1" x14ac:dyDescent="0.45">
      <c r="A2118">
        <v>2020</v>
      </c>
      <c r="B2118">
        <v>1400</v>
      </c>
      <c r="C2118" t="s">
        <v>61</v>
      </c>
      <c r="D2118" t="s">
        <v>6852</v>
      </c>
      <c r="E2118">
        <v>80</v>
      </c>
      <c r="F2118" t="s">
        <v>35</v>
      </c>
      <c r="G2118" t="s">
        <v>6853</v>
      </c>
      <c r="H2118" t="s">
        <v>1580</v>
      </c>
      <c r="I2118" t="s">
        <v>61</v>
      </c>
      <c r="J2118" t="s">
        <v>35</v>
      </c>
      <c r="L2118" t="b">
        <v>1</v>
      </c>
      <c r="M2118" t="s">
        <v>29</v>
      </c>
      <c r="N2118" t="s">
        <v>8245</v>
      </c>
      <c r="O2118" s="1">
        <v>15682</v>
      </c>
      <c r="P2118" t="s">
        <v>53</v>
      </c>
      <c r="Q2118" t="s">
        <v>2850</v>
      </c>
      <c r="S2118" s="1">
        <v>45020.209027777775</v>
      </c>
      <c r="T2118" t="s">
        <v>311</v>
      </c>
      <c r="U2118" t="s">
        <v>82</v>
      </c>
      <c r="V2118">
        <v>1942</v>
      </c>
      <c r="W2118">
        <v>117.24</v>
      </c>
      <c r="X2118">
        <v>7.5</v>
      </c>
      <c r="Y2118" s="2">
        <v>21427700000000</v>
      </c>
      <c r="Z2118">
        <v>88.2</v>
      </c>
      <c r="AA2118">
        <v>101.8</v>
      </c>
      <c r="AB2118">
        <v>9.6</v>
      </c>
      <c r="AC2118">
        <v>36.6</v>
      </c>
      <c r="AD2118">
        <v>328239523</v>
      </c>
    </row>
    <row r="2119" spans="1:30" hidden="1" x14ac:dyDescent="0.45">
      <c r="A2119">
        <v>2020</v>
      </c>
      <c r="B2119">
        <v>1400</v>
      </c>
      <c r="C2119" t="s">
        <v>296</v>
      </c>
      <c r="D2119" t="s">
        <v>6854</v>
      </c>
      <c r="E2119">
        <v>68</v>
      </c>
      <c r="F2119" t="s">
        <v>128</v>
      </c>
      <c r="G2119" t="s">
        <v>4471</v>
      </c>
      <c r="H2119" t="s">
        <v>4590</v>
      </c>
      <c r="I2119" t="s">
        <v>296</v>
      </c>
      <c r="J2119" t="s">
        <v>128</v>
      </c>
      <c r="L2119" t="b">
        <v>1</v>
      </c>
      <c r="M2119" t="s">
        <v>611</v>
      </c>
      <c r="N2119" t="s">
        <v>8245</v>
      </c>
      <c r="O2119" s="1">
        <v>19845</v>
      </c>
      <c r="P2119" t="s">
        <v>894</v>
      </c>
      <c r="Q2119" t="s">
        <v>6855</v>
      </c>
      <c r="S2119" s="1">
        <v>45020.209027777775</v>
      </c>
      <c r="V2119">
        <v>1954</v>
      </c>
      <c r="W2119">
        <v>125.08</v>
      </c>
      <c r="X2119">
        <v>2.9</v>
      </c>
      <c r="Y2119" s="2">
        <v>19910000000000</v>
      </c>
      <c r="Z2119">
        <v>50.6</v>
      </c>
      <c r="AA2119">
        <v>100.2</v>
      </c>
      <c r="AB2119">
        <v>9.4</v>
      </c>
      <c r="AC2119">
        <v>59.2</v>
      </c>
      <c r="AD2119">
        <v>1397715000</v>
      </c>
    </row>
    <row r="2120" spans="1:30" hidden="1" x14ac:dyDescent="0.45">
      <c r="A2120">
        <v>2020</v>
      </c>
      <c r="B2120">
        <v>1400</v>
      </c>
      <c r="C2120" t="s">
        <v>296</v>
      </c>
      <c r="D2120" t="s">
        <v>6856</v>
      </c>
      <c r="E2120">
        <v>53</v>
      </c>
      <c r="F2120" t="s">
        <v>128</v>
      </c>
      <c r="G2120" t="s">
        <v>6857</v>
      </c>
      <c r="H2120" t="s">
        <v>399</v>
      </c>
      <c r="I2120" t="s">
        <v>296</v>
      </c>
      <c r="J2120" t="s">
        <v>128</v>
      </c>
      <c r="L2120" t="b">
        <v>1</v>
      </c>
      <c r="M2120" t="s">
        <v>29</v>
      </c>
      <c r="N2120" t="s">
        <v>8245</v>
      </c>
      <c r="O2120" s="1">
        <v>25341</v>
      </c>
      <c r="P2120" t="s">
        <v>894</v>
      </c>
      <c r="Q2120" t="s">
        <v>6858</v>
      </c>
      <c r="S2120" s="1">
        <v>45020.209027777775</v>
      </c>
      <c r="V2120">
        <v>1969</v>
      </c>
      <c r="W2120">
        <v>125.08</v>
      </c>
      <c r="X2120">
        <v>2.9</v>
      </c>
      <c r="Y2120" s="2">
        <v>19910000000000</v>
      </c>
      <c r="Z2120">
        <v>50.6</v>
      </c>
      <c r="AA2120">
        <v>100.2</v>
      </c>
      <c r="AB2120">
        <v>9.4</v>
      </c>
      <c r="AC2120">
        <v>59.2</v>
      </c>
      <c r="AD2120">
        <v>1397715000</v>
      </c>
    </row>
    <row r="2121" spans="1:30" hidden="1" x14ac:dyDescent="0.45">
      <c r="A2121">
        <v>2020</v>
      </c>
      <c r="B2121">
        <v>1400</v>
      </c>
      <c r="C2121" t="s">
        <v>45</v>
      </c>
      <c r="D2121" t="s">
        <v>6859</v>
      </c>
      <c r="E2121">
        <v>43</v>
      </c>
      <c r="F2121" t="s">
        <v>128</v>
      </c>
      <c r="G2121" t="s">
        <v>234</v>
      </c>
      <c r="H2121" t="s">
        <v>2571</v>
      </c>
      <c r="I2121" t="s">
        <v>45</v>
      </c>
      <c r="J2121" t="s">
        <v>128</v>
      </c>
      <c r="K2121" t="s">
        <v>2572</v>
      </c>
      <c r="L2121" t="b">
        <v>1</v>
      </c>
      <c r="M2121" t="s">
        <v>611</v>
      </c>
      <c r="N2121" t="s">
        <v>8245</v>
      </c>
      <c r="O2121" s="1">
        <v>29221</v>
      </c>
      <c r="P2121" t="s">
        <v>2706</v>
      </c>
      <c r="Q2121" t="s">
        <v>6860</v>
      </c>
      <c r="R2121" t="s">
        <v>6861</v>
      </c>
      <c r="S2121" s="1">
        <v>45020.209027777775</v>
      </c>
      <c r="V2121">
        <v>1980</v>
      </c>
      <c r="W2121">
        <v>125.08</v>
      </c>
      <c r="X2121">
        <v>2.9</v>
      </c>
      <c r="Y2121" s="2">
        <v>19910000000000</v>
      </c>
      <c r="Z2121">
        <v>50.6</v>
      </c>
      <c r="AA2121">
        <v>100.2</v>
      </c>
      <c r="AB2121">
        <v>9.4</v>
      </c>
      <c r="AC2121">
        <v>59.2</v>
      </c>
      <c r="AD2121">
        <v>1397715000</v>
      </c>
    </row>
    <row r="2122" spans="1:30" hidden="1" x14ac:dyDescent="0.45">
      <c r="A2122">
        <v>2020</v>
      </c>
      <c r="B2122">
        <v>1400</v>
      </c>
      <c r="C2122" t="s">
        <v>296</v>
      </c>
      <c r="D2122" t="s">
        <v>6862</v>
      </c>
      <c r="E2122">
        <v>59</v>
      </c>
      <c r="F2122" t="s">
        <v>128</v>
      </c>
      <c r="G2122" t="s">
        <v>1045</v>
      </c>
      <c r="H2122" t="s">
        <v>2967</v>
      </c>
      <c r="I2122" t="s">
        <v>296</v>
      </c>
      <c r="J2122" t="s">
        <v>128</v>
      </c>
      <c r="L2122" t="b">
        <v>1</v>
      </c>
      <c r="M2122" t="s">
        <v>39</v>
      </c>
      <c r="N2122" t="s">
        <v>8245</v>
      </c>
      <c r="O2122" s="1">
        <v>23255</v>
      </c>
      <c r="P2122" t="s">
        <v>646</v>
      </c>
      <c r="Q2122" t="s">
        <v>6863</v>
      </c>
      <c r="S2122" s="1">
        <v>45020.209027777775</v>
      </c>
      <c r="V2122">
        <v>1963</v>
      </c>
      <c r="W2122">
        <v>125.08</v>
      </c>
      <c r="X2122">
        <v>2.9</v>
      </c>
      <c r="Y2122" s="2">
        <v>19910000000000</v>
      </c>
      <c r="Z2122">
        <v>50.6</v>
      </c>
      <c r="AA2122">
        <v>100.2</v>
      </c>
      <c r="AB2122">
        <v>9.4</v>
      </c>
      <c r="AC2122">
        <v>59.2</v>
      </c>
      <c r="AD2122">
        <v>1397715000</v>
      </c>
    </row>
    <row r="2123" spans="1:30" hidden="1" x14ac:dyDescent="0.45">
      <c r="A2123">
        <v>2020</v>
      </c>
      <c r="B2123">
        <v>1400</v>
      </c>
      <c r="C2123" t="s">
        <v>126</v>
      </c>
      <c r="D2123" t="s">
        <v>6864</v>
      </c>
      <c r="E2123">
        <v>58</v>
      </c>
      <c r="F2123" t="s">
        <v>128</v>
      </c>
      <c r="G2123" t="s">
        <v>6865</v>
      </c>
      <c r="H2123" t="s">
        <v>1426</v>
      </c>
      <c r="I2123" t="s">
        <v>126</v>
      </c>
      <c r="J2123" t="s">
        <v>128</v>
      </c>
      <c r="L2123" t="b">
        <v>1</v>
      </c>
      <c r="M2123" t="s">
        <v>39</v>
      </c>
      <c r="N2123" t="s">
        <v>8245</v>
      </c>
      <c r="O2123" s="1">
        <v>23743</v>
      </c>
      <c r="P2123" t="s">
        <v>1269</v>
      </c>
      <c r="Q2123" t="s">
        <v>6866</v>
      </c>
      <c r="S2123" s="1">
        <v>45020.209027777775</v>
      </c>
      <c r="V2123">
        <v>1965</v>
      </c>
      <c r="W2123">
        <v>125.08</v>
      </c>
      <c r="X2123">
        <v>2.9</v>
      </c>
      <c r="Y2123" s="2">
        <v>19910000000000</v>
      </c>
      <c r="Z2123">
        <v>50.6</v>
      </c>
      <c r="AA2123">
        <v>100.2</v>
      </c>
      <c r="AB2123">
        <v>9.4</v>
      </c>
      <c r="AC2123">
        <v>59.2</v>
      </c>
      <c r="AD2123">
        <v>1397715000</v>
      </c>
    </row>
    <row r="2124" spans="1:30" hidden="1" x14ac:dyDescent="0.45">
      <c r="A2124">
        <v>2020</v>
      </c>
      <c r="B2124">
        <v>1400</v>
      </c>
      <c r="C2124" t="s">
        <v>302</v>
      </c>
      <c r="D2124" t="s">
        <v>6867</v>
      </c>
      <c r="E2124">
        <v>63</v>
      </c>
      <c r="F2124" t="s">
        <v>128</v>
      </c>
      <c r="G2124" t="s">
        <v>292</v>
      </c>
      <c r="H2124" t="s">
        <v>304</v>
      </c>
      <c r="I2124" t="s">
        <v>302</v>
      </c>
      <c r="J2124" t="s">
        <v>228</v>
      </c>
      <c r="L2124" t="b">
        <v>1</v>
      </c>
      <c r="M2124" t="s">
        <v>39</v>
      </c>
      <c r="N2124" t="s">
        <v>8245</v>
      </c>
      <c r="O2124" s="1">
        <v>21916</v>
      </c>
      <c r="P2124" t="s">
        <v>2314</v>
      </c>
      <c r="Q2124" t="s">
        <v>6868</v>
      </c>
      <c r="S2124" s="1">
        <v>45020.209027777775</v>
      </c>
      <c r="V2124">
        <v>1960</v>
      </c>
      <c r="W2124">
        <v>125.08</v>
      </c>
      <c r="X2124">
        <v>2.9</v>
      </c>
      <c r="Y2124" s="2">
        <v>19910000000000</v>
      </c>
      <c r="Z2124">
        <v>50.6</v>
      </c>
      <c r="AA2124">
        <v>100.2</v>
      </c>
      <c r="AB2124">
        <v>9.4</v>
      </c>
      <c r="AC2124">
        <v>59.2</v>
      </c>
      <c r="AD2124">
        <v>1397715000</v>
      </c>
    </row>
    <row r="2125" spans="1:30" hidden="1" x14ac:dyDescent="0.45">
      <c r="A2125">
        <v>2020</v>
      </c>
      <c r="B2125">
        <v>1400</v>
      </c>
      <c r="C2125" t="s">
        <v>402</v>
      </c>
      <c r="D2125" t="s">
        <v>6869</v>
      </c>
      <c r="E2125">
        <v>52</v>
      </c>
      <c r="F2125" t="s">
        <v>128</v>
      </c>
      <c r="G2125" t="s">
        <v>234</v>
      </c>
      <c r="H2125" t="s">
        <v>610</v>
      </c>
      <c r="I2125" t="s">
        <v>402</v>
      </c>
      <c r="J2125" t="s">
        <v>164</v>
      </c>
      <c r="L2125" t="b">
        <v>0</v>
      </c>
      <c r="M2125" t="s">
        <v>39</v>
      </c>
      <c r="N2125" t="s">
        <v>8246</v>
      </c>
      <c r="O2125" s="1">
        <v>25934</v>
      </c>
      <c r="P2125" t="s">
        <v>3281</v>
      </c>
      <c r="Q2125" t="s">
        <v>1047</v>
      </c>
      <c r="S2125" s="1">
        <v>45020.209027777775</v>
      </c>
      <c r="V2125">
        <v>1971</v>
      </c>
      <c r="W2125">
        <v>125.08</v>
      </c>
      <c r="X2125">
        <v>2.9</v>
      </c>
      <c r="Y2125" s="2">
        <v>19910000000000</v>
      </c>
      <c r="Z2125">
        <v>50.6</v>
      </c>
      <c r="AA2125">
        <v>100.2</v>
      </c>
      <c r="AB2125">
        <v>9.4</v>
      </c>
      <c r="AC2125">
        <v>59.2</v>
      </c>
      <c r="AD2125">
        <v>1397715000</v>
      </c>
    </row>
    <row r="2126" spans="1:30" hidden="1" x14ac:dyDescent="0.45">
      <c r="A2126">
        <v>2020</v>
      </c>
      <c r="B2126">
        <v>1400</v>
      </c>
      <c r="C2126" t="s">
        <v>296</v>
      </c>
      <c r="D2126" t="s">
        <v>6870</v>
      </c>
      <c r="E2126">
        <v>60</v>
      </c>
      <c r="F2126" t="s">
        <v>128</v>
      </c>
      <c r="G2126" t="s">
        <v>6871</v>
      </c>
      <c r="H2126" t="s">
        <v>4590</v>
      </c>
      <c r="I2126" t="s">
        <v>296</v>
      </c>
      <c r="J2126" t="s">
        <v>128</v>
      </c>
      <c r="L2126" t="b">
        <v>1</v>
      </c>
      <c r="M2126" t="s">
        <v>39</v>
      </c>
      <c r="N2126" t="s">
        <v>8245</v>
      </c>
      <c r="O2126" s="1">
        <v>22812</v>
      </c>
      <c r="P2126" t="s">
        <v>190</v>
      </c>
      <c r="Q2126" t="s">
        <v>6872</v>
      </c>
      <c r="S2126" s="1">
        <v>45020.209027777775</v>
      </c>
      <c r="V2126">
        <v>1962</v>
      </c>
      <c r="W2126">
        <v>125.08</v>
      </c>
      <c r="X2126">
        <v>2.9</v>
      </c>
      <c r="Y2126" s="2">
        <v>19910000000000</v>
      </c>
      <c r="Z2126">
        <v>50.6</v>
      </c>
      <c r="AA2126">
        <v>100.2</v>
      </c>
      <c r="AB2126">
        <v>9.4</v>
      </c>
      <c r="AC2126">
        <v>59.2</v>
      </c>
      <c r="AD2126">
        <v>1397715000</v>
      </c>
    </row>
    <row r="2127" spans="1:30" hidden="1" x14ac:dyDescent="0.45">
      <c r="A2127">
        <v>2020</v>
      </c>
      <c r="B2127">
        <v>1400</v>
      </c>
      <c r="C2127" t="s">
        <v>302</v>
      </c>
      <c r="D2127" t="s">
        <v>6873</v>
      </c>
      <c r="E2127">
        <v>62</v>
      </c>
      <c r="F2127" t="s">
        <v>128</v>
      </c>
      <c r="G2127" t="s">
        <v>719</v>
      </c>
      <c r="H2127" t="s">
        <v>304</v>
      </c>
      <c r="I2127" t="s">
        <v>302</v>
      </c>
      <c r="J2127" t="s">
        <v>128</v>
      </c>
      <c r="L2127" t="b">
        <v>1</v>
      </c>
      <c r="M2127" t="s">
        <v>39</v>
      </c>
      <c r="N2127" t="s">
        <v>8245</v>
      </c>
      <c r="O2127" s="1">
        <v>22035</v>
      </c>
      <c r="P2127" t="s">
        <v>190</v>
      </c>
      <c r="Q2127" t="s">
        <v>6874</v>
      </c>
      <c r="S2127" s="1">
        <v>45020.209027777775</v>
      </c>
      <c r="V2127">
        <v>1960</v>
      </c>
      <c r="W2127">
        <v>125.08</v>
      </c>
      <c r="X2127">
        <v>2.9</v>
      </c>
      <c r="Y2127" s="2">
        <v>19910000000000</v>
      </c>
      <c r="Z2127">
        <v>50.6</v>
      </c>
      <c r="AA2127">
        <v>100.2</v>
      </c>
      <c r="AB2127">
        <v>9.4</v>
      </c>
      <c r="AC2127">
        <v>59.2</v>
      </c>
      <c r="AD2127">
        <v>1397715000</v>
      </c>
    </row>
    <row r="2128" spans="1:30" hidden="1" x14ac:dyDescent="0.45">
      <c r="A2128">
        <v>2020</v>
      </c>
      <c r="B2128">
        <v>1400</v>
      </c>
      <c r="C2128" t="s">
        <v>302</v>
      </c>
      <c r="D2128" t="s">
        <v>6875</v>
      </c>
      <c r="E2128">
        <v>57</v>
      </c>
      <c r="F2128" t="s">
        <v>128</v>
      </c>
      <c r="G2128" t="s">
        <v>187</v>
      </c>
      <c r="H2128" t="s">
        <v>304</v>
      </c>
      <c r="I2128" t="s">
        <v>302</v>
      </c>
      <c r="J2128" t="s">
        <v>128</v>
      </c>
      <c r="K2128" t="s">
        <v>6876</v>
      </c>
      <c r="L2128" t="b">
        <v>1</v>
      </c>
      <c r="M2128" t="s">
        <v>285</v>
      </c>
      <c r="N2128" t="s">
        <v>8246</v>
      </c>
      <c r="O2128" s="1">
        <v>23978</v>
      </c>
      <c r="P2128" t="s">
        <v>190</v>
      </c>
      <c r="Q2128" t="s">
        <v>6877</v>
      </c>
      <c r="R2128" t="s">
        <v>6878</v>
      </c>
      <c r="S2128" s="1">
        <v>45020.209027777775</v>
      </c>
      <c r="V2128">
        <v>1965</v>
      </c>
      <c r="W2128">
        <v>125.08</v>
      </c>
      <c r="X2128">
        <v>2.9</v>
      </c>
      <c r="Y2128" s="2">
        <v>19910000000000</v>
      </c>
      <c r="Z2128">
        <v>50.6</v>
      </c>
      <c r="AA2128">
        <v>100.2</v>
      </c>
      <c r="AB2128">
        <v>9.4</v>
      </c>
      <c r="AC2128">
        <v>59.2</v>
      </c>
      <c r="AD2128">
        <v>1397715000</v>
      </c>
    </row>
    <row r="2129" spans="1:30" hidden="1" x14ac:dyDescent="0.45">
      <c r="A2129">
        <v>2020</v>
      </c>
      <c r="B2129">
        <v>1400</v>
      </c>
      <c r="C2129" t="s">
        <v>296</v>
      </c>
      <c r="D2129" t="s">
        <v>6879</v>
      </c>
      <c r="E2129">
        <v>60</v>
      </c>
      <c r="F2129" t="s">
        <v>128</v>
      </c>
      <c r="G2129" t="s">
        <v>747</v>
      </c>
      <c r="H2129" t="s">
        <v>4590</v>
      </c>
      <c r="I2129" t="s">
        <v>296</v>
      </c>
      <c r="J2129" t="s">
        <v>128</v>
      </c>
      <c r="L2129" t="b">
        <v>1</v>
      </c>
      <c r="M2129" t="s">
        <v>39</v>
      </c>
      <c r="N2129" t="s">
        <v>8245</v>
      </c>
      <c r="O2129" s="1">
        <v>23012</v>
      </c>
      <c r="P2129" t="s">
        <v>190</v>
      </c>
      <c r="Q2129" t="s">
        <v>6880</v>
      </c>
      <c r="S2129" s="1">
        <v>45020.209027777775</v>
      </c>
      <c r="V2129">
        <v>1963</v>
      </c>
      <c r="W2129">
        <v>125.08</v>
      </c>
      <c r="X2129">
        <v>2.9</v>
      </c>
      <c r="Y2129" s="2">
        <v>19910000000000</v>
      </c>
      <c r="Z2129">
        <v>50.6</v>
      </c>
      <c r="AA2129">
        <v>100.2</v>
      </c>
      <c r="AB2129">
        <v>9.4</v>
      </c>
      <c r="AC2129">
        <v>59.2</v>
      </c>
      <c r="AD2129">
        <v>1397715000</v>
      </c>
    </row>
    <row r="2130" spans="1:30" hidden="1" x14ac:dyDescent="0.45">
      <c r="A2130">
        <v>2020</v>
      </c>
      <c r="B2130">
        <v>1400</v>
      </c>
      <c r="C2130" t="s">
        <v>296</v>
      </c>
      <c r="D2130" t="s">
        <v>6881</v>
      </c>
      <c r="E2130">
        <v>62</v>
      </c>
      <c r="F2130" t="s">
        <v>128</v>
      </c>
      <c r="G2130" t="s">
        <v>960</v>
      </c>
      <c r="H2130" t="s">
        <v>2724</v>
      </c>
      <c r="I2130" t="s">
        <v>296</v>
      </c>
      <c r="J2130" t="s">
        <v>128</v>
      </c>
      <c r="L2130" t="b">
        <v>1</v>
      </c>
      <c r="M2130" t="s">
        <v>39</v>
      </c>
      <c r="N2130" t="s">
        <v>8245</v>
      </c>
      <c r="O2130" s="1">
        <v>22282</v>
      </c>
      <c r="P2130" t="s">
        <v>1147</v>
      </c>
      <c r="Q2130" t="s">
        <v>6882</v>
      </c>
      <c r="S2130" s="1">
        <v>45020.209027777775</v>
      </c>
      <c r="V2130">
        <v>1961</v>
      </c>
      <c r="W2130">
        <v>125.08</v>
      </c>
      <c r="X2130">
        <v>2.9</v>
      </c>
      <c r="Y2130" s="2">
        <v>19910000000000</v>
      </c>
      <c r="Z2130">
        <v>50.6</v>
      </c>
      <c r="AA2130">
        <v>100.2</v>
      </c>
      <c r="AB2130">
        <v>9.4</v>
      </c>
      <c r="AC2130">
        <v>59.2</v>
      </c>
      <c r="AD2130">
        <v>1397715000</v>
      </c>
    </row>
    <row r="2131" spans="1:30" hidden="1" x14ac:dyDescent="0.45">
      <c r="A2131">
        <v>2020</v>
      </c>
      <c r="B2131">
        <v>1400</v>
      </c>
      <c r="C2131" t="s">
        <v>302</v>
      </c>
      <c r="D2131" t="s">
        <v>6883</v>
      </c>
      <c r="E2131">
        <v>65</v>
      </c>
      <c r="F2131" t="s">
        <v>574</v>
      </c>
      <c r="G2131" t="s">
        <v>574</v>
      </c>
      <c r="H2131" t="s">
        <v>304</v>
      </c>
      <c r="I2131" t="s">
        <v>302</v>
      </c>
      <c r="J2131" t="s">
        <v>574</v>
      </c>
      <c r="L2131" t="b">
        <v>1</v>
      </c>
      <c r="M2131" t="s">
        <v>39</v>
      </c>
      <c r="N2131" t="s">
        <v>8245</v>
      </c>
      <c r="O2131" s="1">
        <v>21247</v>
      </c>
      <c r="P2131" t="s">
        <v>131</v>
      </c>
      <c r="Q2131" t="s">
        <v>6884</v>
      </c>
      <c r="S2131" s="1">
        <v>45020.209027777775</v>
      </c>
      <c r="V2131">
        <v>1958</v>
      </c>
      <c r="W2131">
        <v>114.41</v>
      </c>
      <c r="X2131">
        <v>0.6</v>
      </c>
      <c r="Y2131" s="2">
        <v>372062527489</v>
      </c>
      <c r="Z2131">
        <v>84.8</v>
      </c>
      <c r="AA2131">
        <v>100.6</v>
      </c>
      <c r="AB2131">
        <v>13.1</v>
      </c>
      <c r="AC2131">
        <v>21</v>
      </c>
      <c r="AD2131">
        <v>5703569</v>
      </c>
    </row>
    <row r="2132" spans="1:30" hidden="1" x14ac:dyDescent="0.45">
      <c r="A2132">
        <v>2020</v>
      </c>
      <c r="B2132">
        <v>1400</v>
      </c>
      <c r="C2132" t="s">
        <v>23</v>
      </c>
      <c r="D2132" t="s">
        <v>6885</v>
      </c>
      <c r="E2132">
        <v>57</v>
      </c>
      <c r="F2132" t="s">
        <v>128</v>
      </c>
      <c r="G2132" t="s">
        <v>292</v>
      </c>
      <c r="H2132" t="s">
        <v>268</v>
      </c>
      <c r="I2132" t="s">
        <v>23</v>
      </c>
      <c r="J2132" t="s">
        <v>128</v>
      </c>
      <c r="L2132" t="b">
        <v>1</v>
      </c>
      <c r="M2132" t="s">
        <v>39</v>
      </c>
      <c r="N2132" t="s">
        <v>8245</v>
      </c>
      <c r="O2132" s="1">
        <v>23862</v>
      </c>
      <c r="P2132" t="s">
        <v>1784</v>
      </c>
      <c r="Q2132" t="s">
        <v>6886</v>
      </c>
      <c r="S2132" s="1">
        <v>45020.209027777775</v>
      </c>
      <c r="V2132">
        <v>1965</v>
      </c>
      <c r="W2132">
        <v>125.08</v>
      </c>
      <c r="X2132">
        <v>2.9</v>
      </c>
      <c r="Y2132" s="2">
        <v>19910000000000</v>
      </c>
      <c r="Z2132">
        <v>50.6</v>
      </c>
      <c r="AA2132">
        <v>100.2</v>
      </c>
      <c r="AB2132">
        <v>9.4</v>
      </c>
      <c r="AC2132">
        <v>59.2</v>
      </c>
      <c r="AD2132">
        <v>1397715000</v>
      </c>
    </row>
    <row r="2133" spans="1:30" hidden="1" x14ac:dyDescent="0.45">
      <c r="A2133">
        <v>2020</v>
      </c>
      <c r="B2133">
        <v>1400</v>
      </c>
      <c r="C2133" t="s">
        <v>91</v>
      </c>
      <c r="D2133" t="s">
        <v>6887</v>
      </c>
      <c r="E2133">
        <v>63</v>
      </c>
      <c r="F2133" t="s">
        <v>363</v>
      </c>
      <c r="G2133" t="s">
        <v>2066</v>
      </c>
      <c r="H2133" t="s">
        <v>6198</v>
      </c>
      <c r="I2133" t="s">
        <v>91</v>
      </c>
      <c r="J2133" t="s">
        <v>363</v>
      </c>
      <c r="L2133" t="b">
        <v>1</v>
      </c>
      <c r="M2133" t="s">
        <v>1332</v>
      </c>
      <c r="N2133" t="s">
        <v>8245</v>
      </c>
      <c r="O2133" s="1">
        <v>21739</v>
      </c>
      <c r="P2133" t="s">
        <v>6888</v>
      </c>
      <c r="Q2133" t="s">
        <v>6804</v>
      </c>
      <c r="S2133" s="1">
        <v>45020.209027777775</v>
      </c>
      <c r="V2133">
        <v>1959</v>
      </c>
      <c r="W2133">
        <v>180.75</v>
      </c>
      <c r="X2133">
        <v>4.5</v>
      </c>
      <c r="Y2133" s="2">
        <v>1699876578871</v>
      </c>
      <c r="Z2133">
        <v>81.900000000000006</v>
      </c>
      <c r="AA2133">
        <v>102.6</v>
      </c>
      <c r="AB2133">
        <v>11.4</v>
      </c>
      <c r="AC2133">
        <v>46.2</v>
      </c>
      <c r="AD2133">
        <v>144373535</v>
      </c>
    </row>
    <row r="2134" spans="1:30" hidden="1" x14ac:dyDescent="0.45">
      <c r="A2134">
        <v>2133</v>
      </c>
      <c r="B2134">
        <v>1300</v>
      </c>
      <c r="C2134" t="s">
        <v>33</v>
      </c>
      <c r="D2134" t="s">
        <v>6889</v>
      </c>
      <c r="E2134">
        <v>53</v>
      </c>
      <c r="F2134" t="s">
        <v>35</v>
      </c>
      <c r="G2134" t="s">
        <v>704</v>
      </c>
      <c r="H2134" t="s">
        <v>4815</v>
      </c>
      <c r="I2134" t="s">
        <v>33</v>
      </c>
      <c r="J2134" t="s">
        <v>35</v>
      </c>
      <c r="L2134" t="b">
        <v>1</v>
      </c>
      <c r="M2134" t="s">
        <v>29</v>
      </c>
      <c r="N2134" t="s">
        <v>8245</v>
      </c>
      <c r="O2134" s="1">
        <v>25492</v>
      </c>
      <c r="P2134" t="s">
        <v>6890</v>
      </c>
      <c r="Q2134" t="s">
        <v>6891</v>
      </c>
      <c r="S2134" s="1">
        <v>45020.209027777775</v>
      </c>
      <c r="T2134" t="s">
        <v>43</v>
      </c>
      <c r="U2134" t="s">
        <v>44</v>
      </c>
      <c r="V2134">
        <v>1969</v>
      </c>
      <c r="W2134">
        <v>117.24</v>
      </c>
      <c r="X2134">
        <v>7.5</v>
      </c>
      <c r="Y2134" s="2">
        <v>21427700000000</v>
      </c>
      <c r="Z2134">
        <v>88.2</v>
      </c>
      <c r="AA2134">
        <v>101.8</v>
      </c>
      <c r="AB2134">
        <v>9.6</v>
      </c>
      <c r="AC2134">
        <v>36.6</v>
      </c>
      <c r="AD2134">
        <v>328239523</v>
      </c>
    </row>
    <row r="2135" spans="1:30" hidden="1" x14ac:dyDescent="0.45">
      <c r="A2135">
        <v>2133</v>
      </c>
      <c r="B2135">
        <v>1300</v>
      </c>
      <c r="C2135" t="s">
        <v>203</v>
      </c>
      <c r="D2135" t="s">
        <v>6892</v>
      </c>
      <c r="E2135">
        <v>85</v>
      </c>
      <c r="F2135" t="s">
        <v>349</v>
      </c>
      <c r="G2135" t="s">
        <v>5501</v>
      </c>
      <c r="H2135" t="s">
        <v>399</v>
      </c>
      <c r="I2135" t="s">
        <v>203</v>
      </c>
      <c r="J2135" t="s">
        <v>349</v>
      </c>
      <c r="L2135" t="b">
        <v>1</v>
      </c>
      <c r="M2135" t="s">
        <v>1332</v>
      </c>
      <c r="N2135" t="s">
        <v>8245</v>
      </c>
      <c r="O2135" s="1">
        <v>13963</v>
      </c>
      <c r="P2135" t="s">
        <v>6893</v>
      </c>
      <c r="Q2135" t="s">
        <v>6894</v>
      </c>
      <c r="S2135" s="1">
        <v>45020.209027777775</v>
      </c>
      <c r="V2135">
        <v>1938</v>
      </c>
      <c r="W2135">
        <v>151.18</v>
      </c>
      <c r="X2135">
        <v>3</v>
      </c>
      <c r="Y2135" s="2">
        <v>1119190780753</v>
      </c>
      <c r="Z2135">
        <v>36.299999999999997</v>
      </c>
      <c r="AA2135">
        <v>106.4</v>
      </c>
      <c r="AB2135">
        <v>10.199999999999999</v>
      </c>
      <c r="AC2135">
        <v>30.1</v>
      </c>
      <c r="AD2135">
        <v>270203917</v>
      </c>
    </row>
    <row r="2136" spans="1:30" hidden="1" x14ac:dyDescent="0.45">
      <c r="A2136">
        <v>2133</v>
      </c>
      <c r="B2136">
        <v>1300</v>
      </c>
      <c r="C2136" t="s">
        <v>402</v>
      </c>
      <c r="D2136" t="s">
        <v>6895</v>
      </c>
      <c r="E2136">
        <v>64</v>
      </c>
      <c r="F2136" t="s">
        <v>93</v>
      </c>
      <c r="G2136" t="s">
        <v>94</v>
      </c>
      <c r="H2136" t="s">
        <v>610</v>
      </c>
      <c r="I2136" t="s">
        <v>402</v>
      </c>
      <c r="J2136" t="s">
        <v>93</v>
      </c>
      <c r="L2136" t="b">
        <v>1</v>
      </c>
      <c r="M2136" t="s">
        <v>39</v>
      </c>
      <c r="N2136" t="s">
        <v>8245</v>
      </c>
      <c r="O2136" s="1">
        <v>21606</v>
      </c>
      <c r="P2136" t="s">
        <v>6896</v>
      </c>
      <c r="Q2136" t="s">
        <v>6897</v>
      </c>
      <c r="S2136" s="1">
        <v>45020.209027777775</v>
      </c>
      <c r="V2136">
        <v>1959</v>
      </c>
      <c r="W2136">
        <v>180.44</v>
      </c>
      <c r="X2136">
        <v>7.7</v>
      </c>
      <c r="Y2136" s="2">
        <v>2611000000000</v>
      </c>
      <c r="Z2136">
        <v>28.1</v>
      </c>
      <c r="AA2136">
        <v>113</v>
      </c>
      <c r="AB2136">
        <v>11.2</v>
      </c>
      <c r="AC2136">
        <v>49.7</v>
      </c>
      <c r="AD2136">
        <v>1366417754</v>
      </c>
    </row>
    <row r="2137" spans="1:30" hidden="1" x14ac:dyDescent="0.45">
      <c r="A2137">
        <v>2133</v>
      </c>
      <c r="B2137">
        <v>1300</v>
      </c>
      <c r="C2137" t="s">
        <v>402</v>
      </c>
      <c r="D2137" t="s">
        <v>6898</v>
      </c>
      <c r="E2137">
        <v>76</v>
      </c>
      <c r="F2137" t="s">
        <v>93</v>
      </c>
      <c r="G2137" t="s">
        <v>6899</v>
      </c>
      <c r="H2137" t="s">
        <v>610</v>
      </c>
      <c r="I2137" t="s">
        <v>402</v>
      </c>
      <c r="J2137" t="s">
        <v>93</v>
      </c>
      <c r="L2137" t="b">
        <v>0</v>
      </c>
      <c r="M2137" t="s">
        <v>39</v>
      </c>
      <c r="N2137" t="s">
        <v>8245</v>
      </c>
      <c r="O2137" s="1">
        <v>17140</v>
      </c>
      <c r="P2137" t="s">
        <v>6900</v>
      </c>
      <c r="Q2137" t="s">
        <v>6901</v>
      </c>
      <c r="S2137" s="1">
        <v>45020.209027777775</v>
      </c>
      <c r="V2137">
        <v>1946</v>
      </c>
      <c r="W2137">
        <v>180.44</v>
      </c>
      <c r="X2137">
        <v>7.7</v>
      </c>
      <c r="Y2137" s="2">
        <v>2611000000000</v>
      </c>
      <c r="Z2137">
        <v>28.1</v>
      </c>
      <c r="AA2137">
        <v>113</v>
      </c>
      <c r="AB2137">
        <v>11.2</v>
      </c>
      <c r="AC2137">
        <v>49.7</v>
      </c>
      <c r="AD2137">
        <v>1366417754</v>
      </c>
    </row>
    <row r="2138" spans="1:30" hidden="1" x14ac:dyDescent="0.45">
      <c r="A2138">
        <v>2133</v>
      </c>
      <c r="B2138">
        <v>1300</v>
      </c>
      <c r="C2138" t="s">
        <v>302</v>
      </c>
      <c r="D2138" t="s">
        <v>6902</v>
      </c>
      <c r="E2138">
        <v>72</v>
      </c>
      <c r="F2138" t="s">
        <v>628</v>
      </c>
      <c r="G2138" t="s">
        <v>629</v>
      </c>
      <c r="H2138" t="s">
        <v>304</v>
      </c>
      <c r="I2138" t="s">
        <v>302</v>
      </c>
      <c r="J2138" t="s">
        <v>628</v>
      </c>
      <c r="L2138" t="b">
        <v>1</v>
      </c>
      <c r="M2138" t="s">
        <v>611</v>
      </c>
      <c r="N2138" t="s">
        <v>8245</v>
      </c>
      <c r="O2138" s="1">
        <v>18486</v>
      </c>
      <c r="P2138" t="s">
        <v>6903</v>
      </c>
      <c r="Q2138" t="s">
        <v>6904</v>
      </c>
      <c r="S2138" s="1">
        <v>45020.209027777775</v>
      </c>
      <c r="V2138">
        <v>1950</v>
      </c>
      <c r="W2138">
        <v>113.27</v>
      </c>
      <c r="X2138">
        <v>0.7</v>
      </c>
      <c r="Y2138" s="2">
        <v>543649976166</v>
      </c>
      <c r="Z2138">
        <v>49.3</v>
      </c>
      <c r="AA2138">
        <v>99.8</v>
      </c>
      <c r="AB2138">
        <v>14.9</v>
      </c>
      <c r="AC2138">
        <v>29.5</v>
      </c>
      <c r="AD2138">
        <v>69625582</v>
      </c>
    </row>
    <row r="2139" spans="1:30" hidden="1" x14ac:dyDescent="0.45">
      <c r="A2139">
        <v>2133</v>
      </c>
      <c r="B2139">
        <v>1300</v>
      </c>
      <c r="C2139" t="s">
        <v>61</v>
      </c>
      <c r="D2139" t="s">
        <v>6905</v>
      </c>
      <c r="E2139">
        <v>55</v>
      </c>
      <c r="F2139" t="s">
        <v>363</v>
      </c>
      <c r="G2139" t="s">
        <v>381</v>
      </c>
      <c r="H2139" t="s">
        <v>6906</v>
      </c>
      <c r="I2139" t="s">
        <v>61</v>
      </c>
      <c r="J2139" t="s">
        <v>363</v>
      </c>
      <c r="L2139" t="b">
        <v>1</v>
      </c>
      <c r="M2139" t="s">
        <v>1332</v>
      </c>
      <c r="N2139" t="s">
        <v>8245</v>
      </c>
      <c r="O2139" s="1">
        <v>24670</v>
      </c>
      <c r="P2139" t="s">
        <v>6907</v>
      </c>
      <c r="Q2139" t="s">
        <v>1003</v>
      </c>
      <c r="S2139" s="1">
        <v>45020.209027777775</v>
      </c>
      <c r="V2139">
        <v>1967</v>
      </c>
      <c r="W2139">
        <v>180.75</v>
      </c>
      <c r="X2139">
        <v>4.5</v>
      </c>
      <c r="Y2139" s="2">
        <v>1699876578871</v>
      </c>
      <c r="Z2139">
        <v>81.900000000000006</v>
      </c>
      <c r="AA2139">
        <v>102.6</v>
      </c>
      <c r="AB2139">
        <v>11.4</v>
      </c>
      <c r="AC2139">
        <v>46.2</v>
      </c>
      <c r="AD2139">
        <v>144373535</v>
      </c>
    </row>
    <row r="2140" spans="1:30" hidden="1" x14ac:dyDescent="0.45">
      <c r="A2140">
        <v>2133</v>
      </c>
      <c r="B2140">
        <v>1300</v>
      </c>
      <c r="C2140" t="s">
        <v>33</v>
      </c>
      <c r="D2140" t="s">
        <v>6908</v>
      </c>
      <c r="E2140">
        <v>64</v>
      </c>
      <c r="F2140" t="s">
        <v>490</v>
      </c>
      <c r="G2140" t="s">
        <v>6909</v>
      </c>
      <c r="H2140" t="s">
        <v>6501</v>
      </c>
      <c r="I2140" t="s">
        <v>33</v>
      </c>
      <c r="J2140" t="s">
        <v>490</v>
      </c>
      <c r="L2140" t="b">
        <v>1</v>
      </c>
      <c r="M2140" t="s">
        <v>39</v>
      </c>
      <c r="N2140" t="s">
        <v>8245</v>
      </c>
      <c r="O2140" s="1">
        <v>21553</v>
      </c>
      <c r="P2140" t="s">
        <v>6910</v>
      </c>
      <c r="Q2140" t="s">
        <v>6911</v>
      </c>
      <c r="S2140" s="1">
        <v>45020.209027777775</v>
      </c>
      <c r="V2140">
        <v>1959</v>
      </c>
      <c r="W2140">
        <v>108.15</v>
      </c>
      <c r="X2140">
        <v>0.8</v>
      </c>
      <c r="Y2140" s="2">
        <v>395098666122</v>
      </c>
      <c r="Z2140">
        <v>63.4</v>
      </c>
      <c r="AA2140">
        <v>104.9</v>
      </c>
      <c r="AB2140">
        <v>23.1</v>
      </c>
      <c r="AC2140">
        <v>25.3</v>
      </c>
      <c r="AD2140">
        <v>9053300</v>
      </c>
    </row>
    <row r="2141" spans="1:30" hidden="1" x14ac:dyDescent="0.45">
      <c r="A2141">
        <v>2133</v>
      </c>
      <c r="B2141">
        <v>1300</v>
      </c>
      <c r="C2141" t="s">
        <v>23</v>
      </c>
      <c r="D2141" t="s">
        <v>6912</v>
      </c>
      <c r="E2141">
        <v>41</v>
      </c>
      <c r="F2141" t="s">
        <v>93</v>
      </c>
      <c r="G2141" t="s">
        <v>1015</v>
      </c>
      <c r="H2141" t="s">
        <v>6601</v>
      </c>
      <c r="I2141" t="s">
        <v>23</v>
      </c>
      <c r="J2141" t="s">
        <v>93</v>
      </c>
      <c r="L2141" t="b">
        <v>1</v>
      </c>
      <c r="M2141" t="s">
        <v>611</v>
      </c>
      <c r="N2141" t="s">
        <v>8245</v>
      </c>
      <c r="O2141" s="1">
        <v>29803</v>
      </c>
      <c r="P2141" t="s">
        <v>6602</v>
      </c>
      <c r="Q2141" t="s">
        <v>6913</v>
      </c>
      <c r="S2141" s="1">
        <v>45020.209027777775</v>
      </c>
      <c r="V2141">
        <v>1981</v>
      </c>
      <c r="W2141">
        <v>180.44</v>
      </c>
      <c r="X2141">
        <v>7.7</v>
      </c>
      <c r="Y2141" s="2">
        <v>2611000000000</v>
      </c>
      <c r="Z2141">
        <v>28.1</v>
      </c>
      <c r="AA2141">
        <v>113</v>
      </c>
      <c r="AB2141">
        <v>11.2</v>
      </c>
      <c r="AC2141">
        <v>49.7</v>
      </c>
      <c r="AD2141">
        <v>1366417754</v>
      </c>
    </row>
    <row r="2142" spans="1:30" hidden="1" x14ac:dyDescent="0.45">
      <c r="A2142">
        <v>2133</v>
      </c>
      <c r="B2142">
        <v>1300</v>
      </c>
      <c r="C2142" t="s">
        <v>347</v>
      </c>
      <c r="D2142" t="s">
        <v>6914</v>
      </c>
      <c r="E2142">
        <v>83</v>
      </c>
      <c r="F2142" t="s">
        <v>349</v>
      </c>
      <c r="G2142" t="s">
        <v>350</v>
      </c>
      <c r="H2142" t="s">
        <v>351</v>
      </c>
      <c r="I2142" t="s">
        <v>347</v>
      </c>
      <c r="J2142" t="s">
        <v>349</v>
      </c>
      <c r="L2142" t="b">
        <v>1</v>
      </c>
      <c r="M2142" t="s">
        <v>39</v>
      </c>
      <c r="N2142" t="s">
        <v>8245</v>
      </c>
      <c r="O2142" s="1">
        <v>14574</v>
      </c>
      <c r="P2142" t="s">
        <v>6915</v>
      </c>
      <c r="Q2142" t="s">
        <v>6916</v>
      </c>
      <c r="S2142" s="1">
        <v>45020.209027777775</v>
      </c>
      <c r="V2142">
        <v>1939</v>
      </c>
      <c r="W2142">
        <v>151.18</v>
      </c>
      <c r="X2142">
        <v>3</v>
      </c>
      <c r="Y2142" s="2">
        <v>1119190780753</v>
      </c>
      <c r="Z2142">
        <v>36.299999999999997</v>
      </c>
      <c r="AA2142">
        <v>106.4</v>
      </c>
      <c r="AB2142">
        <v>10.199999999999999</v>
      </c>
      <c r="AC2142">
        <v>30.1</v>
      </c>
      <c r="AD2142">
        <v>270203917</v>
      </c>
    </row>
    <row r="2143" spans="1:30" hidden="1" x14ac:dyDescent="0.45">
      <c r="A2143">
        <v>2133</v>
      </c>
      <c r="B2143">
        <v>1300</v>
      </c>
      <c r="C2143" t="s">
        <v>689</v>
      </c>
      <c r="D2143" t="s">
        <v>6917</v>
      </c>
      <c r="E2143">
        <v>60</v>
      </c>
      <c r="F2143" t="s">
        <v>272</v>
      </c>
      <c r="G2143" t="s">
        <v>273</v>
      </c>
      <c r="H2143" t="s">
        <v>1683</v>
      </c>
      <c r="I2143" t="s">
        <v>689</v>
      </c>
      <c r="J2143" t="s">
        <v>363</v>
      </c>
      <c r="L2143" t="b">
        <v>1</v>
      </c>
      <c r="M2143" t="s">
        <v>39</v>
      </c>
      <c r="N2143" t="s">
        <v>8246</v>
      </c>
      <c r="O2143" s="1">
        <v>23078</v>
      </c>
      <c r="P2143" t="s">
        <v>6918</v>
      </c>
      <c r="Q2143" t="s">
        <v>6919</v>
      </c>
      <c r="S2143" s="1">
        <v>45020.209027777775</v>
      </c>
      <c r="V2143">
        <v>1963</v>
      </c>
      <c r="W2143">
        <v>119.62</v>
      </c>
      <c r="X2143">
        <v>1.7</v>
      </c>
      <c r="Y2143" s="2">
        <v>2827113184696</v>
      </c>
      <c r="Z2143">
        <v>60</v>
      </c>
      <c r="AA2143">
        <v>101.2</v>
      </c>
      <c r="AB2143">
        <v>25.5</v>
      </c>
      <c r="AC2143">
        <v>30.6</v>
      </c>
      <c r="AD2143">
        <v>66834405</v>
      </c>
    </row>
    <row r="2144" spans="1:30" hidden="1" x14ac:dyDescent="0.45">
      <c r="A2144">
        <v>2133</v>
      </c>
      <c r="B2144">
        <v>1300</v>
      </c>
      <c r="C2144" t="s">
        <v>402</v>
      </c>
      <c r="D2144" t="s">
        <v>6920</v>
      </c>
      <c r="E2144">
        <v>70</v>
      </c>
      <c r="F2144" t="s">
        <v>93</v>
      </c>
      <c r="G2144" t="s">
        <v>94</v>
      </c>
      <c r="H2144" t="s">
        <v>610</v>
      </c>
      <c r="I2144" t="s">
        <v>402</v>
      </c>
      <c r="J2144" t="s">
        <v>93</v>
      </c>
      <c r="L2144" t="b">
        <v>1</v>
      </c>
      <c r="M2144" t="s">
        <v>39</v>
      </c>
      <c r="N2144" t="s">
        <v>8245</v>
      </c>
      <c r="O2144" s="1">
        <v>19451</v>
      </c>
      <c r="P2144" t="s">
        <v>6605</v>
      </c>
      <c r="Q2144" t="s">
        <v>6921</v>
      </c>
      <c r="S2144" s="1">
        <v>45020.209027777775</v>
      </c>
      <c r="V2144">
        <v>1953</v>
      </c>
      <c r="W2144">
        <v>180.44</v>
      </c>
      <c r="X2144">
        <v>7.7</v>
      </c>
      <c r="Y2144" s="2">
        <v>2611000000000</v>
      </c>
      <c r="Z2144">
        <v>28.1</v>
      </c>
      <c r="AA2144">
        <v>113</v>
      </c>
      <c r="AB2144">
        <v>11.2</v>
      </c>
      <c r="AC2144">
        <v>49.7</v>
      </c>
      <c r="AD2144">
        <v>1366417754</v>
      </c>
    </row>
    <row r="2145" spans="1:30" hidden="1" x14ac:dyDescent="0.45">
      <c r="A2145">
        <v>2133</v>
      </c>
      <c r="B2145">
        <v>1300</v>
      </c>
      <c r="C2145" t="s">
        <v>61</v>
      </c>
      <c r="D2145" t="s">
        <v>6922</v>
      </c>
      <c r="E2145">
        <v>90</v>
      </c>
      <c r="F2145" t="s">
        <v>6274</v>
      </c>
      <c r="G2145" t="s">
        <v>6275</v>
      </c>
      <c r="H2145" t="s">
        <v>5313</v>
      </c>
      <c r="I2145" t="s">
        <v>61</v>
      </c>
      <c r="J2145" t="s">
        <v>6274</v>
      </c>
      <c r="L2145" t="b">
        <v>0</v>
      </c>
      <c r="M2145" t="s">
        <v>611</v>
      </c>
      <c r="N2145" t="s">
        <v>8245</v>
      </c>
      <c r="O2145" s="1">
        <v>11994</v>
      </c>
      <c r="P2145" t="s">
        <v>6923</v>
      </c>
      <c r="Q2145" t="s">
        <v>6924</v>
      </c>
      <c r="S2145" s="1">
        <v>45020.209027777775</v>
      </c>
      <c r="V2145">
        <v>1932</v>
      </c>
      <c r="W2145">
        <v>111.07</v>
      </c>
      <c r="X2145">
        <v>0.2</v>
      </c>
      <c r="Y2145" s="2">
        <v>118725279596</v>
      </c>
      <c r="Z2145">
        <v>35.9</v>
      </c>
      <c r="AA2145">
        <v>113.9</v>
      </c>
      <c r="AB2145">
        <v>21.9</v>
      </c>
      <c r="AC2145">
        <v>45.8</v>
      </c>
      <c r="AD2145">
        <v>36910560</v>
      </c>
    </row>
    <row r="2146" spans="1:30" hidden="1" x14ac:dyDescent="0.45">
      <c r="A2146">
        <v>2133</v>
      </c>
      <c r="B2146">
        <v>1300</v>
      </c>
      <c r="C2146" t="s">
        <v>91</v>
      </c>
      <c r="D2146" t="s">
        <v>6925</v>
      </c>
      <c r="E2146">
        <v>66</v>
      </c>
      <c r="F2146" t="s">
        <v>93</v>
      </c>
      <c r="G2146" t="s">
        <v>343</v>
      </c>
      <c r="H2146" t="s">
        <v>91</v>
      </c>
      <c r="I2146" t="s">
        <v>91</v>
      </c>
      <c r="J2146" t="s">
        <v>93</v>
      </c>
      <c r="L2146" t="b">
        <v>0</v>
      </c>
      <c r="M2146" t="s">
        <v>39</v>
      </c>
      <c r="N2146" t="s">
        <v>8245</v>
      </c>
      <c r="O2146" s="1">
        <v>20801</v>
      </c>
      <c r="P2146" t="s">
        <v>6926</v>
      </c>
      <c r="Q2146" t="s">
        <v>6927</v>
      </c>
      <c r="S2146" s="1">
        <v>45020.209027777775</v>
      </c>
      <c r="V2146">
        <v>1956</v>
      </c>
      <c r="W2146">
        <v>180.44</v>
      </c>
      <c r="X2146">
        <v>7.7</v>
      </c>
      <c r="Y2146" s="2">
        <v>2611000000000</v>
      </c>
      <c r="Z2146">
        <v>28.1</v>
      </c>
      <c r="AA2146">
        <v>113</v>
      </c>
      <c r="AB2146">
        <v>11.2</v>
      </c>
      <c r="AC2146">
        <v>49.7</v>
      </c>
      <c r="AD2146">
        <v>1366417754</v>
      </c>
    </row>
    <row r="2147" spans="1:30" hidden="1" x14ac:dyDescent="0.45">
      <c r="A2147">
        <v>2133</v>
      </c>
      <c r="B2147">
        <v>1300</v>
      </c>
      <c r="C2147" t="s">
        <v>402</v>
      </c>
      <c r="D2147" t="s">
        <v>6928</v>
      </c>
      <c r="E2147">
        <v>70</v>
      </c>
      <c r="F2147" t="s">
        <v>93</v>
      </c>
      <c r="G2147" t="s">
        <v>343</v>
      </c>
      <c r="H2147" t="s">
        <v>6929</v>
      </c>
      <c r="I2147" t="s">
        <v>402</v>
      </c>
      <c r="J2147" t="s">
        <v>93</v>
      </c>
      <c r="L2147" t="b">
        <v>0</v>
      </c>
      <c r="M2147" t="s">
        <v>39</v>
      </c>
      <c r="N2147" t="s">
        <v>8245</v>
      </c>
      <c r="O2147" s="1">
        <v>19307</v>
      </c>
      <c r="P2147" t="s">
        <v>6926</v>
      </c>
      <c r="Q2147" t="s">
        <v>6930</v>
      </c>
      <c r="S2147" s="1">
        <v>45020.209027777775</v>
      </c>
      <c r="V2147">
        <v>1952</v>
      </c>
      <c r="W2147">
        <v>180.44</v>
      </c>
      <c r="X2147">
        <v>7.7</v>
      </c>
      <c r="Y2147" s="2">
        <v>2611000000000</v>
      </c>
      <c r="Z2147">
        <v>28.1</v>
      </c>
      <c r="AA2147">
        <v>113</v>
      </c>
      <c r="AB2147">
        <v>11.2</v>
      </c>
      <c r="AC2147">
        <v>49.7</v>
      </c>
      <c r="AD2147">
        <v>1366417754</v>
      </c>
    </row>
    <row r="2148" spans="1:30" x14ac:dyDescent="0.45">
      <c r="A2148">
        <v>2133</v>
      </c>
      <c r="B2148" s="6">
        <v>1300</v>
      </c>
      <c r="C2148" t="s">
        <v>45</v>
      </c>
      <c r="D2148" t="s">
        <v>6931</v>
      </c>
      <c r="E2148">
        <v>50</v>
      </c>
      <c r="F2148" t="s">
        <v>35</v>
      </c>
      <c r="G2148" t="s">
        <v>6932</v>
      </c>
      <c r="H2148" t="s">
        <v>6933</v>
      </c>
      <c r="I2148" t="s">
        <v>45</v>
      </c>
      <c r="J2148" t="s">
        <v>164</v>
      </c>
      <c r="K2148" t="s">
        <v>6934</v>
      </c>
      <c r="L2148" t="b">
        <v>1</v>
      </c>
      <c r="M2148" t="s">
        <v>39</v>
      </c>
      <c r="N2148" t="s">
        <v>8245</v>
      </c>
      <c r="O2148" s="10">
        <v>26744</v>
      </c>
      <c r="P2148" t="s">
        <v>6935</v>
      </c>
      <c r="Q2148" t="s">
        <v>2056</v>
      </c>
      <c r="R2148" t="s">
        <v>2846</v>
      </c>
      <c r="S2148" s="8">
        <v>45020.209027777775</v>
      </c>
      <c r="T2148" t="s">
        <v>820</v>
      </c>
      <c r="U2148" t="s">
        <v>53</v>
      </c>
      <c r="V2148">
        <v>1973</v>
      </c>
      <c r="W2148" s="12">
        <v>117.24</v>
      </c>
      <c r="X2148">
        <v>7.5</v>
      </c>
      <c r="Y2148" s="14">
        <v>21427700000000</v>
      </c>
      <c r="Z2148">
        <v>88.2</v>
      </c>
      <c r="AA2148">
        <v>101.8</v>
      </c>
      <c r="AB2148">
        <v>9.6</v>
      </c>
      <c r="AC2148">
        <v>36.6</v>
      </c>
      <c r="AD2148">
        <v>328239523</v>
      </c>
    </row>
    <row r="2149" spans="1:30" hidden="1" x14ac:dyDescent="0.45">
      <c r="A2149">
        <v>2133</v>
      </c>
      <c r="B2149">
        <v>1300</v>
      </c>
      <c r="C2149" t="s">
        <v>45</v>
      </c>
      <c r="D2149" t="s">
        <v>6936</v>
      </c>
      <c r="E2149">
        <v>71</v>
      </c>
      <c r="F2149" t="s">
        <v>128</v>
      </c>
      <c r="G2149" t="s">
        <v>1227</v>
      </c>
      <c r="H2149" t="s">
        <v>6256</v>
      </c>
      <c r="I2149" t="s">
        <v>45</v>
      </c>
      <c r="J2149" t="s">
        <v>128</v>
      </c>
      <c r="L2149" t="b">
        <v>1</v>
      </c>
      <c r="M2149" t="s">
        <v>39</v>
      </c>
      <c r="N2149" t="s">
        <v>8245</v>
      </c>
      <c r="O2149" s="1">
        <v>19039</v>
      </c>
      <c r="P2149" t="s">
        <v>1829</v>
      </c>
      <c r="Q2149" t="s">
        <v>6937</v>
      </c>
      <c r="S2149" s="1">
        <v>45020.209027777775</v>
      </c>
      <c r="V2149">
        <v>1952</v>
      </c>
      <c r="W2149">
        <v>125.08</v>
      </c>
      <c r="X2149">
        <v>2.9</v>
      </c>
      <c r="Y2149" s="2">
        <v>19910000000000</v>
      </c>
      <c r="Z2149">
        <v>50.6</v>
      </c>
      <c r="AA2149">
        <v>100.2</v>
      </c>
      <c r="AB2149">
        <v>9.4</v>
      </c>
      <c r="AC2149">
        <v>59.2</v>
      </c>
      <c r="AD2149">
        <v>1397715000</v>
      </c>
    </row>
    <row r="2150" spans="1:30" hidden="1" x14ac:dyDescent="0.45">
      <c r="A2150">
        <v>2133</v>
      </c>
      <c r="B2150">
        <v>1300</v>
      </c>
      <c r="C2150" t="s">
        <v>45</v>
      </c>
      <c r="D2150" t="s">
        <v>6938</v>
      </c>
      <c r="E2150">
        <v>40</v>
      </c>
      <c r="F2150" t="s">
        <v>35</v>
      </c>
      <c r="G2150" t="s">
        <v>6939</v>
      </c>
      <c r="H2150" t="s">
        <v>856</v>
      </c>
      <c r="I2150" t="s">
        <v>45</v>
      </c>
      <c r="J2150" t="s">
        <v>35</v>
      </c>
      <c r="L2150" t="b">
        <v>1</v>
      </c>
      <c r="M2150" t="s">
        <v>611</v>
      </c>
      <c r="N2150" t="s">
        <v>8245</v>
      </c>
      <c r="O2150" s="1">
        <v>30065</v>
      </c>
      <c r="P2150" t="s">
        <v>6940</v>
      </c>
      <c r="Q2150" t="s">
        <v>797</v>
      </c>
      <c r="S2150" s="1">
        <v>45020.209027777775</v>
      </c>
      <c r="T2150" t="s">
        <v>1681</v>
      </c>
      <c r="U2150" t="s">
        <v>44</v>
      </c>
      <c r="V2150">
        <v>1982</v>
      </c>
      <c r="W2150">
        <v>117.24</v>
      </c>
      <c r="X2150">
        <v>7.5</v>
      </c>
      <c r="Y2150" s="2">
        <v>21427700000000</v>
      </c>
      <c r="Z2150">
        <v>88.2</v>
      </c>
      <c r="AA2150">
        <v>101.8</v>
      </c>
      <c r="AB2150">
        <v>9.6</v>
      </c>
      <c r="AC2150">
        <v>36.6</v>
      </c>
      <c r="AD2150">
        <v>328239523</v>
      </c>
    </row>
    <row r="2151" spans="1:30" hidden="1" x14ac:dyDescent="0.45">
      <c r="A2151">
        <v>2133</v>
      </c>
      <c r="B2151">
        <v>1300</v>
      </c>
      <c r="C2151" t="s">
        <v>296</v>
      </c>
      <c r="D2151" t="s">
        <v>6941</v>
      </c>
      <c r="E2151">
        <v>58</v>
      </c>
      <c r="F2151" t="s">
        <v>128</v>
      </c>
      <c r="G2151" t="s">
        <v>292</v>
      </c>
      <c r="H2151" t="s">
        <v>6942</v>
      </c>
      <c r="I2151" t="s">
        <v>296</v>
      </c>
      <c r="J2151" t="s">
        <v>128</v>
      </c>
      <c r="L2151" t="b">
        <v>1</v>
      </c>
      <c r="M2151" t="s">
        <v>258</v>
      </c>
      <c r="N2151" t="s">
        <v>8245</v>
      </c>
      <c r="O2151" s="1">
        <v>23784</v>
      </c>
      <c r="P2151" t="s">
        <v>2327</v>
      </c>
      <c r="Q2151" t="s">
        <v>6943</v>
      </c>
      <c r="S2151" s="1">
        <v>45020.209027777775</v>
      </c>
      <c r="V2151">
        <v>1965</v>
      </c>
      <c r="W2151">
        <v>125.08</v>
      </c>
      <c r="X2151">
        <v>2.9</v>
      </c>
      <c r="Y2151" s="2">
        <v>19910000000000</v>
      </c>
      <c r="Z2151">
        <v>50.6</v>
      </c>
      <c r="AA2151">
        <v>100.2</v>
      </c>
      <c r="AB2151">
        <v>9.4</v>
      </c>
      <c r="AC2151">
        <v>59.2</v>
      </c>
      <c r="AD2151">
        <v>1397715000</v>
      </c>
    </row>
    <row r="2152" spans="1:30" hidden="1" x14ac:dyDescent="0.45">
      <c r="A2152">
        <v>2133</v>
      </c>
      <c r="B2152">
        <v>1300</v>
      </c>
      <c r="C2152" t="s">
        <v>302</v>
      </c>
      <c r="D2152" t="s">
        <v>6944</v>
      </c>
      <c r="E2152">
        <v>76</v>
      </c>
      <c r="F2152" t="s">
        <v>1259</v>
      </c>
      <c r="G2152" t="s">
        <v>1260</v>
      </c>
      <c r="H2152" t="s">
        <v>6945</v>
      </c>
      <c r="I2152" t="s">
        <v>302</v>
      </c>
      <c r="J2152" t="s">
        <v>1259</v>
      </c>
      <c r="L2152" t="b">
        <v>1</v>
      </c>
      <c r="M2152" t="s">
        <v>39</v>
      </c>
      <c r="N2152" t="s">
        <v>8245</v>
      </c>
      <c r="O2152" s="1">
        <v>17168</v>
      </c>
      <c r="P2152" t="s">
        <v>2327</v>
      </c>
      <c r="Q2152" t="s">
        <v>1068</v>
      </c>
      <c r="S2152" s="1">
        <v>45020.209027777775</v>
      </c>
      <c r="V2152">
        <v>1947</v>
      </c>
      <c r="W2152"/>
      <c r="Y2152"/>
    </row>
    <row r="2153" spans="1:30" hidden="1" x14ac:dyDescent="0.45">
      <c r="A2153">
        <v>2133</v>
      </c>
      <c r="B2153">
        <v>1300</v>
      </c>
      <c r="C2153" t="s">
        <v>326</v>
      </c>
      <c r="D2153" t="s">
        <v>6946</v>
      </c>
      <c r="E2153">
        <v>62</v>
      </c>
      <c r="F2153" t="s">
        <v>128</v>
      </c>
      <c r="G2153" t="s">
        <v>6947</v>
      </c>
      <c r="H2153" t="s">
        <v>6948</v>
      </c>
      <c r="I2153" t="s">
        <v>326</v>
      </c>
      <c r="J2153" t="s">
        <v>128</v>
      </c>
      <c r="L2153" t="b">
        <v>1</v>
      </c>
      <c r="M2153" t="s">
        <v>39</v>
      </c>
      <c r="N2153" t="s">
        <v>8245</v>
      </c>
      <c r="O2153" s="1">
        <v>22282</v>
      </c>
      <c r="P2153" t="s">
        <v>679</v>
      </c>
      <c r="Q2153" t="s">
        <v>6949</v>
      </c>
      <c r="S2153" s="1">
        <v>45020.209027777775</v>
      </c>
      <c r="V2153">
        <v>1961</v>
      </c>
      <c r="W2153">
        <v>125.08</v>
      </c>
      <c r="X2153">
        <v>2.9</v>
      </c>
      <c r="Y2153" s="2">
        <v>19910000000000</v>
      </c>
      <c r="Z2153">
        <v>50.6</v>
      </c>
      <c r="AA2153">
        <v>100.2</v>
      </c>
      <c r="AB2153">
        <v>9.4</v>
      </c>
      <c r="AC2153">
        <v>59.2</v>
      </c>
      <c r="AD2153">
        <v>1397715000</v>
      </c>
    </row>
    <row r="2154" spans="1:30" hidden="1" x14ac:dyDescent="0.45">
      <c r="A2154">
        <v>2133</v>
      </c>
      <c r="B2154">
        <v>1300</v>
      </c>
      <c r="C2154" t="s">
        <v>296</v>
      </c>
      <c r="D2154" t="s">
        <v>6950</v>
      </c>
      <c r="E2154">
        <v>50</v>
      </c>
      <c r="F2154" t="s">
        <v>128</v>
      </c>
      <c r="G2154" t="s">
        <v>292</v>
      </c>
      <c r="H2154" t="s">
        <v>6951</v>
      </c>
      <c r="I2154" t="s">
        <v>296</v>
      </c>
      <c r="J2154" t="s">
        <v>128</v>
      </c>
      <c r="L2154" t="b">
        <v>1</v>
      </c>
      <c r="M2154" t="s">
        <v>258</v>
      </c>
      <c r="N2154" t="s">
        <v>8245</v>
      </c>
      <c r="O2154" s="1">
        <v>26665</v>
      </c>
      <c r="P2154" t="s">
        <v>679</v>
      </c>
      <c r="Q2154" t="s">
        <v>2456</v>
      </c>
      <c r="S2154" s="1">
        <v>45020.209027777775</v>
      </c>
      <c r="V2154">
        <v>1973</v>
      </c>
      <c r="W2154">
        <v>125.08</v>
      </c>
      <c r="X2154">
        <v>2.9</v>
      </c>
      <c r="Y2154" s="2">
        <v>19910000000000</v>
      </c>
      <c r="Z2154">
        <v>50.6</v>
      </c>
      <c r="AA2154">
        <v>100.2</v>
      </c>
      <c r="AB2154">
        <v>9.4</v>
      </c>
      <c r="AC2154">
        <v>59.2</v>
      </c>
      <c r="AD2154">
        <v>1397715000</v>
      </c>
    </row>
    <row r="2155" spans="1:30" hidden="1" x14ac:dyDescent="0.45">
      <c r="A2155">
        <v>2133</v>
      </c>
      <c r="B2155">
        <v>1300</v>
      </c>
      <c r="C2155" t="s">
        <v>33</v>
      </c>
      <c r="D2155" t="s">
        <v>6952</v>
      </c>
      <c r="E2155">
        <v>64</v>
      </c>
      <c r="F2155" t="s">
        <v>1259</v>
      </c>
      <c r="G2155" t="s">
        <v>1272</v>
      </c>
      <c r="H2155" t="s">
        <v>752</v>
      </c>
      <c r="I2155" t="s">
        <v>33</v>
      </c>
      <c r="J2155" t="s">
        <v>1259</v>
      </c>
      <c r="L2155" t="b">
        <v>1</v>
      </c>
      <c r="M2155" t="s">
        <v>39</v>
      </c>
      <c r="N2155" t="s">
        <v>8245</v>
      </c>
      <c r="O2155" s="1">
        <v>21337</v>
      </c>
      <c r="P2155" t="s">
        <v>6953</v>
      </c>
      <c r="Q2155" t="s">
        <v>6954</v>
      </c>
      <c r="S2155" s="1">
        <v>45020.209027777775</v>
      </c>
      <c r="V2155">
        <v>1958</v>
      </c>
      <c r="W2155"/>
      <c r="Y2155"/>
    </row>
    <row r="2156" spans="1:30" hidden="1" x14ac:dyDescent="0.45">
      <c r="A2156">
        <v>2133</v>
      </c>
      <c r="B2156">
        <v>1300</v>
      </c>
      <c r="C2156" t="s">
        <v>83</v>
      </c>
      <c r="D2156" t="s">
        <v>6955</v>
      </c>
      <c r="E2156">
        <v>52</v>
      </c>
      <c r="F2156" t="s">
        <v>35</v>
      </c>
      <c r="G2156" t="s">
        <v>1223</v>
      </c>
      <c r="H2156" t="s">
        <v>6956</v>
      </c>
      <c r="I2156" t="s">
        <v>83</v>
      </c>
      <c r="J2156" t="s">
        <v>35</v>
      </c>
      <c r="L2156" t="b">
        <v>1</v>
      </c>
      <c r="M2156" t="s">
        <v>258</v>
      </c>
      <c r="N2156" t="s">
        <v>8245</v>
      </c>
      <c r="O2156" s="1">
        <v>25911</v>
      </c>
      <c r="P2156" t="s">
        <v>6957</v>
      </c>
      <c r="Q2156" t="s">
        <v>6958</v>
      </c>
      <c r="S2156" s="1">
        <v>45020.209027777775</v>
      </c>
      <c r="T2156" t="s">
        <v>253</v>
      </c>
      <c r="U2156" t="s">
        <v>44</v>
      </c>
      <c r="V2156">
        <v>1970</v>
      </c>
      <c r="W2156">
        <v>117.24</v>
      </c>
      <c r="X2156">
        <v>7.5</v>
      </c>
      <c r="Y2156" s="2">
        <v>21427700000000</v>
      </c>
      <c r="Z2156">
        <v>88.2</v>
      </c>
      <c r="AA2156">
        <v>101.8</v>
      </c>
      <c r="AB2156">
        <v>9.6</v>
      </c>
      <c r="AC2156">
        <v>36.6</v>
      </c>
      <c r="AD2156">
        <v>328239523</v>
      </c>
    </row>
    <row r="2157" spans="1:30" hidden="1" x14ac:dyDescent="0.45">
      <c r="A2157">
        <v>2133</v>
      </c>
      <c r="B2157">
        <v>1300</v>
      </c>
      <c r="C2157" t="s">
        <v>61</v>
      </c>
      <c r="D2157" t="s">
        <v>6959</v>
      </c>
      <c r="E2157">
        <v>77</v>
      </c>
      <c r="F2157" t="s">
        <v>117</v>
      </c>
      <c r="G2157" t="s">
        <v>2480</v>
      </c>
      <c r="H2157" t="s">
        <v>317</v>
      </c>
      <c r="I2157" t="s">
        <v>61</v>
      </c>
      <c r="J2157" t="s">
        <v>117</v>
      </c>
      <c r="L2157" t="b">
        <v>1</v>
      </c>
      <c r="M2157" t="s">
        <v>611</v>
      </c>
      <c r="N2157" t="s">
        <v>8245</v>
      </c>
      <c r="O2157" s="1">
        <v>16822</v>
      </c>
      <c r="P2157" t="s">
        <v>6960</v>
      </c>
      <c r="Q2157" t="s">
        <v>3766</v>
      </c>
      <c r="S2157" s="1">
        <v>45020.209027777775</v>
      </c>
      <c r="V2157">
        <v>1946</v>
      </c>
      <c r="W2157">
        <v>110.96</v>
      </c>
      <c r="X2157">
        <v>0.7</v>
      </c>
      <c r="Y2157" s="2">
        <v>1394116310769</v>
      </c>
      <c r="Z2157">
        <v>88.9</v>
      </c>
      <c r="AA2157">
        <v>102.7</v>
      </c>
      <c r="AB2157">
        <v>14.2</v>
      </c>
      <c r="AC2157">
        <v>47</v>
      </c>
      <c r="AD2157">
        <v>47076781</v>
      </c>
    </row>
    <row r="2158" spans="1:30" hidden="1" x14ac:dyDescent="0.45">
      <c r="A2158">
        <v>2133</v>
      </c>
      <c r="B2158">
        <v>1300</v>
      </c>
      <c r="C2158" t="s">
        <v>302</v>
      </c>
      <c r="D2158" t="s">
        <v>6961</v>
      </c>
      <c r="E2158">
        <v>76</v>
      </c>
      <c r="F2158" t="s">
        <v>2231</v>
      </c>
      <c r="G2158" t="s">
        <v>2232</v>
      </c>
      <c r="H2158" t="s">
        <v>304</v>
      </c>
      <c r="I2158" t="s">
        <v>302</v>
      </c>
      <c r="J2158" t="s">
        <v>2231</v>
      </c>
      <c r="L2158" t="b">
        <v>1</v>
      </c>
      <c r="M2158" t="s">
        <v>39</v>
      </c>
      <c r="N2158" t="s">
        <v>8245</v>
      </c>
      <c r="O2158" s="1">
        <v>17062</v>
      </c>
      <c r="P2158" t="s">
        <v>6962</v>
      </c>
      <c r="Q2158" t="s">
        <v>879</v>
      </c>
      <c r="S2158" s="1">
        <v>45020.209027777775</v>
      </c>
      <c r="V2158">
        <v>1946</v>
      </c>
      <c r="W2158">
        <v>232.75</v>
      </c>
      <c r="X2158">
        <v>53.5</v>
      </c>
      <c r="Y2158" s="2">
        <v>449663446954</v>
      </c>
      <c r="Z2158">
        <v>90</v>
      </c>
      <c r="AA2158">
        <v>109.7</v>
      </c>
      <c r="AB2158">
        <v>10.1</v>
      </c>
      <c r="AC2158">
        <v>106.3</v>
      </c>
      <c r="AD2158">
        <v>44938712</v>
      </c>
    </row>
    <row r="2159" spans="1:30" hidden="1" x14ac:dyDescent="0.45">
      <c r="A2159">
        <v>2133</v>
      </c>
      <c r="B2159">
        <v>1300</v>
      </c>
      <c r="C2159" t="s">
        <v>126</v>
      </c>
      <c r="D2159" t="s">
        <v>6963</v>
      </c>
      <c r="E2159">
        <v>54</v>
      </c>
      <c r="F2159" t="s">
        <v>128</v>
      </c>
      <c r="G2159" t="s">
        <v>678</v>
      </c>
      <c r="H2159" t="s">
        <v>2210</v>
      </c>
      <c r="I2159" t="s">
        <v>126</v>
      </c>
      <c r="J2159" t="s">
        <v>128</v>
      </c>
      <c r="L2159" t="b">
        <v>1</v>
      </c>
      <c r="M2159" t="s">
        <v>39</v>
      </c>
      <c r="N2159" t="s">
        <v>8245</v>
      </c>
      <c r="O2159" s="1">
        <v>25062</v>
      </c>
      <c r="P2159" t="s">
        <v>6964</v>
      </c>
      <c r="Q2159" t="s">
        <v>6965</v>
      </c>
      <c r="S2159" s="1">
        <v>45020.209027777775</v>
      </c>
      <c r="V2159">
        <v>1968</v>
      </c>
      <c r="W2159">
        <v>125.08</v>
      </c>
      <c r="X2159">
        <v>2.9</v>
      </c>
      <c r="Y2159" s="2">
        <v>19910000000000</v>
      </c>
      <c r="Z2159">
        <v>50.6</v>
      </c>
      <c r="AA2159">
        <v>100.2</v>
      </c>
      <c r="AB2159">
        <v>9.4</v>
      </c>
      <c r="AC2159">
        <v>59.2</v>
      </c>
      <c r="AD2159">
        <v>1397715000</v>
      </c>
    </row>
    <row r="2160" spans="1:30" hidden="1" x14ac:dyDescent="0.45">
      <c r="A2160">
        <v>2133</v>
      </c>
      <c r="B2160">
        <v>1300</v>
      </c>
      <c r="C2160" t="s">
        <v>45</v>
      </c>
      <c r="D2160" t="s">
        <v>6966</v>
      </c>
      <c r="E2160">
        <v>60</v>
      </c>
      <c r="F2160" t="s">
        <v>93</v>
      </c>
      <c r="G2160" t="s">
        <v>404</v>
      </c>
      <c r="H2160" t="s">
        <v>45</v>
      </c>
      <c r="I2160" t="s">
        <v>45</v>
      </c>
      <c r="J2160" t="s">
        <v>93</v>
      </c>
      <c r="L2160" t="b">
        <v>1</v>
      </c>
      <c r="M2160" t="s">
        <v>611</v>
      </c>
      <c r="N2160" t="s">
        <v>8245</v>
      </c>
      <c r="O2160" s="1">
        <v>22767</v>
      </c>
      <c r="P2160" t="s">
        <v>6967</v>
      </c>
      <c r="Q2160" t="s">
        <v>4953</v>
      </c>
      <c r="S2160" s="1">
        <v>45020.209027777775</v>
      </c>
      <c r="V2160">
        <v>1962</v>
      </c>
      <c r="W2160">
        <v>180.44</v>
      </c>
      <c r="X2160">
        <v>7.7</v>
      </c>
      <c r="Y2160" s="2">
        <v>2611000000000</v>
      </c>
      <c r="Z2160">
        <v>28.1</v>
      </c>
      <c r="AA2160">
        <v>113</v>
      </c>
      <c r="AB2160">
        <v>11.2</v>
      </c>
      <c r="AC2160">
        <v>49.7</v>
      </c>
      <c r="AD2160">
        <v>1366417754</v>
      </c>
    </row>
    <row r="2161" spans="1:30" hidden="1" x14ac:dyDescent="0.45">
      <c r="A2161">
        <v>2133</v>
      </c>
      <c r="B2161">
        <v>1300</v>
      </c>
      <c r="C2161" t="s">
        <v>76</v>
      </c>
      <c r="D2161" t="s">
        <v>6968</v>
      </c>
      <c r="E2161">
        <v>86</v>
      </c>
      <c r="F2161" t="s">
        <v>2037</v>
      </c>
      <c r="G2161" t="s">
        <v>2038</v>
      </c>
      <c r="H2161" t="s">
        <v>166</v>
      </c>
      <c r="I2161" t="s">
        <v>76</v>
      </c>
      <c r="J2161" t="s">
        <v>2037</v>
      </c>
      <c r="L2161" t="b">
        <v>1</v>
      </c>
      <c r="M2161" t="s">
        <v>29</v>
      </c>
      <c r="N2161" t="s">
        <v>8245</v>
      </c>
      <c r="O2161" s="1">
        <v>13255</v>
      </c>
      <c r="P2161" t="s">
        <v>6969</v>
      </c>
      <c r="Q2161" t="s">
        <v>6970</v>
      </c>
      <c r="S2161" s="1">
        <v>45020.209027777775</v>
      </c>
      <c r="V2161">
        <v>1936</v>
      </c>
      <c r="W2161">
        <v>234.44</v>
      </c>
      <c r="X2161">
        <v>15.2</v>
      </c>
      <c r="Y2161" s="2">
        <v>754411708203</v>
      </c>
      <c r="Z2161">
        <v>23.9</v>
      </c>
      <c r="AA2161">
        <v>93.2</v>
      </c>
      <c r="AB2161">
        <v>17.899999999999999</v>
      </c>
      <c r="AC2161">
        <v>42.3</v>
      </c>
      <c r="AD2161">
        <v>83429615</v>
      </c>
    </row>
    <row r="2162" spans="1:30" hidden="1" x14ac:dyDescent="0.45">
      <c r="A2162">
        <v>2133</v>
      </c>
      <c r="B2162">
        <v>1300</v>
      </c>
      <c r="C2162" t="s">
        <v>61</v>
      </c>
      <c r="D2162" t="s">
        <v>6971</v>
      </c>
      <c r="E2162">
        <v>52</v>
      </c>
      <c r="F2162" t="s">
        <v>214</v>
      </c>
      <c r="G2162" t="s">
        <v>6972</v>
      </c>
      <c r="H2162" t="s">
        <v>2380</v>
      </c>
      <c r="I2162" t="s">
        <v>61</v>
      </c>
      <c r="J2162" t="s">
        <v>214</v>
      </c>
      <c r="L2162" t="b">
        <v>0</v>
      </c>
      <c r="M2162" t="s">
        <v>258</v>
      </c>
      <c r="N2162" t="s">
        <v>8246</v>
      </c>
      <c r="O2162" s="1">
        <v>25695</v>
      </c>
      <c r="P2162" t="s">
        <v>4515</v>
      </c>
      <c r="Q2162" t="s">
        <v>6973</v>
      </c>
      <c r="S2162" s="1">
        <v>45020.209027777775</v>
      </c>
      <c r="V2162">
        <v>1970</v>
      </c>
      <c r="W2162">
        <v>110.62</v>
      </c>
      <c r="X2162">
        <v>0.6</v>
      </c>
      <c r="Y2162" s="2">
        <v>2001244392042</v>
      </c>
      <c r="Z2162">
        <v>61.9</v>
      </c>
      <c r="AA2162">
        <v>101.9</v>
      </c>
      <c r="AB2162">
        <v>24.3</v>
      </c>
      <c r="AC2162">
        <v>59.1</v>
      </c>
      <c r="AD2162">
        <v>60297396</v>
      </c>
    </row>
    <row r="2163" spans="1:30" hidden="1" x14ac:dyDescent="0.45">
      <c r="A2163">
        <v>2133</v>
      </c>
      <c r="B2163">
        <v>1300</v>
      </c>
      <c r="C2163" t="s">
        <v>61</v>
      </c>
      <c r="D2163" t="s">
        <v>6974</v>
      </c>
      <c r="E2163">
        <v>55</v>
      </c>
      <c r="F2163" t="s">
        <v>214</v>
      </c>
      <c r="G2163" t="s">
        <v>802</v>
      </c>
      <c r="H2163" t="s">
        <v>2380</v>
      </c>
      <c r="I2163" t="s">
        <v>61</v>
      </c>
      <c r="J2163" t="s">
        <v>214</v>
      </c>
      <c r="L2163" t="b">
        <v>0</v>
      </c>
      <c r="M2163" t="s">
        <v>258</v>
      </c>
      <c r="N2163" t="s">
        <v>8245</v>
      </c>
      <c r="O2163" s="1">
        <v>24632</v>
      </c>
      <c r="P2163" t="s">
        <v>4515</v>
      </c>
      <c r="Q2163" t="s">
        <v>6158</v>
      </c>
      <c r="S2163" s="1">
        <v>45020.209027777775</v>
      </c>
      <c r="V2163">
        <v>1967</v>
      </c>
      <c r="W2163">
        <v>110.62</v>
      </c>
      <c r="X2163">
        <v>0.6</v>
      </c>
      <c r="Y2163" s="2">
        <v>2001244392042</v>
      </c>
      <c r="Z2163">
        <v>61.9</v>
      </c>
      <c r="AA2163">
        <v>101.9</v>
      </c>
      <c r="AB2163">
        <v>24.3</v>
      </c>
      <c r="AC2163">
        <v>59.1</v>
      </c>
      <c r="AD2163">
        <v>60297396</v>
      </c>
    </row>
    <row r="2164" spans="1:30" hidden="1" x14ac:dyDescent="0.45">
      <c r="A2164">
        <v>2133</v>
      </c>
      <c r="B2164">
        <v>1300</v>
      </c>
      <c r="C2164" t="s">
        <v>402</v>
      </c>
      <c r="D2164" t="s">
        <v>6975</v>
      </c>
      <c r="E2164">
        <v>59</v>
      </c>
      <c r="F2164" t="s">
        <v>128</v>
      </c>
      <c r="G2164" t="s">
        <v>234</v>
      </c>
      <c r="H2164" t="s">
        <v>405</v>
      </c>
      <c r="I2164" t="s">
        <v>402</v>
      </c>
      <c r="J2164" t="s">
        <v>128</v>
      </c>
      <c r="L2164" t="b">
        <v>1</v>
      </c>
      <c r="M2164" t="s">
        <v>39</v>
      </c>
      <c r="N2164" t="s">
        <v>8245</v>
      </c>
      <c r="O2164" s="1">
        <v>23346</v>
      </c>
      <c r="P2164" t="s">
        <v>3914</v>
      </c>
      <c r="Q2164" t="s">
        <v>6976</v>
      </c>
      <c r="S2164" s="1">
        <v>45020.209027777775</v>
      </c>
      <c r="V2164">
        <v>1963</v>
      </c>
      <c r="W2164">
        <v>125.08</v>
      </c>
      <c r="X2164">
        <v>2.9</v>
      </c>
      <c r="Y2164" s="2">
        <v>19910000000000</v>
      </c>
      <c r="Z2164">
        <v>50.6</v>
      </c>
      <c r="AA2164">
        <v>100.2</v>
      </c>
      <c r="AB2164">
        <v>9.4</v>
      </c>
      <c r="AC2164">
        <v>59.2</v>
      </c>
      <c r="AD2164">
        <v>1397715000</v>
      </c>
    </row>
    <row r="2165" spans="1:30" hidden="1" x14ac:dyDescent="0.45">
      <c r="A2165">
        <v>2133</v>
      </c>
      <c r="B2165">
        <v>1300</v>
      </c>
      <c r="C2165" t="s">
        <v>347</v>
      </c>
      <c r="D2165" t="s">
        <v>6977</v>
      </c>
      <c r="E2165">
        <v>67</v>
      </c>
      <c r="F2165" t="s">
        <v>35</v>
      </c>
      <c r="G2165" t="s">
        <v>897</v>
      </c>
      <c r="H2165" t="s">
        <v>347</v>
      </c>
      <c r="I2165" t="s">
        <v>347</v>
      </c>
      <c r="J2165" t="s">
        <v>35</v>
      </c>
      <c r="L2165" t="b">
        <v>1</v>
      </c>
      <c r="M2165" t="s">
        <v>258</v>
      </c>
      <c r="N2165" t="s">
        <v>8245</v>
      </c>
      <c r="O2165" s="1">
        <v>20441</v>
      </c>
      <c r="P2165" t="s">
        <v>6978</v>
      </c>
      <c r="Q2165" t="s">
        <v>4613</v>
      </c>
      <c r="S2165" s="1">
        <v>45020.209027777775</v>
      </c>
      <c r="T2165" t="s">
        <v>43</v>
      </c>
      <c r="U2165" t="s">
        <v>44</v>
      </c>
      <c r="V2165">
        <v>1955</v>
      </c>
      <c r="W2165">
        <v>117.24</v>
      </c>
      <c r="X2165">
        <v>7.5</v>
      </c>
      <c r="Y2165" s="2">
        <v>21427700000000</v>
      </c>
      <c r="Z2165">
        <v>88.2</v>
      </c>
      <c r="AA2165">
        <v>101.8</v>
      </c>
      <c r="AB2165">
        <v>9.6</v>
      </c>
      <c r="AC2165">
        <v>36.6</v>
      </c>
      <c r="AD2165">
        <v>328239523</v>
      </c>
    </row>
    <row r="2166" spans="1:30" hidden="1" x14ac:dyDescent="0.45">
      <c r="A2166">
        <v>2133</v>
      </c>
      <c r="B2166">
        <v>1300</v>
      </c>
      <c r="C2166" t="s">
        <v>76</v>
      </c>
      <c r="D2166" t="s">
        <v>6979</v>
      </c>
      <c r="E2166">
        <v>74</v>
      </c>
      <c r="F2166" t="s">
        <v>266</v>
      </c>
      <c r="G2166" t="s">
        <v>6980</v>
      </c>
      <c r="H2166" t="s">
        <v>2354</v>
      </c>
      <c r="I2166" t="s">
        <v>76</v>
      </c>
      <c r="J2166" t="s">
        <v>266</v>
      </c>
      <c r="L2166" t="b">
        <v>1</v>
      </c>
      <c r="M2166" t="s">
        <v>285</v>
      </c>
      <c r="N2166" t="s">
        <v>8246</v>
      </c>
      <c r="O2166" s="1">
        <v>17901</v>
      </c>
      <c r="P2166" t="s">
        <v>6981</v>
      </c>
      <c r="Q2166" t="s">
        <v>6982</v>
      </c>
      <c r="S2166" s="1">
        <v>45020.209027777775</v>
      </c>
      <c r="V2166">
        <v>1949</v>
      </c>
      <c r="W2166">
        <v>105.48</v>
      </c>
      <c r="X2166">
        <v>0.5</v>
      </c>
      <c r="Y2166" s="2">
        <v>5081769542380</v>
      </c>
      <c r="Z2166">
        <v>63.2</v>
      </c>
      <c r="AA2166">
        <v>98.8</v>
      </c>
      <c r="AB2166">
        <v>11.9</v>
      </c>
      <c r="AC2166">
        <v>46.7</v>
      </c>
      <c r="AD2166">
        <v>126226568</v>
      </c>
    </row>
    <row r="2167" spans="1:30" hidden="1" x14ac:dyDescent="0.45">
      <c r="A2167">
        <v>2133</v>
      </c>
      <c r="B2167">
        <v>1300</v>
      </c>
      <c r="C2167" t="s">
        <v>76</v>
      </c>
      <c r="D2167" t="s">
        <v>6983</v>
      </c>
      <c r="E2167">
        <v>72</v>
      </c>
      <c r="F2167" t="s">
        <v>266</v>
      </c>
      <c r="G2167" t="s">
        <v>6980</v>
      </c>
      <c r="H2167" t="s">
        <v>2354</v>
      </c>
      <c r="I2167" t="s">
        <v>76</v>
      </c>
      <c r="J2167" t="s">
        <v>266</v>
      </c>
      <c r="L2167" t="b">
        <v>1</v>
      </c>
      <c r="M2167" t="s">
        <v>285</v>
      </c>
      <c r="N2167" t="s">
        <v>8245</v>
      </c>
      <c r="O2167" s="1">
        <v>18562</v>
      </c>
      <c r="P2167" t="s">
        <v>6981</v>
      </c>
      <c r="Q2167" t="s">
        <v>6984</v>
      </c>
      <c r="S2167" s="1">
        <v>45020.209027777775</v>
      </c>
      <c r="V2167">
        <v>1950</v>
      </c>
      <c r="W2167">
        <v>105.48</v>
      </c>
      <c r="X2167">
        <v>0.5</v>
      </c>
      <c r="Y2167" s="2">
        <v>5081769542380</v>
      </c>
      <c r="Z2167">
        <v>63.2</v>
      </c>
      <c r="AA2167">
        <v>98.8</v>
      </c>
      <c r="AB2167">
        <v>11.9</v>
      </c>
      <c r="AC2167">
        <v>46.7</v>
      </c>
      <c r="AD2167">
        <v>126226568</v>
      </c>
    </row>
    <row r="2168" spans="1:30" hidden="1" x14ac:dyDescent="0.45">
      <c r="A2168">
        <v>2133</v>
      </c>
      <c r="B2168">
        <v>1300</v>
      </c>
      <c r="C2168" t="s">
        <v>61</v>
      </c>
      <c r="D2168" t="s">
        <v>6985</v>
      </c>
      <c r="E2168">
        <v>45</v>
      </c>
      <c r="F2168" t="s">
        <v>164</v>
      </c>
      <c r="G2168" t="s">
        <v>1797</v>
      </c>
      <c r="H2168" t="s">
        <v>6986</v>
      </c>
      <c r="I2168" t="s">
        <v>61</v>
      </c>
      <c r="J2168" t="s">
        <v>164</v>
      </c>
      <c r="L2168" t="b">
        <v>1</v>
      </c>
      <c r="M2168" t="s">
        <v>39</v>
      </c>
      <c r="N2168" t="s">
        <v>8245</v>
      </c>
      <c r="O2168" s="1">
        <v>28502</v>
      </c>
      <c r="P2168" t="s">
        <v>6987</v>
      </c>
      <c r="Q2168" t="s">
        <v>819</v>
      </c>
      <c r="S2168" s="1">
        <v>45020.209027777775</v>
      </c>
      <c r="V2168">
        <v>1978</v>
      </c>
      <c r="W2168">
        <v>116.76</v>
      </c>
      <c r="X2168">
        <v>1.9</v>
      </c>
      <c r="Y2168" s="2">
        <v>1736425629520</v>
      </c>
      <c r="Z2168">
        <v>68.900000000000006</v>
      </c>
      <c r="AA2168">
        <v>100.9</v>
      </c>
      <c r="AB2168">
        <v>12.8</v>
      </c>
      <c r="AC2168">
        <v>24.5</v>
      </c>
      <c r="AD2168">
        <v>36991981</v>
      </c>
    </row>
    <row r="2169" spans="1:30" hidden="1" x14ac:dyDescent="0.45">
      <c r="A2169">
        <v>2133</v>
      </c>
      <c r="B2169">
        <v>1300</v>
      </c>
      <c r="C2169" t="s">
        <v>302</v>
      </c>
      <c r="D2169" t="s">
        <v>6988</v>
      </c>
      <c r="E2169">
        <v>87</v>
      </c>
      <c r="F2169" t="s">
        <v>35</v>
      </c>
      <c r="G2169" t="s">
        <v>870</v>
      </c>
      <c r="H2169" t="s">
        <v>304</v>
      </c>
      <c r="I2169" t="s">
        <v>302</v>
      </c>
      <c r="J2169" t="s">
        <v>35</v>
      </c>
      <c r="L2169" t="b">
        <v>1</v>
      </c>
      <c r="M2169" t="s">
        <v>611</v>
      </c>
      <c r="N2169" t="s">
        <v>8245</v>
      </c>
      <c r="O2169" s="1">
        <v>13126</v>
      </c>
      <c r="P2169" t="s">
        <v>6989</v>
      </c>
      <c r="Q2169" t="s">
        <v>6990</v>
      </c>
      <c r="S2169" s="1">
        <v>45020.209027777775</v>
      </c>
      <c r="T2169" t="s">
        <v>43</v>
      </c>
      <c r="V2169">
        <v>1935</v>
      </c>
      <c r="W2169">
        <v>117.24</v>
      </c>
      <c r="X2169">
        <v>7.5</v>
      </c>
      <c r="Y2169" s="2">
        <v>21427700000000</v>
      </c>
      <c r="Z2169">
        <v>88.2</v>
      </c>
      <c r="AA2169">
        <v>101.8</v>
      </c>
      <c r="AB2169">
        <v>9.6</v>
      </c>
      <c r="AC2169">
        <v>36.6</v>
      </c>
      <c r="AD2169">
        <v>328239523</v>
      </c>
    </row>
    <row r="2170" spans="1:30" hidden="1" x14ac:dyDescent="0.45">
      <c r="A2170">
        <v>2133</v>
      </c>
      <c r="B2170">
        <v>1300</v>
      </c>
      <c r="C2170" t="s">
        <v>689</v>
      </c>
      <c r="D2170" t="s">
        <v>6991</v>
      </c>
      <c r="E2170">
        <v>45</v>
      </c>
      <c r="F2170" t="s">
        <v>214</v>
      </c>
      <c r="G2170" t="s">
        <v>802</v>
      </c>
      <c r="H2170" t="s">
        <v>6992</v>
      </c>
      <c r="I2170" t="s">
        <v>689</v>
      </c>
      <c r="J2170" t="s">
        <v>214</v>
      </c>
      <c r="L2170" t="b">
        <v>0</v>
      </c>
      <c r="M2170" t="s">
        <v>611</v>
      </c>
      <c r="N2170" t="s">
        <v>8246</v>
      </c>
      <c r="O2170" s="1">
        <v>28239</v>
      </c>
      <c r="P2170" t="s">
        <v>6993</v>
      </c>
      <c r="Q2170" t="s">
        <v>6994</v>
      </c>
      <c r="S2170" s="1">
        <v>45020.209027777775</v>
      </c>
      <c r="V2170">
        <v>1977</v>
      </c>
      <c r="W2170">
        <v>110.62</v>
      </c>
      <c r="X2170">
        <v>0.6</v>
      </c>
      <c r="Y2170" s="2">
        <v>2001244392042</v>
      </c>
      <c r="Z2170">
        <v>61.9</v>
      </c>
      <c r="AA2170">
        <v>101.9</v>
      </c>
      <c r="AB2170">
        <v>24.3</v>
      </c>
      <c r="AC2170">
        <v>59.1</v>
      </c>
      <c r="AD2170">
        <v>60297396</v>
      </c>
    </row>
    <row r="2171" spans="1:30" hidden="1" x14ac:dyDescent="0.45">
      <c r="A2171">
        <v>2133</v>
      </c>
      <c r="B2171">
        <v>1300</v>
      </c>
      <c r="C2171" t="s">
        <v>61</v>
      </c>
      <c r="D2171" t="s">
        <v>6995</v>
      </c>
      <c r="E2171">
        <v>65</v>
      </c>
      <c r="F2171" t="s">
        <v>35</v>
      </c>
      <c r="G2171" t="s">
        <v>1397</v>
      </c>
      <c r="H2171" t="s">
        <v>309</v>
      </c>
      <c r="I2171" t="s">
        <v>61</v>
      </c>
      <c r="J2171" t="s">
        <v>35</v>
      </c>
      <c r="L2171" t="b">
        <v>1</v>
      </c>
      <c r="M2171" t="s">
        <v>258</v>
      </c>
      <c r="N2171" t="s">
        <v>8245</v>
      </c>
      <c r="O2171" s="1">
        <v>21051</v>
      </c>
      <c r="P2171" t="s">
        <v>6996</v>
      </c>
      <c r="Q2171" t="s">
        <v>6997</v>
      </c>
      <c r="S2171" s="1">
        <v>45020.209027777775</v>
      </c>
      <c r="T2171" t="s">
        <v>311</v>
      </c>
      <c r="U2171" t="s">
        <v>82</v>
      </c>
      <c r="V2171">
        <v>1957</v>
      </c>
      <c r="W2171">
        <v>117.24</v>
      </c>
      <c r="X2171">
        <v>7.5</v>
      </c>
      <c r="Y2171" s="2">
        <v>21427700000000</v>
      </c>
      <c r="Z2171">
        <v>88.2</v>
      </c>
      <c r="AA2171">
        <v>101.8</v>
      </c>
      <c r="AB2171">
        <v>9.6</v>
      </c>
      <c r="AC2171">
        <v>36.6</v>
      </c>
      <c r="AD2171">
        <v>328239523</v>
      </c>
    </row>
    <row r="2172" spans="1:30" hidden="1" x14ac:dyDescent="0.45">
      <c r="A2172">
        <v>2133</v>
      </c>
      <c r="B2172">
        <v>1300</v>
      </c>
      <c r="C2172" t="s">
        <v>61</v>
      </c>
      <c r="D2172" t="s">
        <v>6998</v>
      </c>
      <c r="E2172">
        <v>59</v>
      </c>
      <c r="F2172" t="s">
        <v>128</v>
      </c>
      <c r="G2172" t="s">
        <v>234</v>
      </c>
      <c r="H2172" t="s">
        <v>317</v>
      </c>
      <c r="I2172" t="s">
        <v>61</v>
      </c>
      <c r="J2172" t="s">
        <v>128</v>
      </c>
      <c r="L2172" t="b">
        <v>1</v>
      </c>
      <c r="M2172" t="s">
        <v>39</v>
      </c>
      <c r="N2172" t="s">
        <v>8245</v>
      </c>
      <c r="O2172" s="1">
        <v>23377</v>
      </c>
      <c r="P2172" t="s">
        <v>390</v>
      </c>
      <c r="Q2172" t="s">
        <v>4210</v>
      </c>
      <c r="S2172" s="1">
        <v>45020.209027777775</v>
      </c>
      <c r="V2172">
        <v>1964</v>
      </c>
      <c r="W2172">
        <v>125.08</v>
      </c>
      <c r="X2172">
        <v>2.9</v>
      </c>
      <c r="Y2172" s="2">
        <v>19910000000000</v>
      </c>
      <c r="Z2172">
        <v>50.6</v>
      </c>
      <c r="AA2172">
        <v>100.2</v>
      </c>
      <c r="AB2172">
        <v>9.4</v>
      </c>
      <c r="AC2172">
        <v>59.2</v>
      </c>
      <c r="AD2172">
        <v>1397715000</v>
      </c>
    </row>
    <row r="2173" spans="1:30" hidden="1" x14ac:dyDescent="0.45">
      <c r="A2173">
        <v>2133</v>
      </c>
      <c r="B2173">
        <v>1300</v>
      </c>
      <c r="C2173" t="s">
        <v>296</v>
      </c>
      <c r="D2173" t="s">
        <v>6999</v>
      </c>
      <c r="E2173">
        <v>36</v>
      </c>
      <c r="F2173" t="s">
        <v>2660</v>
      </c>
      <c r="G2173" t="s">
        <v>5232</v>
      </c>
      <c r="H2173" t="s">
        <v>2662</v>
      </c>
      <c r="I2173" t="s">
        <v>296</v>
      </c>
      <c r="J2173" t="s">
        <v>2660</v>
      </c>
      <c r="L2173" t="b">
        <v>0</v>
      </c>
      <c r="M2173" t="s">
        <v>29</v>
      </c>
      <c r="N2173" t="s">
        <v>8245</v>
      </c>
      <c r="O2173" s="1">
        <v>31778</v>
      </c>
      <c r="P2173" t="s">
        <v>2663</v>
      </c>
      <c r="Q2173" t="s">
        <v>5235</v>
      </c>
      <c r="S2173" s="1">
        <v>45020.209027777775</v>
      </c>
      <c r="V2173">
        <v>1987</v>
      </c>
      <c r="W2173">
        <v>112.33</v>
      </c>
      <c r="X2173">
        <v>1</v>
      </c>
      <c r="Y2173" s="2">
        <v>268761201365</v>
      </c>
      <c r="Z2173">
        <v>88.2</v>
      </c>
      <c r="AA2173">
        <v>100.2</v>
      </c>
      <c r="AB2173">
        <v>20.8</v>
      </c>
      <c r="AC2173">
        <v>36.6</v>
      </c>
      <c r="AD2173">
        <v>5520314</v>
      </c>
    </row>
    <row r="2174" spans="1:30" hidden="1" x14ac:dyDescent="0.45">
      <c r="A2174">
        <v>2133</v>
      </c>
      <c r="B2174">
        <v>1300</v>
      </c>
      <c r="C2174" t="s">
        <v>302</v>
      </c>
      <c r="D2174" t="s">
        <v>7000</v>
      </c>
      <c r="E2174">
        <v>70</v>
      </c>
      <c r="F2174" t="s">
        <v>128</v>
      </c>
      <c r="G2174" t="s">
        <v>292</v>
      </c>
      <c r="H2174" t="s">
        <v>304</v>
      </c>
      <c r="I2174" t="s">
        <v>302</v>
      </c>
      <c r="J2174" t="s">
        <v>7001</v>
      </c>
      <c r="L2174" t="b">
        <v>1</v>
      </c>
      <c r="M2174" t="s">
        <v>39</v>
      </c>
      <c r="N2174" t="s">
        <v>8245</v>
      </c>
      <c r="O2174" s="1">
        <v>19238</v>
      </c>
      <c r="P2174" t="s">
        <v>7002</v>
      </c>
      <c r="Q2174" t="s">
        <v>7003</v>
      </c>
      <c r="S2174" s="1">
        <v>45020.209027777775</v>
      </c>
      <c r="V2174">
        <v>1952</v>
      </c>
      <c r="W2174">
        <v>125.08</v>
      </c>
      <c r="X2174">
        <v>2.9</v>
      </c>
      <c r="Y2174" s="2">
        <v>19910000000000</v>
      </c>
      <c r="Z2174">
        <v>50.6</v>
      </c>
      <c r="AA2174">
        <v>100.2</v>
      </c>
      <c r="AB2174">
        <v>9.4</v>
      </c>
      <c r="AC2174">
        <v>59.2</v>
      </c>
      <c r="AD2174">
        <v>1397715000</v>
      </c>
    </row>
    <row r="2175" spans="1:30" hidden="1" x14ac:dyDescent="0.45">
      <c r="A2175">
        <v>2133</v>
      </c>
      <c r="B2175">
        <v>1300</v>
      </c>
      <c r="C2175" t="s">
        <v>61</v>
      </c>
      <c r="D2175" t="s">
        <v>7004</v>
      </c>
      <c r="H2175" t="s">
        <v>1839</v>
      </c>
      <c r="I2175" t="s">
        <v>61</v>
      </c>
      <c r="J2175" t="s">
        <v>762</v>
      </c>
      <c r="L2175" t="b">
        <v>0</v>
      </c>
      <c r="M2175" t="s">
        <v>258</v>
      </c>
      <c r="N2175" t="s">
        <v>8246</v>
      </c>
      <c r="O2175"/>
      <c r="P2175" t="s">
        <v>2592</v>
      </c>
      <c r="Q2175" t="s">
        <v>7005</v>
      </c>
      <c r="S2175" s="1">
        <v>45020.209027777775</v>
      </c>
      <c r="W2175"/>
      <c r="Y2175"/>
    </row>
    <row r="2176" spans="1:30" hidden="1" x14ac:dyDescent="0.45">
      <c r="A2176">
        <v>2133</v>
      </c>
      <c r="B2176">
        <v>1300</v>
      </c>
      <c r="C2176" t="s">
        <v>61</v>
      </c>
      <c r="D2176" t="s">
        <v>7006</v>
      </c>
      <c r="E2176">
        <v>57</v>
      </c>
      <c r="F2176" t="s">
        <v>35</v>
      </c>
      <c r="G2176" t="s">
        <v>78</v>
      </c>
      <c r="H2176" t="s">
        <v>7007</v>
      </c>
      <c r="I2176" t="s">
        <v>61</v>
      </c>
      <c r="J2176" t="s">
        <v>35</v>
      </c>
      <c r="L2176" t="b">
        <v>1</v>
      </c>
      <c r="M2176" t="s">
        <v>258</v>
      </c>
      <c r="N2176" t="s">
        <v>8245</v>
      </c>
      <c r="O2176" s="1">
        <v>24062</v>
      </c>
      <c r="P2176" t="s">
        <v>7008</v>
      </c>
      <c r="Q2176" t="s">
        <v>7009</v>
      </c>
      <c r="S2176" s="1">
        <v>45020.209027777775</v>
      </c>
      <c r="T2176" t="s">
        <v>78</v>
      </c>
      <c r="U2176" t="s">
        <v>82</v>
      </c>
      <c r="V2176">
        <v>1965</v>
      </c>
      <c r="W2176">
        <v>117.24</v>
      </c>
      <c r="X2176">
        <v>7.5</v>
      </c>
      <c r="Y2176" s="2">
        <v>21427700000000</v>
      </c>
      <c r="Z2176">
        <v>88.2</v>
      </c>
      <c r="AA2176">
        <v>101.8</v>
      </c>
      <c r="AB2176">
        <v>9.6</v>
      </c>
      <c r="AC2176">
        <v>36.6</v>
      </c>
      <c r="AD2176">
        <v>328239523</v>
      </c>
    </row>
    <row r="2177" spans="1:30" hidden="1" x14ac:dyDescent="0.45">
      <c r="A2177">
        <v>2133</v>
      </c>
      <c r="B2177">
        <v>1300</v>
      </c>
      <c r="C2177" t="s">
        <v>436</v>
      </c>
      <c r="D2177" t="s">
        <v>7010</v>
      </c>
      <c r="E2177">
        <v>72</v>
      </c>
      <c r="F2177" t="s">
        <v>35</v>
      </c>
      <c r="G2177" t="s">
        <v>7011</v>
      </c>
      <c r="H2177" t="s">
        <v>6942</v>
      </c>
      <c r="I2177" t="s">
        <v>436</v>
      </c>
      <c r="J2177" t="s">
        <v>35</v>
      </c>
      <c r="L2177" t="b">
        <v>0</v>
      </c>
      <c r="M2177" t="s">
        <v>611</v>
      </c>
      <c r="N2177" t="s">
        <v>8245</v>
      </c>
      <c r="O2177" s="1">
        <v>18693</v>
      </c>
      <c r="P2177" t="s">
        <v>7012</v>
      </c>
      <c r="Q2177" t="s">
        <v>1966</v>
      </c>
      <c r="S2177" s="1">
        <v>45020.209027777775</v>
      </c>
      <c r="T2177" t="s">
        <v>78</v>
      </c>
      <c r="U2177" t="s">
        <v>82</v>
      </c>
      <c r="V2177">
        <v>1951</v>
      </c>
      <c r="W2177">
        <v>117.24</v>
      </c>
      <c r="X2177">
        <v>7.5</v>
      </c>
      <c r="Y2177" s="2">
        <v>21427700000000</v>
      </c>
      <c r="Z2177">
        <v>88.2</v>
      </c>
      <c r="AA2177">
        <v>101.8</v>
      </c>
      <c r="AB2177">
        <v>9.6</v>
      </c>
      <c r="AC2177">
        <v>36.6</v>
      </c>
      <c r="AD2177">
        <v>328239523</v>
      </c>
    </row>
    <row r="2178" spans="1:30" hidden="1" x14ac:dyDescent="0.45">
      <c r="A2178">
        <v>2133</v>
      </c>
      <c r="B2178">
        <v>1300</v>
      </c>
      <c r="C2178" t="s">
        <v>296</v>
      </c>
      <c r="D2178" t="s">
        <v>7013</v>
      </c>
      <c r="E2178">
        <v>61</v>
      </c>
      <c r="F2178" t="s">
        <v>93</v>
      </c>
      <c r="G2178" t="s">
        <v>7014</v>
      </c>
      <c r="H2178" t="s">
        <v>752</v>
      </c>
      <c r="I2178" t="s">
        <v>296</v>
      </c>
      <c r="J2178" t="s">
        <v>93</v>
      </c>
      <c r="L2178" t="b">
        <v>1</v>
      </c>
      <c r="M2178" t="s">
        <v>39</v>
      </c>
      <c r="N2178" t="s">
        <v>8245</v>
      </c>
      <c r="O2178" s="1">
        <v>22726</v>
      </c>
      <c r="P2178" t="s">
        <v>3696</v>
      </c>
      <c r="Q2178" t="s">
        <v>7015</v>
      </c>
      <c r="S2178" s="1">
        <v>45020.209027777775</v>
      </c>
      <c r="V2178">
        <v>1962</v>
      </c>
      <c r="W2178">
        <v>180.44</v>
      </c>
      <c r="X2178">
        <v>7.7</v>
      </c>
      <c r="Y2178" s="2">
        <v>2611000000000</v>
      </c>
      <c r="Z2178">
        <v>28.1</v>
      </c>
      <c r="AA2178">
        <v>113</v>
      </c>
      <c r="AB2178">
        <v>11.2</v>
      </c>
      <c r="AC2178">
        <v>49.7</v>
      </c>
      <c r="AD2178">
        <v>1366417754</v>
      </c>
    </row>
    <row r="2179" spans="1:30" hidden="1" x14ac:dyDescent="0.45">
      <c r="A2179">
        <v>2133</v>
      </c>
      <c r="B2179">
        <v>1300</v>
      </c>
      <c r="C2179" t="s">
        <v>296</v>
      </c>
      <c r="D2179" t="s">
        <v>7016</v>
      </c>
      <c r="E2179">
        <v>64</v>
      </c>
      <c r="F2179" t="s">
        <v>128</v>
      </c>
      <c r="G2179" t="s">
        <v>7017</v>
      </c>
      <c r="H2179" t="s">
        <v>296</v>
      </c>
      <c r="I2179" t="s">
        <v>296</v>
      </c>
      <c r="J2179" t="s">
        <v>128</v>
      </c>
      <c r="L2179" t="b">
        <v>1</v>
      </c>
      <c r="M2179" t="s">
        <v>611</v>
      </c>
      <c r="N2179" t="s">
        <v>8245</v>
      </c>
      <c r="O2179" s="1">
        <v>21367</v>
      </c>
      <c r="P2179" t="s">
        <v>748</v>
      </c>
      <c r="Q2179" t="s">
        <v>7018</v>
      </c>
      <c r="S2179" s="1">
        <v>45020.209027777775</v>
      </c>
      <c r="V2179">
        <v>1958</v>
      </c>
      <c r="W2179">
        <v>125.08</v>
      </c>
      <c r="X2179">
        <v>2.9</v>
      </c>
      <c r="Y2179" s="2">
        <v>19910000000000</v>
      </c>
      <c r="Z2179">
        <v>50.6</v>
      </c>
      <c r="AA2179">
        <v>100.2</v>
      </c>
      <c r="AB2179">
        <v>9.4</v>
      </c>
      <c r="AC2179">
        <v>59.2</v>
      </c>
      <c r="AD2179">
        <v>1397715000</v>
      </c>
    </row>
    <row r="2180" spans="1:30" hidden="1" x14ac:dyDescent="0.45">
      <c r="A2180">
        <v>2133</v>
      </c>
      <c r="B2180">
        <v>1300</v>
      </c>
      <c r="C2180" t="s">
        <v>296</v>
      </c>
      <c r="D2180" t="s">
        <v>7019</v>
      </c>
      <c r="E2180">
        <v>56</v>
      </c>
      <c r="F2180" t="s">
        <v>128</v>
      </c>
      <c r="G2180" t="s">
        <v>7020</v>
      </c>
      <c r="H2180" t="s">
        <v>296</v>
      </c>
      <c r="I2180" t="s">
        <v>296</v>
      </c>
      <c r="J2180" t="s">
        <v>128</v>
      </c>
      <c r="L2180" t="b">
        <v>1</v>
      </c>
      <c r="M2180" t="s">
        <v>39</v>
      </c>
      <c r="N2180" t="s">
        <v>8245</v>
      </c>
      <c r="O2180" s="1">
        <v>24480</v>
      </c>
      <c r="P2180" t="s">
        <v>957</v>
      </c>
      <c r="Q2180" t="s">
        <v>6877</v>
      </c>
      <c r="S2180" s="1">
        <v>45020.209027777775</v>
      </c>
      <c r="V2180">
        <v>1967</v>
      </c>
      <c r="W2180">
        <v>125.08</v>
      </c>
      <c r="X2180">
        <v>2.9</v>
      </c>
      <c r="Y2180" s="2">
        <v>19910000000000</v>
      </c>
      <c r="Z2180">
        <v>50.6</v>
      </c>
      <c r="AA2180">
        <v>100.2</v>
      </c>
      <c r="AB2180">
        <v>9.4</v>
      </c>
      <c r="AC2180">
        <v>59.2</v>
      </c>
      <c r="AD2180">
        <v>1397715000</v>
      </c>
    </row>
    <row r="2181" spans="1:30" hidden="1" x14ac:dyDescent="0.45">
      <c r="A2181">
        <v>2133</v>
      </c>
      <c r="B2181">
        <v>1300</v>
      </c>
      <c r="C2181" t="s">
        <v>61</v>
      </c>
      <c r="D2181" t="s">
        <v>7021</v>
      </c>
      <c r="E2181">
        <v>62</v>
      </c>
      <c r="F2181" t="s">
        <v>577</v>
      </c>
      <c r="G2181" t="s">
        <v>578</v>
      </c>
      <c r="H2181" t="s">
        <v>7007</v>
      </c>
      <c r="I2181" t="s">
        <v>61</v>
      </c>
      <c r="J2181" t="s">
        <v>577</v>
      </c>
      <c r="L2181" t="b">
        <v>1</v>
      </c>
      <c r="M2181" t="s">
        <v>39</v>
      </c>
      <c r="N2181" t="s">
        <v>8245</v>
      </c>
      <c r="O2181" s="1">
        <v>22112</v>
      </c>
      <c r="P2181" t="s">
        <v>7022</v>
      </c>
      <c r="Q2181" t="s">
        <v>7023</v>
      </c>
      <c r="S2181" s="1">
        <v>45020.209027777775</v>
      </c>
      <c r="V2181">
        <v>1960</v>
      </c>
      <c r="W2181">
        <v>110.51</v>
      </c>
      <c r="X2181">
        <v>1.8</v>
      </c>
      <c r="Y2181" s="2">
        <v>530832908738</v>
      </c>
      <c r="Z2181">
        <v>67</v>
      </c>
      <c r="AA2181">
        <v>126.6</v>
      </c>
      <c r="AB2181">
        <v>27.9</v>
      </c>
      <c r="AC2181">
        <v>49.1</v>
      </c>
      <c r="AD2181">
        <v>10285453</v>
      </c>
    </row>
    <row r="2182" spans="1:30" hidden="1" x14ac:dyDescent="0.45">
      <c r="A2182">
        <v>2133</v>
      </c>
      <c r="B2182">
        <v>1300</v>
      </c>
      <c r="C2182" t="s">
        <v>61</v>
      </c>
      <c r="D2182" t="s">
        <v>7024</v>
      </c>
      <c r="E2182">
        <v>101</v>
      </c>
      <c r="F2182" t="s">
        <v>35</v>
      </c>
      <c r="G2182" t="s">
        <v>964</v>
      </c>
      <c r="H2182" t="s">
        <v>1210</v>
      </c>
      <c r="I2182" t="s">
        <v>61</v>
      </c>
      <c r="J2182" t="s">
        <v>35</v>
      </c>
      <c r="L2182" t="b">
        <v>1</v>
      </c>
      <c r="M2182" t="s">
        <v>39</v>
      </c>
      <c r="N2182" t="s">
        <v>8245</v>
      </c>
      <c r="O2182" s="1">
        <v>7925</v>
      </c>
      <c r="P2182" t="s">
        <v>717</v>
      </c>
      <c r="Q2182" t="s">
        <v>714</v>
      </c>
      <c r="S2182" s="1">
        <v>45020.209027777775</v>
      </c>
      <c r="T2182" t="s">
        <v>115</v>
      </c>
      <c r="U2182" t="s">
        <v>53</v>
      </c>
      <c r="V2182">
        <v>1921</v>
      </c>
      <c r="W2182">
        <v>117.24</v>
      </c>
      <c r="X2182">
        <v>7.5</v>
      </c>
      <c r="Y2182" s="2">
        <v>21427700000000</v>
      </c>
      <c r="Z2182">
        <v>88.2</v>
      </c>
      <c r="AA2182">
        <v>101.8</v>
      </c>
      <c r="AB2182">
        <v>9.6</v>
      </c>
      <c r="AC2182">
        <v>36.6</v>
      </c>
      <c r="AD2182">
        <v>328239523</v>
      </c>
    </row>
    <row r="2183" spans="1:30" hidden="1" x14ac:dyDescent="0.45">
      <c r="A2183">
        <v>2133</v>
      </c>
      <c r="B2183">
        <v>1300</v>
      </c>
      <c r="C2183" t="s">
        <v>45</v>
      </c>
      <c r="D2183" t="s">
        <v>7025</v>
      </c>
      <c r="E2183">
        <v>57</v>
      </c>
      <c r="F2183" t="s">
        <v>574</v>
      </c>
      <c r="G2183" t="s">
        <v>574</v>
      </c>
      <c r="H2183" t="s">
        <v>5961</v>
      </c>
      <c r="I2183" t="s">
        <v>45</v>
      </c>
      <c r="J2183" t="s">
        <v>25</v>
      </c>
      <c r="L2183" t="b">
        <v>1</v>
      </c>
      <c r="M2183" t="s">
        <v>29</v>
      </c>
      <c r="N2183" t="s">
        <v>8245</v>
      </c>
      <c r="O2183" s="1">
        <v>24077</v>
      </c>
      <c r="P2183" t="s">
        <v>7026</v>
      </c>
      <c r="Q2183" t="s">
        <v>1183</v>
      </c>
      <c r="S2183" s="1">
        <v>45020.209027777775</v>
      </c>
      <c r="V2183">
        <v>1965</v>
      </c>
      <c r="W2183">
        <v>114.41</v>
      </c>
      <c r="X2183">
        <v>0.6</v>
      </c>
      <c r="Y2183" s="2">
        <v>372062527489</v>
      </c>
      <c r="Z2183">
        <v>84.8</v>
      </c>
      <c r="AA2183">
        <v>100.6</v>
      </c>
      <c r="AB2183">
        <v>13.1</v>
      </c>
      <c r="AC2183">
        <v>21</v>
      </c>
      <c r="AD2183">
        <v>5703569</v>
      </c>
    </row>
    <row r="2184" spans="1:30" hidden="1" x14ac:dyDescent="0.45">
      <c r="A2184">
        <v>2133</v>
      </c>
      <c r="B2184">
        <v>1300</v>
      </c>
      <c r="C2184" t="s">
        <v>91</v>
      </c>
      <c r="D2184" t="s">
        <v>7027</v>
      </c>
      <c r="E2184">
        <v>60</v>
      </c>
      <c r="F2184" t="s">
        <v>1761</v>
      </c>
      <c r="G2184" t="s">
        <v>7028</v>
      </c>
      <c r="H2184" t="s">
        <v>7029</v>
      </c>
      <c r="I2184" t="s">
        <v>91</v>
      </c>
      <c r="J2184" t="s">
        <v>1761</v>
      </c>
      <c r="L2184" t="b">
        <v>1</v>
      </c>
      <c r="M2184" t="s">
        <v>29</v>
      </c>
      <c r="N2184" t="s">
        <v>8245</v>
      </c>
      <c r="O2184" s="1">
        <v>22834</v>
      </c>
      <c r="P2184" t="s">
        <v>7030</v>
      </c>
      <c r="Q2184" t="s">
        <v>7031</v>
      </c>
      <c r="S2184" s="1">
        <v>45020.209027777775</v>
      </c>
      <c r="V2184">
        <v>1962</v>
      </c>
      <c r="W2184">
        <v>114.11</v>
      </c>
      <c r="X2184">
        <v>2.2000000000000002</v>
      </c>
      <c r="Y2184" s="2">
        <v>592164400688</v>
      </c>
      <c r="Z2184">
        <v>67.8</v>
      </c>
      <c r="AA2184">
        <v>100</v>
      </c>
      <c r="AB2184">
        <v>17.399999999999999</v>
      </c>
      <c r="AC2184">
        <v>40.799999999999997</v>
      </c>
      <c r="AD2184">
        <v>37970874</v>
      </c>
    </row>
    <row r="2185" spans="1:30" x14ac:dyDescent="0.45">
      <c r="A2185">
        <v>2133</v>
      </c>
      <c r="B2185" s="6">
        <v>1300</v>
      </c>
      <c r="C2185" t="s">
        <v>45</v>
      </c>
      <c r="D2185" t="s">
        <v>7032</v>
      </c>
      <c r="E2185">
        <v>55</v>
      </c>
      <c r="F2185" t="s">
        <v>35</v>
      </c>
      <c r="G2185" t="s">
        <v>110</v>
      </c>
      <c r="H2185" t="s">
        <v>7033</v>
      </c>
      <c r="I2185" t="s">
        <v>45</v>
      </c>
      <c r="J2185" t="s">
        <v>35</v>
      </c>
      <c r="K2185" t="s">
        <v>7034</v>
      </c>
      <c r="L2185" t="b">
        <v>1</v>
      </c>
      <c r="M2185" t="s">
        <v>29</v>
      </c>
      <c r="N2185" t="s">
        <v>8245</v>
      </c>
      <c r="O2185" s="10">
        <v>24746</v>
      </c>
      <c r="P2185" t="s">
        <v>7035</v>
      </c>
      <c r="Q2185" t="s">
        <v>1040</v>
      </c>
      <c r="R2185" t="s">
        <v>2846</v>
      </c>
      <c r="S2185" s="8">
        <v>45020.209027777775</v>
      </c>
      <c r="T2185" t="s">
        <v>115</v>
      </c>
      <c r="U2185" t="s">
        <v>53</v>
      </c>
      <c r="V2185">
        <v>1967</v>
      </c>
      <c r="W2185" s="12">
        <v>117.24</v>
      </c>
      <c r="X2185">
        <v>7.5</v>
      </c>
      <c r="Y2185" s="14">
        <v>21427700000000</v>
      </c>
      <c r="Z2185">
        <v>88.2</v>
      </c>
      <c r="AA2185">
        <v>101.8</v>
      </c>
      <c r="AB2185">
        <v>9.6</v>
      </c>
      <c r="AC2185">
        <v>36.6</v>
      </c>
      <c r="AD2185">
        <v>328239523</v>
      </c>
    </row>
    <row r="2186" spans="1:30" x14ac:dyDescent="0.45">
      <c r="A2186">
        <v>2133</v>
      </c>
      <c r="B2186" s="6">
        <v>1300</v>
      </c>
      <c r="C2186" t="s">
        <v>402</v>
      </c>
      <c r="D2186" t="s">
        <v>7036</v>
      </c>
      <c r="E2186">
        <v>58</v>
      </c>
      <c r="F2186" t="s">
        <v>35</v>
      </c>
      <c r="G2186" t="s">
        <v>1629</v>
      </c>
      <c r="H2186" t="s">
        <v>645</v>
      </c>
      <c r="I2186" t="s">
        <v>402</v>
      </c>
      <c r="J2186" t="s">
        <v>35</v>
      </c>
      <c r="K2186" t="s">
        <v>7037</v>
      </c>
      <c r="L2186" t="b">
        <v>1</v>
      </c>
      <c r="M2186" t="s">
        <v>258</v>
      </c>
      <c r="N2186" t="s">
        <v>8245</v>
      </c>
      <c r="O2186" s="10">
        <v>23636</v>
      </c>
      <c r="P2186" t="s">
        <v>7038</v>
      </c>
      <c r="Q2186" t="s">
        <v>1313</v>
      </c>
      <c r="R2186" t="s">
        <v>32</v>
      </c>
      <c r="S2186" s="8">
        <v>45020.209027777775</v>
      </c>
      <c r="T2186" t="s">
        <v>115</v>
      </c>
      <c r="U2186" t="s">
        <v>53</v>
      </c>
      <c r="V2186">
        <v>1964</v>
      </c>
      <c r="W2186" s="12">
        <v>117.24</v>
      </c>
      <c r="X2186">
        <v>7.5</v>
      </c>
      <c r="Y2186" s="14">
        <v>21427700000000</v>
      </c>
      <c r="Z2186">
        <v>88.2</v>
      </c>
      <c r="AA2186">
        <v>101.8</v>
      </c>
      <c r="AB2186">
        <v>9.6</v>
      </c>
      <c r="AC2186">
        <v>36.6</v>
      </c>
      <c r="AD2186">
        <v>328239523</v>
      </c>
    </row>
    <row r="2187" spans="1:30" x14ac:dyDescent="0.45">
      <c r="A2187">
        <v>2133</v>
      </c>
      <c r="B2187" s="6">
        <v>1300</v>
      </c>
      <c r="C2187" t="s">
        <v>61</v>
      </c>
      <c r="D2187" t="s">
        <v>7039</v>
      </c>
      <c r="E2187">
        <v>65</v>
      </c>
      <c r="F2187" t="s">
        <v>35</v>
      </c>
      <c r="G2187" t="s">
        <v>5116</v>
      </c>
      <c r="H2187" t="s">
        <v>317</v>
      </c>
      <c r="I2187" t="s">
        <v>61</v>
      </c>
      <c r="J2187" t="s">
        <v>35</v>
      </c>
      <c r="K2187" t="s">
        <v>7040</v>
      </c>
      <c r="L2187" t="b">
        <v>1</v>
      </c>
      <c r="M2187" t="s">
        <v>39</v>
      </c>
      <c r="N2187" t="s">
        <v>8245</v>
      </c>
      <c r="O2187" s="10">
        <v>20941</v>
      </c>
      <c r="P2187" t="s">
        <v>7041</v>
      </c>
      <c r="Q2187" t="s">
        <v>7042</v>
      </c>
      <c r="R2187" t="s">
        <v>688</v>
      </c>
      <c r="S2187" s="8">
        <v>45020.209027777775</v>
      </c>
      <c r="T2187" t="s">
        <v>427</v>
      </c>
      <c r="U2187" t="s">
        <v>82</v>
      </c>
      <c r="V2187">
        <v>1957</v>
      </c>
      <c r="W2187" s="12">
        <v>117.24</v>
      </c>
      <c r="X2187">
        <v>7.5</v>
      </c>
      <c r="Y2187" s="14">
        <v>21427700000000</v>
      </c>
      <c r="Z2187">
        <v>88.2</v>
      </c>
      <c r="AA2187">
        <v>101.8</v>
      </c>
      <c r="AB2187">
        <v>9.6</v>
      </c>
      <c r="AC2187">
        <v>36.6</v>
      </c>
      <c r="AD2187">
        <v>328239523</v>
      </c>
    </row>
    <row r="2188" spans="1:30" hidden="1" x14ac:dyDescent="0.45">
      <c r="A2188">
        <v>2133</v>
      </c>
      <c r="B2188">
        <v>1300</v>
      </c>
      <c r="C2188" t="s">
        <v>45</v>
      </c>
      <c r="D2188" t="s">
        <v>7043</v>
      </c>
      <c r="E2188">
        <v>82</v>
      </c>
      <c r="F2188" t="s">
        <v>266</v>
      </c>
      <c r="G2188" t="s">
        <v>267</v>
      </c>
      <c r="H2188" t="s">
        <v>2354</v>
      </c>
      <c r="I2188" t="s">
        <v>45</v>
      </c>
      <c r="J2188" t="s">
        <v>266</v>
      </c>
      <c r="L2188" t="b">
        <v>1</v>
      </c>
      <c r="M2188" t="s">
        <v>39</v>
      </c>
      <c r="N2188" t="s">
        <v>8245</v>
      </c>
      <c r="O2188" s="1">
        <v>14927</v>
      </c>
      <c r="P2188" t="s">
        <v>7044</v>
      </c>
      <c r="Q2188" t="s">
        <v>7045</v>
      </c>
      <c r="S2188" s="1">
        <v>45020.209027777775</v>
      </c>
      <c r="V2188">
        <v>1940</v>
      </c>
      <c r="W2188">
        <v>105.48</v>
      </c>
      <c r="X2188">
        <v>0.5</v>
      </c>
      <c r="Y2188" s="2">
        <v>5081769542380</v>
      </c>
      <c r="Z2188">
        <v>63.2</v>
      </c>
      <c r="AA2188">
        <v>98.8</v>
      </c>
      <c r="AB2188">
        <v>11.9</v>
      </c>
      <c r="AC2188">
        <v>46.7</v>
      </c>
      <c r="AD2188">
        <v>126226568</v>
      </c>
    </row>
    <row r="2189" spans="1:30" x14ac:dyDescent="0.45">
      <c r="A2189">
        <v>2133</v>
      </c>
      <c r="B2189" s="6">
        <v>1300</v>
      </c>
      <c r="C2189" t="s">
        <v>45</v>
      </c>
      <c r="D2189" t="s">
        <v>7046</v>
      </c>
      <c r="E2189">
        <v>69</v>
      </c>
      <c r="F2189" t="s">
        <v>35</v>
      </c>
      <c r="G2189" t="s">
        <v>3564</v>
      </c>
      <c r="H2189" t="s">
        <v>196</v>
      </c>
      <c r="I2189" t="s">
        <v>45</v>
      </c>
      <c r="J2189" t="s">
        <v>35</v>
      </c>
      <c r="K2189" t="s">
        <v>7047</v>
      </c>
      <c r="L2189" t="b">
        <v>1</v>
      </c>
      <c r="M2189" t="s">
        <v>611</v>
      </c>
      <c r="N2189" t="s">
        <v>8245</v>
      </c>
      <c r="O2189" s="10">
        <v>19579</v>
      </c>
      <c r="P2189" t="s">
        <v>7048</v>
      </c>
      <c r="Q2189" t="s">
        <v>81</v>
      </c>
      <c r="R2189" t="s">
        <v>688</v>
      </c>
      <c r="S2189" s="8">
        <v>45020.209027777775</v>
      </c>
      <c r="T2189" t="s">
        <v>435</v>
      </c>
      <c r="U2189" t="s">
        <v>69</v>
      </c>
      <c r="V2189">
        <v>1953</v>
      </c>
      <c r="W2189" s="12">
        <v>117.24</v>
      </c>
      <c r="X2189">
        <v>7.5</v>
      </c>
      <c r="Y2189" s="14">
        <v>21427700000000</v>
      </c>
      <c r="Z2189">
        <v>88.2</v>
      </c>
      <c r="AA2189">
        <v>101.8</v>
      </c>
      <c r="AB2189">
        <v>9.6</v>
      </c>
      <c r="AC2189">
        <v>36.6</v>
      </c>
      <c r="AD2189">
        <v>328239523</v>
      </c>
    </row>
    <row r="2190" spans="1:30" hidden="1" x14ac:dyDescent="0.45">
      <c r="A2190">
        <v>2133</v>
      </c>
      <c r="B2190">
        <v>1300</v>
      </c>
      <c r="C2190" t="s">
        <v>45</v>
      </c>
      <c r="D2190" t="s">
        <v>7049</v>
      </c>
      <c r="E2190">
        <v>70</v>
      </c>
      <c r="F2190" t="s">
        <v>567</v>
      </c>
      <c r="G2190" t="s">
        <v>568</v>
      </c>
      <c r="H2190" t="s">
        <v>856</v>
      </c>
      <c r="I2190" t="s">
        <v>45</v>
      </c>
      <c r="J2190" t="s">
        <v>567</v>
      </c>
      <c r="L2190" t="b">
        <v>1</v>
      </c>
      <c r="M2190" t="s">
        <v>39</v>
      </c>
      <c r="N2190" t="s">
        <v>8245</v>
      </c>
      <c r="O2190" s="1">
        <v>19370</v>
      </c>
      <c r="P2190" t="s">
        <v>7050</v>
      </c>
      <c r="Q2190" t="s">
        <v>7051</v>
      </c>
      <c r="S2190" s="1">
        <v>45020.209027777775</v>
      </c>
      <c r="V2190">
        <v>1953</v>
      </c>
      <c r="W2190">
        <v>116.48</v>
      </c>
      <c r="X2190">
        <v>2.8</v>
      </c>
      <c r="Y2190" s="2">
        <v>246489245495</v>
      </c>
      <c r="Z2190">
        <v>64.099999999999994</v>
      </c>
      <c r="AA2190">
        <v>100.7</v>
      </c>
      <c r="AB2190">
        <v>14.9</v>
      </c>
      <c r="AC2190">
        <v>46.1</v>
      </c>
      <c r="AD2190">
        <v>10669709</v>
      </c>
    </row>
    <row r="2191" spans="1:30" hidden="1" x14ac:dyDescent="0.45">
      <c r="A2191">
        <v>2133</v>
      </c>
      <c r="B2191">
        <v>1300</v>
      </c>
      <c r="C2191" t="s">
        <v>61</v>
      </c>
      <c r="D2191" t="s">
        <v>7052</v>
      </c>
      <c r="E2191">
        <v>42</v>
      </c>
      <c r="F2191" t="s">
        <v>272</v>
      </c>
      <c r="G2191" t="s">
        <v>273</v>
      </c>
      <c r="H2191" t="s">
        <v>7053</v>
      </c>
      <c r="I2191" t="s">
        <v>61</v>
      </c>
      <c r="J2191" t="s">
        <v>7054</v>
      </c>
      <c r="K2191" t="s">
        <v>7055</v>
      </c>
      <c r="L2191" t="b">
        <v>1</v>
      </c>
      <c r="M2191" t="s">
        <v>29</v>
      </c>
      <c r="N2191" t="s">
        <v>8245</v>
      </c>
      <c r="O2191" s="1">
        <v>29465</v>
      </c>
      <c r="P2191" t="s">
        <v>7056</v>
      </c>
      <c r="Q2191" t="s">
        <v>7057</v>
      </c>
      <c r="R2191" t="s">
        <v>138</v>
      </c>
      <c r="S2191" s="1">
        <v>45020.209027777775</v>
      </c>
      <c r="V2191">
        <v>1980</v>
      </c>
      <c r="W2191">
        <v>119.62</v>
      </c>
      <c r="X2191">
        <v>1.7</v>
      </c>
      <c r="Y2191" s="2">
        <v>2827113184696</v>
      </c>
      <c r="Z2191">
        <v>60</v>
      </c>
      <c r="AA2191">
        <v>101.2</v>
      </c>
      <c r="AB2191">
        <v>25.5</v>
      </c>
      <c r="AC2191">
        <v>30.6</v>
      </c>
      <c r="AD2191">
        <v>66834405</v>
      </c>
    </row>
    <row r="2192" spans="1:30" hidden="1" x14ac:dyDescent="0.45">
      <c r="A2192">
        <v>2133</v>
      </c>
      <c r="B2192">
        <v>1300</v>
      </c>
      <c r="C2192" t="s">
        <v>23</v>
      </c>
      <c r="D2192" t="s">
        <v>7058</v>
      </c>
      <c r="E2192">
        <v>60</v>
      </c>
      <c r="F2192" t="s">
        <v>35</v>
      </c>
      <c r="G2192" t="s">
        <v>583</v>
      </c>
      <c r="H2192" t="s">
        <v>2182</v>
      </c>
      <c r="I2192" t="s">
        <v>23</v>
      </c>
      <c r="J2192" t="s">
        <v>35</v>
      </c>
      <c r="L2192" t="b">
        <v>0</v>
      </c>
      <c r="M2192" t="s">
        <v>39</v>
      </c>
      <c r="N2192" t="s">
        <v>8245</v>
      </c>
      <c r="O2192" s="1">
        <v>22771</v>
      </c>
      <c r="P2192" t="s">
        <v>449</v>
      </c>
      <c r="Q2192" t="s">
        <v>2060</v>
      </c>
      <c r="S2192" s="1">
        <v>45020.209027777775</v>
      </c>
      <c r="T2192" t="s">
        <v>115</v>
      </c>
      <c r="U2192" t="s">
        <v>53</v>
      </c>
      <c r="V2192">
        <v>1962</v>
      </c>
      <c r="W2192">
        <v>117.24</v>
      </c>
      <c r="X2192">
        <v>7.5</v>
      </c>
      <c r="Y2192" s="2">
        <v>21427700000000</v>
      </c>
      <c r="Z2192">
        <v>88.2</v>
      </c>
      <c r="AA2192">
        <v>101.8</v>
      </c>
      <c r="AB2192">
        <v>9.6</v>
      </c>
      <c r="AC2192">
        <v>36.6</v>
      </c>
      <c r="AD2192">
        <v>328239523</v>
      </c>
    </row>
    <row r="2193" spans="1:30" hidden="1" x14ac:dyDescent="0.45">
      <c r="A2193">
        <v>2133</v>
      </c>
      <c r="B2193">
        <v>1300</v>
      </c>
      <c r="C2193" t="s">
        <v>45</v>
      </c>
      <c r="D2193" t="s">
        <v>7059</v>
      </c>
      <c r="E2193">
        <v>55</v>
      </c>
      <c r="F2193" t="s">
        <v>928</v>
      </c>
      <c r="G2193" t="s">
        <v>929</v>
      </c>
      <c r="H2193" t="s">
        <v>5570</v>
      </c>
      <c r="I2193" t="s">
        <v>45</v>
      </c>
      <c r="J2193" t="s">
        <v>928</v>
      </c>
      <c r="K2193" t="s">
        <v>7060</v>
      </c>
      <c r="L2193" t="b">
        <v>1</v>
      </c>
      <c r="M2193" t="s">
        <v>39</v>
      </c>
      <c r="N2193" t="s">
        <v>8245</v>
      </c>
      <c r="O2193" s="1">
        <v>24645</v>
      </c>
      <c r="P2193" t="s">
        <v>305</v>
      </c>
      <c r="Q2193" t="s">
        <v>7061</v>
      </c>
      <c r="S2193" s="1">
        <v>45020.209027777775</v>
      </c>
      <c r="V2193">
        <v>1967</v>
      </c>
      <c r="W2193">
        <v>115.16</v>
      </c>
      <c r="X2193">
        <v>0.4</v>
      </c>
      <c r="Y2193" s="2">
        <v>2029000000000</v>
      </c>
      <c r="Z2193">
        <v>94.3</v>
      </c>
      <c r="AA2193">
        <v>98.1</v>
      </c>
      <c r="AB2193">
        <v>15.6</v>
      </c>
      <c r="AC2193">
        <v>33.200000000000003</v>
      </c>
      <c r="AD2193">
        <v>51709098</v>
      </c>
    </row>
    <row r="2194" spans="1:30" hidden="1" x14ac:dyDescent="0.45">
      <c r="A2194">
        <v>2133</v>
      </c>
      <c r="B2194">
        <v>1300</v>
      </c>
      <c r="C2194" t="s">
        <v>91</v>
      </c>
      <c r="D2194" t="s">
        <v>7062</v>
      </c>
      <c r="E2194">
        <v>73</v>
      </c>
      <c r="F2194" t="s">
        <v>35</v>
      </c>
      <c r="G2194" t="s">
        <v>6361</v>
      </c>
      <c r="H2194" t="s">
        <v>7063</v>
      </c>
      <c r="I2194" t="s">
        <v>91</v>
      </c>
      <c r="J2194" t="s">
        <v>35</v>
      </c>
      <c r="L2194" t="b">
        <v>1</v>
      </c>
      <c r="M2194" t="s">
        <v>39</v>
      </c>
      <c r="N2194" t="s">
        <v>8245</v>
      </c>
      <c r="O2194" s="1">
        <v>18353</v>
      </c>
      <c r="P2194" t="s">
        <v>7064</v>
      </c>
      <c r="Q2194" t="s">
        <v>5674</v>
      </c>
      <c r="S2194" s="1">
        <v>45020.209027777775</v>
      </c>
      <c r="T2194" t="s">
        <v>115</v>
      </c>
      <c r="U2194" t="s">
        <v>53</v>
      </c>
      <c r="V2194">
        <v>1950</v>
      </c>
      <c r="W2194">
        <v>117.24</v>
      </c>
      <c r="X2194">
        <v>7.5</v>
      </c>
      <c r="Y2194" s="2">
        <v>21427700000000</v>
      </c>
      <c r="Z2194">
        <v>88.2</v>
      </c>
      <c r="AA2194">
        <v>101.8</v>
      </c>
      <c r="AB2194">
        <v>9.6</v>
      </c>
      <c r="AC2194">
        <v>36.6</v>
      </c>
      <c r="AD2194">
        <v>328239523</v>
      </c>
    </row>
    <row r="2195" spans="1:30" hidden="1" x14ac:dyDescent="0.45">
      <c r="A2195">
        <v>2133</v>
      </c>
      <c r="B2195">
        <v>1300</v>
      </c>
      <c r="C2195" t="s">
        <v>126</v>
      </c>
      <c r="D2195" t="s">
        <v>7065</v>
      </c>
      <c r="E2195">
        <v>73</v>
      </c>
      <c r="F2195" t="s">
        <v>128</v>
      </c>
      <c r="G2195" t="s">
        <v>7066</v>
      </c>
      <c r="H2195" t="s">
        <v>7067</v>
      </c>
      <c r="I2195" t="s">
        <v>126</v>
      </c>
      <c r="J2195" t="s">
        <v>128</v>
      </c>
      <c r="L2195" t="b">
        <v>1</v>
      </c>
      <c r="M2195" t="s">
        <v>39</v>
      </c>
      <c r="N2195" t="s">
        <v>8245</v>
      </c>
      <c r="O2195" s="1">
        <v>18142</v>
      </c>
      <c r="P2195" t="s">
        <v>230</v>
      </c>
      <c r="Q2195" t="s">
        <v>7068</v>
      </c>
      <c r="S2195" s="1">
        <v>45020.209027777775</v>
      </c>
      <c r="V2195">
        <v>1949</v>
      </c>
      <c r="W2195">
        <v>125.08</v>
      </c>
      <c r="X2195">
        <v>2.9</v>
      </c>
      <c r="Y2195" s="2">
        <v>19910000000000</v>
      </c>
      <c r="Z2195">
        <v>50.6</v>
      </c>
      <c r="AA2195">
        <v>100.2</v>
      </c>
      <c r="AB2195">
        <v>9.4</v>
      </c>
      <c r="AC2195">
        <v>59.2</v>
      </c>
      <c r="AD2195">
        <v>1397715000</v>
      </c>
    </row>
    <row r="2196" spans="1:30" hidden="1" x14ac:dyDescent="0.45">
      <c r="A2196">
        <v>2133</v>
      </c>
      <c r="B2196">
        <v>1300</v>
      </c>
      <c r="C2196" t="s">
        <v>91</v>
      </c>
      <c r="D2196" t="s">
        <v>7069</v>
      </c>
      <c r="E2196">
        <v>61</v>
      </c>
      <c r="F2196" t="s">
        <v>128</v>
      </c>
      <c r="G2196" t="s">
        <v>7070</v>
      </c>
      <c r="H2196" t="s">
        <v>7071</v>
      </c>
      <c r="I2196" t="s">
        <v>91</v>
      </c>
      <c r="J2196" t="s">
        <v>128</v>
      </c>
      <c r="L2196" t="b">
        <v>1</v>
      </c>
      <c r="M2196" t="s">
        <v>611</v>
      </c>
      <c r="N2196" t="s">
        <v>8246</v>
      </c>
      <c r="O2196" s="1">
        <v>22647</v>
      </c>
      <c r="P2196" t="s">
        <v>230</v>
      </c>
      <c r="Q2196" t="s">
        <v>7072</v>
      </c>
      <c r="S2196" s="1">
        <v>45020.209027777775</v>
      </c>
      <c r="V2196">
        <v>1962</v>
      </c>
      <c r="W2196">
        <v>125.08</v>
      </c>
      <c r="X2196">
        <v>2.9</v>
      </c>
      <c r="Y2196" s="2">
        <v>19910000000000</v>
      </c>
      <c r="Z2196">
        <v>50.6</v>
      </c>
      <c r="AA2196">
        <v>100.2</v>
      </c>
      <c r="AB2196">
        <v>9.4</v>
      </c>
      <c r="AC2196">
        <v>59.2</v>
      </c>
      <c r="AD2196">
        <v>1397715000</v>
      </c>
    </row>
    <row r="2197" spans="1:30" hidden="1" x14ac:dyDescent="0.45">
      <c r="A2197">
        <v>2133</v>
      </c>
      <c r="B2197">
        <v>1300</v>
      </c>
      <c r="C2197" t="s">
        <v>296</v>
      </c>
      <c r="D2197" t="s">
        <v>7073</v>
      </c>
      <c r="E2197">
        <v>58</v>
      </c>
      <c r="F2197" t="s">
        <v>128</v>
      </c>
      <c r="G2197" t="s">
        <v>129</v>
      </c>
      <c r="H2197" t="s">
        <v>7074</v>
      </c>
      <c r="I2197" t="s">
        <v>296</v>
      </c>
      <c r="J2197" t="s">
        <v>128</v>
      </c>
      <c r="L2197" t="b">
        <v>1</v>
      </c>
      <c r="M2197" t="s">
        <v>39</v>
      </c>
      <c r="N2197" t="s">
        <v>8245</v>
      </c>
      <c r="O2197" s="1">
        <v>23558</v>
      </c>
      <c r="P2197" t="s">
        <v>230</v>
      </c>
      <c r="Q2197" t="s">
        <v>7075</v>
      </c>
      <c r="S2197" s="1">
        <v>45020.209027777775</v>
      </c>
      <c r="V2197">
        <v>1964</v>
      </c>
      <c r="W2197">
        <v>125.08</v>
      </c>
      <c r="X2197">
        <v>2.9</v>
      </c>
      <c r="Y2197" s="2">
        <v>19910000000000</v>
      </c>
      <c r="Z2197">
        <v>50.6</v>
      </c>
      <c r="AA2197">
        <v>100.2</v>
      </c>
      <c r="AB2197">
        <v>9.4</v>
      </c>
      <c r="AC2197">
        <v>59.2</v>
      </c>
      <c r="AD2197">
        <v>1397715000</v>
      </c>
    </row>
    <row r="2198" spans="1:30" hidden="1" x14ac:dyDescent="0.45">
      <c r="A2198">
        <v>2133</v>
      </c>
      <c r="B2198">
        <v>1300</v>
      </c>
      <c r="C2198" t="s">
        <v>296</v>
      </c>
      <c r="D2198" t="s">
        <v>7076</v>
      </c>
      <c r="E2198">
        <v>46</v>
      </c>
      <c r="F2198" t="s">
        <v>128</v>
      </c>
      <c r="G2198" t="s">
        <v>2420</v>
      </c>
      <c r="H2198" t="s">
        <v>4590</v>
      </c>
      <c r="I2198" t="s">
        <v>296</v>
      </c>
      <c r="J2198" t="s">
        <v>128</v>
      </c>
      <c r="L2198" t="b">
        <v>1</v>
      </c>
      <c r="M2198" t="s">
        <v>39</v>
      </c>
      <c r="N2198" t="s">
        <v>8245</v>
      </c>
      <c r="O2198" s="1">
        <v>27912</v>
      </c>
      <c r="P2198" t="s">
        <v>230</v>
      </c>
      <c r="Q2198" t="s">
        <v>4481</v>
      </c>
      <c r="S2198" s="1">
        <v>45020.209027777775</v>
      </c>
      <c r="V2198">
        <v>1976</v>
      </c>
      <c r="W2198">
        <v>125.08</v>
      </c>
      <c r="X2198">
        <v>2.9</v>
      </c>
      <c r="Y2198" s="2">
        <v>19910000000000</v>
      </c>
      <c r="Z2198">
        <v>50.6</v>
      </c>
      <c r="AA2198">
        <v>100.2</v>
      </c>
      <c r="AB2198">
        <v>9.4</v>
      </c>
      <c r="AC2198">
        <v>59.2</v>
      </c>
      <c r="AD2198">
        <v>1397715000</v>
      </c>
    </row>
    <row r="2199" spans="1:30" hidden="1" x14ac:dyDescent="0.45">
      <c r="A2199">
        <v>2133</v>
      </c>
      <c r="B2199">
        <v>1300</v>
      </c>
      <c r="C2199" t="s">
        <v>402</v>
      </c>
      <c r="D2199" t="s">
        <v>7077</v>
      </c>
      <c r="E2199">
        <v>71</v>
      </c>
      <c r="F2199" t="s">
        <v>128</v>
      </c>
      <c r="G2199" t="s">
        <v>777</v>
      </c>
      <c r="H2199" t="s">
        <v>610</v>
      </c>
      <c r="I2199" t="s">
        <v>402</v>
      </c>
      <c r="J2199" t="s">
        <v>128</v>
      </c>
      <c r="L2199" t="b">
        <v>1</v>
      </c>
      <c r="M2199" t="s">
        <v>1332</v>
      </c>
      <c r="N2199" t="s">
        <v>8245</v>
      </c>
      <c r="O2199" s="1">
        <v>18760</v>
      </c>
      <c r="P2199" t="s">
        <v>779</v>
      </c>
      <c r="Q2199" t="s">
        <v>7078</v>
      </c>
      <c r="S2199" s="1">
        <v>45020.209027777775</v>
      </c>
      <c r="V2199">
        <v>1951</v>
      </c>
      <c r="W2199">
        <v>125.08</v>
      </c>
      <c r="X2199">
        <v>2.9</v>
      </c>
      <c r="Y2199" s="2">
        <v>19910000000000</v>
      </c>
      <c r="Z2199">
        <v>50.6</v>
      </c>
      <c r="AA2199">
        <v>100.2</v>
      </c>
      <c r="AB2199">
        <v>9.4</v>
      </c>
      <c r="AC2199">
        <v>59.2</v>
      </c>
      <c r="AD2199">
        <v>1397715000</v>
      </c>
    </row>
    <row r="2200" spans="1:30" hidden="1" x14ac:dyDescent="0.45">
      <c r="A2200">
        <v>2133</v>
      </c>
      <c r="B2200">
        <v>1300</v>
      </c>
      <c r="C2200" t="s">
        <v>126</v>
      </c>
      <c r="D2200" t="s">
        <v>7079</v>
      </c>
      <c r="E2200">
        <v>68</v>
      </c>
      <c r="F2200" t="s">
        <v>558</v>
      </c>
      <c r="G2200" t="s">
        <v>6742</v>
      </c>
      <c r="H2200" t="s">
        <v>778</v>
      </c>
      <c r="I2200" t="s">
        <v>126</v>
      </c>
      <c r="J2200" t="s">
        <v>558</v>
      </c>
      <c r="L2200" t="b">
        <v>0</v>
      </c>
      <c r="M2200" t="s">
        <v>285</v>
      </c>
      <c r="N2200" t="s">
        <v>8245</v>
      </c>
      <c r="O2200" s="1">
        <v>20090</v>
      </c>
      <c r="P2200" t="s">
        <v>7080</v>
      </c>
      <c r="Q2200" t="s">
        <v>7081</v>
      </c>
      <c r="S2200" s="1">
        <v>45020.209027777775</v>
      </c>
      <c r="V2200">
        <v>1955</v>
      </c>
      <c r="W2200">
        <v>167.4</v>
      </c>
      <c r="X2200">
        <v>3.7</v>
      </c>
      <c r="Y2200" s="2">
        <v>1839758040766</v>
      </c>
      <c r="Z2200">
        <v>51.3</v>
      </c>
      <c r="AA2200">
        <v>115.4</v>
      </c>
      <c r="AB2200">
        <v>14.2</v>
      </c>
      <c r="AC2200">
        <v>65.099999999999994</v>
      </c>
      <c r="AD2200">
        <v>212559417</v>
      </c>
    </row>
    <row r="2201" spans="1:30" hidden="1" x14ac:dyDescent="0.45">
      <c r="A2201">
        <v>2133</v>
      </c>
      <c r="B2201">
        <v>1300</v>
      </c>
      <c r="C2201" t="s">
        <v>76</v>
      </c>
      <c r="D2201" t="s">
        <v>7082</v>
      </c>
      <c r="E2201">
        <v>45</v>
      </c>
      <c r="F2201" t="s">
        <v>128</v>
      </c>
      <c r="G2201" t="s">
        <v>2921</v>
      </c>
      <c r="H2201" t="s">
        <v>336</v>
      </c>
      <c r="I2201" t="s">
        <v>76</v>
      </c>
      <c r="J2201" t="s">
        <v>128</v>
      </c>
      <c r="L2201" t="b">
        <v>1</v>
      </c>
      <c r="M2201" t="s">
        <v>29</v>
      </c>
      <c r="N2201" t="s">
        <v>8245</v>
      </c>
      <c r="O2201" s="1">
        <v>28276</v>
      </c>
      <c r="P2201" t="s">
        <v>721</v>
      </c>
      <c r="Q2201" t="s">
        <v>7083</v>
      </c>
      <c r="S2201" s="1">
        <v>45020.209027777775</v>
      </c>
      <c r="V2201">
        <v>1977</v>
      </c>
      <c r="W2201">
        <v>125.08</v>
      </c>
      <c r="X2201">
        <v>2.9</v>
      </c>
      <c r="Y2201" s="2">
        <v>19910000000000</v>
      </c>
      <c r="Z2201">
        <v>50.6</v>
      </c>
      <c r="AA2201">
        <v>100.2</v>
      </c>
      <c r="AB2201">
        <v>9.4</v>
      </c>
      <c r="AC2201">
        <v>59.2</v>
      </c>
      <c r="AD2201">
        <v>1397715000</v>
      </c>
    </row>
    <row r="2202" spans="1:30" hidden="1" x14ac:dyDescent="0.45">
      <c r="A2202">
        <v>2133</v>
      </c>
      <c r="B2202">
        <v>1300</v>
      </c>
      <c r="C2202" t="s">
        <v>402</v>
      </c>
      <c r="D2202" t="s">
        <v>7084</v>
      </c>
      <c r="E2202">
        <v>58</v>
      </c>
      <c r="F2202" t="s">
        <v>128</v>
      </c>
      <c r="G2202" t="s">
        <v>129</v>
      </c>
      <c r="H2202" t="s">
        <v>1529</v>
      </c>
      <c r="I2202" t="s">
        <v>402</v>
      </c>
      <c r="J2202" t="s">
        <v>228</v>
      </c>
      <c r="L2202" t="b">
        <v>1</v>
      </c>
      <c r="M2202" t="s">
        <v>39</v>
      </c>
      <c r="N2202" t="s">
        <v>8245</v>
      </c>
      <c r="O2202" s="1">
        <v>23743</v>
      </c>
      <c r="P2202" t="s">
        <v>7085</v>
      </c>
      <c r="Q2202" t="s">
        <v>6943</v>
      </c>
      <c r="S2202" s="1">
        <v>45020.209027777775</v>
      </c>
      <c r="V2202">
        <v>1965</v>
      </c>
      <c r="W2202">
        <v>125.08</v>
      </c>
      <c r="X2202">
        <v>2.9</v>
      </c>
      <c r="Y2202" s="2">
        <v>19910000000000</v>
      </c>
      <c r="Z2202">
        <v>50.6</v>
      </c>
      <c r="AA2202">
        <v>100.2</v>
      </c>
      <c r="AB2202">
        <v>9.4</v>
      </c>
      <c r="AC2202">
        <v>59.2</v>
      </c>
      <c r="AD2202">
        <v>1397715000</v>
      </c>
    </row>
    <row r="2203" spans="1:30" hidden="1" x14ac:dyDescent="0.45">
      <c r="A2203">
        <v>2133</v>
      </c>
      <c r="B2203">
        <v>1300</v>
      </c>
      <c r="C2203" t="s">
        <v>126</v>
      </c>
      <c r="D2203" t="s">
        <v>7086</v>
      </c>
      <c r="E2203">
        <v>66</v>
      </c>
      <c r="F2203" t="s">
        <v>558</v>
      </c>
      <c r="G2203" t="s">
        <v>7087</v>
      </c>
      <c r="H2203" t="s">
        <v>778</v>
      </c>
      <c r="I2203" t="s">
        <v>126</v>
      </c>
      <c r="J2203" t="s">
        <v>558</v>
      </c>
      <c r="L2203" t="b">
        <v>0</v>
      </c>
      <c r="M2203" t="s">
        <v>285</v>
      </c>
      <c r="N2203" t="s">
        <v>8245</v>
      </c>
      <c r="O2203" s="1">
        <v>20604</v>
      </c>
      <c r="P2203" t="s">
        <v>6743</v>
      </c>
      <c r="Q2203" t="s">
        <v>7088</v>
      </c>
      <c r="S2203" s="1">
        <v>45020.209027777775</v>
      </c>
      <c r="V2203">
        <v>1956</v>
      </c>
      <c r="W2203">
        <v>167.4</v>
      </c>
      <c r="X2203">
        <v>3.7</v>
      </c>
      <c r="Y2203" s="2">
        <v>1839758040766</v>
      </c>
      <c r="Z2203">
        <v>51.3</v>
      </c>
      <c r="AA2203">
        <v>115.4</v>
      </c>
      <c r="AB2203">
        <v>14.2</v>
      </c>
      <c r="AC2203">
        <v>65.099999999999994</v>
      </c>
      <c r="AD2203">
        <v>212559417</v>
      </c>
    </row>
    <row r="2204" spans="1:30" hidden="1" x14ac:dyDescent="0.45">
      <c r="A2204">
        <v>2133</v>
      </c>
      <c r="B2204">
        <v>1300</v>
      </c>
      <c r="C2204" t="s">
        <v>91</v>
      </c>
      <c r="D2204" t="s">
        <v>7089</v>
      </c>
      <c r="E2204">
        <v>61</v>
      </c>
      <c r="F2204" t="s">
        <v>1365</v>
      </c>
      <c r="G2204" t="s">
        <v>1366</v>
      </c>
      <c r="H2204" t="s">
        <v>91</v>
      </c>
      <c r="I2204" t="s">
        <v>91</v>
      </c>
      <c r="J2204" t="s">
        <v>1365</v>
      </c>
      <c r="L2204" t="b">
        <v>1</v>
      </c>
      <c r="M2204" t="s">
        <v>29</v>
      </c>
      <c r="N2204" t="s">
        <v>8245</v>
      </c>
      <c r="O2204" s="1">
        <v>22501</v>
      </c>
      <c r="P2204" t="s">
        <v>3048</v>
      </c>
      <c r="Q2204" t="s">
        <v>7090</v>
      </c>
      <c r="S2204" s="1">
        <v>45020.209027777775</v>
      </c>
      <c r="V2204">
        <v>1961</v>
      </c>
      <c r="W2204">
        <v>288.57</v>
      </c>
      <c r="X2204">
        <v>9.1999999999999993</v>
      </c>
      <c r="Y2204" s="2">
        <v>303175127598</v>
      </c>
      <c r="Z2204">
        <v>35.200000000000003</v>
      </c>
      <c r="AA2204">
        <v>106.3</v>
      </c>
      <c r="AB2204">
        <v>12.5</v>
      </c>
      <c r="AC2204">
        <v>44.4</v>
      </c>
      <c r="AD2204">
        <v>100388073</v>
      </c>
    </row>
    <row r="2205" spans="1:30" hidden="1" x14ac:dyDescent="0.45">
      <c r="A2205">
        <v>2133</v>
      </c>
      <c r="B2205">
        <v>1300</v>
      </c>
      <c r="C2205" t="s">
        <v>23</v>
      </c>
      <c r="D2205" t="s">
        <v>7091</v>
      </c>
      <c r="F2205" t="s">
        <v>128</v>
      </c>
      <c r="G2205" t="s">
        <v>292</v>
      </c>
      <c r="H2205" t="s">
        <v>293</v>
      </c>
      <c r="I2205" t="s">
        <v>23</v>
      </c>
      <c r="J2205" t="s">
        <v>128</v>
      </c>
      <c r="L2205" t="b">
        <v>1</v>
      </c>
      <c r="M2205" t="s">
        <v>39</v>
      </c>
      <c r="N2205" t="s">
        <v>8245</v>
      </c>
      <c r="O2205"/>
      <c r="P2205" t="s">
        <v>6750</v>
      </c>
      <c r="Q2205" t="s">
        <v>7092</v>
      </c>
      <c r="S2205" s="1">
        <v>45020.209027777775</v>
      </c>
      <c r="W2205">
        <v>125.08</v>
      </c>
      <c r="X2205">
        <v>2.9</v>
      </c>
      <c r="Y2205" s="2">
        <v>19910000000000</v>
      </c>
      <c r="Z2205">
        <v>50.6</v>
      </c>
      <c r="AA2205">
        <v>100.2</v>
      </c>
      <c r="AB2205">
        <v>9.4</v>
      </c>
      <c r="AC2205">
        <v>59.2</v>
      </c>
      <c r="AD2205">
        <v>1397715000</v>
      </c>
    </row>
    <row r="2206" spans="1:30" hidden="1" x14ac:dyDescent="0.45">
      <c r="A2206">
        <v>2133</v>
      </c>
      <c r="B2206">
        <v>1300</v>
      </c>
      <c r="C2206" t="s">
        <v>302</v>
      </c>
      <c r="D2206" t="s">
        <v>7093</v>
      </c>
      <c r="E2206">
        <v>81</v>
      </c>
      <c r="F2206" t="s">
        <v>35</v>
      </c>
      <c r="G2206" t="s">
        <v>2704</v>
      </c>
      <c r="H2206" t="s">
        <v>304</v>
      </c>
      <c r="I2206" t="s">
        <v>302</v>
      </c>
      <c r="J2206" t="s">
        <v>35</v>
      </c>
      <c r="L2206" t="b">
        <v>1</v>
      </c>
      <c r="M2206" t="s">
        <v>39</v>
      </c>
      <c r="N2206" t="s">
        <v>8245</v>
      </c>
      <c r="O2206" s="1">
        <v>15203</v>
      </c>
      <c r="P2206" t="s">
        <v>1206</v>
      </c>
      <c r="Q2206" t="s">
        <v>714</v>
      </c>
      <c r="S2206" s="1">
        <v>45020.209027777775</v>
      </c>
      <c r="T2206" t="s">
        <v>115</v>
      </c>
      <c r="U2206" t="s">
        <v>53</v>
      </c>
      <c r="V2206">
        <v>1941</v>
      </c>
      <c r="W2206">
        <v>117.24</v>
      </c>
      <c r="X2206">
        <v>7.5</v>
      </c>
      <c r="Y2206" s="2">
        <v>21427700000000</v>
      </c>
      <c r="Z2206">
        <v>88.2</v>
      </c>
      <c r="AA2206">
        <v>101.8</v>
      </c>
      <c r="AB2206">
        <v>9.6</v>
      </c>
      <c r="AC2206">
        <v>36.6</v>
      </c>
      <c r="AD2206">
        <v>328239523</v>
      </c>
    </row>
    <row r="2207" spans="1:30" hidden="1" x14ac:dyDescent="0.45">
      <c r="A2207">
        <v>2133</v>
      </c>
      <c r="B2207">
        <v>1300</v>
      </c>
      <c r="C2207" t="s">
        <v>402</v>
      </c>
      <c r="D2207" t="s">
        <v>7094</v>
      </c>
      <c r="E2207">
        <v>57</v>
      </c>
      <c r="F2207" t="s">
        <v>25</v>
      </c>
      <c r="G2207" t="s">
        <v>3714</v>
      </c>
      <c r="H2207" t="s">
        <v>3715</v>
      </c>
      <c r="I2207" t="s">
        <v>402</v>
      </c>
      <c r="J2207" t="s">
        <v>25</v>
      </c>
      <c r="L2207" t="b">
        <v>1</v>
      </c>
      <c r="M2207" t="s">
        <v>39</v>
      </c>
      <c r="N2207" t="s">
        <v>8245</v>
      </c>
      <c r="O2207" s="1">
        <v>24108</v>
      </c>
      <c r="P2207" t="s">
        <v>2173</v>
      </c>
      <c r="Q2207" t="s">
        <v>7095</v>
      </c>
      <c r="S2207" s="1">
        <v>45020.209027777775</v>
      </c>
      <c r="V2207">
        <v>1966</v>
      </c>
      <c r="W2207">
        <v>110.05</v>
      </c>
      <c r="X2207">
        <v>1.1000000000000001</v>
      </c>
      <c r="Y2207" s="2">
        <v>2715518274227</v>
      </c>
      <c r="Z2207">
        <v>65.599999999999994</v>
      </c>
      <c r="AA2207">
        <v>102.5</v>
      </c>
      <c r="AB2207">
        <v>24.2</v>
      </c>
      <c r="AC2207">
        <v>60.7</v>
      </c>
      <c r="AD2207">
        <v>67059887</v>
      </c>
    </row>
    <row r="2208" spans="1:30" hidden="1" x14ac:dyDescent="0.45">
      <c r="A2208">
        <v>2133</v>
      </c>
      <c r="B2208">
        <v>1300</v>
      </c>
      <c r="C2208" t="s">
        <v>61</v>
      </c>
      <c r="D2208" t="s">
        <v>7096</v>
      </c>
      <c r="E2208">
        <v>63</v>
      </c>
      <c r="F2208" t="s">
        <v>194</v>
      </c>
      <c r="G2208" t="s">
        <v>1665</v>
      </c>
      <c r="H2208" t="s">
        <v>7097</v>
      </c>
      <c r="I2208" t="s">
        <v>61</v>
      </c>
      <c r="J2208" t="s">
        <v>194</v>
      </c>
      <c r="L2208" t="b">
        <v>1</v>
      </c>
      <c r="M2208" t="s">
        <v>29</v>
      </c>
      <c r="N2208" t="s">
        <v>8245</v>
      </c>
      <c r="O2208" s="1">
        <v>21678</v>
      </c>
      <c r="P2208" t="s">
        <v>7098</v>
      </c>
      <c r="Q2208" t="s">
        <v>7099</v>
      </c>
      <c r="S2208" s="1">
        <v>45020.209027777775</v>
      </c>
      <c r="V2208">
        <v>1959</v>
      </c>
      <c r="W2208">
        <v>112.85</v>
      </c>
      <c r="X2208">
        <v>1.4</v>
      </c>
      <c r="Y2208" s="2">
        <v>3845630030824</v>
      </c>
      <c r="Z2208">
        <v>70.2</v>
      </c>
      <c r="AA2208">
        <v>104</v>
      </c>
      <c r="AB2208">
        <v>11.5</v>
      </c>
      <c r="AC2208">
        <v>48.8</v>
      </c>
      <c r="AD2208">
        <v>83132799</v>
      </c>
    </row>
    <row r="2209" spans="1:30" hidden="1" x14ac:dyDescent="0.45">
      <c r="A2209">
        <v>2133</v>
      </c>
      <c r="B2209">
        <v>1300</v>
      </c>
      <c r="C2209" t="s">
        <v>61</v>
      </c>
      <c r="D2209" t="s">
        <v>7100</v>
      </c>
      <c r="H2209" t="s">
        <v>557</v>
      </c>
      <c r="I2209" t="s">
        <v>61</v>
      </c>
      <c r="J2209" t="s">
        <v>762</v>
      </c>
      <c r="L2209" t="b">
        <v>0</v>
      </c>
      <c r="M2209" t="s">
        <v>258</v>
      </c>
      <c r="N2209" t="s">
        <v>8246</v>
      </c>
      <c r="O2209"/>
      <c r="P2209" t="s">
        <v>4713</v>
      </c>
      <c r="Q2209" t="s">
        <v>7101</v>
      </c>
      <c r="S2209" s="1">
        <v>45020.209027777775</v>
      </c>
      <c r="W2209"/>
      <c r="Y2209"/>
    </row>
    <row r="2210" spans="1:30" hidden="1" x14ac:dyDescent="0.45">
      <c r="A2210">
        <v>2133</v>
      </c>
      <c r="B2210">
        <v>1300</v>
      </c>
      <c r="C2210" t="s">
        <v>203</v>
      </c>
      <c r="D2210" t="s">
        <v>7102</v>
      </c>
      <c r="E2210">
        <v>58</v>
      </c>
      <c r="F2210" t="s">
        <v>205</v>
      </c>
      <c r="G2210" t="s">
        <v>4259</v>
      </c>
      <c r="H2210" t="s">
        <v>2928</v>
      </c>
      <c r="I2210" t="s">
        <v>203</v>
      </c>
      <c r="J2210" t="s">
        <v>1385</v>
      </c>
      <c r="L2210" t="b">
        <v>1</v>
      </c>
      <c r="M2210" t="s">
        <v>611</v>
      </c>
      <c r="N2210" t="s">
        <v>8245</v>
      </c>
      <c r="O2210" s="1">
        <v>23590</v>
      </c>
      <c r="P2210" t="s">
        <v>7103</v>
      </c>
      <c r="Q2210" t="s">
        <v>2173</v>
      </c>
      <c r="S2210" s="1">
        <v>45020.209027777775</v>
      </c>
      <c r="V2210">
        <v>1964</v>
      </c>
      <c r="W2210">
        <v>99.55</v>
      </c>
      <c r="X2210">
        <v>0.4</v>
      </c>
      <c r="Y2210" s="2">
        <v>703082435360</v>
      </c>
      <c r="Z2210">
        <v>59.6</v>
      </c>
      <c r="AA2210">
        <v>105.2</v>
      </c>
      <c r="AB2210">
        <v>10.1</v>
      </c>
      <c r="AC2210">
        <v>28.8</v>
      </c>
      <c r="AD2210">
        <v>8574832</v>
      </c>
    </row>
    <row r="2211" spans="1:30" hidden="1" x14ac:dyDescent="0.45">
      <c r="A2211">
        <v>2133</v>
      </c>
      <c r="B2211">
        <v>1300</v>
      </c>
      <c r="C2211" t="s">
        <v>61</v>
      </c>
      <c r="D2211" t="s">
        <v>7104</v>
      </c>
      <c r="E2211">
        <v>60</v>
      </c>
      <c r="F2211" t="s">
        <v>35</v>
      </c>
      <c r="G2211" t="s">
        <v>3299</v>
      </c>
      <c r="H2211" t="s">
        <v>317</v>
      </c>
      <c r="I2211" t="s">
        <v>61</v>
      </c>
      <c r="J2211" t="s">
        <v>35</v>
      </c>
      <c r="L2211" t="b">
        <v>1</v>
      </c>
      <c r="M2211" t="s">
        <v>258</v>
      </c>
      <c r="N2211" t="s">
        <v>8245</v>
      </c>
      <c r="O2211" s="1">
        <v>23089</v>
      </c>
      <c r="P2211" t="s">
        <v>7105</v>
      </c>
      <c r="Q2211" t="s">
        <v>7106</v>
      </c>
      <c r="S2211" s="1">
        <v>45020.209027777775</v>
      </c>
      <c r="T2211" t="s">
        <v>2260</v>
      </c>
      <c r="U2211" t="s">
        <v>53</v>
      </c>
      <c r="V2211">
        <v>1963</v>
      </c>
      <c r="W2211">
        <v>117.24</v>
      </c>
      <c r="X2211">
        <v>7.5</v>
      </c>
      <c r="Y2211" s="2">
        <v>21427700000000</v>
      </c>
      <c r="Z2211">
        <v>88.2</v>
      </c>
      <c r="AA2211">
        <v>101.8</v>
      </c>
      <c r="AB2211">
        <v>9.6</v>
      </c>
      <c r="AC2211">
        <v>36.6</v>
      </c>
      <c r="AD2211">
        <v>328239523</v>
      </c>
    </row>
    <row r="2212" spans="1:30" hidden="1" x14ac:dyDescent="0.45">
      <c r="A2212">
        <v>2133</v>
      </c>
      <c r="B2212">
        <v>1300</v>
      </c>
      <c r="C2212" t="s">
        <v>61</v>
      </c>
      <c r="D2212" t="s">
        <v>7107</v>
      </c>
      <c r="E2212">
        <v>67</v>
      </c>
      <c r="F2212" t="s">
        <v>35</v>
      </c>
      <c r="G2212" t="s">
        <v>78</v>
      </c>
      <c r="H2212" t="s">
        <v>7108</v>
      </c>
      <c r="I2212" t="s">
        <v>61</v>
      </c>
      <c r="J2212" t="s">
        <v>35</v>
      </c>
      <c r="L2212" t="b">
        <v>1</v>
      </c>
      <c r="M2212" t="s">
        <v>611</v>
      </c>
      <c r="N2212" t="s">
        <v>8245</v>
      </c>
      <c r="O2212" s="1">
        <v>20262</v>
      </c>
      <c r="P2212" t="s">
        <v>7109</v>
      </c>
      <c r="Q2212" t="s">
        <v>7110</v>
      </c>
      <c r="S2212" s="1">
        <v>45020.209027777775</v>
      </c>
      <c r="T2212" t="s">
        <v>78</v>
      </c>
      <c r="U2212" t="s">
        <v>82</v>
      </c>
      <c r="V2212">
        <v>1955</v>
      </c>
      <c r="W2212">
        <v>117.24</v>
      </c>
      <c r="X2212">
        <v>7.5</v>
      </c>
      <c r="Y2212" s="2">
        <v>21427700000000</v>
      </c>
      <c r="Z2212">
        <v>88.2</v>
      </c>
      <c r="AA2212">
        <v>101.8</v>
      </c>
      <c r="AB2212">
        <v>9.6</v>
      </c>
      <c r="AC2212">
        <v>36.6</v>
      </c>
      <c r="AD2212">
        <v>328239523</v>
      </c>
    </row>
    <row r="2213" spans="1:30" hidden="1" x14ac:dyDescent="0.45">
      <c r="A2213">
        <v>2133</v>
      </c>
      <c r="B2213">
        <v>1300</v>
      </c>
      <c r="C2213" t="s">
        <v>126</v>
      </c>
      <c r="D2213" t="s">
        <v>7111</v>
      </c>
      <c r="E2213">
        <v>59</v>
      </c>
      <c r="F2213" t="s">
        <v>2562</v>
      </c>
      <c r="G2213" t="s">
        <v>4843</v>
      </c>
      <c r="H2213" t="s">
        <v>6370</v>
      </c>
      <c r="I2213" t="s">
        <v>126</v>
      </c>
      <c r="J2213" t="s">
        <v>2562</v>
      </c>
      <c r="L2213" t="b">
        <v>1</v>
      </c>
      <c r="M2213" t="s">
        <v>39</v>
      </c>
      <c r="N2213" t="s">
        <v>8245</v>
      </c>
      <c r="O2213" s="1">
        <v>23246</v>
      </c>
      <c r="P2213" t="s">
        <v>4846</v>
      </c>
      <c r="Q2213" t="s">
        <v>7112</v>
      </c>
      <c r="S2213" s="1">
        <v>45020.209027777775</v>
      </c>
      <c r="V2213">
        <v>1963</v>
      </c>
      <c r="W2213">
        <v>163.52000000000001</v>
      </c>
      <c r="X2213">
        <v>2.8</v>
      </c>
      <c r="Y2213" s="2">
        <v>261921244843</v>
      </c>
      <c r="Z2213">
        <v>28.5</v>
      </c>
      <c r="AA2213">
        <v>110.6</v>
      </c>
      <c r="AB2213">
        <v>19.100000000000001</v>
      </c>
      <c r="AC2213">
        <v>37.6</v>
      </c>
      <c r="AD2213">
        <v>96462106</v>
      </c>
    </row>
    <row r="2214" spans="1:30" hidden="1" x14ac:dyDescent="0.45">
      <c r="A2214">
        <v>2133</v>
      </c>
      <c r="B2214">
        <v>1300</v>
      </c>
      <c r="C2214" t="s">
        <v>239</v>
      </c>
      <c r="D2214" t="s">
        <v>7113</v>
      </c>
      <c r="E2214">
        <v>80</v>
      </c>
      <c r="F2214" t="s">
        <v>266</v>
      </c>
      <c r="G2214" t="s">
        <v>267</v>
      </c>
      <c r="H2214" t="s">
        <v>242</v>
      </c>
      <c r="I2214" t="s">
        <v>239</v>
      </c>
      <c r="J2214" t="s">
        <v>266</v>
      </c>
      <c r="L2214" t="b">
        <v>1</v>
      </c>
      <c r="M2214" t="s">
        <v>39</v>
      </c>
      <c r="N2214" t="s">
        <v>8245</v>
      </c>
      <c r="O2214" s="1">
        <v>15617</v>
      </c>
      <c r="P2214" t="s">
        <v>7114</v>
      </c>
      <c r="Q2214" t="s">
        <v>7115</v>
      </c>
      <c r="S2214" s="1">
        <v>45020.209027777775</v>
      </c>
      <c r="V2214">
        <v>1942</v>
      </c>
      <c r="W2214">
        <v>105.48</v>
      </c>
      <c r="X2214">
        <v>0.5</v>
      </c>
      <c r="Y2214" s="2">
        <v>5081769542380</v>
      </c>
      <c r="Z2214">
        <v>63.2</v>
      </c>
      <c r="AA2214">
        <v>98.8</v>
      </c>
      <c r="AB2214">
        <v>11.9</v>
      </c>
      <c r="AC2214">
        <v>46.7</v>
      </c>
      <c r="AD2214">
        <v>126226568</v>
      </c>
    </row>
    <row r="2215" spans="1:30" hidden="1" x14ac:dyDescent="0.45">
      <c r="A2215">
        <v>2133</v>
      </c>
      <c r="B2215">
        <v>1300</v>
      </c>
      <c r="C2215" t="s">
        <v>402</v>
      </c>
      <c r="D2215" t="s">
        <v>7116</v>
      </c>
      <c r="E2215">
        <v>55</v>
      </c>
      <c r="F2215" t="s">
        <v>35</v>
      </c>
      <c r="H2215" t="s">
        <v>1919</v>
      </c>
      <c r="I2215" t="s">
        <v>402</v>
      </c>
      <c r="J2215" t="s">
        <v>35</v>
      </c>
      <c r="L2215" t="b">
        <v>1</v>
      </c>
      <c r="M2215" t="s">
        <v>29</v>
      </c>
      <c r="N2215" t="s">
        <v>8245</v>
      </c>
      <c r="O2215" s="1">
        <v>24931</v>
      </c>
      <c r="P2215" t="s">
        <v>7117</v>
      </c>
      <c r="Q2215" t="s">
        <v>225</v>
      </c>
      <c r="S2215" s="1">
        <v>45020.209027777775</v>
      </c>
      <c r="T2215" t="s">
        <v>245</v>
      </c>
      <c r="U2215" t="s">
        <v>53</v>
      </c>
      <c r="V2215">
        <v>1968</v>
      </c>
      <c r="W2215">
        <v>117.24</v>
      </c>
      <c r="X2215">
        <v>7.5</v>
      </c>
      <c r="Y2215" s="2">
        <v>21427700000000</v>
      </c>
      <c r="Z2215">
        <v>88.2</v>
      </c>
      <c r="AA2215">
        <v>101.8</v>
      </c>
      <c r="AB2215">
        <v>9.6</v>
      </c>
      <c r="AC2215">
        <v>36.6</v>
      </c>
      <c r="AD2215">
        <v>328239523</v>
      </c>
    </row>
    <row r="2216" spans="1:30" hidden="1" x14ac:dyDescent="0.45">
      <c r="A2216">
        <v>2133</v>
      </c>
      <c r="B2216">
        <v>1300</v>
      </c>
      <c r="C2216" t="s">
        <v>61</v>
      </c>
      <c r="D2216" t="s">
        <v>7118</v>
      </c>
      <c r="H2216" t="s">
        <v>557</v>
      </c>
      <c r="I2216" t="s">
        <v>61</v>
      </c>
      <c r="J2216" t="s">
        <v>762</v>
      </c>
      <c r="L2216" t="b">
        <v>0</v>
      </c>
      <c r="M2216" t="s">
        <v>258</v>
      </c>
      <c r="N2216" t="s">
        <v>8245</v>
      </c>
      <c r="O2216"/>
      <c r="P2216" t="s">
        <v>591</v>
      </c>
      <c r="Q2216" t="s">
        <v>7119</v>
      </c>
      <c r="S2216" s="1">
        <v>45020.209027777775</v>
      </c>
      <c r="W2216"/>
      <c r="Y2216"/>
    </row>
    <row r="2217" spans="1:30" hidden="1" x14ac:dyDescent="0.45">
      <c r="A2217">
        <v>2133</v>
      </c>
      <c r="B2217">
        <v>1300</v>
      </c>
      <c r="C2217" t="s">
        <v>296</v>
      </c>
      <c r="D2217" t="s">
        <v>7120</v>
      </c>
      <c r="E2217">
        <v>87</v>
      </c>
      <c r="F2217" t="s">
        <v>35</v>
      </c>
      <c r="G2217" t="s">
        <v>3659</v>
      </c>
      <c r="H2217" t="s">
        <v>7121</v>
      </c>
      <c r="I2217" t="s">
        <v>296</v>
      </c>
      <c r="J2217" t="s">
        <v>35</v>
      </c>
      <c r="L2217" t="b">
        <v>1</v>
      </c>
      <c r="M2217" t="s">
        <v>29</v>
      </c>
      <c r="N2217" t="s">
        <v>8245</v>
      </c>
      <c r="O2217" s="1">
        <v>13014</v>
      </c>
      <c r="P2217" t="s">
        <v>7122</v>
      </c>
      <c r="Q2217" t="s">
        <v>714</v>
      </c>
      <c r="S2217" s="1">
        <v>45020.209027777775</v>
      </c>
      <c r="T2217" t="s">
        <v>222</v>
      </c>
      <c r="U2217" t="s">
        <v>44</v>
      </c>
      <c r="V2217">
        <v>1935</v>
      </c>
      <c r="W2217">
        <v>117.24</v>
      </c>
      <c r="X2217">
        <v>7.5</v>
      </c>
      <c r="Y2217" s="2">
        <v>21427700000000</v>
      </c>
      <c r="Z2217">
        <v>88.2</v>
      </c>
      <c r="AA2217">
        <v>101.8</v>
      </c>
      <c r="AB2217">
        <v>9.6</v>
      </c>
      <c r="AC2217">
        <v>36.6</v>
      </c>
      <c r="AD2217">
        <v>328239523</v>
      </c>
    </row>
    <row r="2218" spans="1:30" hidden="1" x14ac:dyDescent="0.45">
      <c r="A2218">
        <v>2133</v>
      </c>
      <c r="B2218">
        <v>1300</v>
      </c>
      <c r="C2218" t="s">
        <v>23</v>
      </c>
      <c r="D2218" t="s">
        <v>7123</v>
      </c>
      <c r="E2218">
        <v>38</v>
      </c>
      <c r="F2218" t="s">
        <v>128</v>
      </c>
      <c r="G2218" t="s">
        <v>292</v>
      </c>
      <c r="H2218" t="s">
        <v>293</v>
      </c>
      <c r="I2218" t="s">
        <v>23</v>
      </c>
      <c r="J2218" t="s">
        <v>128</v>
      </c>
      <c r="L2218" t="b">
        <v>1</v>
      </c>
      <c r="M2218" t="s">
        <v>39</v>
      </c>
      <c r="N2218" t="s">
        <v>8246</v>
      </c>
      <c r="O2218" s="1">
        <v>31048</v>
      </c>
      <c r="P2218" t="s">
        <v>7124</v>
      </c>
      <c r="Q2218" t="s">
        <v>7125</v>
      </c>
      <c r="S2218" s="1">
        <v>45020.209027777775</v>
      </c>
      <c r="V2218">
        <v>1985</v>
      </c>
      <c r="W2218">
        <v>125.08</v>
      </c>
      <c r="X2218">
        <v>2.9</v>
      </c>
      <c r="Y2218" s="2">
        <v>19910000000000</v>
      </c>
      <c r="Z2218">
        <v>50.6</v>
      </c>
      <c r="AA2218">
        <v>100.2</v>
      </c>
      <c r="AB2218">
        <v>9.4</v>
      </c>
      <c r="AC2218">
        <v>59.2</v>
      </c>
      <c r="AD2218">
        <v>1397715000</v>
      </c>
    </row>
    <row r="2219" spans="1:30" hidden="1" x14ac:dyDescent="0.45">
      <c r="A2219">
        <v>2133</v>
      </c>
      <c r="B2219">
        <v>1300</v>
      </c>
      <c r="C2219" t="s">
        <v>302</v>
      </c>
      <c r="D2219" t="s">
        <v>7126</v>
      </c>
      <c r="E2219">
        <v>67</v>
      </c>
      <c r="F2219" t="s">
        <v>93</v>
      </c>
      <c r="G2219" t="s">
        <v>2223</v>
      </c>
      <c r="H2219" t="s">
        <v>304</v>
      </c>
      <c r="I2219" t="s">
        <v>302</v>
      </c>
      <c r="J2219" t="s">
        <v>93</v>
      </c>
      <c r="L2219" t="b">
        <v>1</v>
      </c>
      <c r="M2219" t="s">
        <v>29</v>
      </c>
      <c r="N2219" t="s">
        <v>8245</v>
      </c>
      <c r="O2219" s="1">
        <v>20348</v>
      </c>
      <c r="P2219" t="s">
        <v>7127</v>
      </c>
      <c r="Q2219" t="s">
        <v>7128</v>
      </c>
      <c r="S2219" s="1">
        <v>45020.209027777775</v>
      </c>
      <c r="V2219">
        <v>1955</v>
      </c>
      <c r="W2219">
        <v>180.44</v>
      </c>
      <c r="X2219">
        <v>7.7</v>
      </c>
      <c r="Y2219" s="2">
        <v>2611000000000</v>
      </c>
      <c r="Z2219">
        <v>28.1</v>
      </c>
      <c r="AA2219">
        <v>113</v>
      </c>
      <c r="AB2219">
        <v>11.2</v>
      </c>
      <c r="AC2219">
        <v>49.7</v>
      </c>
      <c r="AD2219">
        <v>1366417754</v>
      </c>
    </row>
    <row r="2220" spans="1:30" hidden="1" x14ac:dyDescent="0.45">
      <c r="A2220">
        <v>2133</v>
      </c>
      <c r="B2220">
        <v>1300</v>
      </c>
      <c r="C2220" t="s">
        <v>203</v>
      </c>
      <c r="D2220" t="s">
        <v>7129</v>
      </c>
      <c r="E2220">
        <v>72</v>
      </c>
      <c r="F2220" t="s">
        <v>93</v>
      </c>
      <c r="G2220" t="s">
        <v>1015</v>
      </c>
      <c r="H2220" t="s">
        <v>5102</v>
      </c>
      <c r="I2220" t="s">
        <v>203</v>
      </c>
      <c r="J2220" t="s">
        <v>93</v>
      </c>
      <c r="L2220" t="b">
        <v>1</v>
      </c>
      <c r="M2220" t="s">
        <v>39</v>
      </c>
      <c r="N2220" t="s">
        <v>8245</v>
      </c>
      <c r="O2220" s="1">
        <v>18445</v>
      </c>
      <c r="P2220" t="s">
        <v>7130</v>
      </c>
      <c r="Q2220" t="s">
        <v>7131</v>
      </c>
      <c r="S2220" s="1">
        <v>45020.209027777775</v>
      </c>
      <c r="V2220">
        <v>1950</v>
      </c>
      <c r="W2220">
        <v>180.44</v>
      </c>
      <c r="X2220">
        <v>7.7</v>
      </c>
      <c r="Y2220" s="2">
        <v>2611000000000</v>
      </c>
      <c r="Z2220">
        <v>28.1</v>
      </c>
      <c r="AA2220">
        <v>113</v>
      </c>
      <c r="AB2220">
        <v>11.2</v>
      </c>
      <c r="AC2220">
        <v>49.7</v>
      </c>
      <c r="AD2220">
        <v>1366417754</v>
      </c>
    </row>
    <row r="2221" spans="1:30" hidden="1" x14ac:dyDescent="0.45">
      <c r="A2221">
        <v>2133</v>
      </c>
      <c r="B2221">
        <v>1300</v>
      </c>
      <c r="C2221" t="s">
        <v>402</v>
      </c>
      <c r="D2221" t="s">
        <v>7132</v>
      </c>
      <c r="E2221">
        <v>65</v>
      </c>
      <c r="F2221" t="s">
        <v>93</v>
      </c>
      <c r="G2221" t="s">
        <v>2223</v>
      </c>
      <c r="H2221" t="s">
        <v>610</v>
      </c>
      <c r="I2221" t="s">
        <v>402</v>
      </c>
      <c r="J2221" t="s">
        <v>93</v>
      </c>
      <c r="L2221" t="b">
        <v>1</v>
      </c>
      <c r="M2221" t="s">
        <v>39</v>
      </c>
      <c r="N2221" t="s">
        <v>8245</v>
      </c>
      <c r="O2221" s="1">
        <v>21274</v>
      </c>
      <c r="P2221" t="s">
        <v>4862</v>
      </c>
      <c r="Q2221" t="s">
        <v>7133</v>
      </c>
      <c r="S2221" s="1">
        <v>45020.209027777775</v>
      </c>
      <c r="V2221">
        <v>1958</v>
      </c>
      <c r="W2221">
        <v>180.44</v>
      </c>
      <c r="X2221">
        <v>7.7</v>
      </c>
      <c r="Y2221" s="2">
        <v>2611000000000</v>
      </c>
      <c r="Z2221">
        <v>28.1</v>
      </c>
      <c r="AA2221">
        <v>113</v>
      </c>
      <c r="AB2221">
        <v>11.2</v>
      </c>
      <c r="AC2221">
        <v>49.7</v>
      </c>
      <c r="AD2221">
        <v>1366417754</v>
      </c>
    </row>
    <row r="2222" spans="1:30" hidden="1" x14ac:dyDescent="0.45">
      <c r="A2222">
        <v>2133</v>
      </c>
      <c r="B2222">
        <v>1300</v>
      </c>
      <c r="C2222" t="s">
        <v>402</v>
      </c>
      <c r="D2222" t="s">
        <v>7134</v>
      </c>
      <c r="E2222">
        <v>55</v>
      </c>
      <c r="F2222" t="s">
        <v>93</v>
      </c>
      <c r="G2222" t="s">
        <v>2223</v>
      </c>
      <c r="H2222" t="s">
        <v>610</v>
      </c>
      <c r="I2222" t="s">
        <v>402</v>
      </c>
      <c r="J2222" t="s">
        <v>93</v>
      </c>
      <c r="L2222" t="b">
        <v>0</v>
      </c>
      <c r="M2222" t="s">
        <v>611</v>
      </c>
      <c r="N2222" t="s">
        <v>8245</v>
      </c>
      <c r="O2222" s="1">
        <v>24632</v>
      </c>
      <c r="P2222" t="s">
        <v>4862</v>
      </c>
      <c r="Q2222" t="s">
        <v>7135</v>
      </c>
      <c r="S2222" s="1">
        <v>45020.209027777775</v>
      </c>
      <c r="V2222">
        <v>1967</v>
      </c>
      <c r="W2222">
        <v>180.44</v>
      </c>
      <c r="X2222">
        <v>7.7</v>
      </c>
      <c r="Y2222" s="2">
        <v>2611000000000</v>
      </c>
      <c r="Z2222">
        <v>28.1</v>
      </c>
      <c r="AA2222">
        <v>113</v>
      </c>
      <c r="AB2222">
        <v>11.2</v>
      </c>
      <c r="AC2222">
        <v>49.7</v>
      </c>
      <c r="AD2222">
        <v>1366417754</v>
      </c>
    </row>
    <row r="2223" spans="1:30" hidden="1" x14ac:dyDescent="0.45">
      <c r="A2223">
        <v>2133</v>
      </c>
      <c r="B2223">
        <v>1300</v>
      </c>
      <c r="C2223" t="s">
        <v>23</v>
      </c>
      <c r="D2223" t="s">
        <v>7136</v>
      </c>
      <c r="E2223">
        <v>75</v>
      </c>
      <c r="F2223" t="s">
        <v>117</v>
      </c>
      <c r="G2223" t="s">
        <v>3066</v>
      </c>
      <c r="H2223" t="s">
        <v>594</v>
      </c>
      <c r="I2223" t="s">
        <v>23</v>
      </c>
      <c r="J2223" t="s">
        <v>117</v>
      </c>
      <c r="L2223" t="b">
        <v>0</v>
      </c>
      <c r="M2223" t="s">
        <v>39</v>
      </c>
      <c r="N2223" t="s">
        <v>8245</v>
      </c>
      <c r="O2223" s="1">
        <v>17343</v>
      </c>
      <c r="P2223" t="s">
        <v>3067</v>
      </c>
      <c r="Q2223" t="s">
        <v>4214</v>
      </c>
      <c r="S2223" s="1">
        <v>45020.209027777775</v>
      </c>
      <c r="V2223">
        <v>1947</v>
      </c>
      <c r="W2223">
        <v>110.96</v>
      </c>
      <c r="X2223">
        <v>0.7</v>
      </c>
      <c r="Y2223" s="2">
        <v>1394116310769</v>
      </c>
      <c r="Z2223">
        <v>88.9</v>
      </c>
      <c r="AA2223">
        <v>102.7</v>
      </c>
      <c r="AB2223">
        <v>14.2</v>
      </c>
      <c r="AC2223">
        <v>47</v>
      </c>
      <c r="AD2223">
        <v>47076781</v>
      </c>
    </row>
    <row r="2224" spans="1:30" hidden="1" x14ac:dyDescent="0.45">
      <c r="A2224">
        <v>2133</v>
      </c>
      <c r="B2224">
        <v>1300</v>
      </c>
      <c r="C2224" t="s">
        <v>91</v>
      </c>
      <c r="D2224" t="s">
        <v>7137</v>
      </c>
      <c r="E2224">
        <v>49</v>
      </c>
      <c r="F2224" t="s">
        <v>363</v>
      </c>
      <c r="G2224" t="s">
        <v>381</v>
      </c>
      <c r="H2224" t="s">
        <v>1683</v>
      </c>
      <c r="I2224" t="s">
        <v>91</v>
      </c>
      <c r="J2224" t="s">
        <v>363</v>
      </c>
      <c r="L2224" t="b">
        <v>1</v>
      </c>
      <c r="M2224" t="s">
        <v>1332</v>
      </c>
      <c r="N2224" t="s">
        <v>8245</v>
      </c>
      <c r="O2224" s="1">
        <v>26793</v>
      </c>
      <c r="P2224" t="s">
        <v>3162</v>
      </c>
      <c r="Q2224" t="s">
        <v>1466</v>
      </c>
      <c r="S2224" s="1">
        <v>45020.209027777775</v>
      </c>
      <c r="V2224">
        <v>1973</v>
      </c>
      <c r="W2224">
        <v>180.75</v>
      </c>
      <c r="X2224">
        <v>4.5</v>
      </c>
      <c r="Y2224" s="2">
        <v>1699876578871</v>
      </c>
      <c r="Z2224">
        <v>81.900000000000006</v>
      </c>
      <c r="AA2224">
        <v>102.6</v>
      </c>
      <c r="AB2224">
        <v>11.4</v>
      </c>
      <c r="AC2224">
        <v>46.2</v>
      </c>
      <c r="AD2224">
        <v>144373535</v>
      </c>
    </row>
    <row r="2225" spans="1:30" hidden="1" x14ac:dyDescent="0.45">
      <c r="A2225">
        <v>2133</v>
      </c>
      <c r="B2225">
        <v>1300</v>
      </c>
      <c r="C2225" t="s">
        <v>296</v>
      </c>
      <c r="D2225" t="s">
        <v>7138</v>
      </c>
      <c r="E2225">
        <v>60</v>
      </c>
      <c r="F2225" t="s">
        <v>35</v>
      </c>
      <c r="H2225" t="s">
        <v>399</v>
      </c>
      <c r="I2225" t="s">
        <v>296</v>
      </c>
      <c r="J2225" t="s">
        <v>363</v>
      </c>
      <c r="L2225" t="b">
        <v>1</v>
      </c>
      <c r="M2225" t="s">
        <v>258</v>
      </c>
      <c r="N2225" t="s">
        <v>8245</v>
      </c>
      <c r="O2225" s="1">
        <v>22814</v>
      </c>
      <c r="P2225" t="s">
        <v>7139</v>
      </c>
      <c r="Q2225" t="s">
        <v>7140</v>
      </c>
      <c r="S2225" s="1">
        <v>45020.209027777775</v>
      </c>
      <c r="T2225" t="s">
        <v>222</v>
      </c>
      <c r="U2225" t="s">
        <v>44</v>
      </c>
      <c r="V2225">
        <v>1962</v>
      </c>
      <c r="W2225">
        <v>117.24</v>
      </c>
      <c r="X2225">
        <v>7.5</v>
      </c>
      <c r="Y2225" s="2">
        <v>21427700000000</v>
      </c>
      <c r="Z2225">
        <v>88.2</v>
      </c>
      <c r="AA2225">
        <v>101.8</v>
      </c>
      <c r="AB2225">
        <v>9.6</v>
      </c>
      <c r="AC2225">
        <v>36.6</v>
      </c>
      <c r="AD2225">
        <v>328239523</v>
      </c>
    </row>
    <row r="2226" spans="1:30" hidden="1" x14ac:dyDescent="0.45">
      <c r="A2226">
        <v>2133</v>
      </c>
      <c r="B2226">
        <v>1300</v>
      </c>
      <c r="C2226" t="s">
        <v>91</v>
      </c>
      <c r="D2226" t="s">
        <v>7141</v>
      </c>
      <c r="E2226">
        <v>77</v>
      </c>
      <c r="F2226" t="s">
        <v>2037</v>
      </c>
      <c r="G2226" t="s">
        <v>2038</v>
      </c>
      <c r="H2226" t="s">
        <v>91</v>
      </c>
      <c r="I2226" t="s">
        <v>91</v>
      </c>
      <c r="J2226" t="s">
        <v>2037</v>
      </c>
      <c r="L2226" t="b">
        <v>0</v>
      </c>
      <c r="M2226" t="s">
        <v>611</v>
      </c>
      <c r="N2226" t="s">
        <v>8246</v>
      </c>
      <c r="O2226" s="1">
        <v>16655</v>
      </c>
      <c r="P2226" t="s">
        <v>4444</v>
      </c>
      <c r="Q2226" t="s">
        <v>7142</v>
      </c>
      <c r="S2226" s="1">
        <v>45020.209027777775</v>
      </c>
      <c r="V2226">
        <v>1945</v>
      </c>
      <c r="W2226">
        <v>234.44</v>
      </c>
      <c r="X2226">
        <v>15.2</v>
      </c>
      <c r="Y2226" s="2">
        <v>754411708203</v>
      </c>
      <c r="Z2226">
        <v>23.9</v>
      </c>
      <c r="AA2226">
        <v>93.2</v>
      </c>
      <c r="AB2226">
        <v>17.899999999999999</v>
      </c>
      <c r="AC2226">
        <v>42.3</v>
      </c>
      <c r="AD2226">
        <v>83429615</v>
      </c>
    </row>
    <row r="2227" spans="1:30" hidden="1" x14ac:dyDescent="0.45">
      <c r="A2227">
        <v>2133</v>
      </c>
      <c r="B2227">
        <v>1300</v>
      </c>
      <c r="C2227" t="s">
        <v>126</v>
      </c>
      <c r="D2227" t="s">
        <v>7143</v>
      </c>
      <c r="E2227">
        <v>77</v>
      </c>
      <c r="F2227" t="s">
        <v>266</v>
      </c>
      <c r="G2227" t="s">
        <v>267</v>
      </c>
      <c r="H2227" t="s">
        <v>1426</v>
      </c>
      <c r="I2227" t="s">
        <v>126</v>
      </c>
      <c r="J2227" t="s">
        <v>266</v>
      </c>
      <c r="L2227" t="b">
        <v>0</v>
      </c>
      <c r="M2227" t="s">
        <v>29</v>
      </c>
      <c r="N2227" t="s">
        <v>8245</v>
      </c>
      <c r="O2227" s="1">
        <v>16766</v>
      </c>
      <c r="P2227" t="s">
        <v>7144</v>
      </c>
      <c r="Q2227" t="s">
        <v>7145</v>
      </c>
      <c r="S2227" s="1">
        <v>45020.209027777775</v>
      </c>
      <c r="V2227">
        <v>1945</v>
      </c>
      <c r="W2227">
        <v>105.48</v>
      </c>
      <c r="X2227">
        <v>0.5</v>
      </c>
      <c r="Y2227" s="2">
        <v>5081769542380</v>
      </c>
      <c r="Z2227">
        <v>63.2</v>
      </c>
      <c r="AA2227">
        <v>98.8</v>
      </c>
      <c r="AB2227">
        <v>11.9</v>
      </c>
      <c r="AC2227">
        <v>46.7</v>
      </c>
      <c r="AD2227">
        <v>126226568</v>
      </c>
    </row>
    <row r="2228" spans="1:30" hidden="1" x14ac:dyDescent="0.45">
      <c r="A2228">
        <v>2133</v>
      </c>
      <c r="B2228">
        <v>1300</v>
      </c>
      <c r="C2228" t="s">
        <v>239</v>
      </c>
      <c r="D2228" t="s">
        <v>7146</v>
      </c>
      <c r="E2228">
        <v>81</v>
      </c>
      <c r="F2228" t="s">
        <v>266</v>
      </c>
      <c r="G2228" t="s">
        <v>267</v>
      </c>
      <c r="H2228" t="s">
        <v>7147</v>
      </c>
      <c r="I2228" t="s">
        <v>239</v>
      </c>
      <c r="J2228" t="s">
        <v>266</v>
      </c>
      <c r="L2228" t="b">
        <v>1</v>
      </c>
      <c r="M2228" t="s">
        <v>611</v>
      </c>
      <c r="N2228" t="s">
        <v>8245</v>
      </c>
      <c r="O2228" s="1">
        <v>15357</v>
      </c>
      <c r="P2228" t="s">
        <v>7148</v>
      </c>
      <c r="Q2228" t="s">
        <v>7149</v>
      </c>
      <c r="S2228" s="1">
        <v>45020.209027777775</v>
      </c>
      <c r="V2228">
        <v>1942</v>
      </c>
      <c r="W2228">
        <v>105.48</v>
      </c>
      <c r="X2228">
        <v>0.5</v>
      </c>
      <c r="Y2228" s="2">
        <v>5081769542380</v>
      </c>
      <c r="Z2228">
        <v>63.2</v>
      </c>
      <c r="AA2228">
        <v>98.8</v>
      </c>
      <c r="AB2228">
        <v>11.9</v>
      </c>
      <c r="AC2228">
        <v>46.7</v>
      </c>
      <c r="AD2228">
        <v>126226568</v>
      </c>
    </row>
    <row r="2229" spans="1:30" hidden="1" x14ac:dyDescent="0.45">
      <c r="A2229">
        <v>2133</v>
      </c>
      <c r="B2229">
        <v>1300</v>
      </c>
      <c r="C2229" t="s">
        <v>45</v>
      </c>
      <c r="D2229" t="s">
        <v>7150</v>
      </c>
      <c r="E2229">
        <v>66</v>
      </c>
      <c r="F2229" t="s">
        <v>35</v>
      </c>
      <c r="G2229" t="s">
        <v>583</v>
      </c>
      <c r="H2229" t="s">
        <v>856</v>
      </c>
      <c r="I2229" t="s">
        <v>45</v>
      </c>
      <c r="J2229" t="s">
        <v>35</v>
      </c>
      <c r="L2229" t="b">
        <v>1</v>
      </c>
      <c r="M2229" t="s">
        <v>611</v>
      </c>
      <c r="N2229" t="s">
        <v>8245</v>
      </c>
      <c r="O2229" s="1">
        <v>20843</v>
      </c>
      <c r="P2229" t="s">
        <v>7151</v>
      </c>
      <c r="Q2229" t="s">
        <v>401</v>
      </c>
      <c r="S2229" s="1">
        <v>45020.209027777775</v>
      </c>
      <c r="T2229" t="s">
        <v>115</v>
      </c>
      <c r="U2229" t="s">
        <v>53</v>
      </c>
      <c r="V2229">
        <v>1957</v>
      </c>
      <c r="W2229">
        <v>117.24</v>
      </c>
      <c r="X2229">
        <v>7.5</v>
      </c>
      <c r="Y2229" s="2">
        <v>21427700000000</v>
      </c>
      <c r="Z2229">
        <v>88.2</v>
      </c>
      <c r="AA2229">
        <v>101.8</v>
      </c>
      <c r="AB2229">
        <v>9.6</v>
      </c>
      <c r="AC2229">
        <v>36.6</v>
      </c>
      <c r="AD2229">
        <v>328239523</v>
      </c>
    </row>
    <row r="2230" spans="1:30" hidden="1" x14ac:dyDescent="0.45">
      <c r="A2230">
        <v>2133</v>
      </c>
      <c r="B2230">
        <v>1300</v>
      </c>
      <c r="C2230" t="s">
        <v>296</v>
      </c>
      <c r="D2230" t="s">
        <v>7152</v>
      </c>
      <c r="E2230">
        <v>48</v>
      </c>
      <c r="H2230" t="s">
        <v>399</v>
      </c>
      <c r="I2230" t="s">
        <v>296</v>
      </c>
      <c r="J2230" t="s">
        <v>194</v>
      </c>
      <c r="L2230" t="b">
        <v>0</v>
      </c>
      <c r="M2230" t="s">
        <v>29</v>
      </c>
      <c r="N2230" t="s">
        <v>8245</v>
      </c>
      <c r="O2230" s="1">
        <v>27412</v>
      </c>
      <c r="P2230" t="s">
        <v>4299</v>
      </c>
      <c r="Q2230" t="s">
        <v>4701</v>
      </c>
      <c r="S2230" s="1">
        <v>45020.209027777775</v>
      </c>
      <c r="V2230">
        <v>1975</v>
      </c>
      <c r="W2230"/>
      <c r="Y2230"/>
    </row>
    <row r="2231" spans="1:30" hidden="1" x14ac:dyDescent="0.45">
      <c r="A2231">
        <v>2133</v>
      </c>
      <c r="B2231">
        <v>1300</v>
      </c>
      <c r="C2231" t="s">
        <v>402</v>
      </c>
      <c r="D2231" t="s">
        <v>7153</v>
      </c>
      <c r="E2231">
        <v>70</v>
      </c>
      <c r="F2231" t="s">
        <v>93</v>
      </c>
      <c r="G2231" t="s">
        <v>1015</v>
      </c>
      <c r="H2231" t="s">
        <v>402</v>
      </c>
      <c r="I2231" t="s">
        <v>402</v>
      </c>
      <c r="J2231" t="s">
        <v>93</v>
      </c>
      <c r="L2231" t="b">
        <v>1</v>
      </c>
      <c r="M2231" t="s">
        <v>29</v>
      </c>
      <c r="N2231" t="s">
        <v>8245</v>
      </c>
      <c r="O2231" s="1">
        <v>19360</v>
      </c>
      <c r="P2231" t="s">
        <v>7154</v>
      </c>
      <c r="Q2231" t="s">
        <v>7155</v>
      </c>
      <c r="S2231" s="1">
        <v>45020.209027777775</v>
      </c>
      <c r="V2231">
        <v>1953</v>
      </c>
      <c r="W2231">
        <v>180.44</v>
      </c>
      <c r="X2231">
        <v>7.7</v>
      </c>
      <c r="Y2231" s="2">
        <v>2611000000000</v>
      </c>
      <c r="Z2231">
        <v>28.1</v>
      </c>
      <c r="AA2231">
        <v>113</v>
      </c>
      <c r="AB2231">
        <v>11.2</v>
      </c>
      <c r="AC2231">
        <v>49.7</v>
      </c>
      <c r="AD2231">
        <v>1366417754</v>
      </c>
    </row>
    <row r="2232" spans="1:30" hidden="1" x14ac:dyDescent="0.45">
      <c r="A2232">
        <v>2133</v>
      </c>
      <c r="B2232">
        <v>1300</v>
      </c>
      <c r="C2232" t="s">
        <v>91</v>
      </c>
      <c r="D2232" t="s">
        <v>7156</v>
      </c>
      <c r="E2232">
        <v>70</v>
      </c>
      <c r="F2232" t="s">
        <v>363</v>
      </c>
      <c r="G2232" t="s">
        <v>6816</v>
      </c>
      <c r="H2232" t="s">
        <v>6817</v>
      </c>
      <c r="I2232" t="s">
        <v>91</v>
      </c>
      <c r="J2232" t="s">
        <v>363</v>
      </c>
      <c r="L2232" t="b">
        <v>1</v>
      </c>
      <c r="M2232" t="s">
        <v>611</v>
      </c>
      <c r="N2232" t="s">
        <v>8245</v>
      </c>
      <c r="O2232" s="1">
        <v>19310</v>
      </c>
      <c r="P2232" t="s">
        <v>7157</v>
      </c>
      <c r="Q2232" t="s">
        <v>4758</v>
      </c>
      <c r="S2232" s="1">
        <v>45020.209027777775</v>
      </c>
      <c r="V2232">
        <v>1952</v>
      </c>
      <c r="W2232">
        <v>180.75</v>
      </c>
      <c r="X2232">
        <v>4.5</v>
      </c>
      <c r="Y2232" s="2">
        <v>1699876578871</v>
      </c>
      <c r="Z2232">
        <v>81.900000000000006</v>
      </c>
      <c r="AA2232">
        <v>102.6</v>
      </c>
      <c r="AB2232">
        <v>11.4</v>
      </c>
      <c r="AC2232">
        <v>46.2</v>
      </c>
      <c r="AD2232">
        <v>144373535</v>
      </c>
    </row>
    <row r="2233" spans="1:30" hidden="1" x14ac:dyDescent="0.45">
      <c r="A2233">
        <v>2133</v>
      </c>
      <c r="B2233">
        <v>1300</v>
      </c>
      <c r="C2233" t="s">
        <v>61</v>
      </c>
      <c r="D2233" t="s">
        <v>7158</v>
      </c>
      <c r="H2233" t="s">
        <v>557</v>
      </c>
      <c r="I2233" t="s">
        <v>61</v>
      </c>
      <c r="J2233" t="s">
        <v>762</v>
      </c>
      <c r="L2233" t="b">
        <v>0</v>
      </c>
      <c r="M2233" t="s">
        <v>258</v>
      </c>
      <c r="N2233" t="s">
        <v>8246</v>
      </c>
      <c r="O2233"/>
      <c r="P2233" t="s">
        <v>7159</v>
      </c>
      <c r="Q2233" t="s">
        <v>7160</v>
      </c>
      <c r="S2233" s="1">
        <v>45020.209027777775</v>
      </c>
      <c r="W2233"/>
      <c r="Y2233"/>
    </row>
    <row r="2234" spans="1:30" hidden="1" x14ac:dyDescent="0.45">
      <c r="A2234">
        <v>2133</v>
      </c>
      <c r="B2234">
        <v>1300</v>
      </c>
      <c r="C2234" t="s">
        <v>126</v>
      </c>
      <c r="D2234" t="s">
        <v>7161</v>
      </c>
      <c r="E2234">
        <v>50</v>
      </c>
      <c r="F2234" t="s">
        <v>328</v>
      </c>
      <c r="G2234" t="s">
        <v>6434</v>
      </c>
      <c r="H2234" t="s">
        <v>7162</v>
      </c>
      <c r="I2234" t="s">
        <v>126</v>
      </c>
      <c r="J2234" t="s">
        <v>363</v>
      </c>
      <c r="L2234" t="b">
        <v>1</v>
      </c>
      <c r="M2234" t="s">
        <v>258</v>
      </c>
      <c r="N2234" t="s">
        <v>8245</v>
      </c>
      <c r="O2234" s="1">
        <v>26433</v>
      </c>
      <c r="P2234" t="s">
        <v>7163</v>
      </c>
      <c r="Q2234" t="s">
        <v>4104</v>
      </c>
      <c r="S2234" s="1">
        <v>45020.209027777775</v>
      </c>
      <c r="V2234">
        <v>1972</v>
      </c>
      <c r="W2234">
        <v>119.8</v>
      </c>
      <c r="X2234">
        <v>1.6</v>
      </c>
      <c r="Y2234" s="2">
        <v>1392680589329</v>
      </c>
      <c r="Z2234">
        <v>113.1</v>
      </c>
      <c r="AA2234">
        <v>100.3</v>
      </c>
      <c r="AB2234">
        <v>23</v>
      </c>
      <c r="AC2234">
        <v>47.4</v>
      </c>
      <c r="AD2234">
        <v>25766605</v>
      </c>
    </row>
    <row r="2235" spans="1:30" hidden="1" x14ac:dyDescent="0.45">
      <c r="A2235">
        <v>2133</v>
      </c>
      <c r="B2235">
        <v>1300</v>
      </c>
      <c r="C2235" t="s">
        <v>296</v>
      </c>
      <c r="D2235" t="s">
        <v>7164</v>
      </c>
      <c r="E2235">
        <v>56</v>
      </c>
      <c r="F2235" t="s">
        <v>128</v>
      </c>
      <c r="G2235" t="s">
        <v>5126</v>
      </c>
      <c r="H2235" t="s">
        <v>4590</v>
      </c>
      <c r="I2235" t="s">
        <v>296</v>
      </c>
      <c r="J2235" t="s">
        <v>128</v>
      </c>
      <c r="L2235" t="b">
        <v>1</v>
      </c>
      <c r="M2235" t="s">
        <v>39</v>
      </c>
      <c r="N2235" t="s">
        <v>8245</v>
      </c>
      <c r="O2235" s="1">
        <v>24362</v>
      </c>
      <c r="P2235" t="s">
        <v>2351</v>
      </c>
      <c r="Q2235" t="s">
        <v>7165</v>
      </c>
      <c r="S2235" s="1">
        <v>45020.209027777775</v>
      </c>
      <c r="V2235">
        <v>1966</v>
      </c>
      <c r="W2235">
        <v>125.08</v>
      </c>
      <c r="X2235">
        <v>2.9</v>
      </c>
      <c r="Y2235" s="2">
        <v>19910000000000</v>
      </c>
      <c r="Z2235">
        <v>50.6</v>
      </c>
      <c r="AA2235">
        <v>100.2</v>
      </c>
      <c r="AB2235">
        <v>9.4</v>
      </c>
      <c r="AC2235">
        <v>59.2</v>
      </c>
      <c r="AD2235">
        <v>1397715000</v>
      </c>
    </row>
    <row r="2236" spans="1:30" hidden="1" x14ac:dyDescent="0.45">
      <c r="A2236">
        <v>2133</v>
      </c>
      <c r="B2236">
        <v>1300</v>
      </c>
      <c r="C2236" t="s">
        <v>702</v>
      </c>
      <c r="D2236" t="s">
        <v>7166</v>
      </c>
      <c r="E2236">
        <v>54</v>
      </c>
      <c r="F2236" t="s">
        <v>35</v>
      </c>
      <c r="G2236" t="s">
        <v>3668</v>
      </c>
      <c r="H2236" t="s">
        <v>702</v>
      </c>
      <c r="I2236" t="s">
        <v>702</v>
      </c>
      <c r="J2236" t="s">
        <v>35</v>
      </c>
      <c r="L2236" t="b">
        <v>0</v>
      </c>
      <c r="M2236" t="s">
        <v>258</v>
      </c>
      <c r="N2236" t="s">
        <v>8245</v>
      </c>
      <c r="O2236" s="1">
        <v>25175</v>
      </c>
      <c r="P2236" t="s">
        <v>7167</v>
      </c>
      <c r="Q2236" t="s">
        <v>5849</v>
      </c>
      <c r="S2236" s="1">
        <v>45020.209027777775</v>
      </c>
      <c r="T2236" t="s">
        <v>253</v>
      </c>
      <c r="U2236" t="s">
        <v>44</v>
      </c>
      <c r="V2236">
        <v>1968</v>
      </c>
      <c r="W2236">
        <v>117.24</v>
      </c>
      <c r="X2236">
        <v>7.5</v>
      </c>
      <c r="Y2236" s="2">
        <v>21427700000000</v>
      </c>
      <c r="Z2236">
        <v>88.2</v>
      </c>
      <c r="AA2236">
        <v>101.8</v>
      </c>
      <c r="AB2236">
        <v>9.6</v>
      </c>
      <c r="AC2236">
        <v>36.6</v>
      </c>
      <c r="AD2236">
        <v>328239523</v>
      </c>
    </row>
    <row r="2237" spans="1:30" hidden="1" x14ac:dyDescent="0.45">
      <c r="A2237">
        <v>2133</v>
      </c>
      <c r="B2237">
        <v>1300</v>
      </c>
      <c r="C2237" t="s">
        <v>702</v>
      </c>
      <c r="D2237" t="s">
        <v>7168</v>
      </c>
      <c r="E2237">
        <v>59</v>
      </c>
      <c r="F2237" t="s">
        <v>35</v>
      </c>
      <c r="G2237" t="s">
        <v>3668</v>
      </c>
      <c r="H2237" t="s">
        <v>702</v>
      </c>
      <c r="I2237" t="s">
        <v>702</v>
      </c>
      <c r="J2237" t="s">
        <v>35</v>
      </c>
      <c r="L2237" t="b">
        <v>0</v>
      </c>
      <c r="M2237" t="s">
        <v>258</v>
      </c>
      <c r="N2237" t="s">
        <v>8246</v>
      </c>
      <c r="O2237" s="1">
        <v>23462</v>
      </c>
      <c r="P2237" t="s">
        <v>7167</v>
      </c>
      <c r="Q2237" t="s">
        <v>7169</v>
      </c>
      <c r="S2237" s="1">
        <v>45020.209027777775</v>
      </c>
      <c r="T2237" t="s">
        <v>253</v>
      </c>
      <c r="U2237" t="s">
        <v>44</v>
      </c>
      <c r="V2237">
        <v>1964</v>
      </c>
      <c r="W2237">
        <v>117.24</v>
      </c>
      <c r="X2237">
        <v>7.5</v>
      </c>
      <c r="Y2237" s="2">
        <v>21427700000000</v>
      </c>
      <c r="Z2237">
        <v>88.2</v>
      </c>
      <c r="AA2237">
        <v>101.8</v>
      </c>
      <c r="AB2237">
        <v>9.6</v>
      </c>
      <c r="AC2237">
        <v>36.6</v>
      </c>
      <c r="AD2237">
        <v>328239523</v>
      </c>
    </row>
    <row r="2238" spans="1:30" hidden="1" x14ac:dyDescent="0.45">
      <c r="A2238">
        <v>2133</v>
      </c>
      <c r="B2238">
        <v>1300</v>
      </c>
      <c r="C2238" t="s">
        <v>702</v>
      </c>
      <c r="D2238" t="s">
        <v>7170</v>
      </c>
      <c r="E2238">
        <v>63</v>
      </c>
      <c r="F2238" t="s">
        <v>35</v>
      </c>
      <c r="G2238" t="s">
        <v>3668</v>
      </c>
      <c r="H2238" t="s">
        <v>702</v>
      </c>
      <c r="I2238" t="s">
        <v>702</v>
      </c>
      <c r="J2238" t="s">
        <v>35</v>
      </c>
      <c r="L2238" t="b">
        <v>0</v>
      </c>
      <c r="M2238" t="s">
        <v>258</v>
      </c>
      <c r="N2238" t="s">
        <v>8246</v>
      </c>
      <c r="O2238" s="1">
        <v>21759</v>
      </c>
      <c r="P2238" t="s">
        <v>7171</v>
      </c>
      <c r="Q2238" t="s">
        <v>5475</v>
      </c>
      <c r="S2238" s="1">
        <v>45020.209027777775</v>
      </c>
      <c r="T2238" t="s">
        <v>253</v>
      </c>
      <c r="U2238" t="s">
        <v>44</v>
      </c>
      <c r="V2238">
        <v>1959</v>
      </c>
      <c r="W2238">
        <v>117.24</v>
      </c>
      <c r="X2238">
        <v>7.5</v>
      </c>
      <c r="Y2238" s="2">
        <v>21427700000000</v>
      </c>
      <c r="Z2238">
        <v>88.2</v>
      </c>
      <c r="AA2238">
        <v>101.8</v>
      </c>
      <c r="AB2238">
        <v>9.6</v>
      </c>
      <c r="AC2238">
        <v>36.6</v>
      </c>
      <c r="AD2238">
        <v>328239523</v>
      </c>
    </row>
    <row r="2239" spans="1:30" hidden="1" x14ac:dyDescent="0.45">
      <c r="A2239">
        <v>2133</v>
      </c>
      <c r="B2239">
        <v>1300</v>
      </c>
      <c r="C2239" t="s">
        <v>326</v>
      </c>
      <c r="D2239" t="s">
        <v>7172</v>
      </c>
      <c r="E2239">
        <v>64</v>
      </c>
      <c r="F2239" t="s">
        <v>363</v>
      </c>
      <c r="G2239" t="s">
        <v>7173</v>
      </c>
      <c r="H2239" t="s">
        <v>7174</v>
      </c>
      <c r="I2239" t="s">
        <v>326</v>
      </c>
      <c r="J2239" t="s">
        <v>363</v>
      </c>
      <c r="L2239" t="b">
        <v>1</v>
      </c>
      <c r="M2239" t="s">
        <v>1332</v>
      </c>
      <c r="N2239" t="s">
        <v>8245</v>
      </c>
      <c r="O2239" s="1">
        <v>21438</v>
      </c>
      <c r="P2239" t="s">
        <v>7175</v>
      </c>
      <c r="Q2239" t="s">
        <v>7176</v>
      </c>
      <c r="S2239" s="1">
        <v>45020.209027777775</v>
      </c>
      <c r="V2239">
        <v>1958</v>
      </c>
      <c r="W2239">
        <v>180.75</v>
      </c>
      <c r="X2239">
        <v>4.5</v>
      </c>
      <c r="Y2239" s="2">
        <v>1699876578871</v>
      </c>
      <c r="Z2239">
        <v>81.900000000000006</v>
      </c>
      <c r="AA2239">
        <v>102.6</v>
      </c>
      <c r="AB2239">
        <v>11.4</v>
      </c>
      <c r="AC2239">
        <v>46.2</v>
      </c>
      <c r="AD2239">
        <v>144373535</v>
      </c>
    </row>
    <row r="2240" spans="1:30" hidden="1" x14ac:dyDescent="0.45">
      <c r="A2240">
        <v>2133</v>
      </c>
      <c r="B2240">
        <v>1300</v>
      </c>
      <c r="C2240" t="s">
        <v>347</v>
      </c>
      <c r="D2240" t="s">
        <v>7177</v>
      </c>
      <c r="E2240">
        <v>69</v>
      </c>
      <c r="F2240" t="s">
        <v>363</v>
      </c>
      <c r="G2240" t="s">
        <v>6816</v>
      </c>
      <c r="H2240" t="s">
        <v>6817</v>
      </c>
      <c r="I2240" t="s">
        <v>347</v>
      </c>
      <c r="J2240" t="s">
        <v>363</v>
      </c>
      <c r="L2240" t="b">
        <v>1</v>
      </c>
      <c r="M2240" t="s">
        <v>611</v>
      </c>
      <c r="N2240" t="s">
        <v>8245</v>
      </c>
      <c r="O2240" s="1">
        <v>19728</v>
      </c>
      <c r="P2240" t="s">
        <v>7178</v>
      </c>
      <c r="Q2240" t="s">
        <v>7179</v>
      </c>
      <c r="S2240" s="1">
        <v>45020.209027777775</v>
      </c>
      <c r="V2240">
        <v>1954</v>
      </c>
      <c r="W2240">
        <v>180.75</v>
      </c>
      <c r="X2240">
        <v>4.5</v>
      </c>
      <c r="Y2240" s="2">
        <v>1699876578871</v>
      </c>
      <c r="Z2240">
        <v>81.900000000000006</v>
      </c>
      <c r="AA2240">
        <v>102.6</v>
      </c>
      <c r="AB2240">
        <v>11.4</v>
      </c>
      <c r="AC2240">
        <v>46.2</v>
      </c>
      <c r="AD2240">
        <v>144373535</v>
      </c>
    </row>
    <row r="2241" spans="1:30" hidden="1" x14ac:dyDescent="0.45">
      <c r="A2241">
        <v>2133</v>
      </c>
      <c r="B2241">
        <v>1300</v>
      </c>
      <c r="C2241" t="s">
        <v>126</v>
      </c>
      <c r="D2241" t="s">
        <v>7180</v>
      </c>
      <c r="E2241">
        <v>66</v>
      </c>
      <c r="F2241" t="s">
        <v>194</v>
      </c>
      <c r="G2241" t="s">
        <v>7181</v>
      </c>
      <c r="H2241" t="s">
        <v>3565</v>
      </c>
      <c r="I2241" t="s">
        <v>126</v>
      </c>
      <c r="J2241" t="s">
        <v>194</v>
      </c>
      <c r="L2241" t="b">
        <v>1</v>
      </c>
      <c r="M2241" t="s">
        <v>39</v>
      </c>
      <c r="N2241" t="s">
        <v>8245</v>
      </c>
      <c r="O2241" s="1">
        <v>20602</v>
      </c>
      <c r="P2241" t="s">
        <v>7182</v>
      </c>
      <c r="Q2241" t="s">
        <v>7183</v>
      </c>
      <c r="S2241" s="1">
        <v>45020.209027777775</v>
      </c>
      <c r="V2241">
        <v>1956</v>
      </c>
      <c r="W2241">
        <v>112.85</v>
      </c>
      <c r="X2241">
        <v>1.4</v>
      </c>
      <c r="Y2241" s="2">
        <v>3845630030824</v>
      </c>
      <c r="Z2241">
        <v>70.2</v>
      </c>
      <c r="AA2241">
        <v>104</v>
      </c>
      <c r="AB2241">
        <v>11.5</v>
      </c>
      <c r="AC2241">
        <v>48.8</v>
      </c>
      <c r="AD2241">
        <v>83132799</v>
      </c>
    </row>
    <row r="2242" spans="1:30" hidden="1" x14ac:dyDescent="0.45">
      <c r="A2242">
        <v>2133</v>
      </c>
      <c r="B2242">
        <v>1300</v>
      </c>
      <c r="C2242" t="s">
        <v>126</v>
      </c>
      <c r="D2242" t="s">
        <v>7184</v>
      </c>
      <c r="E2242">
        <v>44</v>
      </c>
      <c r="F2242" t="s">
        <v>194</v>
      </c>
      <c r="G2242" t="s">
        <v>7181</v>
      </c>
      <c r="H2242" t="s">
        <v>3565</v>
      </c>
      <c r="I2242" t="s">
        <v>126</v>
      </c>
      <c r="J2242" t="s">
        <v>194</v>
      </c>
      <c r="L2242" t="b">
        <v>0</v>
      </c>
      <c r="M2242" t="s">
        <v>39</v>
      </c>
      <c r="N2242" t="s">
        <v>8245</v>
      </c>
      <c r="O2242" s="1">
        <v>28639</v>
      </c>
      <c r="P2242" t="s">
        <v>7182</v>
      </c>
      <c r="Q2242" t="s">
        <v>619</v>
      </c>
      <c r="S2242" s="1">
        <v>45020.209027777775</v>
      </c>
      <c r="V2242">
        <v>1978</v>
      </c>
      <c r="W2242">
        <v>112.85</v>
      </c>
      <c r="X2242">
        <v>1.4</v>
      </c>
      <c r="Y2242" s="2">
        <v>3845630030824</v>
      </c>
      <c r="Z2242">
        <v>70.2</v>
      </c>
      <c r="AA2242">
        <v>104</v>
      </c>
      <c r="AB2242">
        <v>11.5</v>
      </c>
      <c r="AC2242">
        <v>48.8</v>
      </c>
      <c r="AD2242">
        <v>83132799</v>
      </c>
    </row>
    <row r="2243" spans="1:30" hidden="1" x14ac:dyDescent="0.45">
      <c r="A2243">
        <v>2133</v>
      </c>
      <c r="B2243">
        <v>1300</v>
      </c>
      <c r="C2243" t="s">
        <v>302</v>
      </c>
      <c r="D2243" t="s">
        <v>7185</v>
      </c>
      <c r="E2243">
        <v>77</v>
      </c>
      <c r="F2243" t="s">
        <v>328</v>
      </c>
      <c r="G2243" t="s">
        <v>5267</v>
      </c>
      <c r="H2243" t="s">
        <v>304</v>
      </c>
      <c r="I2243" t="s">
        <v>302</v>
      </c>
      <c r="J2243" t="s">
        <v>328</v>
      </c>
      <c r="L2243" t="b">
        <v>1</v>
      </c>
      <c r="M2243" t="s">
        <v>39</v>
      </c>
      <c r="N2243" t="s">
        <v>8245</v>
      </c>
      <c r="O2243" s="1">
        <v>16814</v>
      </c>
      <c r="P2243" t="s">
        <v>7186</v>
      </c>
      <c r="Q2243" t="s">
        <v>225</v>
      </c>
      <c r="S2243" s="1">
        <v>45020.209027777775</v>
      </c>
      <c r="V2243">
        <v>1946</v>
      </c>
      <c r="W2243">
        <v>119.8</v>
      </c>
      <c r="X2243">
        <v>1.6</v>
      </c>
      <c r="Y2243" s="2">
        <v>1392680589329</v>
      </c>
      <c r="Z2243">
        <v>113.1</v>
      </c>
      <c r="AA2243">
        <v>100.3</v>
      </c>
      <c r="AB2243">
        <v>23</v>
      </c>
      <c r="AC2243">
        <v>47.4</v>
      </c>
      <c r="AD2243">
        <v>25766605</v>
      </c>
    </row>
    <row r="2244" spans="1:30" hidden="1" x14ac:dyDescent="0.45">
      <c r="A2244">
        <v>2133</v>
      </c>
      <c r="B2244">
        <v>1300</v>
      </c>
      <c r="C2244" t="s">
        <v>402</v>
      </c>
      <c r="D2244" t="s">
        <v>7187</v>
      </c>
      <c r="E2244">
        <v>89</v>
      </c>
      <c r="F2244" t="s">
        <v>628</v>
      </c>
      <c r="G2244" t="s">
        <v>629</v>
      </c>
      <c r="H2244" t="s">
        <v>467</v>
      </c>
      <c r="I2244" t="s">
        <v>402</v>
      </c>
      <c r="J2244" t="s">
        <v>628</v>
      </c>
      <c r="L2244" t="b">
        <v>1</v>
      </c>
      <c r="M2244" t="s">
        <v>29</v>
      </c>
      <c r="N2244" t="s">
        <v>8245</v>
      </c>
      <c r="O2244" s="1">
        <v>12501</v>
      </c>
      <c r="P2244" t="s">
        <v>7188</v>
      </c>
      <c r="Q2244" t="s">
        <v>7189</v>
      </c>
      <c r="S2244" s="1">
        <v>45020.209027777775</v>
      </c>
      <c r="V2244">
        <v>1934</v>
      </c>
      <c r="W2244">
        <v>113.27</v>
      </c>
      <c r="X2244">
        <v>0.7</v>
      </c>
      <c r="Y2244" s="2">
        <v>543649976166</v>
      </c>
      <c r="Z2244">
        <v>49.3</v>
      </c>
      <c r="AA2244">
        <v>99.8</v>
      </c>
      <c r="AB2244">
        <v>14.9</v>
      </c>
      <c r="AC2244">
        <v>29.5</v>
      </c>
      <c r="AD2244">
        <v>69625582</v>
      </c>
    </row>
    <row r="2245" spans="1:30" hidden="1" x14ac:dyDescent="0.45">
      <c r="A2245">
        <v>2133</v>
      </c>
      <c r="B2245">
        <v>1300</v>
      </c>
      <c r="C2245" t="s">
        <v>23</v>
      </c>
      <c r="D2245" t="s">
        <v>7190</v>
      </c>
      <c r="E2245">
        <v>63</v>
      </c>
      <c r="F2245" t="s">
        <v>128</v>
      </c>
      <c r="G2245" t="s">
        <v>4471</v>
      </c>
      <c r="H2245" t="s">
        <v>196</v>
      </c>
      <c r="I2245" t="s">
        <v>23</v>
      </c>
      <c r="J2245" t="s">
        <v>128</v>
      </c>
      <c r="L2245" t="b">
        <v>1</v>
      </c>
      <c r="M2245" t="s">
        <v>39</v>
      </c>
      <c r="N2245" t="s">
        <v>8245</v>
      </c>
      <c r="O2245" s="1">
        <v>21916</v>
      </c>
      <c r="P2245" t="s">
        <v>439</v>
      </c>
      <c r="Q2245" t="s">
        <v>7191</v>
      </c>
      <c r="S2245" s="1">
        <v>45020.209027777775</v>
      </c>
      <c r="V2245">
        <v>1960</v>
      </c>
      <c r="W2245">
        <v>125.08</v>
      </c>
      <c r="X2245">
        <v>2.9</v>
      </c>
      <c r="Y2245" s="2">
        <v>19910000000000</v>
      </c>
      <c r="Z2245">
        <v>50.6</v>
      </c>
      <c r="AA2245">
        <v>100.2</v>
      </c>
      <c r="AB2245">
        <v>9.4</v>
      </c>
      <c r="AC2245">
        <v>59.2</v>
      </c>
      <c r="AD2245">
        <v>1397715000</v>
      </c>
    </row>
    <row r="2246" spans="1:30" hidden="1" x14ac:dyDescent="0.45">
      <c r="A2246">
        <v>2133</v>
      </c>
      <c r="B2246">
        <v>1300</v>
      </c>
      <c r="C2246" t="s">
        <v>436</v>
      </c>
      <c r="D2246" t="s">
        <v>7192</v>
      </c>
      <c r="E2246">
        <v>54</v>
      </c>
      <c r="F2246" t="s">
        <v>128</v>
      </c>
      <c r="G2246" t="s">
        <v>292</v>
      </c>
      <c r="H2246" t="s">
        <v>2893</v>
      </c>
      <c r="I2246" t="s">
        <v>436</v>
      </c>
      <c r="J2246" t="s">
        <v>128</v>
      </c>
      <c r="L2246" t="b">
        <v>1</v>
      </c>
      <c r="M2246" t="s">
        <v>39</v>
      </c>
      <c r="N2246" t="s">
        <v>8245</v>
      </c>
      <c r="O2246" s="1">
        <v>25173</v>
      </c>
      <c r="P2246" t="s">
        <v>439</v>
      </c>
      <c r="Q2246" t="s">
        <v>7193</v>
      </c>
      <c r="S2246" s="1">
        <v>45020.209027777775</v>
      </c>
      <c r="V2246">
        <v>1968</v>
      </c>
      <c r="W2246">
        <v>125.08</v>
      </c>
      <c r="X2246">
        <v>2.9</v>
      </c>
      <c r="Y2246" s="2">
        <v>19910000000000</v>
      </c>
      <c r="Z2246">
        <v>50.6</v>
      </c>
      <c r="AA2246">
        <v>100.2</v>
      </c>
      <c r="AB2246">
        <v>9.4</v>
      </c>
      <c r="AC2246">
        <v>59.2</v>
      </c>
      <c r="AD2246">
        <v>1397715000</v>
      </c>
    </row>
    <row r="2247" spans="1:30" hidden="1" x14ac:dyDescent="0.45">
      <c r="A2247">
        <v>2133</v>
      </c>
      <c r="B2247">
        <v>1300</v>
      </c>
      <c r="C2247" t="s">
        <v>296</v>
      </c>
      <c r="D2247" t="s">
        <v>7194</v>
      </c>
      <c r="E2247">
        <v>55</v>
      </c>
      <c r="F2247" t="s">
        <v>128</v>
      </c>
      <c r="G2247" t="s">
        <v>234</v>
      </c>
      <c r="H2247" t="s">
        <v>1394</v>
      </c>
      <c r="I2247" t="s">
        <v>296</v>
      </c>
      <c r="J2247" t="s">
        <v>128</v>
      </c>
      <c r="L2247" t="b">
        <v>1</v>
      </c>
      <c r="M2247" t="s">
        <v>39</v>
      </c>
      <c r="N2247" t="s">
        <v>8245</v>
      </c>
      <c r="O2247" s="1">
        <v>24594</v>
      </c>
      <c r="P2247" t="s">
        <v>439</v>
      </c>
      <c r="Q2247" t="s">
        <v>7195</v>
      </c>
      <c r="S2247" s="1">
        <v>45020.209027777775</v>
      </c>
      <c r="V2247">
        <v>1967</v>
      </c>
      <c r="W2247">
        <v>125.08</v>
      </c>
      <c r="X2247">
        <v>2.9</v>
      </c>
      <c r="Y2247" s="2">
        <v>19910000000000</v>
      </c>
      <c r="Z2247">
        <v>50.6</v>
      </c>
      <c r="AA2247">
        <v>100.2</v>
      </c>
      <c r="AB2247">
        <v>9.4</v>
      </c>
      <c r="AC2247">
        <v>59.2</v>
      </c>
      <c r="AD2247">
        <v>1397715000</v>
      </c>
    </row>
    <row r="2248" spans="1:30" hidden="1" x14ac:dyDescent="0.45">
      <c r="A2248">
        <v>2133</v>
      </c>
      <c r="B2248">
        <v>1300</v>
      </c>
      <c r="C2248" t="s">
        <v>45</v>
      </c>
      <c r="D2248" t="s">
        <v>7196</v>
      </c>
      <c r="E2248">
        <v>47</v>
      </c>
      <c r="F2248" t="s">
        <v>128</v>
      </c>
      <c r="G2248" t="s">
        <v>292</v>
      </c>
      <c r="H2248" t="s">
        <v>856</v>
      </c>
      <c r="I2248" t="s">
        <v>45</v>
      </c>
      <c r="J2248" t="s">
        <v>128</v>
      </c>
      <c r="L2248" t="b">
        <v>1</v>
      </c>
      <c r="M2248" t="s">
        <v>39</v>
      </c>
      <c r="N2248" t="s">
        <v>8245</v>
      </c>
      <c r="O2248" s="1">
        <v>27760</v>
      </c>
      <c r="P2248" t="s">
        <v>440</v>
      </c>
      <c r="Q2248" t="s">
        <v>7197</v>
      </c>
      <c r="S2248" s="1">
        <v>45020.209027777775</v>
      </c>
      <c r="V2248">
        <v>1976</v>
      </c>
      <c r="W2248">
        <v>125.08</v>
      </c>
      <c r="X2248">
        <v>2.9</v>
      </c>
      <c r="Y2248" s="2">
        <v>19910000000000</v>
      </c>
      <c r="Z2248">
        <v>50.6</v>
      </c>
      <c r="AA2248">
        <v>100.2</v>
      </c>
      <c r="AB2248">
        <v>9.4</v>
      </c>
      <c r="AC2248">
        <v>59.2</v>
      </c>
      <c r="AD2248">
        <v>1397715000</v>
      </c>
    </row>
    <row r="2249" spans="1:30" hidden="1" x14ac:dyDescent="0.45">
      <c r="A2249">
        <v>2133</v>
      </c>
      <c r="B2249">
        <v>1300</v>
      </c>
      <c r="C2249" t="s">
        <v>23</v>
      </c>
      <c r="D2249" t="s">
        <v>7198</v>
      </c>
      <c r="E2249">
        <v>83</v>
      </c>
      <c r="F2249" t="s">
        <v>1863</v>
      </c>
      <c r="G2249" t="s">
        <v>1864</v>
      </c>
      <c r="H2249" t="s">
        <v>7199</v>
      </c>
      <c r="I2249" t="s">
        <v>23</v>
      </c>
      <c r="J2249" t="s">
        <v>7200</v>
      </c>
      <c r="L2249" t="b">
        <v>1</v>
      </c>
      <c r="M2249" t="s">
        <v>39</v>
      </c>
      <c r="N2249" t="s">
        <v>8245</v>
      </c>
      <c r="O2249" s="1">
        <v>14611</v>
      </c>
      <c r="P2249" t="s">
        <v>7201</v>
      </c>
      <c r="Q2249" t="s">
        <v>7202</v>
      </c>
      <c r="S2249" s="1">
        <v>45020.209027777775</v>
      </c>
      <c r="V2249">
        <v>1940</v>
      </c>
      <c r="W2249"/>
      <c r="Y2249"/>
    </row>
    <row r="2250" spans="1:30" hidden="1" x14ac:dyDescent="0.45">
      <c r="A2250">
        <v>2133</v>
      </c>
      <c r="B2250">
        <v>1300</v>
      </c>
      <c r="C2250" t="s">
        <v>296</v>
      </c>
      <c r="D2250" t="s">
        <v>7203</v>
      </c>
      <c r="E2250">
        <v>50</v>
      </c>
      <c r="F2250" t="s">
        <v>128</v>
      </c>
      <c r="G2250" t="s">
        <v>777</v>
      </c>
      <c r="H2250" t="s">
        <v>4218</v>
      </c>
      <c r="I2250" t="s">
        <v>296</v>
      </c>
      <c r="J2250" t="s">
        <v>128</v>
      </c>
      <c r="L2250" t="b">
        <v>1</v>
      </c>
      <c r="M2250" t="s">
        <v>285</v>
      </c>
      <c r="N2250" t="s">
        <v>8246</v>
      </c>
      <c r="O2250" s="1">
        <v>26604</v>
      </c>
      <c r="P2250" t="s">
        <v>894</v>
      </c>
      <c r="Q2250" t="s">
        <v>7204</v>
      </c>
      <c r="S2250" s="1">
        <v>45020.209027777775</v>
      </c>
      <c r="V2250">
        <v>1972</v>
      </c>
      <c r="W2250">
        <v>125.08</v>
      </c>
      <c r="X2250">
        <v>2.9</v>
      </c>
      <c r="Y2250" s="2">
        <v>19910000000000</v>
      </c>
      <c r="Z2250">
        <v>50.6</v>
      </c>
      <c r="AA2250">
        <v>100.2</v>
      </c>
      <c r="AB2250">
        <v>9.4</v>
      </c>
      <c r="AC2250">
        <v>59.2</v>
      </c>
      <c r="AD2250">
        <v>1397715000</v>
      </c>
    </row>
    <row r="2251" spans="1:30" hidden="1" x14ac:dyDescent="0.45">
      <c r="A2251">
        <v>2133</v>
      </c>
      <c r="B2251">
        <v>1300</v>
      </c>
      <c r="C2251" t="s">
        <v>91</v>
      </c>
      <c r="D2251" t="s">
        <v>7205</v>
      </c>
      <c r="E2251">
        <v>74</v>
      </c>
      <c r="F2251" t="s">
        <v>128</v>
      </c>
      <c r="G2251" t="s">
        <v>7206</v>
      </c>
      <c r="H2251" t="s">
        <v>5570</v>
      </c>
      <c r="I2251" t="s">
        <v>91</v>
      </c>
      <c r="J2251" t="s">
        <v>128</v>
      </c>
      <c r="L2251" t="b">
        <v>1</v>
      </c>
      <c r="M2251" t="s">
        <v>39</v>
      </c>
      <c r="N2251" t="s">
        <v>8245</v>
      </c>
      <c r="O2251" s="1">
        <v>17651</v>
      </c>
      <c r="P2251" t="s">
        <v>894</v>
      </c>
      <c r="Q2251" t="s">
        <v>7207</v>
      </c>
      <c r="S2251" s="1">
        <v>45020.209027777775</v>
      </c>
      <c r="V2251">
        <v>1948</v>
      </c>
      <c r="W2251">
        <v>125.08</v>
      </c>
      <c r="X2251">
        <v>2.9</v>
      </c>
      <c r="Y2251" s="2">
        <v>19910000000000</v>
      </c>
      <c r="Z2251">
        <v>50.6</v>
      </c>
      <c r="AA2251">
        <v>100.2</v>
      </c>
      <c r="AB2251">
        <v>9.4</v>
      </c>
      <c r="AC2251">
        <v>59.2</v>
      </c>
      <c r="AD2251">
        <v>1397715000</v>
      </c>
    </row>
    <row r="2252" spans="1:30" hidden="1" x14ac:dyDescent="0.45">
      <c r="A2252">
        <v>2133</v>
      </c>
      <c r="B2252">
        <v>1300</v>
      </c>
      <c r="C2252" t="s">
        <v>402</v>
      </c>
      <c r="D2252" t="s">
        <v>7208</v>
      </c>
      <c r="E2252">
        <v>57</v>
      </c>
      <c r="F2252" t="s">
        <v>128</v>
      </c>
      <c r="G2252" t="s">
        <v>234</v>
      </c>
      <c r="H2252" t="s">
        <v>645</v>
      </c>
      <c r="I2252" t="s">
        <v>402</v>
      </c>
      <c r="J2252" t="s">
        <v>128</v>
      </c>
      <c r="L2252" t="b">
        <v>1</v>
      </c>
      <c r="M2252" t="s">
        <v>258</v>
      </c>
      <c r="N2252" t="s">
        <v>8245</v>
      </c>
      <c r="O2252" s="1">
        <v>24108</v>
      </c>
      <c r="P2252" t="s">
        <v>6578</v>
      </c>
      <c r="Q2252" t="s">
        <v>7209</v>
      </c>
      <c r="S2252" s="1">
        <v>45020.209027777775</v>
      </c>
      <c r="V2252">
        <v>1966</v>
      </c>
      <c r="W2252">
        <v>125.08</v>
      </c>
      <c r="X2252">
        <v>2.9</v>
      </c>
      <c r="Y2252" s="2">
        <v>19910000000000</v>
      </c>
      <c r="Z2252">
        <v>50.6</v>
      </c>
      <c r="AA2252">
        <v>100.2</v>
      </c>
      <c r="AB2252">
        <v>9.4</v>
      </c>
      <c r="AC2252">
        <v>59.2</v>
      </c>
      <c r="AD2252">
        <v>1397715000</v>
      </c>
    </row>
    <row r="2253" spans="1:30" hidden="1" x14ac:dyDescent="0.45">
      <c r="A2253">
        <v>2133</v>
      </c>
      <c r="B2253">
        <v>1300</v>
      </c>
      <c r="C2253" t="s">
        <v>45</v>
      </c>
      <c r="D2253" t="s">
        <v>7210</v>
      </c>
      <c r="E2253">
        <v>60</v>
      </c>
      <c r="F2253" t="s">
        <v>128</v>
      </c>
      <c r="G2253" t="s">
        <v>234</v>
      </c>
      <c r="H2253" t="s">
        <v>856</v>
      </c>
      <c r="I2253" t="s">
        <v>45</v>
      </c>
      <c r="J2253" t="s">
        <v>128</v>
      </c>
      <c r="L2253" t="b">
        <v>1</v>
      </c>
      <c r="M2253" t="s">
        <v>39</v>
      </c>
      <c r="N2253" t="s">
        <v>8245</v>
      </c>
      <c r="O2253" s="1">
        <v>23012</v>
      </c>
      <c r="P2253" t="s">
        <v>646</v>
      </c>
      <c r="Q2253" t="s">
        <v>7211</v>
      </c>
      <c r="S2253" s="1">
        <v>45020.209027777775</v>
      </c>
      <c r="V2253">
        <v>1963</v>
      </c>
      <c r="W2253">
        <v>125.08</v>
      </c>
      <c r="X2253">
        <v>2.9</v>
      </c>
      <c r="Y2253" s="2">
        <v>19910000000000</v>
      </c>
      <c r="Z2253">
        <v>50.6</v>
      </c>
      <c r="AA2253">
        <v>100.2</v>
      </c>
      <c r="AB2253">
        <v>9.4</v>
      </c>
      <c r="AC2253">
        <v>59.2</v>
      </c>
      <c r="AD2253">
        <v>1397715000</v>
      </c>
    </row>
    <row r="2254" spans="1:30" hidden="1" x14ac:dyDescent="0.45">
      <c r="A2254">
        <v>2133</v>
      </c>
      <c r="B2254">
        <v>1300</v>
      </c>
      <c r="C2254" t="s">
        <v>45</v>
      </c>
      <c r="D2254" t="s">
        <v>7212</v>
      </c>
      <c r="E2254">
        <v>53</v>
      </c>
      <c r="F2254" t="s">
        <v>128</v>
      </c>
      <c r="G2254" t="s">
        <v>187</v>
      </c>
      <c r="H2254" t="s">
        <v>856</v>
      </c>
      <c r="I2254" t="s">
        <v>45</v>
      </c>
      <c r="J2254" t="s">
        <v>128</v>
      </c>
      <c r="L2254" t="b">
        <v>1</v>
      </c>
      <c r="M2254" t="s">
        <v>29</v>
      </c>
      <c r="N2254" t="s">
        <v>8246</v>
      </c>
      <c r="O2254" s="1">
        <v>25403</v>
      </c>
      <c r="P2254" t="s">
        <v>1990</v>
      </c>
      <c r="Q2254" t="s">
        <v>2183</v>
      </c>
      <c r="S2254" s="1">
        <v>45020.209027777775</v>
      </c>
      <c r="V2254">
        <v>1969</v>
      </c>
      <c r="W2254">
        <v>125.08</v>
      </c>
      <c r="X2254">
        <v>2.9</v>
      </c>
      <c r="Y2254" s="2">
        <v>19910000000000</v>
      </c>
      <c r="Z2254">
        <v>50.6</v>
      </c>
      <c r="AA2254">
        <v>100.2</v>
      </c>
      <c r="AB2254">
        <v>9.4</v>
      </c>
      <c r="AC2254">
        <v>59.2</v>
      </c>
      <c r="AD2254">
        <v>1397715000</v>
      </c>
    </row>
    <row r="2255" spans="1:30" hidden="1" x14ac:dyDescent="0.45">
      <c r="A2255">
        <v>2133</v>
      </c>
      <c r="B2255">
        <v>1300</v>
      </c>
      <c r="C2255" t="s">
        <v>296</v>
      </c>
      <c r="D2255" t="s">
        <v>7213</v>
      </c>
      <c r="E2255">
        <v>54</v>
      </c>
      <c r="F2255" t="s">
        <v>128</v>
      </c>
      <c r="G2255" t="s">
        <v>678</v>
      </c>
      <c r="H2255" t="s">
        <v>1146</v>
      </c>
      <c r="I2255" t="s">
        <v>296</v>
      </c>
      <c r="J2255" t="s">
        <v>128</v>
      </c>
      <c r="L2255" t="b">
        <v>1</v>
      </c>
      <c r="M2255" t="s">
        <v>611</v>
      </c>
      <c r="N2255" t="s">
        <v>8245</v>
      </c>
      <c r="O2255" s="1">
        <v>25294</v>
      </c>
      <c r="P2255" t="s">
        <v>263</v>
      </c>
      <c r="Q2255" t="s">
        <v>7214</v>
      </c>
      <c r="S2255" s="1">
        <v>45020.209027777775</v>
      </c>
      <c r="V2255">
        <v>1969</v>
      </c>
      <c r="W2255">
        <v>125.08</v>
      </c>
      <c r="X2255">
        <v>2.9</v>
      </c>
      <c r="Y2255" s="2">
        <v>19910000000000</v>
      </c>
      <c r="Z2255">
        <v>50.6</v>
      </c>
      <c r="AA2255">
        <v>100.2</v>
      </c>
      <c r="AB2255">
        <v>9.4</v>
      </c>
      <c r="AC2255">
        <v>59.2</v>
      </c>
      <c r="AD2255">
        <v>1397715000</v>
      </c>
    </row>
    <row r="2256" spans="1:30" hidden="1" x14ac:dyDescent="0.45">
      <c r="A2256">
        <v>2133</v>
      </c>
      <c r="B2256">
        <v>1300</v>
      </c>
      <c r="C2256" t="s">
        <v>436</v>
      </c>
      <c r="D2256" t="s">
        <v>7215</v>
      </c>
      <c r="E2256">
        <v>52</v>
      </c>
      <c r="F2256" t="s">
        <v>128</v>
      </c>
      <c r="G2256" t="s">
        <v>187</v>
      </c>
      <c r="H2256" t="s">
        <v>7216</v>
      </c>
      <c r="I2256" t="s">
        <v>436</v>
      </c>
      <c r="J2256" t="s">
        <v>128</v>
      </c>
      <c r="L2256" t="b">
        <v>1</v>
      </c>
      <c r="M2256" t="s">
        <v>611</v>
      </c>
      <c r="N2256" t="s">
        <v>8245</v>
      </c>
      <c r="O2256" s="1">
        <v>25934</v>
      </c>
      <c r="P2256" t="s">
        <v>850</v>
      </c>
      <c r="Q2256" t="s">
        <v>7217</v>
      </c>
      <c r="S2256" s="1">
        <v>45020.209027777775</v>
      </c>
      <c r="V2256">
        <v>1971</v>
      </c>
      <c r="W2256">
        <v>125.08</v>
      </c>
      <c r="X2256">
        <v>2.9</v>
      </c>
      <c r="Y2256" s="2">
        <v>19910000000000</v>
      </c>
      <c r="Z2256">
        <v>50.6</v>
      </c>
      <c r="AA2256">
        <v>100.2</v>
      </c>
      <c r="AB2256">
        <v>9.4</v>
      </c>
      <c r="AC2256">
        <v>59.2</v>
      </c>
      <c r="AD2256">
        <v>1397715000</v>
      </c>
    </row>
    <row r="2257" spans="1:30" hidden="1" x14ac:dyDescent="0.45">
      <c r="A2257">
        <v>2133</v>
      </c>
      <c r="B2257">
        <v>1300</v>
      </c>
      <c r="C2257" t="s">
        <v>436</v>
      </c>
      <c r="D2257" t="s">
        <v>7218</v>
      </c>
      <c r="E2257">
        <v>56</v>
      </c>
      <c r="F2257" t="s">
        <v>228</v>
      </c>
      <c r="G2257" t="s">
        <v>228</v>
      </c>
      <c r="H2257" t="s">
        <v>3015</v>
      </c>
      <c r="I2257" t="s">
        <v>436</v>
      </c>
      <c r="J2257" t="s">
        <v>164</v>
      </c>
      <c r="L2257" t="b">
        <v>1</v>
      </c>
      <c r="M2257" t="s">
        <v>1332</v>
      </c>
      <c r="N2257" t="s">
        <v>8246</v>
      </c>
      <c r="O2257" s="1">
        <v>24473</v>
      </c>
      <c r="P2257" t="s">
        <v>850</v>
      </c>
      <c r="Q2257" t="s">
        <v>7219</v>
      </c>
      <c r="S2257" s="1">
        <v>45020.209027777775</v>
      </c>
      <c r="V2257">
        <v>1967</v>
      </c>
      <c r="W2257"/>
      <c r="Y2257"/>
    </row>
    <row r="2258" spans="1:30" hidden="1" x14ac:dyDescent="0.45">
      <c r="A2258">
        <v>2133</v>
      </c>
      <c r="B2258">
        <v>1300</v>
      </c>
      <c r="C2258" t="s">
        <v>326</v>
      </c>
      <c r="D2258" t="s">
        <v>7220</v>
      </c>
      <c r="E2258">
        <v>49</v>
      </c>
      <c r="F2258" t="s">
        <v>1855</v>
      </c>
      <c r="G2258" t="s">
        <v>5091</v>
      </c>
      <c r="H2258" t="s">
        <v>330</v>
      </c>
      <c r="I2258" t="s">
        <v>326</v>
      </c>
      <c r="J2258" t="s">
        <v>1855</v>
      </c>
      <c r="L2258" t="b">
        <v>1</v>
      </c>
      <c r="M2258" t="s">
        <v>611</v>
      </c>
      <c r="N2258" t="s">
        <v>8245</v>
      </c>
      <c r="O2258" s="1">
        <v>27036</v>
      </c>
      <c r="P2258" t="s">
        <v>7221</v>
      </c>
      <c r="Q2258" t="s">
        <v>7222</v>
      </c>
      <c r="S2258" s="1">
        <v>45020.209027777775</v>
      </c>
      <c r="V2258">
        <v>1974</v>
      </c>
      <c r="W2258">
        <v>281.66000000000003</v>
      </c>
      <c r="X2258">
        <v>7.9</v>
      </c>
      <c r="Y2258" s="2">
        <v>153781069118</v>
      </c>
      <c r="Z2258">
        <v>82.7</v>
      </c>
      <c r="AA2258">
        <v>99</v>
      </c>
      <c r="AB2258">
        <v>20.100000000000001</v>
      </c>
      <c r="AC2258">
        <v>45.2</v>
      </c>
      <c r="AD2258">
        <v>44385155</v>
      </c>
    </row>
    <row r="2259" spans="1:30" hidden="1" x14ac:dyDescent="0.45">
      <c r="A2259">
        <v>2133</v>
      </c>
      <c r="B2259">
        <v>1300</v>
      </c>
      <c r="C2259" t="s">
        <v>296</v>
      </c>
      <c r="D2259" t="s">
        <v>7223</v>
      </c>
      <c r="F2259" t="s">
        <v>128</v>
      </c>
      <c r="G2259" t="s">
        <v>7224</v>
      </c>
      <c r="H2259" t="s">
        <v>7225</v>
      </c>
      <c r="I2259" t="s">
        <v>296</v>
      </c>
      <c r="J2259" t="s">
        <v>128</v>
      </c>
      <c r="L2259" t="b">
        <v>1</v>
      </c>
      <c r="M2259" t="s">
        <v>611</v>
      </c>
      <c r="N2259" t="s">
        <v>8245</v>
      </c>
      <c r="O2259"/>
      <c r="P2259" t="s">
        <v>1428</v>
      </c>
      <c r="Q2259" t="s">
        <v>7226</v>
      </c>
      <c r="S2259" s="1">
        <v>45020.209027777775</v>
      </c>
      <c r="W2259">
        <v>125.08</v>
      </c>
      <c r="X2259">
        <v>2.9</v>
      </c>
      <c r="Y2259" s="2">
        <v>19910000000000</v>
      </c>
      <c r="Z2259">
        <v>50.6</v>
      </c>
      <c r="AA2259">
        <v>100.2</v>
      </c>
      <c r="AB2259">
        <v>9.4</v>
      </c>
      <c r="AC2259">
        <v>59.2</v>
      </c>
      <c r="AD2259">
        <v>1397715000</v>
      </c>
    </row>
    <row r="2260" spans="1:30" hidden="1" x14ac:dyDescent="0.45">
      <c r="A2260">
        <v>2259</v>
      </c>
      <c r="B2260">
        <v>1200</v>
      </c>
      <c r="C2260" t="s">
        <v>61</v>
      </c>
      <c r="D2260" t="s">
        <v>7227</v>
      </c>
      <c r="E2260">
        <v>52</v>
      </c>
      <c r="F2260" t="s">
        <v>93</v>
      </c>
      <c r="G2260" t="s">
        <v>7228</v>
      </c>
      <c r="H2260" t="s">
        <v>557</v>
      </c>
      <c r="I2260" t="s">
        <v>61</v>
      </c>
      <c r="J2260" t="s">
        <v>93</v>
      </c>
      <c r="L2260" t="b">
        <v>1</v>
      </c>
      <c r="M2260" t="s">
        <v>611</v>
      </c>
      <c r="N2260" t="s">
        <v>8245</v>
      </c>
      <c r="O2260" s="1">
        <v>25819</v>
      </c>
      <c r="P2260" t="s">
        <v>6896</v>
      </c>
      <c r="Q2260" t="s">
        <v>7229</v>
      </c>
      <c r="S2260" s="1">
        <v>45020.209027777775</v>
      </c>
      <c r="V2260">
        <v>1970</v>
      </c>
      <c r="W2260">
        <v>180.44</v>
      </c>
      <c r="X2260">
        <v>7.7</v>
      </c>
      <c r="Y2260" s="2">
        <v>2611000000000</v>
      </c>
      <c r="Z2260">
        <v>28.1</v>
      </c>
      <c r="AA2260">
        <v>113</v>
      </c>
      <c r="AB2260">
        <v>11.2</v>
      </c>
      <c r="AC2260">
        <v>49.7</v>
      </c>
      <c r="AD2260">
        <v>1366417754</v>
      </c>
    </row>
    <row r="2261" spans="1:30" hidden="1" x14ac:dyDescent="0.45">
      <c r="A2261">
        <v>2259</v>
      </c>
      <c r="B2261">
        <v>1200</v>
      </c>
      <c r="C2261" t="s">
        <v>61</v>
      </c>
      <c r="D2261" t="s">
        <v>7230</v>
      </c>
      <c r="E2261">
        <v>63</v>
      </c>
      <c r="F2261" t="s">
        <v>5555</v>
      </c>
      <c r="G2261" t="s">
        <v>5556</v>
      </c>
      <c r="H2261" t="s">
        <v>317</v>
      </c>
      <c r="I2261" t="s">
        <v>61</v>
      </c>
      <c r="J2261" t="s">
        <v>5555</v>
      </c>
      <c r="L2261" t="b">
        <v>0</v>
      </c>
      <c r="M2261" t="s">
        <v>611</v>
      </c>
      <c r="N2261" t="s">
        <v>8245</v>
      </c>
      <c r="O2261" s="1">
        <v>21824</v>
      </c>
      <c r="P2261" t="s">
        <v>5558</v>
      </c>
      <c r="Q2261" t="s">
        <v>7231</v>
      </c>
      <c r="S2261" s="1">
        <v>45020.209027777775</v>
      </c>
      <c r="V2261">
        <v>1959</v>
      </c>
      <c r="W2261">
        <v>115.38</v>
      </c>
      <c r="X2261">
        <v>-0.7</v>
      </c>
      <c r="Y2261" s="2">
        <v>183466208791</v>
      </c>
      <c r="Z2261">
        <v>17.899999999999999</v>
      </c>
      <c r="AA2261">
        <v>103.8</v>
      </c>
      <c r="AB2261">
        <v>14.7</v>
      </c>
      <c r="AC2261">
        <v>11.3</v>
      </c>
      <c r="AD2261">
        <v>2832067</v>
      </c>
    </row>
    <row r="2262" spans="1:30" hidden="1" x14ac:dyDescent="0.45">
      <c r="A2262">
        <v>2259</v>
      </c>
      <c r="B2262">
        <v>1200</v>
      </c>
      <c r="C2262" t="s">
        <v>91</v>
      </c>
      <c r="D2262" t="s">
        <v>7232</v>
      </c>
      <c r="E2262">
        <v>70</v>
      </c>
      <c r="F2262" t="s">
        <v>558</v>
      </c>
      <c r="G2262" t="s">
        <v>7233</v>
      </c>
      <c r="H2262" t="s">
        <v>610</v>
      </c>
      <c r="I2262" t="s">
        <v>91</v>
      </c>
      <c r="J2262" t="s">
        <v>558</v>
      </c>
      <c r="L2262" t="b">
        <v>1</v>
      </c>
      <c r="M2262" t="s">
        <v>29</v>
      </c>
      <c r="N2262" t="s">
        <v>8245</v>
      </c>
      <c r="O2262" s="1">
        <v>19360</v>
      </c>
      <c r="P2262" t="s">
        <v>7234</v>
      </c>
      <c r="Q2262" t="s">
        <v>2685</v>
      </c>
      <c r="S2262" s="1">
        <v>45020.209027777775</v>
      </c>
      <c r="V2262">
        <v>1953</v>
      </c>
      <c r="W2262">
        <v>167.4</v>
      </c>
      <c r="X2262">
        <v>3.7</v>
      </c>
      <c r="Y2262" s="2">
        <v>1839758040766</v>
      </c>
      <c r="Z2262">
        <v>51.3</v>
      </c>
      <c r="AA2262">
        <v>115.4</v>
      </c>
      <c r="AB2262">
        <v>14.2</v>
      </c>
      <c r="AC2262">
        <v>65.099999999999994</v>
      </c>
      <c r="AD2262">
        <v>212559417</v>
      </c>
    </row>
    <row r="2263" spans="1:30" hidden="1" x14ac:dyDescent="0.45">
      <c r="A2263">
        <v>2259</v>
      </c>
      <c r="B2263">
        <v>1200</v>
      </c>
      <c r="C2263" t="s">
        <v>326</v>
      </c>
      <c r="D2263" t="s">
        <v>7235</v>
      </c>
      <c r="E2263">
        <v>60</v>
      </c>
      <c r="F2263" t="s">
        <v>205</v>
      </c>
      <c r="G2263" t="s">
        <v>983</v>
      </c>
      <c r="H2263" t="s">
        <v>523</v>
      </c>
      <c r="I2263" t="s">
        <v>326</v>
      </c>
      <c r="J2263" t="s">
        <v>117</v>
      </c>
      <c r="L2263" t="b">
        <v>0</v>
      </c>
      <c r="M2263" t="s">
        <v>611</v>
      </c>
      <c r="N2263" t="s">
        <v>8245</v>
      </c>
      <c r="O2263" s="1">
        <v>22952</v>
      </c>
      <c r="P2263" t="s">
        <v>7236</v>
      </c>
      <c r="Q2263" t="s">
        <v>7237</v>
      </c>
      <c r="S2263" s="1">
        <v>45020.209027777775</v>
      </c>
      <c r="V2263">
        <v>1962</v>
      </c>
      <c r="W2263">
        <v>99.55</v>
      </c>
      <c r="X2263">
        <v>0.4</v>
      </c>
      <c r="Y2263" s="2">
        <v>703082435360</v>
      </c>
      <c r="Z2263">
        <v>59.6</v>
      </c>
      <c r="AA2263">
        <v>105.2</v>
      </c>
      <c r="AB2263">
        <v>10.1</v>
      </c>
      <c r="AC2263">
        <v>28.8</v>
      </c>
      <c r="AD2263">
        <v>8574832</v>
      </c>
    </row>
    <row r="2264" spans="1:30" hidden="1" x14ac:dyDescent="0.45">
      <c r="A2264">
        <v>2259</v>
      </c>
      <c r="B2264">
        <v>1200</v>
      </c>
      <c r="C2264" t="s">
        <v>61</v>
      </c>
      <c r="D2264" t="s">
        <v>7238</v>
      </c>
      <c r="E2264">
        <v>50</v>
      </c>
      <c r="F2264" t="s">
        <v>35</v>
      </c>
      <c r="G2264" t="s">
        <v>7239</v>
      </c>
      <c r="H2264" t="s">
        <v>1839</v>
      </c>
      <c r="I2264" t="s">
        <v>61</v>
      </c>
      <c r="J2264" t="s">
        <v>35</v>
      </c>
      <c r="L2264" t="b">
        <v>1</v>
      </c>
      <c r="M2264" t="s">
        <v>258</v>
      </c>
      <c r="N2264" t="s">
        <v>8245</v>
      </c>
      <c r="O2264" s="1">
        <v>26582</v>
      </c>
      <c r="P2264" t="s">
        <v>7240</v>
      </c>
      <c r="Q2264" t="s">
        <v>81</v>
      </c>
      <c r="S2264" s="1">
        <v>45020.209027777775</v>
      </c>
      <c r="T2264" t="s">
        <v>78</v>
      </c>
      <c r="U2264" t="s">
        <v>82</v>
      </c>
      <c r="V2264">
        <v>1972</v>
      </c>
      <c r="W2264">
        <v>117.24</v>
      </c>
      <c r="X2264">
        <v>7.5</v>
      </c>
      <c r="Y2264" s="2">
        <v>21427700000000</v>
      </c>
      <c r="Z2264">
        <v>88.2</v>
      </c>
      <c r="AA2264">
        <v>101.8</v>
      </c>
      <c r="AB2264">
        <v>9.6</v>
      </c>
      <c r="AC2264">
        <v>36.6</v>
      </c>
      <c r="AD2264">
        <v>328239523</v>
      </c>
    </row>
    <row r="2265" spans="1:30" hidden="1" x14ac:dyDescent="0.45">
      <c r="A2265">
        <v>2259</v>
      </c>
      <c r="B2265">
        <v>1200</v>
      </c>
      <c r="C2265" t="s">
        <v>45</v>
      </c>
      <c r="D2265" t="s">
        <v>7241</v>
      </c>
      <c r="E2265">
        <v>41</v>
      </c>
      <c r="F2265" t="s">
        <v>35</v>
      </c>
      <c r="G2265" t="s">
        <v>1130</v>
      </c>
      <c r="H2265" t="s">
        <v>856</v>
      </c>
      <c r="I2265" t="s">
        <v>45</v>
      </c>
      <c r="J2265" t="s">
        <v>35</v>
      </c>
      <c r="K2265" t="s">
        <v>7242</v>
      </c>
      <c r="L2265" t="b">
        <v>1</v>
      </c>
      <c r="M2265" t="s">
        <v>39</v>
      </c>
      <c r="N2265" t="s">
        <v>8245</v>
      </c>
      <c r="O2265" s="1">
        <v>29698</v>
      </c>
      <c r="P2265" t="s">
        <v>7243</v>
      </c>
      <c r="Q2265" t="s">
        <v>7244</v>
      </c>
      <c r="S2265" s="1">
        <v>45020.209027777775</v>
      </c>
      <c r="T2265" t="s">
        <v>1134</v>
      </c>
      <c r="U2265" t="s">
        <v>44</v>
      </c>
      <c r="V2265">
        <v>1981</v>
      </c>
      <c r="W2265">
        <v>117.24</v>
      </c>
      <c r="X2265">
        <v>7.5</v>
      </c>
      <c r="Y2265" s="2">
        <v>21427700000000</v>
      </c>
      <c r="Z2265">
        <v>88.2</v>
      </c>
      <c r="AA2265">
        <v>101.8</v>
      </c>
      <c r="AB2265">
        <v>9.6</v>
      </c>
      <c r="AC2265">
        <v>36.6</v>
      </c>
      <c r="AD2265">
        <v>328239523</v>
      </c>
    </row>
    <row r="2266" spans="1:30" hidden="1" x14ac:dyDescent="0.45">
      <c r="A2266">
        <v>2259</v>
      </c>
      <c r="B2266">
        <v>1200</v>
      </c>
      <c r="C2266" t="s">
        <v>402</v>
      </c>
      <c r="D2266" t="s">
        <v>7245</v>
      </c>
      <c r="E2266">
        <v>66</v>
      </c>
      <c r="F2266" t="s">
        <v>2037</v>
      </c>
      <c r="G2266" t="s">
        <v>2038</v>
      </c>
      <c r="H2266" t="s">
        <v>467</v>
      </c>
      <c r="I2266" t="s">
        <v>402</v>
      </c>
      <c r="J2266" t="s">
        <v>2037</v>
      </c>
      <c r="L2266" t="b">
        <v>1</v>
      </c>
      <c r="M2266" t="s">
        <v>39</v>
      </c>
      <c r="N2266" t="s">
        <v>8245</v>
      </c>
      <c r="O2266" s="1">
        <v>20663</v>
      </c>
      <c r="P2266" t="s">
        <v>7246</v>
      </c>
      <c r="Q2266" t="s">
        <v>7247</v>
      </c>
      <c r="S2266" s="1">
        <v>45020.209027777775</v>
      </c>
      <c r="V2266">
        <v>1956</v>
      </c>
      <c r="W2266">
        <v>234.44</v>
      </c>
      <c r="X2266">
        <v>15.2</v>
      </c>
      <c r="Y2266" s="2">
        <v>754411708203</v>
      </c>
      <c r="Z2266">
        <v>23.9</v>
      </c>
      <c r="AA2266">
        <v>93.2</v>
      </c>
      <c r="AB2266">
        <v>17.899999999999999</v>
      </c>
      <c r="AC2266">
        <v>42.3</v>
      </c>
      <c r="AD2266">
        <v>83429615</v>
      </c>
    </row>
    <row r="2267" spans="1:30" hidden="1" x14ac:dyDescent="0.45">
      <c r="A2267">
        <v>2259</v>
      </c>
      <c r="B2267">
        <v>1200</v>
      </c>
      <c r="C2267" t="s">
        <v>302</v>
      </c>
      <c r="D2267" t="s">
        <v>7248</v>
      </c>
      <c r="E2267">
        <v>55</v>
      </c>
      <c r="F2267" t="s">
        <v>490</v>
      </c>
      <c r="G2267" t="s">
        <v>790</v>
      </c>
      <c r="H2267" t="s">
        <v>304</v>
      </c>
      <c r="I2267" t="s">
        <v>302</v>
      </c>
      <c r="J2267" t="s">
        <v>490</v>
      </c>
      <c r="L2267" t="b">
        <v>0</v>
      </c>
      <c r="M2267" t="s">
        <v>39</v>
      </c>
      <c r="N2267" t="s">
        <v>8246</v>
      </c>
      <c r="O2267" s="1">
        <v>24626</v>
      </c>
      <c r="P2267" t="s">
        <v>7249</v>
      </c>
      <c r="Q2267" t="s">
        <v>7250</v>
      </c>
      <c r="S2267" s="1">
        <v>45020.209027777775</v>
      </c>
      <c r="V2267">
        <v>1967</v>
      </c>
      <c r="W2267">
        <v>108.15</v>
      </c>
      <c r="X2267">
        <v>0.8</v>
      </c>
      <c r="Y2267" s="2">
        <v>395098666122</v>
      </c>
      <c r="Z2267">
        <v>63.4</v>
      </c>
      <c r="AA2267">
        <v>104.9</v>
      </c>
      <c r="AB2267">
        <v>23.1</v>
      </c>
      <c r="AC2267">
        <v>25.3</v>
      </c>
      <c r="AD2267">
        <v>9053300</v>
      </c>
    </row>
    <row r="2268" spans="1:30" hidden="1" x14ac:dyDescent="0.45">
      <c r="A2268">
        <v>2259</v>
      </c>
      <c r="B2268">
        <v>1200</v>
      </c>
      <c r="C2268" t="s">
        <v>302</v>
      </c>
      <c r="D2268" t="s">
        <v>7251</v>
      </c>
      <c r="E2268">
        <v>57</v>
      </c>
      <c r="F2268" t="s">
        <v>164</v>
      </c>
      <c r="G2268" t="s">
        <v>165</v>
      </c>
      <c r="H2268" t="s">
        <v>304</v>
      </c>
      <c r="I2268" t="s">
        <v>302</v>
      </c>
      <c r="J2268" t="s">
        <v>164</v>
      </c>
      <c r="L2268" t="b">
        <v>0</v>
      </c>
      <c r="M2268" t="s">
        <v>39</v>
      </c>
      <c r="N2268" t="s">
        <v>8246</v>
      </c>
      <c r="O2268" s="1">
        <v>24011</v>
      </c>
      <c r="P2268" t="s">
        <v>7249</v>
      </c>
      <c r="Q2268" t="s">
        <v>7252</v>
      </c>
      <c r="S2268" s="1">
        <v>45020.209027777775</v>
      </c>
      <c r="V2268">
        <v>1965</v>
      </c>
      <c r="W2268">
        <v>116.76</v>
      </c>
      <c r="X2268">
        <v>1.9</v>
      </c>
      <c r="Y2268" s="2">
        <v>1736425629520</v>
      </c>
      <c r="Z2268">
        <v>68.900000000000006</v>
      </c>
      <c r="AA2268">
        <v>100.9</v>
      </c>
      <c r="AB2268">
        <v>12.8</v>
      </c>
      <c r="AC2268">
        <v>24.5</v>
      </c>
      <c r="AD2268">
        <v>36991981</v>
      </c>
    </row>
    <row r="2269" spans="1:30" hidden="1" x14ac:dyDescent="0.45">
      <c r="A2269">
        <v>2259</v>
      </c>
      <c r="B2269">
        <v>1200</v>
      </c>
      <c r="C2269" t="s">
        <v>302</v>
      </c>
      <c r="D2269" t="s">
        <v>7253</v>
      </c>
      <c r="E2269">
        <v>62</v>
      </c>
      <c r="F2269" t="s">
        <v>164</v>
      </c>
      <c r="G2269" t="s">
        <v>1797</v>
      </c>
      <c r="H2269" t="s">
        <v>304</v>
      </c>
      <c r="I2269" t="s">
        <v>302</v>
      </c>
      <c r="J2269" t="s">
        <v>164</v>
      </c>
      <c r="L2269" t="b">
        <v>0</v>
      </c>
      <c r="M2269" t="s">
        <v>39</v>
      </c>
      <c r="N2269" t="s">
        <v>8246</v>
      </c>
      <c r="O2269" s="1">
        <v>22132</v>
      </c>
      <c r="P2269" t="s">
        <v>7249</v>
      </c>
      <c r="Q2269" t="s">
        <v>7254</v>
      </c>
      <c r="S2269" s="1">
        <v>45020.209027777775</v>
      </c>
      <c r="V2269">
        <v>1960</v>
      </c>
      <c r="W2269">
        <v>116.76</v>
      </c>
      <c r="X2269">
        <v>1.9</v>
      </c>
      <c r="Y2269" s="2">
        <v>1736425629520</v>
      </c>
      <c r="Z2269">
        <v>68.900000000000006</v>
      </c>
      <c r="AA2269">
        <v>100.9</v>
      </c>
      <c r="AB2269">
        <v>12.8</v>
      </c>
      <c r="AC2269">
        <v>24.5</v>
      </c>
      <c r="AD2269">
        <v>36991981</v>
      </c>
    </row>
    <row r="2270" spans="1:30" hidden="1" x14ac:dyDescent="0.45">
      <c r="A2270">
        <v>2259</v>
      </c>
      <c r="B2270">
        <v>1200</v>
      </c>
      <c r="C2270" t="s">
        <v>347</v>
      </c>
      <c r="D2270" t="s">
        <v>7255</v>
      </c>
      <c r="E2270">
        <v>59</v>
      </c>
      <c r="F2270" t="s">
        <v>128</v>
      </c>
      <c r="G2270" t="s">
        <v>960</v>
      </c>
      <c r="H2270" t="s">
        <v>7256</v>
      </c>
      <c r="I2270" t="s">
        <v>347</v>
      </c>
      <c r="J2270" t="s">
        <v>128</v>
      </c>
      <c r="L2270" t="b">
        <v>1</v>
      </c>
      <c r="M2270" t="s">
        <v>39</v>
      </c>
      <c r="N2270" t="s">
        <v>8245</v>
      </c>
      <c r="O2270" s="1">
        <v>23377</v>
      </c>
      <c r="P2270" t="s">
        <v>6020</v>
      </c>
      <c r="Q2270" t="s">
        <v>7257</v>
      </c>
      <c r="S2270" s="1">
        <v>45020.209027777775</v>
      </c>
      <c r="V2270">
        <v>1964</v>
      </c>
      <c r="W2270">
        <v>125.08</v>
      </c>
      <c r="X2270">
        <v>2.9</v>
      </c>
      <c r="Y2270" s="2">
        <v>19910000000000</v>
      </c>
      <c r="Z2270">
        <v>50.6</v>
      </c>
      <c r="AA2270">
        <v>100.2</v>
      </c>
      <c r="AB2270">
        <v>9.4</v>
      </c>
      <c r="AC2270">
        <v>59.2</v>
      </c>
      <c r="AD2270">
        <v>1397715000</v>
      </c>
    </row>
    <row r="2271" spans="1:30" hidden="1" x14ac:dyDescent="0.45">
      <c r="A2271">
        <v>2259</v>
      </c>
      <c r="B2271">
        <v>1200</v>
      </c>
      <c r="C2271" t="s">
        <v>61</v>
      </c>
      <c r="D2271" t="s">
        <v>7258</v>
      </c>
      <c r="E2271">
        <v>86</v>
      </c>
      <c r="F2271" t="s">
        <v>35</v>
      </c>
      <c r="G2271" t="s">
        <v>6932</v>
      </c>
      <c r="H2271" t="s">
        <v>1580</v>
      </c>
      <c r="I2271" t="s">
        <v>61</v>
      </c>
      <c r="J2271" t="s">
        <v>35</v>
      </c>
      <c r="L2271" t="b">
        <v>1</v>
      </c>
      <c r="M2271" t="s">
        <v>611</v>
      </c>
      <c r="N2271" t="s">
        <v>8245</v>
      </c>
      <c r="O2271" s="1">
        <v>13516</v>
      </c>
      <c r="P2271" t="s">
        <v>7259</v>
      </c>
      <c r="Q2271" t="s">
        <v>358</v>
      </c>
      <c r="S2271" s="1">
        <v>45020.209027777775</v>
      </c>
      <c r="T2271" t="s">
        <v>820</v>
      </c>
      <c r="U2271" t="s">
        <v>53</v>
      </c>
      <c r="V2271">
        <v>1937</v>
      </c>
      <c r="W2271">
        <v>117.24</v>
      </c>
      <c r="X2271">
        <v>7.5</v>
      </c>
      <c r="Y2271" s="2">
        <v>21427700000000</v>
      </c>
      <c r="Z2271">
        <v>88.2</v>
      </c>
      <c r="AA2271">
        <v>101.8</v>
      </c>
      <c r="AB2271">
        <v>9.6</v>
      </c>
      <c r="AC2271">
        <v>36.6</v>
      </c>
      <c r="AD2271">
        <v>328239523</v>
      </c>
    </row>
    <row r="2272" spans="1:30" hidden="1" x14ac:dyDescent="0.45">
      <c r="A2272">
        <v>2259</v>
      </c>
      <c r="B2272">
        <v>1200</v>
      </c>
      <c r="C2272" t="s">
        <v>402</v>
      </c>
      <c r="D2272" t="s">
        <v>7260</v>
      </c>
      <c r="E2272">
        <v>46</v>
      </c>
      <c r="F2272" t="s">
        <v>194</v>
      </c>
      <c r="G2272" t="s">
        <v>4499</v>
      </c>
      <c r="H2272" t="s">
        <v>4500</v>
      </c>
      <c r="I2272" t="s">
        <v>402</v>
      </c>
      <c r="J2272" t="s">
        <v>194</v>
      </c>
      <c r="L2272" t="b">
        <v>0</v>
      </c>
      <c r="M2272" t="s">
        <v>39</v>
      </c>
      <c r="N2272" t="s">
        <v>8245</v>
      </c>
      <c r="O2272" s="1">
        <v>28126</v>
      </c>
      <c r="P2272" t="s">
        <v>7261</v>
      </c>
      <c r="Q2272" t="s">
        <v>7262</v>
      </c>
      <c r="S2272" s="1">
        <v>45020.209027777775</v>
      </c>
      <c r="V2272">
        <v>1977</v>
      </c>
      <c r="W2272">
        <v>112.85</v>
      </c>
      <c r="X2272">
        <v>1.4</v>
      </c>
      <c r="Y2272" s="2">
        <v>3845630030824</v>
      </c>
      <c r="Z2272">
        <v>70.2</v>
      </c>
      <c r="AA2272">
        <v>104</v>
      </c>
      <c r="AB2272">
        <v>11.5</v>
      </c>
      <c r="AC2272">
        <v>48.8</v>
      </c>
      <c r="AD2272">
        <v>83132799</v>
      </c>
    </row>
    <row r="2273" spans="1:30" hidden="1" x14ac:dyDescent="0.45">
      <c r="A2273">
        <v>2259</v>
      </c>
      <c r="B2273">
        <v>1200</v>
      </c>
      <c r="C2273" t="s">
        <v>402</v>
      </c>
      <c r="D2273" t="s">
        <v>7263</v>
      </c>
      <c r="E2273">
        <v>36</v>
      </c>
      <c r="F2273" t="s">
        <v>194</v>
      </c>
      <c r="G2273" t="s">
        <v>4499</v>
      </c>
      <c r="H2273" t="s">
        <v>4500</v>
      </c>
      <c r="I2273" t="s">
        <v>402</v>
      </c>
      <c r="J2273" t="s">
        <v>194</v>
      </c>
      <c r="L2273" t="b">
        <v>0</v>
      </c>
      <c r="M2273" t="s">
        <v>39</v>
      </c>
      <c r="N2273" t="s">
        <v>8246</v>
      </c>
      <c r="O2273" s="1">
        <v>31778</v>
      </c>
      <c r="P2273" t="s">
        <v>7261</v>
      </c>
      <c r="Q2273" t="s">
        <v>3643</v>
      </c>
      <c r="S2273" s="1">
        <v>45020.209027777775</v>
      </c>
      <c r="V2273">
        <v>1987</v>
      </c>
      <c r="W2273">
        <v>112.85</v>
      </c>
      <c r="X2273">
        <v>1.4</v>
      </c>
      <c r="Y2273" s="2">
        <v>3845630030824</v>
      </c>
      <c r="Z2273">
        <v>70.2</v>
      </c>
      <c r="AA2273">
        <v>104</v>
      </c>
      <c r="AB2273">
        <v>11.5</v>
      </c>
      <c r="AC2273">
        <v>48.8</v>
      </c>
      <c r="AD2273">
        <v>83132799</v>
      </c>
    </row>
    <row r="2274" spans="1:30" hidden="1" x14ac:dyDescent="0.45">
      <c r="A2274">
        <v>2259</v>
      </c>
      <c r="B2274">
        <v>1200</v>
      </c>
      <c r="C2274" t="s">
        <v>402</v>
      </c>
      <c r="D2274" t="s">
        <v>7264</v>
      </c>
      <c r="E2274">
        <v>39</v>
      </c>
      <c r="F2274" t="s">
        <v>194</v>
      </c>
      <c r="G2274" t="s">
        <v>4499</v>
      </c>
      <c r="H2274" t="s">
        <v>4500</v>
      </c>
      <c r="I2274" t="s">
        <v>402</v>
      </c>
      <c r="J2274" t="s">
        <v>194</v>
      </c>
      <c r="L2274" t="b">
        <v>0</v>
      </c>
      <c r="M2274" t="s">
        <v>611</v>
      </c>
      <c r="N2274" t="s">
        <v>8246</v>
      </c>
      <c r="O2274" s="1">
        <v>30682</v>
      </c>
      <c r="P2274" t="s">
        <v>7261</v>
      </c>
      <c r="Q2274" t="s">
        <v>7265</v>
      </c>
      <c r="S2274" s="1">
        <v>45020.209027777775</v>
      </c>
      <c r="V2274">
        <v>1984</v>
      </c>
      <c r="W2274">
        <v>112.85</v>
      </c>
      <c r="X2274">
        <v>1.4</v>
      </c>
      <c r="Y2274" s="2">
        <v>3845630030824</v>
      </c>
      <c r="Z2274">
        <v>70.2</v>
      </c>
      <c r="AA2274">
        <v>104</v>
      </c>
      <c r="AB2274">
        <v>11.5</v>
      </c>
      <c r="AC2274">
        <v>48.8</v>
      </c>
      <c r="AD2274">
        <v>83132799</v>
      </c>
    </row>
    <row r="2275" spans="1:30" hidden="1" x14ac:dyDescent="0.45">
      <c r="A2275">
        <v>2259</v>
      </c>
      <c r="B2275">
        <v>1200</v>
      </c>
      <c r="C2275" t="s">
        <v>302</v>
      </c>
      <c r="D2275" t="s">
        <v>7266</v>
      </c>
      <c r="E2275">
        <v>78</v>
      </c>
      <c r="F2275" t="s">
        <v>762</v>
      </c>
      <c r="G2275" t="s">
        <v>889</v>
      </c>
      <c r="H2275" t="s">
        <v>7267</v>
      </c>
      <c r="I2275" t="s">
        <v>302</v>
      </c>
      <c r="J2275" t="s">
        <v>762</v>
      </c>
      <c r="L2275" t="b">
        <v>1</v>
      </c>
      <c r="M2275" t="s">
        <v>39</v>
      </c>
      <c r="N2275" t="s">
        <v>8245</v>
      </c>
      <c r="O2275" s="1">
        <v>16526</v>
      </c>
      <c r="P2275" t="s">
        <v>7268</v>
      </c>
      <c r="Q2275" t="s">
        <v>2498</v>
      </c>
      <c r="S2275" s="1">
        <v>45020.209027777775</v>
      </c>
      <c r="V2275">
        <v>1945</v>
      </c>
      <c r="W2275">
        <v>121.46</v>
      </c>
      <c r="X2275">
        <v>0.7</v>
      </c>
      <c r="Y2275" s="2">
        <v>364701517788</v>
      </c>
      <c r="Z2275">
        <v>45.1</v>
      </c>
      <c r="AA2275">
        <v>105.3</v>
      </c>
      <c r="AB2275">
        <v>12</v>
      </c>
      <c r="AC2275">
        <v>38.700000000000003</v>
      </c>
      <c r="AD2275">
        <v>32447385</v>
      </c>
    </row>
    <row r="2276" spans="1:30" hidden="1" x14ac:dyDescent="0.45">
      <c r="A2276">
        <v>2259</v>
      </c>
      <c r="B2276">
        <v>1200</v>
      </c>
      <c r="C2276" t="s">
        <v>126</v>
      </c>
      <c r="D2276" t="s">
        <v>7269</v>
      </c>
      <c r="E2276">
        <v>63</v>
      </c>
      <c r="F2276" t="s">
        <v>128</v>
      </c>
      <c r="G2276" t="s">
        <v>1302</v>
      </c>
      <c r="H2276" t="s">
        <v>2210</v>
      </c>
      <c r="I2276" t="s">
        <v>126</v>
      </c>
      <c r="J2276" t="s">
        <v>128</v>
      </c>
      <c r="L2276" t="b">
        <v>1</v>
      </c>
      <c r="M2276" t="s">
        <v>39</v>
      </c>
      <c r="N2276" t="s">
        <v>8245</v>
      </c>
      <c r="O2276" s="1">
        <v>21689</v>
      </c>
      <c r="P2276" t="s">
        <v>679</v>
      </c>
      <c r="Q2276" t="s">
        <v>7270</v>
      </c>
      <c r="S2276" s="1">
        <v>45020.209027777775</v>
      </c>
      <c r="V2276">
        <v>1959</v>
      </c>
      <c r="W2276">
        <v>125.08</v>
      </c>
      <c r="X2276">
        <v>2.9</v>
      </c>
      <c r="Y2276" s="2">
        <v>19910000000000</v>
      </c>
      <c r="Z2276">
        <v>50.6</v>
      </c>
      <c r="AA2276">
        <v>100.2</v>
      </c>
      <c r="AB2276">
        <v>9.4</v>
      </c>
      <c r="AC2276">
        <v>59.2</v>
      </c>
      <c r="AD2276">
        <v>1397715000</v>
      </c>
    </row>
    <row r="2277" spans="1:30" hidden="1" x14ac:dyDescent="0.45">
      <c r="A2277">
        <v>2259</v>
      </c>
      <c r="B2277">
        <v>1200</v>
      </c>
      <c r="C2277" t="s">
        <v>402</v>
      </c>
      <c r="D2277" t="s">
        <v>7271</v>
      </c>
      <c r="E2277">
        <v>54</v>
      </c>
      <c r="F2277" t="s">
        <v>128</v>
      </c>
      <c r="G2277" t="s">
        <v>1302</v>
      </c>
      <c r="H2277" t="s">
        <v>610</v>
      </c>
      <c r="I2277" t="s">
        <v>402</v>
      </c>
      <c r="J2277" t="s">
        <v>128</v>
      </c>
      <c r="L2277" t="b">
        <v>1</v>
      </c>
      <c r="M2277" t="s">
        <v>39</v>
      </c>
      <c r="N2277" t="s">
        <v>8245</v>
      </c>
      <c r="O2277" s="1">
        <v>25173</v>
      </c>
      <c r="P2277" t="s">
        <v>2082</v>
      </c>
      <c r="Q2277" t="s">
        <v>7272</v>
      </c>
      <c r="S2277" s="1">
        <v>45020.209027777775</v>
      </c>
      <c r="V2277">
        <v>1968</v>
      </c>
      <c r="W2277">
        <v>125.08</v>
      </c>
      <c r="X2277">
        <v>2.9</v>
      </c>
      <c r="Y2277" s="2">
        <v>19910000000000</v>
      </c>
      <c r="Z2277">
        <v>50.6</v>
      </c>
      <c r="AA2277">
        <v>100.2</v>
      </c>
      <c r="AB2277">
        <v>9.4</v>
      </c>
      <c r="AC2277">
        <v>59.2</v>
      </c>
      <c r="AD2277">
        <v>1397715000</v>
      </c>
    </row>
    <row r="2278" spans="1:30" hidden="1" x14ac:dyDescent="0.45">
      <c r="A2278">
        <v>2259</v>
      </c>
      <c r="B2278">
        <v>1200</v>
      </c>
      <c r="C2278" t="s">
        <v>23</v>
      </c>
      <c r="D2278" t="s">
        <v>7273</v>
      </c>
      <c r="E2278">
        <v>54</v>
      </c>
      <c r="F2278" t="s">
        <v>928</v>
      </c>
      <c r="G2278" t="s">
        <v>929</v>
      </c>
      <c r="H2278" t="s">
        <v>196</v>
      </c>
      <c r="I2278" t="s">
        <v>23</v>
      </c>
      <c r="J2278" t="s">
        <v>928</v>
      </c>
      <c r="K2278" t="s">
        <v>7274</v>
      </c>
      <c r="L2278" t="b">
        <v>0</v>
      </c>
      <c r="M2278" t="s">
        <v>39</v>
      </c>
      <c r="N2278" t="s">
        <v>8245</v>
      </c>
      <c r="O2278" s="1">
        <v>25100</v>
      </c>
      <c r="P2278" t="s">
        <v>2805</v>
      </c>
      <c r="Q2278" t="s">
        <v>7275</v>
      </c>
      <c r="S2278" s="1">
        <v>45020.209027777775</v>
      </c>
      <c r="V2278">
        <v>1968</v>
      </c>
      <c r="W2278">
        <v>115.16</v>
      </c>
      <c r="X2278">
        <v>0.4</v>
      </c>
      <c r="Y2278" s="2">
        <v>2029000000000</v>
      </c>
      <c r="Z2278">
        <v>94.3</v>
      </c>
      <c r="AA2278">
        <v>98.1</v>
      </c>
      <c r="AB2278">
        <v>15.6</v>
      </c>
      <c r="AC2278">
        <v>33.200000000000003</v>
      </c>
      <c r="AD2278">
        <v>51709098</v>
      </c>
    </row>
    <row r="2279" spans="1:30" hidden="1" x14ac:dyDescent="0.45">
      <c r="A2279">
        <v>2259</v>
      </c>
      <c r="B2279">
        <v>1200</v>
      </c>
      <c r="C2279" t="s">
        <v>436</v>
      </c>
      <c r="D2279" t="s">
        <v>7276</v>
      </c>
      <c r="E2279">
        <v>82</v>
      </c>
      <c r="F2279" t="s">
        <v>35</v>
      </c>
      <c r="G2279" t="s">
        <v>704</v>
      </c>
      <c r="H2279" t="s">
        <v>856</v>
      </c>
      <c r="I2279" t="s">
        <v>436</v>
      </c>
      <c r="J2279" t="s">
        <v>35</v>
      </c>
      <c r="L2279" t="b">
        <v>1</v>
      </c>
      <c r="M2279" t="s">
        <v>39</v>
      </c>
      <c r="N2279" t="s">
        <v>8245</v>
      </c>
      <c r="O2279" s="1">
        <v>14745</v>
      </c>
      <c r="P2279" t="s">
        <v>7277</v>
      </c>
      <c r="Q2279" t="s">
        <v>7278</v>
      </c>
      <c r="S2279" s="1">
        <v>45020.209027777775</v>
      </c>
      <c r="T2279" t="s">
        <v>43</v>
      </c>
      <c r="U2279" t="s">
        <v>44</v>
      </c>
      <c r="V2279">
        <v>1940</v>
      </c>
      <c r="W2279">
        <v>117.24</v>
      </c>
      <c r="X2279">
        <v>7.5</v>
      </c>
      <c r="Y2279" s="2">
        <v>21427700000000</v>
      </c>
      <c r="Z2279">
        <v>88.2</v>
      </c>
      <c r="AA2279">
        <v>101.8</v>
      </c>
      <c r="AB2279">
        <v>9.6</v>
      </c>
      <c r="AC2279">
        <v>36.6</v>
      </c>
      <c r="AD2279">
        <v>328239523</v>
      </c>
    </row>
    <row r="2280" spans="1:30" hidden="1" x14ac:dyDescent="0.45">
      <c r="A2280">
        <v>2259</v>
      </c>
      <c r="B2280">
        <v>1200</v>
      </c>
      <c r="C2280" t="s">
        <v>23</v>
      </c>
      <c r="D2280" t="s">
        <v>7279</v>
      </c>
      <c r="E2280">
        <v>69</v>
      </c>
      <c r="F2280" t="s">
        <v>214</v>
      </c>
      <c r="G2280" t="s">
        <v>7280</v>
      </c>
      <c r="H2280" t="s">
        <v>1273</v>
      </c>
      <c r="I2280" t="s">
        <v>23</v>
      </c>
      <c r="J2280" t="s">
        <v>214</v>
      </c>
      <c r="L2280" t="b">
        <v>0</v>
      </c>
      <c r="M2280" t="s">
        <v>39</v>
      </c>
      <c r="N2280" t="s">
        <v>8245</v>
      </c>
      <c r="O2280" s="1">
        <v>19723</v>
      </c>
      <c r="P2280" t="s">
        <v>7281</v>
      </c>
      <c r="Q2280" t="s">
        <v>7282</v>
      </c>
      <c r="S2280" s="1">
        <v>45020.209027777775</v>
      </c>
      <c r="V2280">
        <v>1953</v>
      </c>
      <c r="W2280">
        <v>110.62</v>
      </c>
      <c r="X2280">
        <v>0.6</v>
      </c>
      <c r="Y2280" s="2">
        <v>2001244392042</v>
      </c>
      <c r="Z2280">
        <v>61.9</v>
      </c>
      <c r="AA2280">
        <v>101.9</v>
      </c>
      <c r="AB2280">
        <v>24.3</v>
      </c>
      <c r="AC2280">
        <v>59.1</v>
      </c>
      <c r="AD2280">
        <v>60297396</v>
      </c>
    </row>
    <row r="2281" spans="1:30" hidden="1" x14ac:dyDescent="0.45">
      <c r="A2281">
        <v>2259</v>
      </c>
      <c r="B2281">
        <v>1200</v>
      </c>
      <c r="C2281" t="s">
        <v>296</v>
      </c>
      <c r="D2281" t="s">
        <v>7283</v>
      </c>
      <c r="E2281">
        <v>71</v>
      </c>
      <c r="F2281" t="s">
        <v>93</v>
      </c>
      <c r="G2281" t="s">
        <v>7284</v>
      </c>
      <c r="H2281" t="s">
        <v>7285</v>
      </c>
      <c r="I2281" t="s">
        <v>296</v>
      </c>
      <c r="J2281" t="s">
        <v>93</v>
      </c>
      <c r="L2281" t="b">
        <v>1</v>
      </c>
      <c r="M2281" t="s">
        <v>258</v>
      </c>
      <c r="N2281" t="s">
        <v>8245</v>
      </c>
      <c r="O2281" s="1">
        <v>18889</v>
      </c>
      <c r="P2281" t="s">
        <v>6332</v>
      </c>
      <c r="Q2281" t="s">
        <v>1473</v>
      </c>
      <c r="S2281" s="1">
        <v>45020.209027777775</v>
      </c>
      <c r="V2281">
        <v>1951</v>
      </c>
      <c r="W2281">
        <v>180.44</v>
      </c>
      <c r="X2281">
        <v>7.7</v>
      </c>
      <c r="Y2281" s="2">
        <v>2611000000000</v>
      </c>
      <c r="Z2281">
        <v>28.1</v>
      </c>
      <c r="AA2281">
        <v>113</v>
      </c>
      <c r="AB2281">
        <v>11.2</v>
      </c>
      <c r="AC2281">
        <v>49.7</v>
      </c>
      <c r="AD2281">
        <v>1366417754</v>
      </c>
    </row>
    <row r="2282" spans="1:30" hidden="1" x14ac:dyDescent="0.45">
      <c r="A2282">
        <v>2259</v>
      </c>
      <c r="B2282">
        <v>1200</v>
      </c>
      <c r="C2282" t="s">
        <v>76</v>
      </c>
      <c r="D2282" t="s">
        <v>7286</v>
      </c>
      <c r="E2282">
        <v>71</v>
      </c>
      <c r="F2282" t="s">
        <v>272</v>
      </c>
      <c r="G2282" t="s">
        <v>273</v>
      </c>
      <c r="H2282" t="s">
        <v>2645</v>
      </c>
      <c r="I2282" t="s">
        <v>76</v>
      </c>
      <c r="J2282" t="s">
        <v>272</v>
      </c>
      <c r="L2282" t="b">
        <v>1</v>
      </c>
      <c r="M2282" t="s">
        <v>39</v>
      </c>
      <c r="N2282" t="s">
        <v>8245</v>
      </c>
      <c r="O2282" s="1">
        <v>18970</v>
      </c>
      <c r="P2282" t="s">
        <v>4779</v>
      </c>
      <c r="Q2282" t="s">
        <v>1068</v>
      </c>
      <c r="S2282" s="1">
        <v>45020.209027777775</v>
      </c>
      <c r="V2282">
        <v>1951</v>
      </c>
      <c r="W2282">
        <v>119.62</v>
      </c>
      <c r="X2282">
        <v>1.7</v>
      </c>
      <c r="Y2282" s="2">
        <v>2827113184696</v>
      </c>
      <c r="Z2282">
        <v>60</v>
      </c>
      <c r="AA2282">
        <v>101.2</v>
      </c>
      <c r="AB2282">
        <v>25.5</v>
      </c>
      <c r="AC2282">
        <v>30.6</v>
      </c>
      <c r="AD2282">
        <v>66834405</v>
      </c>
    </row>
    <row r="2283" spans="1:30" hidden="1" x14ac:dyDescent="0.45">
      <c r="A2283">
        <v>2259</v>
      </c>
      <c r="B2283">
        <v>1200</v>
      </c>
      <c r="C2283" t="s">
        <v>23</v>
      </c>
      <c r="D2283" t="s">
        <v>7287</v>
      </c>
      <c r="E2283">
        <v>52</v>
      </c>
      <c r="F2283" t="s">
        <v>128</v>
      </c>
      <c r="G2283" t="s">
        <v>1227</v>
      </c>
      <c r="H2283" t="s">
        <v>7288</v>
      </c>
      <c r="I2283" t="s">
        <v>23</v>
      </c>
      <c r="J2283" t="s">
        <v>128</v>
      </c>
      <c r="L2283" t="b">
        <v>0</v>
      </c>
      <c r="M2283" t="s">
        <v>39</v>
      </c>
      <c r="N2283" t="s">
        <v>8245</v>
      </c>
      <c r="O2283" s="1">
        <v>25873</v>
      </c>
      <c r="P2283" t="s">
        <v>337</v>
      </c>
      <c r="Q2283" t="s">
        <v>7289</v>
      </c>
      <c r="S2283" s="1">
        <v>45020.209027777775</v>
      </c>
      <c r="V2283">
        <v>1970</v>
      </c>
      <c r="W2283">
        <v>125.08</v>
      </c>
      <c r="X2283">
        <v>2.9</v>
      </c>
      <c r="Y2283" s="2">
        <v>19910000000000</v>
      </c>
      <c r="Z2283">
        <v>50.6</v>
      </c>
      <c r="AA2283">
        <v>100.2</v>
      </c>
      <c r="AB2283">
        <v>9.4</v>
      </c>
      <c r="AC2283">
        <v>59.2</v>
      </c>
      <c r="AD2283">
        <v>1397715000</v>
      </c>
    </row>
    <row r="2284" spans="1:30" hidden="1" x14ac:dyDescent="0.45">
      <c r="A2284">
        <v>2259</v>
      </c>
      <c r="B2284">
        <v>1200</v>
      </c>
      <c r="C2284" t="s">
        <v>23</v>
      </c>
      <c r="D2284" t="s">
        <v>7290</v>
      </c>
      <c r="E2284">
        <v>85</v>
      </c>
      <c r="F2284" t="s">
        <v>2037</v>
      </c>
      <c r="G2284" t="s">
        <v>2038</v>
      </c>
      <c r="H2284" t="s">
        <v>268</v>
      </c>
      <c r="I2284" t="s">
        <v>23</v>
      </c>
      <c r="J2284" t="s">
        <v>2037</v>
      </c>
      <c r="L2284" t="b">
        <v>1</v>
      </c>
      <c r="M2284" t="s">
        <v>29</v>
      </c>
      <c r="N2284" t="s">
        <v>8245</v>
      </c>
      <c r="O2284" s="1">
        <v>13955</v>
      </c>
      <c r="P2284" t="s">
        <v>7291</v>
      </c>
      <c r="Q2284" t="s">
        <v>7292</v>
      </c>
      <c r="S2284" s="1">
        <v>45020.209027777775</v>
      </c>
      <c r="V2284">
        <v>1938</v>
      </c>
      <c r="W2284">
        <v>234.44</v>
      </c>
      <c r="X2284">
        <v>15.2</v>
      </c>
      <c r="Y2284" s="2">
        <v>754411708203</v>
      </c>
      <c r="Z2284">
        <v>23.9</v>
      </c>
      <c r="AA2284">
        <v>93.2</v>
      </c>
      <c r="AB2284">
        <v>17.899999999999999</v>
      </c>
      <c r="AC2284">
        <v>42.3</v>
      </c>
      <c r="AD2284">
        <v>83429615</v>
      </c>
    </row>
    <row r="2285" spans="1:30" hidden="1" x14ac:dyDescent="0.45">
      <c r="A2285">
        <v>2259</v>
      </c>
      <c r="B2285">
        <v>1200</v>
      </c>
      <c r="C2285" t="s">
        <v>76</v>
      </c>
      <c r="D2285" t="s">
        <v>7293</v>
      </c>
      <c r="E2285">
        <v>60</v>
      </c>
      <c r="F2285" t="s">
        <v>194</v>
      </c>
      <c r="G2285" t="s">
        <v>7294</v>
      </c>
      <c r="H2285" t="s">
        <v>166</v>
      </c>
      <c r="I2285" t="s">
        <v>76</v>
      </c>
      <c r="J2285" t="s">
        <v>194</v>
      </c>
      <c r="L2285" t="b">
        <v>0</v>
      </c>
      <c r="M2285" t="s">
        <v>39</v>
      </c>
      <c r="N2285" t="s">
        <v>8245</v>
      </c>
      <c r="O2285" s="1">
        <v>23026</v>
      </c>
      <c r="P2285" t="s">
        <v>7295</v>
      </c>
      <c r="Q2285" t="s">
        <v>7296</v>
      </c>
      <c r="S2285" s="1">
        <v>45020.209027777775</v>
      </c>
      <c r="V2285">
        <v>1963</v>
      </c>
      <c r="W2285">
        <v>112.85</v>
      </c>
      <c r="X2285">
        <v>1.4</v>
      </c>
      <c r="Y2285" s="2">
        <v>3845630030824</v>
      </c>
      <c r="Z2285">
        <v>70.2</v>
      </c>
      <c r="AA2285">
        <v>104</v>
      </c>
      <c r="AB2285">
        <v>11.5</v>
      </c>
      <c r="AC2285">
        <v>48.8</v>
      </c>
      <c r="AD2285">
        <v>83132799</v>
      </c>
    </row>
    <row r="2286" spans="1:30" hidden="1" x14ac:dyDescent="0.45">
      <c r="A2286">
        <v>2259</v>
      </c>
      <c r="B2286">
        <v>1200</v>
      </c>
      <c r="C2286" t="s">
        <v>296</v>
      </c>
      <c r="D2286" t="s">
        <v>7297</v>
      </c>
      <c r="E2286">
        <v>84</v>
      </c>
      <c r="F2286" t="s">
        <v>35</v>
      </c>
      <c r="G2286" t="s">
        <v>816</v>
      </c>
      <c r="H2286" t="s">
        <v>956</v>
      </c>
      <c r="I2286" t="s">
        <v>296</v>
      </c>
      <c r="J2286" t="s">
        <v>35</v>
      </c>
      <c r="L2286" t="b">
        <v>1</v>
      </c>
      <c r="M2286" t="s">
        <v>258</v>
      </c>
      <c r="N2286" t="s">
        <v>8245</v>
      </c>
      <c r="O2286" s="1">
        <v>14246</v>
      </c>
      <c r="P2286" t="s">
        <v>7298</v>
      </c>
      <c r="Q2286" t="s">
        <v>3581</v>
      </c>
      <c r="S2286" s="1">
        <v>45020.209027777775</v>
      </c>
      <c r="T2286" t="s">
        <v>820</v>
      </c>
      <c r="U2286" t="s">
        <v>53</v>
      </c>
      <c r="V2286">
        <v>1939</v>
      </c>
      <c r="W2286">
        <v>117.24</v>
      </c>
      <c r="X2286">
        <v>7.5</v>
      </c>
      <c r="Y2286" s="2">
        <v>21427700000000</v>
      </c>
      <c r="Z2286">
        <v>88.2</v>
      </c>
      <c r="AA2286">
        <v>101.8</v>
      </c>
      <c r="AB2286">
        <v>9.6</v>
      </c>
      <c r="AC2286">
        <v>36.6</v>
      </c>
      <c r="AD2286">
        <v>328239523</v>
      </c>
    </row>
    <row r="2287" spans="1:30" hidden="1" x14ac:dyDescent="0.45">
      <c r="A2287">
        <v>2259</v>
      </c>
      <c r="B2287">
        <v>1200</v>
      </c>
      <c r="C2287" t="s">
        <v>91</v>
      </c>
      <c r="D2287" t="s">
        <v>7299</v>
      </c>
      <c r="E2287">
        <v>65</v>
      </c>
      <c r="F2287" t="s">
        <v>558</v>
      </c>
      <c r="G2287" t="s">
        <v>839</v>
      </c>
      <c r="H2287" t="s">
        <v>91</v>
      </c>
      <c r="I2287" t="s">
        <v>91</v>
      </c>
      <c r="J2287" t="s">
        <v>558</v>
      </c>
      <c r="L2287" t="b">
        <v>0</v>
      </c>
      <c r="M2287" t="s">
        <v>39</v>
      </c>
      <c r="N2287" t="s">
        <v>8245</v>
      </c>
      <c r="O2287" s="1">
        <v>21154</v>
      </c>
      <c r="P2287" t="s">
        <v>7300</v>
      </c>
      <c r="Q2287" t="s">
        <v>5656</v>
      </c>
      <c r="S2287" s="1">
        <v>45020.209027777775</v>
      </c>
      <c r="V2287">
        <v>1957</v>
      </c>
      <c r="W2287">
        <v>167.4</v>
      </c>
      <c r="X2287">
        <v>3.7</v>
      </c>
      <c r="Y2287" s="2">
        <v>1839758040766</v>
      </c>
      <c r="Z2287">
        <v>51.3</v>
      </c>
      <c r="AA2287">
        <v>115.4</v>
      </c>
      <c r="AB2287">
        <v>14.2</v>
      </c>
      <c r="AC2287">
        <v>65.099999999999994</v>
      </c>
      <c r="AD2287">
        <v>212559417</v>
      </c>
    </row>
    <row r="2288" spans="1:30" hidden="1" x14ac:dyDescent="0.45">
      <c r="A2288">
        <v>2259</v>
      </c>
      <c r="B2288">
        <v>1200</v>
      </c>
      <c r="C2288" t="s">
        <v>91</v>
      </c>
      <c r="D2288" t="s">
        <v>7301</v>
      </c>
      <c r="E2288">
        <v>70</v>
      </c>
      <c r="F2288" t="s">
        <v>558</v>
      </c>
      <c r="G2288" t="s">
        <v>839</v>
      </c>
      <c r="H2288" t="s">
        <v>91</v>
      </c>
      <c r="I2288" t="s">
        <v>91</v>
      </c>
      <c r="J2288" t="s">
        <v>558</v>
      </c>
      <c r="L2288" t="b">
        <v>0</v>
      </c>
      <c r="M2288" t="s">
        <v>39</v>
      </c>
      <c r="N2288" t="s">
        <v>8245</v>
      </c>
      <c r="O2288" s="1">
        <v>19162</v>
      </c>
      <c r="P2288" t="s">
        <v>7302</v>
      </c>
      <c r="Q2288" t="s">
        <v>7303</v>
      </c>
      <c r="S2288" s="1">
        <v>45020.209027777775</v>
      </c>
      <c r="V2288">
        <v>1952</v>
      </c>
      <c r="W2288">
        <v>167.4</v>
      </c>
      <c r="X2288">
        <v>3.7</v>
      </c>
      <c r="Y2288" s="2">
        <v>1839758040766</v>
      </c>
      <c r="Z2288">
        <v>51.3</v>
      </c>
      <c r="AA2288">
        <v>115.4</v>
      </c>
      <c r="AB2288">
        <v>14.2</v>
      </c>
      <c r="AC2288">
        <v>65.099999999999994</v>
      </c>
      <c r="AD2288">
        <v>212559417</v>
      </c>
    </row>
    <row r="2289" spans="1:30" hidden="1" x14ac:dyDescent="0.45">
      <c r="A2289">
        <v>2259</v>
      </c>
      <c r="B2289">
        <v>1200</v>
      </c>
      <c r="C2289" t="s">
        <v>296</v>
      </c>
      <c r="D2289" t="s">
        <v>7304</v>
      </c>
      <c r="E2289">
        <v>56</v>
      </c>
      <c r="F2289" t="s">
        <v>128</v>
      </c>
      <c r="G2289" t="s">
        <v>7305</v>
      </c>
      <c r="H2289" t="s">
        <v>389</v>
      </c>
      <c r="I2289" t="s">
        <v>296</v>
      </c>
      <c r="J2289" t="s">
        <v>128</v>
      </c>
      <c r="L2289" t="b">
        <v>1</v>
      </c>
      <c r="M2289" t="s">
        <v>39</v>
      </c>
      <c r="N2289" t="s">
        <v>8245</v>
      </c>
      <c r="O2289" s="1">
        <v>24473</v>
      </c>
      <c r="P2289" t="s">
        <v>2120</v>
      </c>
      <c r="Q2289" t="s">
        <v>7306</v>
      </c>
      <c r="S2289" s="1">
        <v>45020.209027777775</v>
      </c>
      <c r="V2289">
        <v>1967</v>
      </c>
      <c r="W2289">
        <v>125.08</v>
      </c>
      <c r="X2289">
        <v>2.9</v>
      </c>
      <c r="Y2289" s="2">
        <v>19910000000000</v>
      </c>
      <c r="Z2289">
        <v>50.6</v>
      </c>
      <c r="AA2289">
        <v>100.2</v>
      </c>
      <c r="AB2289">
        <v>9.4</v>
      </c>
      <c r="AC2289">
        <v>59.2</v>
      </c>
      <c r="AD2289">
        <v>1397715000</v>
      </c>
    </row>
    <row r="2290" spans="1:30" hidden="1" x14ac:dyDescent="0.45">
      <c r="A2290">
        <v>2259</v>
      </c>
      <c r="B2290">
        <v>1200</v>
      </c>
      <c r="C2290" t="s">
        <v>296</v>
      </c>
      <c r="D2290" t="s">
        <v>7307</v>
      </c>
      <c r="E2290">
        <v>66</v>
      </c>
      <c r="F2290" t="s">
        <v>558</v>
      </c>
      <c r="G2290" t="s">
        <v>7233</v>
      </c>
      <c r="H2290" t="s">
        <v>7308</v>
      </c>
      <c r="I2290" t="s">
        <v>296</v>
      </c>
      <c r="J2290" t="s">
        <v>558</v>
      </c>
      <c r="L2290" t="b">
        <v>0</v>
      </c>
      <c r="M2290" t="s">
        <v>39</v>
      </c>
      <c r="N2290" t="s">
        <v>8245</v>
      </c>
      <c r="O2290" s="1">
        <v>20772</v>
      </c>
      <c r="P2290" t="s">
        <v>7309</v>
      </c>
      <c r="Q2290" t="s">
        <v>169</v>
      </c>
      <c r="S2290" s="1">
        <v>45020.209027777775</v>
      </c>
      <c r="V2290">
        <v>1956</v>
      </c>
      <c r="W2290">
        <v>167.4</v>
      </c>
      <c r="X2290">
        <v>3.7</v>
      </c>
      <c r="Y2290" s="2">
        <v>1839758040766</v>
      </c>
      <c r="Z2290">
        <v>51.3</v>
      </c>
      <c r="AA2290">
        <v>115.4</v>
      </c>
      <c r="AB2290">
        <v>14.2</v>
      </c>
      <c r="AC2290">
        <v>65.099999999999994</v>
      </c>
      <c r="AD2290">
        <v>212559417</v>
      </c>
    </row>
    <row r="2291" spans="1:30" hidden="1" x14ac:dyDescent="0.45">
      <c r="A2291">
        <v>2259</v>
      </c>
      <c r="B2291">
        <v>1200</v>
      </c>
      <c r="C2291" t="s">
        <v>296</v>
      </c>
      <c r="D2291" t="s">
        <v>7310</v>
      </c>
      <c r="E2291">
        <v>51</v>
      </c>
      <c r="F2291" t="s">
        <v>6316</v>
      </c>
      <c r="H2291" t="s">
        <v>296</v>
      </c>
      <c r="I2291" t="s">
        <v>296</v>
      </c>
      <c r="J2291" t="s">
        <v>6316</v>
      </c>
      <c r="L2291" t="b">
        <v>1</v>
      </c>
      <c r="M2291" t="s">
        <v>258</v>
      </c>
      <c r="N2291" t="s">
        <v>8245</v>
      </c>
      <c r="O2291" s="1">
        <v>26079</v>
      </c>
      <c r="P2291" t="s">
        <v>7311</v>
      </c>
      <c r="Q2291" t="s">
        <v>7312</v>
      </c>
      <c r="S2291" s="1">
        <v>45020.209027777775</v>
      </c>
      <c r="V2291">
        <v>1971</v>
      </c>
      <c r="W2291">
        <v>121.64</v>
      </c>
      <c r="X2291">
        <v>3.3</v>
      </c>
      <c r="Y2291" s="2">
        <v>160967157504</v>
      </c>
      <c r="Z2291">
        <v>48.5</v>
      </c>
      <c r="AA2291">
        <v>100.8</v>
      </c>
      <c r="AB2291">
        <v>23</v>
      </c>
      <c r="AC2291">
        <v>37.9</v>
      </c>
      <c r="AD2291">
        <v>9769949</v>
      </c>
    </row>
    <row r="2292" spans="1:30" hidden="1" x14ac:dyDescent="0.45">
      <c r="A2292">
        <v>2259</v>
      </c>
      <c r="B2292">
        <v>1200</v>
      </c>
      <c r="C2292" t="s">
        <v>23</v>
      </c>
      <c r="D2292" t="s">
        <v>7313</v>
      </c>
      <c r="E2292">
        <v>30</v>
      </c>
      <c r="F2292" t="s">
        <v>272</v>
      </c>
      <c r="G2292" t="s">
        <v>3460</v>
      </c>
      <c r="H2292" t="s">
        <v>7314</v>
      </c>
      <c r="I2292" t="s">
        <v>23</v>
      </c>
      <c r="J2292" t="s">
        <v>272</v>
      </c>
      <c r="L2292" t="b">
        <v>1</v>
      </c>
      <c r="M2292" t="s">
        <v>258</v>
      </c>
      <c r="N2292" t="s">
        <v>8245</v>
      </c>
      <c r="O2292" s="1">
        <v>33759</v>
      </c>
      <c r="P2292" t="s">
        <v>1164</v>
      </c>
      <c r="Q2292" t="s">
        <v>2714</v>
      </c>
      <c r="S2292" s="1">
        <v>45020.209027777775</v>
      </c>
      <c r="V2292">
        <v>1992</v>
      </c>
      <c r="W2292">
        <v>119.62</v>
      </c>
      <c r="X2292">
        <v>1.7</v>
      </c>
      <c r="Y2292" s="2">
        <v>2827113184696</v>
      </c>
      <c r="Z2292">
        <v>60</v>
      </c>
      <c r="AA2292">
        <v>101.2</v>
      </c>
      <c r="AB2292">
        <v>25.5</v>
      </c>
      <c r="AC2292">
        <v>30.6</v>
      </c>
      <c r="AD2292">
        <v>66834405</v>
      </c>
    </row>
    <row r="2293" spans="1:30" hidden="1" x14ac:dyDescent="0.45">
      <c r="A2293">
        <v>2259</v>
      </c>
      <c r="B2293">
        <v>1200</v>
      </c>
      <c r="C2293" t="s">
        <v>23</v>
      </c>
      <c r="D2293" t="s">
        <v>7315</v>
      </c>
      <c r="E2293">
        <v>65</v>
      </c>
      <c r="F2293" t="s">
        <v>35</v>
      </c>
      <c r="G2293" t="s">
        <v>7316</v>
      </c>
      <c r="H2293" t="s">
        <v>7317</v>
      </c>
      <c r="I2293" t="s">
        <v>23</v>
      </c>
      <c r="J2293" t="s">
        <v>35</v>
      </c>
      <c r="L2293" t="b">
        <v>1</v>
      </c>
      <c r="M2293" t="s">
        <v>39</v>
      </c>
      <c r="N2293" t="s">
        <v>8245</v>
      </c>
      <c r="O2293" s="1">
        <v>21038</v>
      </c>
      <c r="P2293" t="s">
        <v>7318</v>
      </c>
      <c r="Q2293" t="s">
        <v>2060</v>
      </c>
      <c r="S2293" s="1">
        <v>45020.209027777775</v>
      </c>
      <c r="T2293" t="s">
        <v>115</v>
      </c>
      <c r="U2293" t="s">
        <v>53</v>
      </c>
      <c r="V2293">
        <v>1957</v>
      </c>
      <c r="W2293">
        <v>117.24</v>
      </c>
      <c r="X2293">
        <v>7.5</v>
      </c>
      <c r="Y2293" s="2">
        <v>21427700000000</v>
      </c>
      <c r="Z2293">
        <v>88.2</v>
      </c>
      <c r="AA2293">
        <v>101.8</v>
      </c>
      <c r="AB2293">
        <v>9.6</v>
      </c>
      <c r="AC2293">
        <v>36.6</v>
      </c>
      <c r="AD2293">
        <v>328239523</v>
      </c>
    </row>
    <row r="2294" spans="1:30" hidden="1" x14ac:dyDescent="0.45">
      <c r="A2294">
        <v>2259</v>
      </c>
      <c r="B2294">
        <v>1200</v>
      </c>
      <c r="C2294" t="s">
        <v>326</v>
      </c>
      <c r="D2294" t="s">
        <v>7319</v>
      </c>
      <c r="E2294">
        <v>49</v>
      </c>
      <c r="F2294" t="s">
        <v>490</v>
      </c>
      <c r="G2294" t="s">
        <v>7320</v>
      </c>
      <c r="H2294" t="s">
        <v>330</v>
      </c>
      <c r="I2294" t="s">
        <v>326</v>
      </c>
      <c r="J2294" t="s">
        <v>490</v>
      </c>
      <c r="L2294" t="b">
        <v>0</v>
      </c>
      <c r="M2294" t="s">
        <v>611</v>
      </c>
      <c r="N2294" t="s">
        <v>8245</v>
      </c>
      <c r="O2294" s="1">
        <v>27021</v>
      </c>
      <c r="P2294" t="s">
        <v>7321</v>
      </c>
      <c r="Q2294" t="s">
        <v>1652</v>
      </c>
      <c r="S2294" s="1">
        <v>45020.209027777775</v>
      </c>
      <c r="V2294">
        <v>1973</v>
      </c>
      <c r="W2294">
        <v>108.15</v>
      </c>
      <c r="X2294">
        <v>0.8</v>
      </c>
      <c r="Y2294" s="2">
        <v>395098666122</v>
      </c>
      <c r="Z2294">
        <v>63.4</v>
      </c>
      <c r="AA2294">
        <v>104.9</v>
      </c>
      <c r="AB2294">
        <v>23.1</v>
      </c>
      <c r="AC2294">
        <v>25.3</v>
      </c>
      <c r="AD2294">
        <v>9053300</v>
      </c>
    </row>
    <row r="2295" spans="1:30" hidden="1" x14ac:dyDescent="0.45">
      <c r="A2295">
        <v>2259</v>
      </c>
      <c r="B2295">
        <v>1200</v>
      </c>
      <c r="C2295" t="s">
        <v>296</v>
      </c>
      <c r="D2295" t="s">
        <v>7322</v>
      </c>
      <c r="E2295">
        <v>56</v>
      </c>
      <c r="F2295" t="s">
        <v>93</v>
      </c>
      <c r="G2295" t="s">
        <v>94</v>
      </c>
      <c r="H2295" t="s">
        <v>6680</v>
      </c>
      <c r="I2295" t="s">
        <v>296</v>
      </c>
      <c r="J2295" t="s">
        <v>93</v>
      </c>
      <c r="L2295" t="b">
        <v>1</v>
      </c>
      <c r="M2295" t="s">
        <v>39</v>
      </c>
      <c r="N2295" t="s">
        <v>8245</v>
      </c>
      <c r="O2295" s="1">
        <v>24334</v>
      </c>
      <c r="P2295" t="s">
        <v>5004</v>
      </c>
      <c r="Q2295" t="s">
        <v>7323</v>
      </c>
      <c r="S2295" s="1">
        <v>45020.209027777775</v>
      </c>
      <c r="V2295">
        <v>1966</v>
      </c>
      <c r="W2295">
        <v>180.44</v>
      </c>
      <c r="X2295">
        <v>7.7</v>
      </c>
      <c r="Y2295" s="2">
        <v>2611000000000</v>
      </c>
      <c r="Z2295">
        <v>28.1</v>
      </c>
      <c r="AA2295">
        <v>113</v>
      </c>
      <c r="AB2295">
        <v>11.2</v>
      </c>
      <c r="AC2295">
        <v>49.7</v>
      </c>
      <c r="AD2295">
        <v>1366417754</v>
      </c>
    </row>
    <row r="2296" spans="1:30" hidden="1" x14ac:dyDescent="0.45">
      <c r="A2296">
        <v>2259</v>
      </c>
      <c r="B2296">
        <v>1200</v>
      </c>
      <c r="C2296" t="s">
        <v>61</v>
      </c>
      <c r="D2296" t="s">
        <v>7324</v>
      </c>
      <c r="E2296">
        <v>63</v>
      </c>
      <c r="F2296" t="s">
        <v>35</v>
      </c>
      <c r="G2296" t="s">
        <v>78</v>
      </c>
      <c r="H2296" t="s">
        <v>930</v>
      </c>
      <c r="I2296" t="s">
        <v>61</v>
      </c>
      <c r="J2296" t="s">
        <v>35</v>
      </c>
      <c r="L2296" t="b">
        <v>1</v>
      </c>
      <c r="M2296" t="s">
        <v>611</v>
      </c>
      <c r="N2296" t="s">
        <v>8245</v>
      </c>
      <c r="O2296" s="1">
        <v>21826</v>
      </c>
      <c r="P2296" t="s">
        <v>7325</v>
      </c>
      <c r="Q2296" t="s">
        <v>3074</v>
      </c>
      <c r="R2296" t="s">
        <v>688</v>
      </c>
      <c r="S2296" s="1">
        <v>45020.209027777775</v>
      </c>
      <c r="T2296" t="s">
        <v>78</v>
      </c>
      <c r="U2296" t="s">
        <v>82</v>
      </c>
      <c r="V2296">
        <v>1959</v>
      </c>
      <c r="W2296">
        <v>117.24</v>
      </c>
      <c r="X2296">
        <v>7.5</v>
      </c>
      <c r="Y2296" s="2">
        <v>21427700000000</v>
      </c>
      <c r="Z2296">
        <v>88.2</v>
      </c>
      <c r="AA2296">
        <v>101.8</v>
      </c>
      <c r="AB2296">
        <v>9.6</v>
      </c>
      <c r="AC2296">
        <v>36.6</v>
      </c>
      <c r="AD2296">
        <v>328239523</v>
      </c>
    </row>
    <row r="2297" spans="1:30" hidden="1" x14ac:dyDescent="0.45">
      <c r="A2297">
        <v>2259</v>
      </c>
      <c r="B2297">
        <v>1200</v>
      </c>
      <c r="C2297" t="s">
        <v>296</v>
      </c>
      <c r="D2297" t="s">
        <v>7326</v>
      </c>
      <c r="E2297">
        <v>72</v>
      </c>
      <c r="F2297" t="s">
        <v>93</v>
      </c>
      <c r="G2297" t="s">
        <v>343</v>
      </c>
      <c r="H2297" t="s">
        <v>7327</v>
      </c>
      <c r="I2297" t="s">
        <v>296</v>
      </c>
      <c r="J2297" t="s">
        <v>93</v>
      </c>
      <c r="L2297" t="b">
        <v>1</v>
      </c>
      <c r="M2297" t="s">
        <v>258</v>
      </c>
      <c r="N2297" t="s">
        <v>8246</v>
      </c>
      <c r="O2297" s="1">
        <v>18449</v>
      </c>
      <c r="P2297" t="s">
        <v>2725</v>
      </c>
      <c r="Q2297" t="s">
        <v>7328</v>
      </c>
      <c r="S2297" s="1">
        <v>45020.209027777775</v>
      </c>
      <c r="V2297">
        <v>1950</v>
      </c>
      <c r="W2297">
        <v>180.44</v>
      </c>
      <c r="X2297">
        <v>7.7</v>
      </c>
      <c r="Y2297" s="2">
        <v>2611000000000</v>
      </c>
      <c r="Z2297">
        <v>28.1</v>
      </c>
      <c r="AA2297">
        <v>113</v>
      </c>
      <c r="AB2297">
        <v>11.2</v>
      </c>
      <c r="AC2297">
        <v>49.7</v>
      </c>
      <c r="AD2297">
        <v>1366417754</v>
      </c>
    </row>
    <row r="2298" spans="1:30" hidden="1" x14ac:dyDescent="0.45">
      <c r="A2298">
        <v>2259</v>
      </c>
      <c r="B2298">
        <v>1200</v>
      </c>
      <c r="C2298" t="s">
        <v>45</v>
      </c>
      <c r="D2298" t="s">
        <v>7329</v>
      </c>
      <c r="E2298">
        <v>67</v>
      </c>
      <c r="F2298" t="s">
        <v>328</v>
      </c>
      <c r="G2298" t="s">
        <v>795</v>
      </c>
      <c r="H2298" t="s">
        <v>45</v>
      </c>
      <c r="I2298" t="s">
        <v>45</v>
      </c>
      <c r="J2298" t="s">
        <v>328</v>
      </c>
      <c r="L2298" t="b">
        <v>1</v>
      </c>
      <c r="M2298" t="s">
        <v>258</v>
      </c>
      <c r="N2298" t="s">
        <v>8245</v>
      </c>
      <c r="O2298" s="1">
        <v>20267</v>
      </c>
      <c r="P2298" t="s">
        <v>7330</v>
      </c>
      <c r="Q2298" t="s">
        <v>797</v>
      </c>
      <c r="S2298" s="1">
        <v>45020.209027777775</v>
      </c>
      <c r="V2298">
        <v>1955</v>
      </c>
      <c r="W2298">
        <v>119.8</v>
      </c>
      <c r="X2298">
        <v>1.6</v>
      </c>
      <c r="Y2298" s="2">
        <v>1392680589329</v>
      </c>
      <c r="Z2298">
        <v>113.1</v>
      </c>
      <c r="AA2298">
        <v>100.3</v>
      </c>
      <c r="AB2298">
        <v>23</v>
      </c>
      <c r="AC2298">
        <v>47.4</v>
      </c>
      <c r="AD2298">
        <v>25766605</v>
      </c>
    </row>
    <row r="2299" spans="1:30" hidden="1" x14ac:dyDescent="0.45">
      <c r="A2299">
        <v>2259</v>
      </c>
      <c r="B2299">
        <v>1200</v>
      </c>
      <c r="C2299" t="s">
        <v>689</v>
      </c>
      <c r="D2299" t="s">
        <v>7331</v>
      </c>
      <c r="E2299">
        <v>42</v>
      </c>
      <c r="F2299" t="s">
        <v>272</v>
      </c>
      <c r="G2299" t="s">
        <v>273</v>
      </c>
      <c r="H2299" t="s">
        <v>1367</v>
      </c>
      <c r="I2299" t="s">
        <v>689</v>
      </c>
      <c r="J2299" t="s">
        <v>3941</v>
      </c>
      <c r="L2299" t="b">
        <v>0</v>
      </c>
      <c r="M2299" t="s">
        <v>611</v>
      </c>
      <c r="N2299" t="s">
        <v>8245</v>
      </c>
      <c r="O2299" s="1">
        <v>29584</v>
      </c>
      <c r="P2299" t="s">
        <v>5011</v>
      </c>
      <c r="Q2299" t="s">
        <v>7332</v>
      </c>
      <c r="S2299" s="1">
        <v>45020.209027777775</v>
      </c>
      <c r="V2299">
        <v>1980</v>
      </c>
      <c r="W2299">
        <v>119.62</v>
      </c>
      <c r="X2299">
        <v>1.7</v>
      </c>
      <c r="Y2299" s="2">
        <v>2827113184696</v>
      </c>
      <c r="Z2299">
        <v>60</v>
      </c>
      <c r="AA2299">
        <v>101.2</v>
      </c>
      <c r="AB2299">
        <v>25.5</v>
      </c>
      <c r="AC2299">
        <v>30.6</v>
      </c>
      <c r="AD2299">
        <v>66834405</v>
      </c>
    </row>
    <row r="2300" spans="1:30" x14ac:dyDescent="0.45">
      <c r="A2300">
        <v>2259</v>
      </c>
      <c r="B2300" s="6">
        <v>1200</v>
      </c>
      <c r="C2300" t="s">
        <v>23</v>
      </c>
      <c r="D2300" t="s">
        <v>7333</v>
      </c>
      <c r="E2300">
        <v>75</v>
      </c>
      <c r="F2300" t="s">
        <v>35</v>
      </c>
      <c r="G2300" t="s">
        <v>972</v>
      </c>
      <c r="H2300" t="s">
        <v>7334</v>
      </c>
      <c r="I2300" t="s">
        <v>23</v>
      </c>
      <c r="J2300" t="s">
        <v>35</v>
      </c>
      <c r="K2300" t="s">
        <v>7335</v>
      </c>
      <c r="L2300" t="b">
        <v>1</v>
      </c>
      <c r="M2300" t="s">
        <v>611</v>
      </c>
      <c r="N2300" t="s">
        <v>8245</v>
      </c>
      <c r="O2300" s="10">
        <v>17411</v>
      </c>
      <c r="P2300" t="s">
        <v>7336</v>
      </c>
      <c r="Q2300" t="s">
        <v>1068</v>
      </c>
      <c r="R2300" t="s">
        <v>7337</v>
      </c>
      <c r="S2300" s="8">
        <v>45020.209027777775</v>
      </c>
      <c r="T2300" t="s">
        <v>311</v>
      </c>
      <c r="U2300" t="s">
        <v>82</v>
      </c>
      <c r="V2300">
        <v>1947</v>
      </c>
      <c r="W2300" s="12">
        <v>117.24</v>
      </c>
      <c r="X2300">
        <v>7.5</v>
      </c>
      <c r="Y2300" s="14">
        <v>21427700000000</v>
      </c>
      <c r="Z2300">
        <v>88.2</v>
      </c>
      <c r="AA2300">
        <v>101.8</v>
      </c>
      <c r="AB2300">
        <v>9.6</v>
      </c>
      <c r="AC2300">
        <v>36.6</v>
      </c>
      <c r="AD2300">
        <v>328239523</v>
      </c>
    </row>
    <row r="2301" spans="1:30" hidden="1" x14ac:dyDescent="0.45">
      <c r="A2301">
        <v>2259</v>
      </c>
      <c r="B2301">
        <v>1200</v>
      </c>
      <c r="C2301" t="s">
        <v>61</v>
      </c>
      <c r="D2301" t="s">
        <v>7338</v>
      </c>
      <c r="E2301">
        <v>73</v>
      </c>
      <c r="F2301" t="s">
        <v>328</v>
      </c>
      <c r="G2301" t="s">
        <v>795</v>
      </c>
      <c r="H2301" t="s">
        <v>2380</v>
      </c>
      <c r="I2301" t="s">
        <v>61</v>
      </c>
      <c r="J2301" t="s">
        <v>328</v>
      </c>
      <c r="L2301" t="b">
        <v>1</v>
      </c>
      <c r="M2301" t="s">
        <v>611</v>
      </c>
      <c r="N2301" t="s">
        <v>8245</v>
      </c>
      <c r="O2301" s="1">
        <v>18203</v>
      </c>
      <c r="P2301" t="s">
        <v>3809</v>
      </c>
      <c r="Q2301" t="s">
        <v>81</v>
      </c>
      <c r="S2301" s="1">
        <v>45020.209027777775</v>
      </c>
      <c r="V2301">
        <v>1949</v>
      </c>
      <c r="W2301">
        <v>119.8</v>
      </c>
      <c r="X2301">
        <v>1.6</v>
      </c>
      <c r="Y2301" s="2">
        <v>1392680589329</v>
      </c>
      <c r="Z2301">
        <v>113.1</v>
      </c>
      <c r="AA2301">
        <v>100.3</v>
      </c>
      <c r="AB2301">
        <v>23</v>
      </c>
      <c r="AC2301">
        <v>47.4</v>
      </c>
      <c r="AD2301">
        <v>25766605</v>
      </c>
    </row>
    <row r="2302" spans="1:30" x14ac:dyDescent="0.45">
      <c r="A2302">
        <v>2259</v>
      </c>
      <c r="B2302" s="6">
        <v>1200</v>
      </c>
      <c r="C2302" t="s">
        <v>45</v>
      </c>
      <c r="D2302" t="s">
        <v>7339</v>
      </c>
      <c r="E2302">
        <v>43</v>
      </c>
      <c r="F2302" t="s">
        <v>35</v>
      </c>
      <c r="G2302" t="s">
        <v>372</v>
      </c>
      <c r="H2302" t="s">
        <v>856</v>
      </c>
      <c r="I2302" t="s">
        <v>45</v>
      </c>
      <c r="J2302" t="s">
        <v>35</v>
      </c>
      <c r="K2302" t="s">
        <v>7340</v>
      </c>
      <c r="L2302" t="b">
        <v>1</v>
      </c>
      <c r="M2302" t="s">
        <v>39</v>
      </c>
      <c r="N2302" t="s">
        <v>8245</v>
      </c>
      <c r="O2302" s="10">
        <v>29230</v>
      </c>
      <c r="P2302" t="s">
        <v>7341</v>
      </c>
      <c r="Q2302" t="s">
        <v>7342</v>
      </c>
      <c r="R2302" t="s">
        <v>42</v>
      </c>
      <c r="S2302" s="8">
        <v>45020.209027777775</v>
      </c>
      <c r="T2302" t="s">
        <v>52</v>
      </c>
      <c r="U2302" t="s">
        <v>53</v>
      </c>
      <c r="V2302">
        <v>1980</v>
      </c>
      <c r="W2302" s="12">
        <v>117.24</v>
      </c>
      <c r="X2302">
        <v>7.5</v>
      </c>
      <c r="Y2302" s="14">
        <v>21427700000000</v>
      </c>
      <c r="Z2302">
        <v>88.2</v>
      </c>
      <c r="AA2302">
        <v>101.8</v>
      </c>
      <c r="AB2302">
        <v>9.6</v>
      </c>
      <c r="AC2302">
        <v>36.6</v>
      </c>
      <c r="AD2302">
        <v>328239523</v>
      </c>
    </row>
    <row r="2303" spans="1:30" hidden="1" x14ac:dyDescent="0.45">
      <c r="A2303">
        <v>2259</v>
      </c>
      <c r="B2303">
        <v>1200</v>
      </c>
      <c r="C2303" t="s">
        <v>239</v>
      </c>
      <c r="D2303" t="s">
        <v>7343</v>
      </c>
      <c r="E2303">
        <v>46</v>
      </c>
      <c r="F2303" t="s">
        <v>228</v>
      </c>
      <c r="G2303" t="s">
        <v>228</v>
      </c>
      <c r="H2303" t="s">
        <v>242</v>
      </c>
      <c r="I2303" t="s">
        <v>239</v>
      </c>
      <c r="J2303" t="s">
        <v>228</v>
      </c>
      <c r="L2303" t="b">
        <v>0</v>
      </c>
      <c r="M2303" t="s">
        <v>1332</v>
      </c>
      <c r="N2303" t="s">
        <v>8245</v>
      </c>
      <c r="O2303" s="1">
        <v>28141</v>
      </c>
      <c r="P2303" t="s">
        <v>3022</v>
      </c>
      <c r="Q2303" t="s">
        <v>3074</v>
      </c>
      <c r="S2303" s="1">
        <v>45020.209027777775</v>
      </c>
      <c r="V2303">
        <v>1977</v>
      </c>
      <c r="W2303"/>
      <c r="Y2303"/>
    </row>
    <row r="2304" spans="1:30" hidden="1" x14ac:dyDescent="0.45">
      <c r="A2304">
        <v>2259</v>
      </c>
      <c r="B2304">
        <v>1200</v>
      </c>
      <c r="C2304" t="s">
        <v>23</v>
      </c>
      <c r="D2304" t="s">
        <v>7344</v>
      </c>
      <c r="E2304">
        <v>58</v>
      </c>
      <c r="F2304" t="s">
        <v>128</v>
      </c>
      <c r="G2304" t="s">
        <v>960</v>
      </c>
      <c r="H2304" t="s">
        <v>1355</v>
      </c>
      <c r="I2304" t="s">
        <v>23</v>
      </c>
      <c r="J2304" t="s">
        <v>128</v>
      </c>
      <c r="L2304" t="b">
        <v>1</v>
      </c>
      <c r="M2304" t="s">
        <v>39</v>
      </c>
      <c r="N2304" t="s">
        <v>8245</v>
      </c>
      <c r="O2304" s="1">
        <v>23743</v>
      </c>
      <c r="P2304" t="s">
        <v>294</v>
      </c>
      <c r="Q2304" t="s">
        <v>7345</v>
      </c>
      <c r="S2304" s="1">
        <v>45020.209027777775</v>
      </c>
      <c r="V2304">
        <v>1965</v>
      </c>
      <c r="W2304">
        <v>125.08</v>
      </c>
      <c r="X2304">
        <v>2.9</v>
      </c>
      <c r="Y2304" s="2">
        <v>19910000000000</v>
      </c>
      <c r="Z2304">
        <v>50.6</v>
      </c>
      <c r="AA2304">
        <v>100.2</v>
      </c>
      <c r="AB2304">
        <v>9.4</v>
      </c>
      <c r="AC2304">
        <v>59.2</v>
      </c>
      <c r="AD2304">
        <v>1397715000</v>
      </c>
    </row>
    <row r="2305" spans="1:30" hidden="1" x14ac:dyDescent="0.45">
      <c r="A2305">
        <v>2259</v>
      </c>
      <c r="B2305">
        <v>1200</v>
      </c>
      <c r="C2305" t="s">
        <v>45</v>
      </c>
      <c r="D2305" t="s">
        <v>7346</v>
      </c>
      <c r="E2305">
        <v>68</v>
      </c>
      <c r="F2305" t="s">
        <v>328</v>
      </c>
      <c r="G2305" t="s">
        <v>795</v>
      </c>
      <c r="H2305" t="s">
        <v>45</v>
      </c>
      <c r="I2305" t="s">
        <v>45</v>
      </c>
      <c r="J2305" t="s">
        <v>328</v>
      </c>
      <c r="L2305" t="b">
        <v>1</v>
      </c>
      <c r="M2305" t="s">
        <v>258</v>
      </c>
      <c r="N2305" t="s">
        <v>8245</v>
      </c>
      <c r="O2305" s="1">
        <v>20083</v>
      </c>
      <c r="P2305" t="s">
        <v>7347</v>
      </c>
      <c r="Q2305" t="s">
        <v>2118</v>
      </c>
      <c r="S2305" s="1">
        <v>45020.209027777775</v>
      </c>
      <c r="V2305">
        <v>1954</v>
      </c>
      <c r="W2305">
        <v>119.8</v>
      </c>
      <c r="X2305">
        <v>1.6</v>
      </c>
      <c r="Y2305" s="2">
        <v>1392680589329</v>
      </c>
      <c r="Z2305">
        <v>113.1</v>
      </c>
      <c r="AA2305">
        <v>100.3</v>
      </c>
      <c r="AB2305">
        <v>23</v>
      </c>
      <c r="AC2305">
        <v>47.4</v>
      </c>
      <c r="AD2305">
        <v>25766605</v>
      </c>
    </row>
    <row r="2306" spans="1:30" hidden="1" x14ac:dyDescent="0.45">
      <c r="A2306">
        <v>2259</v>
      </c>
      <c r="B2306">
        <v>1200</v>
      </c>
      <c r="C2306" t="s">
        <v>83</v>
      </c>
      <c r="D2306" t="s">
        <v>7348</v>
      </c>
      <c r="E2306">
        <v>76</v>
      </c>
      <c r="F2306" t="s">
        <v>272</v>
      </c>
      <c r="G2306" t="s">
        <v>273</v>
      </c>
      <c r="H2306" t="s">
        <v>7349</v>
      </c>
      <c r="I2306" t="s">
        <v>83</v>
      </c>
      <c r="J2306" t="s">
        <v>272</v>
      </c>
      <c r="K2306" t="s">
        <v>7350</v>
      </c>
      <c r="L2306" t="b">
        <v>1</v>
      </c>
      <c r="M2306" t="s">
        <v>611</v>
      </c>
      <c r="N2306" t="s">
        <v>8245</v>
      </c>
      <c r="O2306" s="1">
        <v>16925</v>
      </c>
      <c r="P2306" t="s">
        <v>2041</v>
      </c>
      <c r="Q2306" t="s">
        <v>6339</v>
      </c>
      <c r="R2306" t="s">
        <v>192</v>
      </c>
      <c r="S2306" s="1">
        <v>45020.209027777775</v>
      </c>
      <c r="V2306">
        <v>1946</v>
      </c>
      <c r="W2306">
        <v>119.62</v>
      </c>
      <c r="X2306">
        <v>1.7</v>
      </c>
      <c r="Y2306" s="2">
        <v>2827113184696</v>
      </c>
      <c r="Z2306">
        <v>60</v>
      </c>
      <c r="AA2306">
        <v>101.2</v>
      </c>
      <c r="AB2306">
        <v>25.5</v>
      </c>
      <c r="AC2306">
        <v>30.6</v>
      </c>
      <c r="AD2306">
        <v>66834405</v>
      </c>
    </row>
    <row r="2307" spans="1:30" hidden="1" x14ac:dyDescent="0.45">
      <c r="A2307">
        <v>2259</v>
      </c>
      <c r="B2307">
        <v>1200</v>
      </c>
      <c r="C2307" t="s">
        <v>126</v>
      </c>
      <c r="D2307" t="s">
        <v>7351</v>
      </c>
      <c r="E2307">
        <v>66</v>
      </c>
      <c r="F2307" t="s">
        <v>1259</v>
      </c>
      <c r="G2307" t="s">
        <v>5498</v>
      </c>
      <c r="H2307" t="s">
        <v>7352</v>
      </c>
      <c r="I2307" t="s">
        <v>126</v>
      </c>
      <c r="J2307" t="s">
        <v>1259</v>
      </c>
      <c r="L2307" t="b">
        <v>0</v>
      </c>
      <c r="M2307" t="s">
        <v>611</v>
      </c>
      <c r="N2307" t="s">
        <v>8246</v>
      </c>
      <c r="O2307" s="1">
        <v>20700</v>
      </c>
      <c r="P2307" t="s">
        <v>2605</v>
      </c>
      <c r="Q2307" t="s">
        <v>7353</v>
      </c>
      <c r="S2307" s="1">
        <v>45020.209027777775</v>
      </c>
      <c r="V2307">
        <v>1956</v>
      </c>
      <c r="W2307"/>
      <c r="Y2307"/>
    </row>
    <row r="2308" spans="1:30" hidden="1" x14ac:dyDescent="0.45">
      <c r="A2308">
        <v>2259</v>
      </c>
      <c r="B2308">
        <v>1200</v>
      </c>
      <c r="C2308" t="s">
        <v>61</v>
      </c>
      <c r="D2308" t="s">
        <v>7354</v>
      </c>
      <c r="E2308">
        <v>55</v>
      </c>
      <c r="F2308" t="s">
        <v>35</v>
      </c>
      <c r="G2308" t="s">
        <v>964</v>
      </c>
      <c r="H2308" t="s">
        <v>1839</v>
      </c>
      <c r="I2308" t="s">
        <v>61</v>
      </c>
      <c r="J2308" t="s">
        <v>35</v>
      </c>
      <c r="L2308" t="b">
        <v>1</v>
      </c>
      <c r="M2308" t="s">
        <v>258</v>
      </c>
      <c r="N2308" t="s">
        <v>8245</v>
      </c>
      <c r="O2308" s="1">
        <v>24713</v>
      </c>
      <c r="P2308" t="s">
        <v>7355</v>
      </c>
      <c r="Q2308" t="s">
        <v>169</v>
      </c>
      <c r="S2308" s="1">
        <v>45020.209027777775</v>
      </c>
      <c r="T2308" t="s">
        <v>115</v>
      </c>
      <c r="U2308" t="s">
        <v>53</v>
      </c>
      <c r="V2308">
        <v>1967</v>
      </c>
      <c r="W2308">
        <v>117.24</v>
      </c>
      <c r="X2308">
        <v>7.5</v>
      </c>
      <c r="Y2308" s="2">
        <v>21427700000000</v>
      </c>
      <c r="Z2308">
        <v>88.2</v>
      </c>
      <c r="AA2308">
        <v>101.8</v>
      </c>
      <c r="AB2308">
        <v>9.6</v>
      </c>
      <c r="AC2308">
        <v>36.6</v>
      </c>
      <c r="AD2308">
        <v>328239523</v>
      </c>
    </row>
    <row r="2309" spans="1:30" hidden="1" x14ac:dyDescent="0.45">
      <c r="A2309">
        <v>2259</v>
      </c>
      <c r="B2309">
        <v>1200</v>
      </c>
      <c r="C2309" t="s">
        <v>23</v>
      </c>
      <c r="D2309" t="s">
        <v>7356</v>
      </c>
      <c r="E2309">
        <v>42</v>
      </c>
      <c r="F2309" t="s">
        <v>35</v>
      </c>
      <c r="G2309" t="s">
        <v>7357</v>
      </c>
      <c r="H2309" t="s">
        <v>7358</v>
      </c>
      <c r="I2309" t="s">
        <v>23</v>
      </c>
      <c r="J2309" t="s">
        <v>35</v>
      </c>
      <c r="L2309" t="b">
        <v>1</v>
      </c>
      <c r="M2309" t="s">
        <v>39</v>
      </c>
      <c r="N2309" t="s">
        <v>8246</v>
      </c>
      <c r="O2309" s="1">
        <v>29515</v>
      </c>
      <c r="P2309" t="s">
        <v>7359</v>
      </c>
      <c r="Q2309" t="s">
        <v>932</v>
      </c>
      <c r="R2309" t="s">
        <v>7360</v>
      </c>
      <c r="S2309" s="1">
        <v>45020.209027777775</v>
      </c>
      <c r="T2309" t="s">
        <v>115</v>
      </c>
      <c r="U2309" t="s">
        <v>53</v>
      </c>
      <c r="V2309">
        <v>1980</v>
      </c>
      <c r="W2309">
        <v>117.24</v>
      </c>
      <c r="X2309">
        <v>7.5</v>
      </c>
      <c r="Y2309" s="2">
        <v>21427700000000</v>
      </c>
      <c r="Z2309">
        <v>88.2</v>
      </c>
      <c r="AA2309">
        <v>101.8</v>
      </c>
      <c r="AB2309">
        <v>9.6</v>
      </c>
      <c r="AC2309">
        <v>36.6</v>
      </c>
      <c r="AD2309">
        <v>328239523</v>
      </c>
    </row>
    <row r="2310" spans="1:30" hidden="1" x14ac:dyDescent="0.45">
      <c r="A2310">
        <v>2259</v>
      </c>
      <c r="B2310">
        <v>1200</v>
      </c>
      <c r="C2310" t="s">
        <v>296</v>
      </c>
      <c r="D2310" t="s">
        <v>7361</v>
      </c>
      <c r="E2310">
        <v>57</v>
      </c>
      <c r="F2310" t="s">
        <v>128</v>
      </c>
      <c r="G2310" t="s">
        <v>292</v>
      </c>
      <c r="H2310" t="s">
        <v>752</v>
      </c>
      <c r="I2310" t="s">
        <v>296</v>
      </c>
      <c r="J2310" t="s">
        <v>128</v>
      </c>
      <c r="L2310" t="b">
        <v>1</v>
      </c>
      <c r="M2310" t="s">
        <v>29</v>
      </c>
      <c r="N2310" t="s">
        <v>8245</v>
      </c>
      <c r="O2310" s="1">
        <v>24028</v>
      </c>
      <c r="P2310" t="s">
        <v>6389</v>
      </c>
      <c r="Q2310" t="s">
        <v>7362</v>
      </c>
      <c r="S2310" s="1">
        <v>45020.209027777775</v>
      </c>
      <c r="V2310">
        <v>1965</v>
      </c>
      <c r="W2310">
        <v>125.08</v>
      </c>
      <c r="X2310">
        <v>2.9</v>
      </c>
      <c r="Y2310" s="2">
        <v>19910000000000</v>
      </c>
      <c r="Z2310">
        <v>50.6</v>
      </c>
      <c r="AA2310">
        <v>100.2</v>
      </c>
      <c r="AB2310">
        <v>9.4</v>
      </c>
      <c r="AC2310">
        <v>59.2</v>
      </c>
      <c r="AD2310">
        <v>1397715000</v>
      </c>
    </row>
    <row r="2311" spans="1:30" hidden="1" x14ac:dyDescent="0.45">
      <c r="A2311">
        <v>2259</v>
      </c>
      <c r="B2311">
        <v>1200</v>
      </c>
      <c r="C2311" t="s">
        <v>402</v>
      </c>
      <c r="D2311" t="s">
        <v>7363</v>
      </c>
      <c r="E2311">
        <v>56</v>
      </c>
      <c r="F2311" t="s">
        <v>128</v>
      </c>
      <c r="G2311" t="s">
        <v>719</v>
      </c>
      <c r="H2311" t="s">
        <v>4275</v>
      </c>
      <c r="I2311" t="s">
        <v>402</v>
      </c>
      <c r="J2311" t="s">
        <v>128</v>
      </c>
      <c r="L2311" t="b">
        <v>1</v>
      </c>
      <c r="M2311" t="s">
        <v>29</v>
      </c>
      <c r="N2311" t="s">
        <v>8245</v>
      </c>
      <c r="O2311" s="1">
        <v>24473</v>
      </c>
      <c r="P2311" t="s">
        <v>6389</v>
      </c>
      <c r="Q2311" t="s">
        <v>7364</v>
      </c>
      <c r="S2311" s="1">
        <v>45020.209027777775</v>
      </c>
      <c r="V2311">
        <v>1967</v>
      </c>
      <c r="W2311">
        <v>125.08</v>
      </c>
      <c r="X2311">
        <v>2.9</v>
      </c>
      <c r="Y2311" s="2">
        <v>19910000000000</v>
      </c>
      <c r="Z2311">
        <v>50.6</v>
      </c>
      <c r="AA2311">
        <v>100.2</v>
      </c>
      <c r="AB2311">
        <v>9.4</v>
      </c>
      <c r="AC2311">
        <v>59.2</v>
      </c>
      <c r="AD2311">
        <v>1397715000</v>
      </c>
    </row>
    <row r="2312" spans="1:30" hidden="1" x14ac:dyDescent="0.45">
      <c r="A2312">
        <v>2259</v>
      </c>
      <c r="B2312">
        <v>1200</v>
      </c>
      <c r="C2312" t="s">
        <v>302</v>
      </c>
      <c r="D2312" t="s">
        <v>7365</v>
      </c>
      <c r="E2312">
        <v>55</v>
      </c>
      <c r="F2312" t="s">
        <v>363</v>
      </c>
      <c r="G2312" t="s">
        <v>381</v>
      </c>
      <c r="H2312" t="s">
        <v>304</v>
      </c>
      <c r="I2312" t="s">
        <v>302</v>
      </c>
      <c r="J2312" t="s">
        <v>363</v>
      </c>
      <c r="L2312" t="b">
        <v>1</v>
      </c>
      <c r="M2312" t="s">
        <v>1332</v>
      </c>
      <c r="N2312" t="s">
        <v>8245</v>
      </c>
      <c r="O2312" s="1">
        <v>24610</v>
      </c>
      <c r="P2312" t="s">
        <v>7366</v>
      </c>
      <c r="Q2312" t="s">
        <v>1040</v>
      </c>
      <c r="S2312" s="1">
        <v>45020.209027777775</v>
      </c>
      <c r="V2312">
        <v>1967</v>
      </c>
      <c r="W2312">
        <v>180.75</v>
      </c>
      <c r="X2312">
        <v>4.5</v>
      </c>
      <c r="Y2312" s="2">
        <v>1699876578871</v>
      </c>
      <c r="Z2312">
        <v>81.900000000000006</v>
      </c>
      <c r="AA2312">
        <v>102.6</v>
      </c>
      <c r="AB2312">
        <v>11.4</v>
      </c>
      <c r="AC2312">
        <v>46.2</v>
      </c>
      <c r="AD2312">
        <v>144373535</v>
      </c>
    </row>
    <row r="2313" spans="1:30" hidden="1" x14ac:dyDescent="0.45">
      <c r="A2313">
        <v>2259</v>
      </c>
      <c r="B2313">
        <v>1200</v>
      </c>
      <c r="C2313" t="s">
        <v>296</v>
      </c>
      <c r="D2313" t="s">
        <v>7367</v>
      </c>
      <c r="F2313" t="s">
        <v>194</v>
      </c>
      <c r="G2313" t="s">
        <v>3607</v>
      </c>
      <c r="H2313" t="s">
        <v>3991</v>
      </c>
      <c r="I2313" t="s">
        <v>296</v>
      </c>
      <c r="J2313" t="s">
        <v>194</v>
      </c>
      <c r="L2313" t="b">
        <v>0</v>
      </c>
      <c r="M2313" t="s">
        <v>39</v>
      </c>
      <c r="N2313" t="s">
        <v>8246</v>
      </c>
      <c r="O2313"/>
      <c r="P2313" t="s">
        <v>7368</v>
      </c>
      <c r="Q2313" t="s">
        <v>7369</v>
      </c>
      <c r="S2313" s="1">
        <v>45020.209027777775</v>
      </c>
      <c r="W2313">
        <v>112.85</v>
      </c>
      <c r="X2313">
        <v>1.4</v>
      </c>
      <c r="Y2313" s="2">
        <v>3845630030824</v>
      </c>
      <c r="Z2313">
        <v>70.2</v>
      </c>
      <c r="AA2313">
        <v>104</v>
      </c>
      <c r="AB2313">
        <v>11.5</v>
      </c>
      <c r="AC2313">
        <v>48.8</v>
      </c>
      <c r="AD2313">
        <v>83132799</v>
      </c>
    </row>
    <row r="2314" spans="1:30" hidden="1" x14ac:dyDescent="0.45">
      <c r="A2314">
        <v>2259</v>
      </c>
      <c r="B2314">
        <v>1200</v>
      </c>
      <c r="C2314" t="s">
        <v>296</v>
      </c>
      <c r="D2314" t="s">
        <v>7370</v>
      </c>
      <c r="F2314" t="s">
        <v>194</v>
      </c>
      <c r="G2314" t="s">
        <v>7371</v>
      </c>
      <c r="H2314" t="s">
        <v>3991</v>
      </c>
      <c r="I2314" t="s">
        <v>296</v>
      </c>
      <c r="J2314" t="s">
        <v>194</v>
      </c>
      <c r="L2314" t="b">
        <v>0</v>
      </c>
      <c r="M2314" t="s">
        <v>39</v>
      </c>
      <c r="N2314" t="s">
        <v>8245</v>
      </c>
      <c r="O2314"/>
      <c r="P2314" t="s">
        <v>7368</v>
      </c>
      <c r="Q2314" t="s">
        <v>596</v>
      </c>
      <c r="S2314" s="1">
        <v>45020.209027777775</v>
      </c>
      <c r="W2314">
        <v>112.85</v>
      </c>
      <c r="X2314">
        <v>1.4</v>
      </c>
      <c r="Y2314" s="2">
        <v>3845630030824</v>
      </c>
      <c r="Z2314">
        <v>70.2</v>
      </c>
      <c r="AA2314">
        <v>104</v>
      </c>
      <c r="AB2314">
        <v>11.5</v>
      </c>
      <c r="AC2314">
        <v>48.8</v>
      </c>
      <c r="AD2314">
        <v>83132799</v>
      </c>
    </row>
    <row r="2315" spans="1:30" hidden="1" x14ac:dyDescent="0.45">
      <c r="A2315">
        <v>2259</v>
      </c>
      <c r="B2315">
        <v>1200</v>
      </c>
      <c r="C2315" t="s">
        <v>33</v>
      </c>
      <c r="D2315" t="s">
        <v>7372</v>
      </c>
      <c r="E2315">
        <v>86</v>
      </c>
      <c r="F2315" t="s">
        <v>93</v>
      </c>
      <c r="G2315" t="s">
        <v>4546</v>
      </c>
      <c r="H2315" t="s">
        <v>752</v>
      </c>
      <c r="I2315" t="s">
        <v>33</v>
      </c>
      <c r="J2315" t="s">
        <v>93</v>
      </c>
      <c r="L2315" t="b">
        <v>0</v>
      </c>
      <c r="M2315" t="s">
        <v>29</v>
      </c>
      <c r="N2315" t="s">
        <v>8245</v>
      </c>
      <c r="O2315" s="1">
        <v>13508</v>
      </c>
      <c r="P2315" t="s">
        <v>7373</v>
      </c>
      <c r="Q2315" t="s">
        <v>7374</v>
      </c>
      <c r="S2315" s="1">
        <v>45020.209027777775</v>
      </c>
      <c r="V2315">
        <v>1936</v>
      </c>
      <c r="W2315">
        <v>180.44</v>
      </c>
      <c r="X2315">
        <v>7.7</v>
      </c>
      <c r="Y2315" s="2">
        <v>2611000000000</v>
      </c>
      <c r="Z2315">
        <v>28.1</v>
      </c>
      <c r="AA2315">
        <v>113</v>
      </c>
      <c r="AB2315">
        <v>11.2</v>
      </c>
      <c r="AC2315">
        <v>49.7</v>
      </c>
      <c r="AD2315">
        <v>1366417754</v>
      </c>
    </row>
    <row r="2316" spans="1:30" hidden="1" x14ac:dyDescent="0.45">
      <c r="A2316">
        <v>2259</v>
      </c>
      <c r="B2316">
        <v>1200</v>
      </c>
      <c r="C2316" t="s">
        <v>76</v>
      </c>
      <c r="D2316" t="s">
        <v>7375</v>
      </c>
      <c r="E2316">
        <v>63</v>
      </c>
      <c r="F2316" t="s">
        <v>164</v>
      </c>
      <c r="G2316" t="s">
        <v>1797</v>
      </c>
      <c r="H2316" t="s">
        <v>7376</v>
      </c>
      <c r="I2316" t="s">
        <v>76</v>
      </c>
      <c r="J2316" t="s">
        <v>164</v>
      </c>
      <c r="K2316" t="s">
        <v>7376</v>
      </c>
      <c r="L2316" t="b">
        <v>1</v>
      </c>
      <c r="M2316" t="s">
        <v>611</v>
      </c>
      <c r="N2316" t="s">
        <v>8245</v>
      </c>
      <c r="O2316" s="1">
        <v>21916</v>
      </c>
      <c r="P2316" t="s">
        <v>7377</v>
      </c>
      <c r="Q2316" t="s">
        <v>7378</v>
      </c>
      <c r="R2316" t="s">
        <v>2846</v>
      </c>
      <c r="S2316" s="1">
        <v>45020.209027777775</v>
      </c>
      <c r="V2316">
        <v>1960</v>
      </c>
      <c r="W2316">
        <v>116.76</v>
      </c>
      <c r="X2316">
        <v>1.9</v>
      </c>
      <c r="Y2316" s="2">
        <v>1736425629520</v>
      </c>
      <c r="Z2316">
        <v>68.900000000000006</v>
      </c>
      <c r="AA2316">
        <v>100.9</v>
      </c>
      <c r="AB2316">
        <v>12.8</v>
      </c>
      <c r="AC2316">
        <v>24.5</v>
      </c>
      <c r="AD2316">
        <v>36991981</v>
      </c>
    </row>
    <row r="2317" spans="1:30" hidden="1" x14ac:dyDescent="0.45">
      <c r="A2317">
        <v>2259</v>
      </c>
      <c r="B2317">
        <v>1200</v>
      </c>
      <c r="C2317" t="s">
        <v>45</v>
      </c>
      <c r="D2317" t="s">
        <v>7379</v>
      </c>
      <c r="E2317">
        <v>45</v>
      </c>
      <c r="F2317" t="s">
        <v>928</v>
      </c>
      <c r="H2317" t="s">
        <v>7380</v>
      </c>
      <c r="I2317" t="s">
        <v>45</v>
      </c>
      <c r="J2317" t="s">
        <v>928</v>
      </c>
      <c r="L2317" t="b">
        <v>1</v>
      </c>
      <c r="M2317" t="s">
        <v>258</v>
      </c>
      <c r="N2317" t="s">
        <v>8245</v>
      </c>
      <c r="O2317" s="1">
        <v>28522</v>
      </c>
      <c r="P2317" t="s">
        <v>305</v>
      </c>
      <c r="Q2317" t="s">
        <v>7381</v>
      </c>
      <c r="S2317" s="1">
        <v>45020.209027777775</v>
      </c>
      <c r="V2317">
        <v>1978</v>
      </c>
      <c r="W2317">
        <v>115.16</v>
      </c>
      <c r="X2317">
        <v>0.4</v>
      </c>
      <c r="Y2317" s="2">
        <v>2029000000000</v>
      </c>
      <c r="Z2317">
        <v>94.3</v>
      </c>
      <c r="AA2317">
        <v>98.1</v>
      </c>
      <c r="AB2317">
        <v>15.6</v>
      </c>
      <c r="AC2317">
        <v>33.200000000000003</v>
      </c>
      <c r="AD2317">
        <v>51709098</v>
      </c>
    </row>
    <row r="2318" spans="1:30" hidden="1" x14ac:dyDescent="0.45">
      <c r="A2318">
        <v>2259</v>
      </c>
      <c r="B2318">
        <v>1200</v>
      </c>
      <c r="C2318" t="s">
        <v>296</v>
      </c>
      <c r="D2318" t="s">
        <v>7382</v>
      </c>
      <c r="E2318">
        <v>53</v>
      </c>
      <c r="F2318" t="s">
        <v>128</v>
      </c>
      <c r="G2318" t="s">
        <v>129</v>
      </c>
      <c r="H2318" t="s">
        <v>7383</v>
      </c>
      <c r="I2318" t="s">
        <v>296</v>
      </c>
      <c r="J2318" t="s">
        <v>128</v>
      </c>
      <c r="L2318" t="b">
        <v>1</v>
      </c>
      <c r="M2318" t="s">
        <v>39</v>
      </c>
      <c r="N2318" t="s">
        <v>8245</v>
      </c>
      <c r="O2318" s="1">
        <v>25621</v>
      </c>
      <c r="P2318" t="s">
        <v>230</v>
      </c>
      <c r="Q2318" t="s">
        <v>7384</v>
      </c>
      <c r="S2318" s="1">
        <v>45020.209027777775</v>
      </c>
      <c r="V2318">
        <v>1970</v>
      </c>
      <c r="W2318">
        <v>125.08</v>
      </c>
      <c r="X2318">
        <v>2.9</v>
      </c>
      <c r="Y2318" s="2">
        <v>19910000000000</v>
      </c>
      <c r="Z2318">
        <v>50.6</v>
      </c>
      <c r="AA2318">
        <v>100.2</v>
      </c>
      <c r="AB2318">
        <v>9.4</v>
      </c>
      <c r="AC2318">
        <v>59.2</v>
      </c>
      <c r="AD2318">
        <v>1397715000</v>
      </c>
    </row>
    <row r="2319" spans="1:30" hidden="1" x14ac:dyDescent="0.45">
      <c r="A2319">
        <v>2259</v>
      </c>
      <c r="B2319">
        <v>1200</v>
      </c>
      <c r="C2319" t="s">
        <v>402</v>
      </c>
      <c r="D2319" t="s">
        <v>3824</v>
      </c>
      <c r="E2319">
        <v>59</v>
      </c>
      <c r="F2319" t="s">
        <v>128</v>
      </c>
      <c r="G2319" t="s">
        <v>234</v>
      </c>
      <c r="H2319" t="s">
        <v>610</v>
      </c>
      <c r="I2319" t="s">
        <v>402</v>
      </c>
      <c r="J2319" t="s">
        <v>128</v>
      </c>
      <c r="L2319" t="b">
        <v>1</v>
      </c>
      <c r="M2319" t="s">
        <v>39</v>
      </c>
      <c r="N2319" t="s">
        <v>8245</v>
      </c>
      <c r="O2319" s="1">
        <v>23416</v>
      </c>
      <c r="P2319" t="s">
        <v>230</v>
      </c>
      <c r="Q2319" t="s">
        <v>230</v>
      </c>
      <c r="S2319" s="1">
        <v>45020.209027777775</v>
      </c>
      <c r="V2319">
        <v>1964</v>
      </c>
      <c r="W2319">
        <v>125.08</v>
      </c>
      <c r="X2319">
        <v>2.9</v>
      </c>
      <c r="Y2319" s="2">
        <v>19910000000000</v>
      </c>
      <c r="Z2319">
        <v>50.6</v>
      </c>
      <c r="AA2319">
        <v>100.2</v>
      </c>
      <c r="AB2319">
        <v>9.4</v>
      </c>
      <c r="AC2319">
        <v>59.2</v>
      </c>
      <c r="AD2319">
        <v>1397715000</v>
      </c>
    </row>
    <row r="2320" spans="1:30" hidden="1" x14ac:dyDescent="0.45">
      <c r="A2320">
        <v>2259</v>
      </c>
      <c r="B2320">
        <v>1200</v>
      </c>
      <c r="C2320" t="s">
        <v>402</v>
      </c>
      <c r="D2320" t="s">
        <v>7385</v>
      </c>
      <c r="E2320">
        <v>43</v>
      </c>
      <c r="F2320" t="s">
        <v>128</v>
      </c>
      <c r="G2320" t="s">
        <v>187</v>
      </c>
      <c r="H2320" t="s">
        <v>7386</v>
      </c>
      <c r="I2320" t="s">
        <v>402</v>
      </c>
      <c r="J2320" t="s">
        <v>128</v>
      </c>
      <c r="L2320" t="b">
        <v>1</v>
      </c>
      <c r="M2320" t="s">
        <v>39</v>
      </c>
      <c r="N2320" t="s">
        <v>8245</v>
      </c>
      <c r="O2320" s="1">
        <v>29160</v>
      </c>
      <c r="P2320" t="s">
        <v>230</v>
      </c>
      <c r="Q2320" t="s">
        <v>7387</v>
      </c>
      <c r="S2320" s="1">
        <v>45020.209027777775</v>
      </c>
      <c r="V2320">
        <v>1979</v>
      </c>
      <c r="W2320">
        <v>125.08</v>
      </c>
      <c r="X2320">
        <v>2.9</v>
      </c>
      <c r="Y2320" s="2">
        <v>19910000000000</v>
      </c>
      <c r="Z2320">
        <v>50.6</v>
      </c>
      <c r="AA2320">
        <v>100.2</v>
      </c>
      <c r="AB2320">
        <v>9.4</v>
      </c>
      <c r="AC2320">
        <v>59.2</v>
      </c>
      <c r="AD2320">
        <v>1397715000</v>
      </c>
    </row>
    <row r="2321" spans="1:30" hidden="1" x14ac:dyDescent="0.45">
      <c r="A2321">
        <v>2259</v>
      </c>
      <c r="B2321">
        <v>1200</v>
      </c>
      <c r="C2321" t="s">
        <v>296</v>
      </c>
      <c r="D2321" t="s">
        <v>7388</v>
      </c>
      <c r="E2321">
        <v>59</v>
      </c>
      <c r="F2321" t="s">
        <v>128</v>
      </c>
      <c r="G2321" t="s">
        <v>1302</v>
      </c>
      <c r="H2321" t="s">
        <v>1519</v>
      </c>
      <c r="I2321" t="s">
        <v>296</v>
      </c>
      <c r="J2321" t="s">
        <v>128</v>
      </c>
      <c r="L2321" t="b">
        <v>1</v>
      </c>
      <c r="M2321" t="s">
        <v>39</v>
      </c>
      <c r="N2321" t="s">
        <v>8245</v>
      </c>
      <c r="O2321" s="1">
        <v>23399</v>
      </c>
      <c r="P2321" t="s">
        <v>230</v>
      </c>
      <c r="Q2321" t="s">
        <v>7389</v>
      </c>
      <c r="S2321" s="1">
        <v>45020.209027777775</v>
      </c>
      <c r="V2321">
        <v>1964</v>
      </c>
      <c r="W2321">
        <v>125.08</v>
      </c>
      <c r="X2321">
        <v>2.9</v>
      </c>
      <c r="Y2321" s="2">
        <v>19910000000000</v>
      </c>
      <c r="Z2321">
        <v>50.6</v>
      </c>
      <c r="AA2321">
        <v>100.2</v>
      </c>
      <c r="AB2321">
        <v>9.4</v>
      </c>
      <c r="AC2321">
        <v>59.2</v>
      </c>
      <c r="AD2321">
        <v>1397715000</v>
      </c>
    </row>
    <row r="2322" spans="1:30" hidden="1" x14ac:dyDescent="0.45">
      <c r="A2322">
        <v>2259</v>
      </c>
      <c r="B2322">
        <v>1200</v>
      </c>
      <c r="C2322" t="s">
        <v>296</v>
      </c>
      <c r="D2322" t="s">
        <v>7390</v>
      </c>
      <c r="E2322">
        <v>59</v>
      </c>
      <c r="F2322" t="s">
        <v>128</v>
      </c>
      <c r="G2322" t="s">
        <v>234</v>
      </c>
      <c r="H2322" t="s">
        <v>2720</v>
      </c>
      <c r="I2322" t="s">
        <v>296</v>
      </c>
      <c r="J2322" t="s">
        <v>128</v>
      </c>
      <c r="L2322" t="b">
        <v>1</v>
      </c>
      <c r="M2322" t="s">
        <v>39</v>
      </c>
      <c r="N2322" t="s">
        <v>8245</v>
      </c>
      <c r="O2322" s="1">
        <v>23255</v>
      </c>
      <c r="P2322" t="s">
        <v>1446</v>
      </c>
      <c r="Q2322" t="s">
        <v>7391</v>
      </c>
      <c r="S2322" s="1">
        <v>45020.209027777775</v>
      </c>
      <c r="V2322">
        <v>1963</v>
      </c>
      <c r="W2322">
        <v>125.08</v>
      </c>
      <c r="X2322">
        <v>2.9</v>
      </c>
      <c r="Y2322" s="2">
        <v>19910000000000</v>
      </c>
      <c r="Z2322">
        <v>50.6</v>
      </c>
      <c r="AA2322">
        <v>100.2</v>
      </c>
      <c r="AB2322">
        <v>9.4</v>
      </c>
      <c r="AC2322">
        <v>59.2</v>
      </c>
      <c r="AD2322">
        <v>1397715000</v>
      </c>
    </row>
    <row r="2323" spans="1:30" hidden="1" x14ac:dyDescent="0.45">
      <c r="A2323">
        <v>2259</v>
      </c>
      <c r="B2323">
        <v>1200</v>
      </c>
      <c r="C2323" t="s">
        <v>347</v>
      </c>
      <c r="D2323" t="s">
        <v>7392</v>
      </c>
      <c r="E2323">
        <v>60</v>
      </c>
      <c r="F2323" t="s">
        <v>228</v>
      </c>
      <c r="G2323" t="s">
        <v>228</v>
      </c>
      <c r="H2323" t="s">
        <v>1734</v>
      </c>
      <c r="I2323" t="s">
        <v>347</v>
      </c>
      <c r="J2323" t="s">
        <v>128</v>
      </c>
      <c r="L2323" t="b">
        <v>1</v>
      </c>
      <c r="M2323" t="s">
        <v>39</v>
      </c>
      <c r="N2323" t="s">
        <v>8245</v>
      </c>
      <c r="O2323" s="1">
        <v>23012</v>
      </c>
      <c r="P2323" t="s">
        <v>779</v>
      </c>
      <c r="Q2323" t="s">
        <v>7393</v>
      </c>
      <c r="S2323" s="1">
        <v>45020.209027777775</v>
      </c>
      <c r="V2323">
        <v>1963</v>
      </c>
      <c r="W2323"/>
      <c r="Y2323"/>
    </row>
    <row r="2324" spans="1:30" x14ac:dyDescent="0.45">
      <c r="A2324">
        <v>2259</v>
      </c>
      <c r="B2324" s="6">
        <v>1200</v>
      </c>
      <c r="C2324" t="s">
        <v>45</v>
      </c>
      <c r="D2324" t="s">
        <v>7394</v>
      </c>
      <c r="E2324">
        <v>68</v>
      </c>
      <c r="F2324" t="s">
        <v>35</v>
      </c>
      <c r="G2324" t="s">
        <v>2472</v>
      </c>
      <c r="H2324" t="s">
        <v>856</v>
      </c>
      <c r="I2324" t="s">
        <v>45</v>
      </c>
      <c r="J2324" t="s">
        <v>35</v>
      </c>
      <c r="K2324" t="s">
        <v>7395</v>
      </c>
      <c r="L2324" t="b">
        <v>1</v>
      </c>
      <c r="M2324" t="s">
        <v>39</v>
      </c>
      <c r="N2324" t="s">
        <v>8245</v>
      </c>
      <c r="O2324" s="10">
        <v>20052</v>
      </c>
      <c r="P2324" t="s">
        <v>7396</v>
      </c>
      <c r="Q2324" t="s">
        <v>7397</v>
      </c>
      <c r="R2324" t="s">
        <v>7398</v>
      </c>
      <c r="S2324" s="8">
        <v>45020.209027777775</v>
      </c>
      <c r="T2324" t="s">
        <v>115</v>
      </c>
      <c r="U2324" t="s">
        <v>53</v>
      </c>
      <c r="V2324">
        <v>1954</v>
      </c>
      <c r="W2324" s="12">
        <v>117.24</v>
      </c>
      <c r="X2324">
        <v>7.5</v>
      </c>
      <c r="Y2324" s="14">
        <v>21427700000000</v>
      </c>
      <c r="Z2324">
        <v>88.2</v>
      </c>
      <c r="AA2324">
        <v>101.8</v>
      </c>
      <c r="AB2324">
        <v>9.6</v>
      </c>
      <c r="AC2324">
        <v>36.6</v>
      </c>
      <c r="AD2324">
        <v>328239523</v>
      </c>
    </row>
    <row r="2325" spans="1:30" hidden="1" x14ac:dyDescent="0.45">
      <c r="A2325">
        <v>2259</v>
      </c>
      <c r="B2325">
        <v>1200</v>
      </c>
      <c r="C2325" t="s">
        <v>126</v>
      </c>
      <c r="D2325" t="s">
        <v>7399</v>
      </c>
      <c r="E2325">
        <v>63</v>
      </c>
      <c r="F2325" t="s">
        <v>35</v>
      </c>
      <c r="G2325" t="s">
        <v>7400</v>
      </c>
      <c r="H2325" t="s">
        <v>1509</v>
      </c>
      <c r="I2325" t="s">
        <v>126</v>
      </c>
      <c r="J2325" t="s">
        <v>35</v>
      </c>
      <c r="L2325" t="b">
        <v>0</v>
      </c>
      <c r="M2325" t="s">
        <v>39</v>
      </c>
      <c r="N2325" t="s">
        <v>8245</v>
      </c>
      <c r="O2325" s="1">
        <v>21905</v>
      </c>
      <c r="P2325" t="s">
        <v>5456</v>
      </c>
      <c r="Q2325" t="s">
        <v>1509</v>
      </c>
      <c r="S2325" s="1">
        <v>45020.209027777775</v>
      </c>
      <c r="T2325" t="s">
        <v>820</v>
      </c>
      <c r="U2325" t="s">
        <v>53</v>
      </c>
      <c r="V2325">
        <v>1959</v>
      </c>
      <c r="W2325">
        <v>117.24</v>
      </c>
      <c r="X2325">
        <v>7.5</v>
      </c>
      <c r="Y2325" s="2">
        <v>21427700000000</v>
      </c>
      <c r="Z2325">
        <v>88.2</v>
      </c>
      <c r="AA2325">
        <v>101.8</v>
      </c>
      <c r="AB2325">
        <v>9.6</v>
      </c>
      <c r="AC2325">
        <v>36.6</v>
      </c>
      <c r="AD2325">
        <v>328239523</v>
      </c>
    </row>
    <row r="2326" spans="1:30" hidden="1" x14ac:dyDescent="0.45">
      <c r="A2326">
        <v>2259</v>
      </c>
      <c r="B2326">
        <v>1200</v>
      </c>
      <c r="C2326" t="s">
        <v>126</v>
      </c>
      <c r="D2326" t="s">
        <v>7401</v>
      </c>
      <c r="E2326">
        <v>73</v>
      </c>
      <c r="F2326" t="s">
        <v>35</v>
      </c>
      <c r="G2326" t="s">
        <v>7402</v>
      </c>
      <c r="H2326" t="s">
        <v>1509</v>
      </c>
      <c r="I2326" t="s">
        <v>126</v>
      </c>
      <c r="J2326" t="s">
        <v>35</v>
      </c>
      <c r="L2326" t="b">
        <v>0</v>
      </c>
      <c r="M2326" t="s">
        <v>39</v>
      </c>
      <c r="N2326" t="s">
        <v>8245</v>
      </c>
      <c r="O2326" s="1">
        <v>18161</v>
      </c>
      <c r="P2326" t="s">
        <v>5456</v>
      </c>
      <c r="Q2326" t="s">
        <v>225</v>
      </c>
      <c r="S2326" s="1">
        <v>45020.209027777775</v>
      </c>
      <c r="T2326" t="s">
        <v>4158</v>
      </c>
      <c r="U2326" t="s">
        <v>69</v>
      </c>
      <c r="V2326">
        <v>1949</v>
      </c>
      <c r="W2326">
        <v>117.24</v>
      </c>
      <c r="X2326">
        <v>7.5</v>
      </c>
      <c r="Y2326" s="2">
        <v>21427700000000</v>
      </c>
      <c r="Z2326">
        <v>88.2</v>
      </c>
      <c r="AA2326">
        <v>101.8</v>
      </c>
      <c r="AB2326">
        <v>9.6</v>
      </c>
      <c r="AC2326">
        <v>36.6</v>
      </c>
      <c r="AD2326">
        <v>328239523</v>
      </c>
    </row>
    <row r="2327" spans="1:30" hidden="1" x14ac:dyDescent="0.45">
      <c r="A2327">
        <v>2259</v>
      </c>
      <c r="B2327">
        <v>1200</v>
      </c>
      <c r="C2327" t="s">
        <v>126</v>
      </c>
      <c r="D2327" t="s">
        <v>7403</v>
      </c>
      <c r="E2327">
        <v>71</v>
      </c>
      <c r="F2327" t="s">
        <v>35</v>
      </c>
      <c r="G2327" t="s">
        <v>7404</v>
      </c>
      <c r="H2327" t="s">
        <v>1509</v>
      </c>
      <c r="I2327" t="s">
        <v>126</v>
      </c>
      <c r="J2327" t="s">
        <v>35</v>
      </c>
      <c r="L2327" t="b">
        <v>0</v>
      </c>
      <c r="M2327" t="s">
        <v>39</v>
      </c>
      <c r="N2327" t="s">
        <v>8246</v>
      </c>
      <c r="O2327" s="1">
        <v>18902</v>
      </c>
      <c r="P2327" t="s">
        <v>5456</v>
      </c>
      <c r="Q2327" t="s">
        <v>2902</v>
      </c>
      <c r="S2327" s="1">
        <v>45020.209027777775</v>
      </c>
      <c r="T2327" t="s">
        <v>4158</v>
      </c>
      <c r="U2327" t="s">
        <v>69</v>
      </c>
      <c r="V2327">
        <v>1951</v>
      </c>
      <c r="W2327">
        <v>117.24</v>
      </c>
      <c r="X2327">
        <v>7.5</v>
      </c>
      <c r="Y2327" s="2">
        <v>21427700000000</v>
      </c>
      <c r="Z2327">
        <v>88.2</v>
      </c>
      <c r="AA2327">
        <v>101.8</v>
      </c>
      <c r="AB2327">
        <v>9.6</v>
      </c>
      <c r="AC2327">
        <v>36.6</v>
      </c>
      <c r="AD2327">
        <v>328239523</v>
      </c>
    </row>
    <row r="2328" spans="1:30" hidden="1" x14ac:dyDescent="0.45">
      <c r="A2328">
        <v>2259</v>
      </c>
      <c r="B2328">
        <v>1200</v>
      </c>
      <c r="C2328" t="s">
        <v>126</v>
      </c>
      <c r="D2328" t="s">
        <v>7405</v>
      </c>
      <c r="E2328">
        <v>68</v>
      </c>
      <c r="F2328" t="s">
        <v>35</v>
      </c>
      <c r="G2328" t="s">
        <v>7406</v>
      </c>
      <c r="H2328" t="s">
        <v>1509</v>
      </c>
      <c r="I2328" t="s">
        <v>126</v>
      </c>
      <c r="J2328" t="s">
        <v>35</v>
      </c>
      <c r="L2328" t="b">
        <v>0</v>
      </c>
      <c r="M2328" t="s">
        <v>39</v>
      </c>
      <c r="N2328" t="s">
        <v>8245</v>
      </c>
      <c r="O2328" s="1">
        <v>19869</v>
      </c>
      <c r="P2328" t="s">
        <v>5456</v>
      </c>
      <c r="Q2328" t="s">
        <v>338</v>
      </c>
      <c r="S2328" s="1">
        <v>45020.209027777775</v>
      </c>
      <c r="T2328" t="s">
        <v>820</v>
      </c>
      <c r="U2328" t="s">
        <v>53</v>
      </c>
      <c r="V2328">
        <v>1954</v>
      </c>
      <c r="W2328">
        <v>117.24</v>
      </c>
      <c r="X2328">
        <v>7.5</v>
      </c>
      <c r="Y2328" s="2">
        <v>21427700000000</v>
      </c>
      <c r="Z2328">
        <v>88.2</v>
      </c>
      <c r="AA2328">
        <v>101.8</v>
      </c>
      <c r="AB2328">
        <v>9.6</v>
      </c>
      <c r="AC2328">
        <v>36.6</v>
      </c>
      <c r="AD2328">
        <v>328239523</v>
      </c>
    </row>
    <row r="2329" spans="1:30" hidden="1" x14ac:dyDescent="0.45">
      <c r="A2329">
        <v>2259</v>
      </c>
      <c r="B2329">
        <v>1200</v>
      </c>
      <c r="C2329" t="s">
        <v>91</v>
      </c>
      <c r="D2329" t="s">
        <v>7407</v>
      </c>
      <c r="E2329">
        <v>99</v>
      </c>
      <c r="F2329" t="s">
        <v>93</v>
      </c>
      <c r="G2329" t="s">
        <v>94</v>
      </c>
      <c r="H2329" t="s">
        <v>91</v>
      </c>
      <c r="I2329" t="s">
        <v>91</v>
      </c>
      <c r="J2329" t="s">
        <v>93</v>
      </c>
      <c r="L2329" t="b">
        <v>0</v>
      </c>
      <c r="M2329" t="s">
        <v>1332</v>
      </c>
      <c r="N2329" t="s">
        <v>8245</v>
      </c>
      <c r="O2329" s="1">
        <v>8683</v>
      </c>
      <c r="P2329" t="s">
        <v>5059</v>
      </c>
      <c r="Q2329" t="s">
        <v>7408</v>
      </c>
      <c r="S2329" s="1">
        <v>45020.209027777775</v>
      </c>
      <c r="V2329">
        <v>1923</v>
      </c>
      <c r="W2329">
        <v>180.44</v>
      </c>
      <c r="X2329">
        <v>7.7</v>
      </c>
      <c r="Y2329" s="2">
        <v>2611000000000</v>
      </c>
      <c r="Z2329">
        <v>28.1</v>
      </c>
      <c r="AA2329">
        <v>113</v>
      </c>
      <c r="AB2329">
        <v>11.2</v>
      </c>
      <c r="AC2329">
        <v>49.7</v>
      </c>
      <c r="AD2329">
        <v>1366417754</v>
      </c>
    </row>
    <row r="2330" spans="1:30" hidden="1" x14ac:dyDescent="0.45">
      <c r="A2330">
        <v>2259</v>
      </c>
      <c r="B2330">
        <v>1200</v>
      </c>
      <c r="C2330" t="s">
        <v>296</v>
      </c>
      <c r="D2330" t="s">
        <v>7409</v>
      </c>
      <c r="E2330">
        <v>60</v>
      </c>
      <c r="F2330" t="s">
        <v>128</v>
      </c>
      <c r="G2330" t="s">
        <v>678</v>
      </c>
      <c r="H2330" t="s">
        <v>296</v>
      </c>
      <c r="I2330" t="s">
        <v>296</v>
      </c>
      <c r="J2330" t="s">
        <v>128</v>
      </c>
      <c r="L2330" t="b">
        <v>1</v>
      </c>
      <c r="M2330" t="s">
        <v>39</v>
      </c>
      <c r="N2330" t="s">
        <v>8245</v>
      </c>
      <c r="O2330" s="1">
        <v>22871</v>
      </c>
      <c r="P2330" t="s">
        <v>6750</v>
      </c>
      <c r="Q2330" t="s">
        <v>7410</v>
      </c>
      <c r="S2330" s="1">
        <v>45020.209027777775</v>
      </c>
      <c r="V2330">
        <v>1962</v>
      </c>
      <c r="W2330">
        <v>125.08</v>
      </c>
      <c r="X2330">
        <v>2.9</v>
      </c>
      <c r="Y2330" s="2">
        <v>19910000000000</v>
      </c>
      <c r="Z2330">
        <v>50.6</v>
      </c>
      <c r="AA2330">
        <v>100.2</v>
      </c>
      <c r="AB2330">
        <v>9.4</v>
      </c>
      <c r="AC2330">
        <v>59.2</v>
      </c>
      <c r="AD2330">
        <v>1397715000</v>
      </c>
    </row>
    <row r="2331" spans="1:30" hidden="1" x14ac:dyDescent="0.45">
      <c r="A2331">
        <v>2259</v>
      </c>
      <c r="B2331">
        <v>1200</v>
      </c>
      <c r="C2331" t="s">
        <v>689</v>
      </c>
      <c r="D2331" t="s">
        <v>7411</v>
      </c>
      <c r="E2331">
        <v>60</v>
      </c>
      <c r="F2331" t="s">
        <v>35</v>
      </c>
      <c r="G2331" t="s">
        <v>247</v>
      </c>
      <c r="H2331" t="s">
        <v>2481</v>
      </c>
      <c r="I2331" t="s">
        <v>689</v>
      </c>
      <c r="J2331" t="s">
        <v>35</v>
      </c>
      <c r="L2331" t="b">
        <v>0</v>
      </c>
      <c r="M2331" t="s">
        <v>29</v>
      </c>
      <c r="N2331" t="s">
        <v>8245</v>
      </c>
      <c r="O2331" s="1">
        <v>23070</v>
      </c>
      <c r="P2331" t="s">
        <v>7412</v>
      </c>
      <c r="Q2331" t="s">
        <v>2836</v>
      </c>
      <c r="S2331" s="1">
        <v>45020.209027777775</v>
      </c>
      <c r="T2331" t="s">
        <v>253</v>
      </c>
      <c r="U2331" t="s">
        <v>44</v>
      </c>
      <c r="V2331">
        <v>1963</v>
      </c>
      <c r="W2331">
        <v>117.24</v>
      </c>
      <c r="X2331">
        <v>7.5</v>
      </c>
      <c r="Y2331" s="2">
        <v>21427700000000</v>
      </c>
      <c r="Z2331">
        <v>88.2</v>
      </c>
      <c r="AA2331">
        <v>101.8</v>
      </c>
      <c r="AB2331">
        <v>9.6</v>
      </c>
      <c r="AC2331">
        <v>36.6</v>
      </c>
      <c r="AD2331">
        <v>328239523</v>
      </c>
    </row>
    <row r="2332" spans="1:30" hidden="1" x14ac:dyDescent="0.45">
      <c r="A2332">
        <v>2259</v>
      </c>
      <c r="B2332">
        <v>1200</v>
      </c>
      <c r="C2332" t="s">
        <v>91</v>
      </c>
      <c r="D2332" t="s">
        <v>7413</v>
      </c>
      <c r="E2332">
        <v>57</v>
      </c>
      <c r="F2332" t="s">
        <v>6316</v>
      </c>
      <c r="G2332" t="s">
        <v>7414</v>
      </c>
      <c r="H2332" t="s">
        <v>91</v>
      </c>
      <c r="I2332" t="s">
        <v>91</v>
      </c>
      <c r="J2332" t="s">
        <v>6316</v>
      </c>
      <c r="L2332" t="b">
        <v>1</v>
      </c>
      <c r="M2332" t="s">
        <v>611</v>
      </c>
      <c r="N2332" t="s">
        <v>8245</v>
      </c>
      <c r="O2332" s="1">
        <v>24163</v>
      </c>
      <c r="P2332" t="s">
        <v>7415</v>
      </c>
      <c r="Q2332" t="s">
        <v>7416</v>
      </c>
      <c r="S2332" s="1">
        <v>45020.209027777775</v>
      </c>
      <c r="V2332">
        <v>1966</v>
      </c>
      <c r="W2332">
        <v>121.64</v>
      </c>
      <c r="X2332">
        <v>3.3</v>
      </c>
      <c r="Y2332" s="2">
        <v>160967157504</v>
      </c>
      <c r="Z2332">
        <v>48.5</v>
      </c>
      <c r="AA2332">
        <v>100.8</v>
      </c>
      <c r="AB2332">
        <v>23</v>
      </c>
      <c r="AC2332">
        <v>37.9</v>
      </c>
      <c r="AD2332">
        <v>9769949</v>
      </c>
    </row>
    <row r="2333" spans="1:30" hidden="1" x14ac:dyDescent="0.45">
      <c r="A2333">
        <v>2259</v>
      </c>
      <c r="B2333">
        <v>1200</v>
      </c>
      <c r="C2333" t="s">
        <v>45</v>
      </c>
      <c r="D2333" t="s">
        <v>7417</v>
      </c>
      <c r="E2333">
        <v>66</v>
      </c>
      <c r="F2333" t="s">
        <v>35</v>
      </c>
      <c r="G2333" t="s">
        <v>7418</v>
      </c>
      <c r="H2333" t="s">
        <v>7419</v>
      </c>
      <c r="I2333" t="s">
        <v>45</v>
      </c>
      <c r="J2333" t="s">
        <v>35</v>
      </c>
      <c r="L2333" t="b">
        <v>1</v>
      </c>
      <c r="M2333" t="s">
        <v>29</v>
      </c>
      <c r="N2333" t="s">
        <v>8245</v>
      </c>
      <c r="O2333" s="1">
        <v>20654</v>
      </c>
      <c r="P2333" t="s">
        <v>81</v>
      </c>
      <c r="Q2333" t="s">
        <v>2498</v>
      </c>
      <c r="S2333" s="1">
        <v>45020.209027777775</v>
      </c>
      <c r="T2333" t="s">
        <v>4158</v>
      </c>
      <c r="U2333" t="s">
        <v>69</v>
      </c>
      <c r="V2333">
        <v>1956</v>
      </c>
      <c r="W2333">
        <v>117.24</v>
      </c>
      <c r="X2333">
        <v>7.5</v>
      </c>
      <c r="Y2333" s="2">
        <v>21427700000000</v>
      </c>
      <c r="Z2333">
        <v>88.2</v>
      </c>
      <c r="AA2333">
        <v>101.8</v>
      </c>
      <c r="AB2333">
        <v>9.6</v>
      </c>
      <c r="AC2333">
        <v>36.6</v>
      </c>
      <c r="AD2333">
        <v>328239523</v>
      </c>
    </row>
    <row r="2334" spans="1:30" hidden="1" x14ac:dyDescent="0.45">
      <c r="A2334">
        <v>2259</v>
      </c>
      <c r="B2334">
        <v>1200</v>
      </c>
      <c r="C2334" t="s">
        <v>402</v>
      </c>
      <c r="D2334" t="s">
        <v>7420</v>
      </c>
      <c r="E2334">
        <v>85</v>
      </c>
      <c r="F2334" t="s">
        <v>35</v>
      </c>
      <c r="G2334" t="s">
        <v>7421</v>
      </c>
      <c r="H2334" t="s">
        <v>6494</v>
      </c>
      <c r="I2334" t="s">
        <v>402</v>
      </c>
      <c r="J2334" t="s">
        <v>35</v>
      </c>
      <c r="L2334" t="b">
        <v>1</v>
      </c>
      <c r="M2334" t="s">
        <v>39</v>
      </c>
      <c r="N2334" t="s">
        <v>8245</v>
      </c>
      <c r="O2334" s="1">
        <v>13744</v>
      </c>
      <c r="P2334" t="s">
        <v>2750</v>
      </c>
      <c r="Q2334" t="s">
        <v>3026</v>
      </c>
      <c r="S2334" s="1">
        <v>45020.209027777775</v>
      </c>
      <c r="T2334" t="s">
        <v>311</v>
      </c>
      <c r="U2334" t="s">
        <v>82</v>
      </c>
      <c r="V2334">
        <v>1937</v>
      </c>
      <c r="W2334">
        <v>117.24</v>
      </c>
      <c r="X2334">
        <v>7.5</v>
      </c>
      <c r="Y2334" s="2">
        <v>21427700000000</v>
      </c>
      <c r="Z2334">
        <v>88.2</v>
      </c>
      <c r="AA2334">
        <v>101.8</v>
      </c>
      <c r="AB2334">
        <v>9.6</v>
      </c>
      <c r="AC2334">
        <v>36.6</v>
      </c>
      <c r="AD2334">
        <v>328239523</v>
      </c>
    </row>
    <row r="2335" spans="1:30" hidden="1" x14ac:dyDescent="0.45">
      <c r="A2335">
        <v>2259</v>
      </c>
      <c r="B2335">
        <v>1200</v>
      </c>
      <c r="C2335" t="s">
        <v>33</v>
      </c>
      <c r="D2335" t="s">
        <v>7422</v>
      </c>
      <c r="E2335">
        <v>82</v>
      </c>
      <c r="H2335" t="s">
        <v>7423</v>
      </c>
      <c r="I2335" t="s">
        <v>33</v>
      </c>
      <c r="J2335" t="s">
        <v>255</v>
      </c>
      <c r="L2335" t="b">
        <v>1</v>
      </c>
      <c r="M2335" t="s">
        <v>611</v>
      </c>
      <c r="N2335" t="s">
        <v>8245</v>
      </c>
      <c r="O2335" s="1">
        <v>14987</v>
      </c>
      <c r="P2335" t="s">
        <v>7424</v>
      </c>
      <c r="Q2335" t="s">
        <v>7425</v>
      </c>
      <c r="S2335" s="1">
        <v>45020.209027777775</v>
      </c>
      <c r="V2335">
        <v>1941</v>
      </c>
      <c r="W2335"/>
      <c r="Y2335"/>
    </row>
    <row r="2336" spans="1:30" hidden="1" x14ac:dyDescent="0.45">
      <c r="A2336">
        <v>2259</v>
      </c>
      <c r="B2336">
        <v>1200</v>
      </c>
      <c r="C2336" t="s">
        <v>91</v>
      </c>
      <c r="D2336" t="s">
        <v>7426</v>
      </c>
      <c r="E2336">
        <v>68</v>
      </c>
      <c r="F2336" t="s">
        <v>558</v>
      </c>
      <c r="G2336" t="s">
        <v>839</v>
      </c>
      <c r="H2336" t="s">
        <v>91</v>
      </c>
      <c r="I2336" t="s">
        <v>91</v>
      </c>
      <c r="J2336" t="s">
        <v>558</v>
      </c>
      <c r="L2336" t="b">
        <v>0</v>
      </c>
      <c r="M2336" t="s">
        <v>39</v>
      </c>
      <c r="N2336" t="s">
        <v>8246</v>
      </c>
      <c r="O2336" s="1">
        <v>20135</v>
      </c>
      <c r="P2336" t="s">
        <v>7427</v>
      </c>
      <c r="Q2336" t="s">
        <v>7428</v>
      </c>
      <c r="S2336" s="1">
        <v>45020.209027777775</v>
      </c>
      <c r="V2336">
        <v>1955</v>
      </c>
      <c r="W2336">
        <v>167.4</v>
      </c>
      <c r="X2336">
        <v>3.7</v>
      </c>
      <c r="Y2336" s="2">
        <v>1839758040766</v>
      </c>
      <c r="Z2336">
        <v>51.3</v>
      </c>
      <c r="AA2336">
        <v>115.4</v>
      </c>
      <c r="AB2336">
        <v>14.2</v>
      </c>
      <c r="AC2336">
        <v>65.099999999999994</v>
      </c>
      <c r="AD2336">
        <v>212559417</v>
      </c>
    </row>
    <row r="2337" spans="1:30" hidden="1" x14ac:dyDescent="0.45">
      <c r="A2337">
        <v>2259</v>
      </c>
      <c r="B2337">
        <v>1200</v>
      </c>
      <c r="C2337" t="s">
        <v>61</v>
      </c>
      <c r="D2337" t="s">
        <v>7429</v>
      </c>
      <c r="E2337">
        <v>50</v>
      </c>
      <c r="F2337" t="s">
        <v>35</v>
      </c>
      <c r="G2337" t="s">
        <v>78</v>
      </c>
      <c r="H2337" t="s">
        <v>930</v>
      </c>
      <c r="I2337" t="s">
        <v>61</v>
      </c>
      <c r="J2337" t="s">
        <v>35</v>
      </c>
      <c r="L2337" t="b">
        <v>1</v>
      </c>
      <c r="M2337" t="s">
        <v>29</v>
      </c>
      <c r="N2337" t="s">
        <v>8245</v>
      </c>
      <c r="O2337" s="1">
        <v>26628</v>
      </c>
      <c r="P2337" t="s">
        <v>7430</v>
      </c>
      <c r="Q2337" t="s">
        <v>373</v>
      </c>
      <c r="S2337" s="1">
        <v>45020.209027777775</v>
      </c>
      <c r="T2337" t="s">
        <v>78</v>
      </c>
      <c r="U2337" t="s">
        <v>82</v>
      </c>
      <c r="V2337">
        <v>1972</v>
      </c>
      <c r="W2337">
        <v>117.24</v>
      </c>
      <c r="X2337">
        <v>7.5</v>
      </c>
      <c r="Y2337" s="2">
        <v>21427700000000</v>
      </c>
      <c r="Z2337">
        <v>88.2</v>
      </c>
      <c r="AA2337">
        <v>101.8</v>
      </c>
      <c r="AB2337">
        <v>9.6</v>
      </c>
      <c r="AC2337">
        <v>36.6</v>
      </c>
      <c r="AD2337">
        <v>328239523</v>
      </c>
    </row>
    <row r="2338" spans="1:30" hidden="1" x14ac:dyDescent="0.45">
      <c r="A2338">
        <v>2259</v>
      </c>
      <c r="B2338">
        <v>1200</v>
      </c>
      <c r="C2338" t="s">
        <v>296</v>
      </c>
      <c r="D2338" t="s">
        <v>7431</v>
      </c>
      <c r="E2338">
        <v>65</v>
      </c>
      <c r="H2338" t="s">
        <v>5678</v>
      </c>
      <c r="I2338" t="s">
        <v>296</v>
      </c>
      <c r="J2338" t="s">
        <v>93</v>
      </c>
      <c r="L2338" t="b">
        <v>0</v>
      </c>
      <c r="M2338" t="s">
        <v>258</v>
      </c>
      <c r="N2338" t="s">
        <v>8245</v>
      </c>
      <c r="O2338" s="1">
        <v>21007</v>
      </c>
      <c r="P2338" t="s">
        <v>5679</v>
      </c>
      <c r="Q2338" t="s">
        <v>7432</v>
      </c>
      <c r="S2338" s="1">
        <v>45020.209027777775</v>
      </c>
      <c r="V2338">
        <v>1957</v>
      </c>
      <c r="W2338"/>
      <c r="Y2338"/>
    </row>
    <row r="2339" spans="1:30" hidden="1" x14ac:dyDescent="0.45">
      <c r="A2339">
        <v>2259</v>
      </c>
      <c r="B2339">
        <v>1200</v>
      </c>
      <c r="C2339" t="s">
        <v>126</v>
      </c>
      <c r="D2339" t="s">
        <v>7433</v>
      </c>
      <c r="E2339">
        <v>56</v>
      </c>
      <c r="F2339" t="s">
        <v>194</v>
      </c>
      <c r="G2339" t="s">
        <v>3607</v>
      </c>
      <c r="H2339" t="s">
        <v>4106</v>
      </c>
      <c r="I2339" t="s">
        <v>126</v>
      </c>
      <c r="J2339" t="s">
        <v>194</v>
      </c>
      <c r="L2339" t="b">
        <v>0</v>
      </c>
      <c r="M2339" t="s">
        <v>285</v>
      </c>
      <c r="N2339" t="s">
        <v>8245</v>
      </c>
      <c r="O2339" s="1">
        <v>24473</v>
      </c>
      <c r="P2339" t="s">
        <v>4107</v>
      </c>
      <c r="Q2339" t="s">
        <v>6524</v>
      </c>
      <c r="S2339" s="1">
        <v>45020.209027777775</v>
      </c>
      <c r="V2339">
        <v>1967</v>
      </c>
      <c r="W2339">
        <v>112.85</v>
      </c>
      <c r="X2339">
        <v>1.4</v>
      </c>
      <c r="Y2339" s="2">
        <v>3845630030824</v>
      </c>
      <c r="Z2339">
        <v>70.2</v>
      </c>
      <c r="AA2339">
        <v>104</v>
      </c>
      <c r="AB2339">
        <v>11.5</v>
      </c>
      <c r="AC2339">
        <v>48.8</v>
      </c>
      <c r="AD2339">
        <v>83132799</v>
      </c>
    </row>
    <row r="2340" spans="1:30" hidden="1" x14ac:dyDescent="0.45">
      <c r="A2340">
        <v>2259</v>
      </c>
      <c r="B2340">
        <v>1200</v>
      </c>
      <c r="C2340" t="s">
        <v>45</v>
      </c>
      <c r="D2340" t="s">
        <v>7434</v>
      </c>
      <c r="E2340">
        <v>48</v>
      </c>
      <c r="F2340" t="s">
        <v>35</v>
      </c>
      <c r="G2340" t="s">
        <v>1223</v>
      </c>
      <c r="H2340" t="s">
        <v>7435</v>
      </c>
      <c r="I2340" t="s">
        <v>45</v>
      </c>
      <c r="J2340" t="s">
        <v>35</v>
      </c>
      <c r="L2340" t="b">
        <v>1</v>
      </c>
      <c r="M2340" t="s">
        <v>39</v>
      </c>
      <c r="N2340" t="s">
        <v>8245</v>
      </c>
      <c r="O2340" s="1">
        <v>27151</v>
      </c>
      <c r="P2340" t="s">
        <v>7436</v>
      </c>
      <c r="Q2340" t="s">
        <v>2240</v>
      </c>
      <c r="S2340" s="1">
        <v>45020.209027777775</v>
      </c>
      <c r="T2340" t="s">
        <v>253</v>
      </c>
      <c r="U2340" t="s">
        <v>44</v>
      </c>
      <c r="V2340">
        <v>1974</v>
      </c>
      <c r="W2340">
        <v>117.24</v>
      </c>
      <c r="X2340">
        <v>7.5</v>
      </c>
      <c r="Y2340" s="2">
        <v>21427700000000</v>
      </c>
      <c r="Z2340">
        <v>88.2</v>
      </c>
      <c r="AA2340">
        <v>101.8</v>
      </c>
      <c r="AB2340">
        <v>9.6</v>
      </c>
      <c r="AC2340">
        <v>36.6</v>
      </c>
      <c r="AD2340">
        <v>328239523</v>
      </c>
    </row>
    <row r="2341" spans="1:30" hidden="1" x14ac:dyDescent="0.45">
      <c r="A2341">
        <v>2259</v>
      </c>
      <c r="B2341">
        <v>1200</v>
      </c>
      <c r="C2341" t="s">
        <v>126</v>
      </c>
      <c r="D2341" t="s">
        <v>7437</v>
      </c>
      <c r="E2341">
        <v>58</v>
      </c>
      <c r="F2341" t="s">
        <v>363</v>
      </c>
      <c r="G2341" t="s">
        <v>7438</v>
      </c>
      <c r="H2341" t="s">
        <v>7439</v>
      </c>
      <c r="I2341" t="s">
        <v>126</v>
      </c>
      <c r="J2341" t="s">
        <v>363</v>
      </c>
      <c r="L2341" t="b">
        <v>1</v>
      </c>
      <c r="M2341" t="s">
        <v>1332</v>
      </c>
      <c r="N2341" t="s">
        <v>8245</v>
      </c>
      <c r="O2341" s="1">
        <v>23743</v>
      </c>
      <c r="P2341" t="s">
        <v>7440</v>
      </c>
      <c r="Q2341" t="s">
        <v>7441</v>
      </c>
      <c r="S2341" s="1">
        <v>45020.209027777775</v>
      </c>
      <c r="V2341">
        <v>1965</v>
      </c>
      <c r="W2341">
        <v>180.75</v>
      </c>
      <c r="X2341">
        <v>4.5</v>
      </c>
      <c r="Y2341" s="2">
        <v>1699876578871</v>
      </c>
      <c r="Z2341">
        <v>81.900000000000006</v>
      </c>
      <c r="AA2341">
        <v>102.6</v>
      </c>
      <c r="AB2341">
        <v>11.4</v>
      </c>
      <c r="AC2341">
        <v>46.2</v>
      </c>
      <c r="AD2341">
        <v>144373535</v>
      </c>
    </row>
    <row r="2342" spans="1:30" hidden="1" x14ac:dyDescent="0.45">
      <c r="A2342">
        <v>2259</v>
      </c>
      <c r="B2342">
        <v>1200</v>
      </c>
      <c r="C2342" t="s">
        <v>302</v>
      </c>
      <c r="D2342" t="s">
        <v>7442</v>
      </c>
      <c r="E2342">
        <v>82</v>
      </c>
      <c r="F2342" t="s">
        <v>558</v>
      </c>
      <c r="G2342" t="s">
        <v>2682</v>
      </c>
      <c r="H2342" t="s">
        <v>3312</v>
      </c>
      <c r="I2342" t="s">
        <v>302</v>
      </c>
      <c r="J2342" t="s">
        <v>558</v>
      </c>
      <c r="L2342" t="b">
        <v>1</v>
      </c>
      <c r="M2342" t="s">
        <v>29</v>
      </c>
      <c r="N2342" t="s">
        <v>8245</v>
      </c>
      <c r="O2342" s="1">
        <v>14810</v>
      </c>
      <c r="P2342" t="s">
        <v>7443</v>
      </c>
      <c r="Q2342" t="s">
        <v>7444</v>
      </c>
      <c r="S2342" s="1">
        <v>45020.209027777775</v>
      </c>
      <c r="V2342">
        <v>1940</v>
      </c>
      <c r="W2342">
        <v>167.4</v>
      </c>
      <c r="X2342">
        <v>3.7</v>
      </c>
      <c r="Y2342" s="2">
        <v>1839758040766</v>
      </c>
      <c r="Z2342">
        <v>51.3</v>
      </c>
      <c r="AA2342">
        <v>115.4</v>
      </c>
      <c r="AB2342">
        <v>14.2</v>
      </c>
      <c r="AC2342">
        <v>65.099999999999994</v>
      </c>
      <c r="AD2342">
        <v>212559417</v>
      </c>
    </row>
    <row r="2343" spans="1:30" hidden="1" x14ac:dyDescent="0.45">
      <c r="A2343">
        <v>2259</v>
      </c>
      <c r="B2343">
        <v>1200</v>
      </c>
      <c r="C2343" t="s">
        <v>76</v>
      </c>
      <c r="D2343" t="s">
        <v>7445</v>
      </c>
      <c r="E2343">
        <v>43</v>
      </c>
      <c r="F2343" t="s">
        <v>577</v>
      </c>
      <c r="G2343" t="s">
        <v>578</v>
      </c>
      <c r="H2343" t="s">
        <v>7446</v>
      </c>
      <c r="I2343" t="s">
        <v>76</v>
      </c>
      <c r="J2343" t="s">
        <v>577</v>
      </c>
      <c r="L2343" t="b">
        <v>1</v>
      </c>
      <c r="M2343" t="s">
        <v>39</v>
      </c>
      <c r="N2343" t="s">
        <v>8245</v>
      </c>
      <c r="O2343" s="1">
        <v>29007</v>
      </c>
      <c r="P2343" t="s">
        <v>581</v>
      </c>
      <c r="Q2343" t="s">
        <v>3216</v>
      </c>
      <c r="S2343" s="1">
        <v>45020.209027777775</v>
      </c>
      <c r="V2343">
        <v>1979</v>
      </c>
      <c r="W2343">
        <v>110.51</v>
      </c>
      <c r="X2343">
        <v>1.8</v>
      </c>
      <c r="Y2343" s="2">
        <v>530832908738</v>
      </c>
      <c r="Z2343">
        <v>67</v>
      </c>
      <c r="AA2343">
        <v>126.6</v>
      </c>
      <c r="AB2343">
        <v>27.9</v>
      </c>
      <c r="AC2343">
        <v>49.1</v>
      </c>
      <c r="AD2343">
        <v>10285453</v>
      </c>
    </row>
    <row r="2344" spans="1:30" x14ac:dyDescent="0.45">
      <c r="A2344">
        <v>2259</v>
      </c>
      <c r="B2344" s="6">
        <v>1200</v>
      </c>
      <c r="C2344" t="s">
        <v>45</v>
      </c>
      <c r="D2344" t="s">
        <v>7447</v>
      </c>
      <c r="E2344">
        <v>57</v>
      </c>
      <c r="F2344" t="s">
        <v>35</v>
      </c>
      <c r="G2344" t="s">
        <v>991</v>
      </c>
      <c r="H2344" t="s">
        <v>336</v>
      </c>
      <c r="I2344" t="s">
        <v>45</v>
      </c>
      <c r="J2344" t="s">
        <v>35</v>
      </c>
      <c r="K2344" t="s">
        <v>7448</v>
      </c>
      <c r="L2344" t="b">
        <v>1</v>
      </c>
      <c r="M2344" t="s">
        <v>39</v>
      </c>
      <c r="N2344" t="s">
        <v>8245</v>
      </c>
      <c r="O2344" s="10">
        <v>24151</v>
      </c>
      <c r="P2344" t="s">
        <v>7449</v>
      </c>
      <c r="Q2344" t="s">
        <v>137</v>
      </c>
      <c r="R2344" t="s">
        <v>170</v>
      </c>
      <c r="S2344" s="8">
        <v>45020.209027777775</v>
      </c>
      <c r="T2344" t="s">
        <v>115</v>
      </c>
      <c r="U2344" t="s">
        <v>53</v>
      </c>
      <c r="V2344">
        <v>1966</v>
      </c>
      <c r="W2344" s="12">
        <v>117.24</v>
      </c>
      <c r="X2344">
        <v>7.5</v>
      </c>
      <c r="Y2344" s="14">
        <v>21427700000000</v>
      </c>
      <c r="Z2344">
        <v>88.2</v>
      </c>
      <c r="AA2344">
        <v>101.8</v>
      </c>
      <c r="AB2344">
        <v>9.6</v>
      </c>
      <c r="AC2344">
        <v>36.6</v>
      </c>
      <c r="AD2344">
        <v>328239523</v>
      </c>
    </row>
    <row r="2345" spans="1:30" hidden="1" x14ac:dyDescent="0.45">
      <c r="A2345">
        <v>2259</v>
      </c>
      <c r="B2345">
        <v>1200</v>
      </c>
      <c r="C2345" t="s">
        <v>91</v>
      </c>
      <c r="D2345" t="s">
        <v>7450</v>
      </c>
      <c r="E2345">
        <v>82</v>
      </c>
      <c r="F2345" t="s">
        <v>349</v>
      </c>
      <c r="G2345" t="s">
        <v>350</v>
      </c>
      <c r="H2345" t="s">
        <v>91</v>
      </c>
      <c r="I2345" t="s">
        <v>91</v>
      </c>
      <c r="J2345" t="s">
        <v>349</v>
      </c>
      <c r="L2345" t="b">
        <v>0</v>
      </c>
      <c r="M2345" t="s">
        <v>611</v>
      </c>
      <c r="N2345" t="s">
        <v>8245</v>
      </c>
      <c r="O2345" s="1">
        <v>14988</v>
      </c>
      <c r="P2345" t="s">
        <v>7451</v>
      </c>
      <c r="Q2345" t="s">
        <v>7452</v>
      </c>
      <c r="S2345" s="1">
        <v>45020.209027777775</v>
      </c>
      <c r="V2345">
        <v>1941</v>
      </c>
      <c r="W2345">
        <v>151.18</v>
      </c>
      <c r="X2345">
        <v>3</v>
      </c>
      <c r="Y2345" s="2">
        <v>1119190780753</v>
      </c>
      <c r="Z2345">
        <v>36.299999999999997</v>
      </c>
      <c r="AA2345">
        <v>106.4</v>
      </c>
      <c r="AB2345">
        <v>10.199999999999999</v>
      </c>
      <c r="AC2345">
        <v>30.1</v>
      </c>
      <c r="AD2345">
        <v>270203917</v>
      </c>
    </row>
    <row r="2346" spans="1:30" hidden="1" x14ac:dyDescent="0.45">
      <c r="A2346">
        <v>2259</v>
      </c>
      <c r="B2346">
        <v>1200</v>
      </c>
      <c r="C2346" t="s">
        <v>402</v>
      </c>
      <c r="D2346" t="s">
        <v>7453</v>
      </c>
      <c r="E2346">
        <v>90</v>
      </c>
      <c r="F2346" t="s">
        <v>35</v>
      </c>
      <c r="G2346" t="s">
        <v>7454</v>
      </c>
      <c r="H2346" t="s">
        <v>1450</v>
      </c>
      <c r="I2346" t="s">
        <v>402</v>
      </c>
      <c r="J2346" t="s">
        <v>35</v>
      </c>
      <c r="L2346" t="b">
        <v>1</v>
      </c>
      <c r="M2346" t="s">
        <v>39</v>
      </c>
      <c r="N2346" t="s">
        <v>8245</v>
      </c>
      <c r="O2346" s="1">
        <v>12135</v>
      </c>
      <c r="P2346" t="s">
        <v>7455</v>
      </c>
      <c r="Q2346" t="s">
        <v>471</v>
      </c>
      <c r="S2346" s="1">
        <v>45020.209027777775</v>
      </c>
      <c r="T2346" t="s">
        <v>469</v>
      </c>
      <c r="U2346" t="s">
        <v>44</v>
      </c>
      <c r="V2346">
        <v>1933</v>
      </c>
      <c r="W2346">
        <v>117.24</v>
      </c>
      <c r="X2346">
        <v>7.5</v>
      </c>
      <c r="Y2346" s="2">
        <v>21427700000000</v>
      </c>
      <c r="Z2346">
        <v>88.2</v>
      </c>
      <c r="AA2346">
        <v>101.8</v>
      </c>
      <c r="AB2346">
        <v>9.6</v>
      </c>
      <c r="AC2346">
        <v>36.6</v>
      </c>
      <c r="AD2346">
        <v>328239523</v>
      </c>
    </row>
    <row r="2347" spans="1:30" hidden="1" x14ac:dyDescent="0.45">
      <c r="A2347">
        <v>2259</v>
      </c>
      <c r="B2347">
        <v>1200</v>
      </c>
      <c r="C2347" t="s">
        <v>126</v>
      </c>
      <c r="D2347" t="s">
        <v>7456</v>
      </c>
      <c r="E2347">
        <v>57</v>
      </c>
      <c r="F2347" t="s">
        <v>128</v>
      </c>
      <c r="G2347" t="s">
        <v>494</v>
      </c>
      <c r="H2347" t="s">
        <v>495</v>
      </c>
      <c r="I2347" t="s">
        <v>126</v>
      </c>
      <c r="J2347" t="s">
        <v>128</v>
      </c>
      <c r="L2347" t="b">
        <v>1</v>
      </c>
      <c r="M2347" t="s">
        <v>39</v>
      </c>
      <c r="N2347" t="s">
        <v>8246</v>
      </c>
      <c r="O2347" s="1">
        <v>24108</v>
      </c>
      <c r="P2347" t="s">
        <v>2506</v>
      </c>
      <c r="Q2347" t="s">
        <v>5161</v>
      </c>
      <c r="S2347" s="1">
        <v>45020.209027777775</v>
      </c>
      <c r="V2347">
        <v>1966</v>
      </c>
      <c r="W2347">
        <v>125.08</v>
      </c>
      <c r="X2347">
        <v>2.9</v>
      </c>
      <c r="Y2347" s="2">
        <v>19910000000000</v>
      </c>
      <c r="Z2347">
        <v>50.6</v>
      </c>
      <c r="AA2347">
        <v>100.2</v>
      </c>
      <c r="AB2347">
        <v>9.4</v>
      </c>
      <c r="AC2347">
        <v>59.2</v>
      </c>
      <c r="AD2347">
        <v>1397715000</v>
      </c>
    </row>
    <row r="2348" spans="1:30" hidden="1" x14ac:dyDescent="0.45">
      <c r="A2348">
        <v>2259</v>
      </c>
      <c r="B2348">
        <v>1200</v>
      </c>
      <c r="C2348" t="s">
        <v>296</v>
      </c>
      <c r="D2348" t="s">
        <v>7457</v>
      </c>
      <c r="E2348">
        <v>76</v>
      </c>
      <c r="F2348" t="s">
        <v>35</v>
      </c>
      <c r="G2348" t="s">
        <v>7458</v>
      </c>
      <c r="H2348" t="s">
        <v>7459</v>
      </c>
      <c r="I2348" t="s">
        <v>296</v>
      </c>
      <c r="J2348" t="s">
        <v>35</v>
      </c>
      <c r="L2348" t="b">
        <v>1</v>
      </c>
      <c r="M2348" t="s">
        <v>258</v>
      </c>
      <c r="N2348" t="s">
        <v>8245</v>
      </c>
      <c r="O2348" s="1">
        <v>17060</v>
      </c>
      <c r="P2348" t="s">
        <v>7460</v>
      </c>
      <c r="Q2348" t="s">
        <v>2287</v>
      </c>
      <c r="S2348" s="1">
        <v>45020.209027777775</v>
      </c>
      <c r="T2348" t="s">
        <v>7461</v>
      </c>
      <c r="U2348" t="s">
        <v>44</v>
      </c>
      <c r="V2348">
        <v>1946</v>
      </c>
      <c r="W2348">
        <v>117.24</v>
      </c>
      <c r="X2348">
        <v>7.5</v>
      </c>
      <c r="Y2348" s="2">
        <v>21427700000000</v>
      </c>
      <c r="Z2348">
        <v>88.2</v>
      </c>
      <c r="AA2348">
        <v>101.8</v>
      </c>
      <c r="AB2348">
        <v>9.6</v>
      </c>
      <c r="AC2348">
        <v>36.6</v>
      </c>
      <c r="AD2348">
        <v>328239523</v>
      </c>
    </row>
    <row r="2349" spans="1:30" hidden="1" x14ac:dyDescent="0.45">
      <c r="A2349">
        <v>2259</v>
      </c>
      <c r="B2349">
        <v>1200</v>
      </c>
      <c r="C2349" t="s">
        <v>61</v>
      </c>
      <c r="D2349" t="s">
        <v>7462</v>
      </c>
      <c r="E2349">
        <v>59</v>
      </c>
      <c r="F2349" t="s">
        <v>205</v>
      </c>
      <c r="G2349" t="s">
        <v>4259</v>
      </c>
      <c r="H2349" t="s">
        <v>317</v>
      </c>
      <c r="I2349" t="s">
        <v>61</v>
      </c>
      <c r="J2349" t="s">
        <v>363</v>
      </c>
      <c r="L2349" t="b">
        <v>1</v>
      </c>
      <c r="M2349" t="s">
        <v>611</v>
      </c>
      <c r="N2349" t="s">
        <v>8245</v>
      </c>
      <c r="O2349" s="1">
        <v>23184</v>
      </c>
      <c r="P2349" t="s">
        <v>7463</v>
      </c>
      <c r="Q2349" t="s">
        <v>926</v>
      </c>
      <c r="S2349" s="1">
        <v>45020.209027777775</v>
      </c>
      <c r="V2349">
        <v>1963</v>
      </c>
      <c r="W2349">
        <v>99.55</v>
      </c>
      <c r="X2349">
        <v>0.4</v>
      </c>
      <c r="Y2349" s="2">
        <v>703082435360</v>
      </c>
      <c r="Z2349">
        <v>59.6</v>
      </c>
      <c r="AA2349">
        <v>105.2</v>
      </c>
      <c r="AB2349">
        <v>10.1</v>
      </c>
      <c r="AC2349">
        <v>28.8</v>
      </c>
      <c r="AD2349">
        <v>8574832</v>
      </c>
    </row>
    <row r="2350" spans="1:30" hidden="1" x14ac:dyDescent="0.45">
      <c r="A2350">
        <v>2259</v>
      </c>
      <c r="B2350">
        <v>1200</v>
      </c>
      <c r="C2350" t="s">
        <v>126</v>
      </c>
      <c r="D2350" t="s">
        <v>7464</v>
      </c>
      <c r="F2350" t="s">
        <v>558</v>
      </c>
      <c r="G2350" t="s">
        <v>6742</v>
      </c>
      <c r="H2350" t="s">
        <v>778</v>
      </c>
      <c r="I2350" t="s">
        <v>126</v>
      </c>
      <c r="J2350" t="s">
        <v>558</v>
      </c>
      <c r="L2350" t="b">
        <v>0</v>
      </c>
      <c r="M2350" t="s">
        <v>285</v>
      </c>
      <c r="N2350" t="s">
        <v>8245</v>
      </c>
      <c r="O2350"/>
      <c r="P2350" t="s">
        <v>7465</v>
      </c>
      <c r="Q2350" t="s">
        <v>7466</v>
      </c>
      <c r="R2350" t="s">
        <v>952</v>
      </c>
      <c r="S2350" s="1">
        <v>45020.209027777775</v>
      </c>
      <c r="W2350">
        <v>167.4</v>
      </c>
      <c r="X2350">
        <v>3.7</v>
      </c>
      <c r="Y2350" s="2">
        <v>1839758040766</v>
      </c>
      <c r="Z2350">
        <v>51.3</v>
      </c>
      <c r="AA2350">
        <v>115.4</v>
      </c>
      <c r="AB2350">
        <v>14.2</v>
      </c>
      <c r="AC2350">
        <v>65.099999999999994</v>
      </c>
      <c r="AD2350">
        <v>212559417</v>
      </c>
    </row>
    <row r="2351" spans="1:30" hidden="1" x14ac:dyDescent="0.45">
      <c r="A2351">
        <v>2259</v>
      </c>
      <c r="B2351">
        <v>1200</v>
      </c>
      <c r="C2351" t="s">
        <v>61</v>
      </c>
      <c r="D2351" t="s">
        <v>7467</v>
      </c>
      <c r="E2351">
        <v>59</v>
      </c>
      <c r="F2351" t="s">
        <v>35</v>
      </c>
      <c r="G2351" t="s">
        <v>964</v>
      </c>
      <c r="H2351" t="s">
        <v>1839</v>
      </c>
      <c r="I2351" t="s">
        <v>61</v>
      </c>
      <c r="J2351" t="s">
        <v>35</v>
      </c>
      <c r="L2351" t="b">
        <v>1</v>
      </c>
      <c r="M2351" t="s">
        <v>258</v>
      </c>
      <c r="N2351" t="s">
        <v>8245</v>
      </c>
      <c r="O2351" s="1">
        <v>23278</v>
      </c>
      <c r="P2351" t="s">
        <v>7468</v>
      </c>
      <c r="Q2351" t="s">
        <v>3301</v>
      </c>
      <c r="S2351" s="1">
        <v>45020.209027777775</v>
      </c>
      <c r="T2351" t="s">
        <v>115</v>
      </c>
      <c r="U2351" t="s">
        <v>53</v>
      </c>
      <c r="V2351">
        <v>1963</v>
      </c>
      <c r="W2351">
        <v>117.24</v>
      </c>
      <c r="X2351">
        <v>7.5</v>
      </c>
      <c r="Y2351" s="2">
        <v>21427700000000</v>
      </c>
      <c r="Z2351">
        <v>88.2</v>
      </c>
      <c r="AA2351">
        <v>101.8</v>
      </c>
      <c r="AB2351">
        <v>9.6</v>
      </c>
      <c r="AC2351">
        <v>36.6</v>
      </c>
      <c r="AD2351">
        <v>328239523</v>
      </c>
    </row>
    <row r="2352" spans="1:30" hidden="1" x14ac:dyDescent="0.45">
      <c r="A2352">
        <v>2259</v>
      </c>
      <c r="B2352">
        <v>1200</v>
      </c>
      <c r="C2352" t="s">
        <v>302</v>
      </c>
      <c r="D2352" t="s">
        <v>7469</v>
      </c>
      <c r="E2352">
        <v>52</v>
      </c>
      <c r="F2352" t="s">
        <v>93</v>
      </c>
      <c r="G2352" t="s">
        <v>94</v>
      </c>
      <c r="H2352" t="s">
        <v>304</v>
      </c>
      <c r="I2352" t="s">
        <v>302</v>
      </c>
      <c r="J2352" t="s">
        <v>93</v>
      </c>
      <c r="L2352" t="b">
        <v>0</v>
      </c>
      <c r="M2352" t="s">
        <v>258</v>
      </c>
      <c r="N2352" t="s">
        <v>8245</v>
      </c>
      <c r="O2352" s="1">
        <v>25990</v>
      </c>
      <c r="P2352" t="s">
        <v>7470</v>
      </c>
      <c r="Q2352" t="s">
        <v>7471</v>
      </c>
      <c r="S2352" s="1">
        <v>45020.209027777775</v>
      </c>
      <c r="V2352">
        <v>1971</v>
      </c>
      <c r="W2352">
        <v>180.44</v>
      </c>
      <c r="X2352">
        <v>7.7</v>
      </c>
      <c r="Y2352" s="2">
        <v>2611000000000</v>
      </c>
      <c r="Z2352">
        <v>28.1</v>
      </c>
      <c r="AA2352">
        <v>113</v>
      </c>
      <c r="AB2352">
        <v>11.2</v>
      </c>
      <c r="AC2352">
        <v>49.7</v>
      </c>
      <c r="AD2352">
        <v>1366417754</v>
      </c>
    </row>
    <row r="2353" spans="1:30" hidden="1" x14ac:dyDescent="0.45">
      <c r="A2353">
        <v>2259</v>
      </c>
      <c r="B2353">
        <v>1200</v>
      </c>
      <c r="C2353" t="s">
        <v>61</v>
      </c>
      <c r="D2353" t="s">
        <v>7472</v>
      </c>
      <c r="E2353">
        <v>62</v>
      </c>
      <c r="F2353" t="s">
        <v>272</v>
      </c>
      <c r="G2353" t="s">
        <v>273</v>
      </c>
      <c r="H2353" t="s">
        <v>248</v>
      </c>
      <c r="I2353" t="s">
        <v>61</v>
      </c>
      <c r="J2353" t="s">
        <v>577</v>
      </c>
      <c r="K2353" t="s">
        <v>7473</v>
      </c>
      <c r="L2353" t="b">
        <v>1</v>
      </c>
      <c r="M2353" t="s">
        <v>39</v>
      </c>
      <c r="N2353" t="s">
        <v>8245</v>
      </c>
      <c r="O2353" s="1">
        <v>22313</v>
      </c>
      <c r="P2353" t="s">
        <v>7474</v>
      </c>
      <c r="Q2353" t="s">
        <v>358</v>
      </c>
      <c r="R2353" t="s">
        <v>192</v>
      </c>
      <c r="S2353" s="1">
        <v>45020.209027777775</v>
      </c>
      <c r="V2353">
        <v>1961</v>
      </c>
      <c r="W2353">
        <v>119.62</v>
      </c>
      <c r="X2353">
        <v>1.7</v>
      </c>
      <c r="Y2353" s="2">
        <v>2827113184696</v>
      </c>
      <c r="Z2353">
        <v>60</v>
      </c>
      <c r="AA2353">
        <v>101.2</v>
      </c>
      <c r="AB2353">
        <v>25.5</v>
      </c>
      <c r="AC2353">
        <v>30.6</v>
      </c>
      <c r="AD2353">
        <v>66834405</v>
      </c>
    </row>
    <row r="2354" spans="1:30" hidden="1" x14ac:dyDescent="0.45">
      <c r="A2354">
        <v>2259</v>
      </c>
      <c r="B2354">
        <v>1200</v>
      </c>
      <c r="C2354" t="s">
        <v>126</v>
      </c>
      <c r="D2354" t="s">
        <v>7475</v>
      </c>
      <c r="F2354" t="s">
        <v>164</v>
      </c>
      <c r="G2354" t="s">
        <v>1797</v>
      </c>
      <c r="H2354" t="s">
        <v>418</v>
      </c>
      <c r="I2354" t="s">
        <v>126</v>
      </c>
      <c r="J2354" t="s">
        <v>164</v>
      </c>
      <c r="L2354" t="b">
        <v>0</v>
      </c>
      <c r="M2354" t="s">
        <v>258</v>
      </c>
      <c r="N2354" t="s">
        <v>8245</v>
      </c>
      <c r="O2354"/>
      <c r="P2354" t="s">
        <v>2254</v>
      </c>
      <c r="Q2354" t="s">
        <v>7476</v>
      </c>
      <c r="S2354" s="1">
        <v>45020.209027777775</v>
      </c>
      <c r="W2354">
        <v>116.76</v>
      </c>
      <c r="X2354">
        <v>1.9</v>
      </c>
      <c r="Y2354" s="2">
        <v>1736425629520</v>
      </c>
      <c r="Z2354">
        <v>68.900000000000006</v>
      </c>
      <c r="AA2354">
        <v>100.9</v>
      </c>
      <c r="AB2354">
        <v>12.8</v>
      </c>
      <c r="AC2354">
        <v>24.5</v>
      </c>
      <c r="AD2354">
        <v>36991981</v>
      </c>
    </row>
    <row r="2355" spans="1:30" hidden="1" x14ac:dyDescent="0.45">
      <c r="A2355">
        <v>2259</v>
      </c>
      <c r="B2355">
        <v>1200</v>
      </c>
      <c r="C2355" t="s">
        <v>689</v>
      </c>
      <c r="D2355" t="s">
        <v>7477</v>
      </c>
      <c r="E2355">
        <v>78</v>
      </c>
      <c r="F2355" t="s">
        <v>360</v>
      </c>
      <c r="G2355" t="s">
        <v>767</v>
      </c>
      <c r="H2355" t="s">
        <v>7478</v>
      </c>
      <c r="I2355" t="s">
        <v>689</v>
      </c>
      <c r="J2355" t="s">
        <v>93</v>
      </c>
      <c r="L2355" t="b">
        <v>0</v>
      </c>
      <c r="M2355" t="s">
        <v>29</v>
      </c>
      <c r="N2355" t="s">
        <v>8245</v>
      </c>
      <c r="O2355" s="1">
        <v>16249</v>
      </c>
      <c r="P2355" t="s">
        <v>7479</v>
      </c>
      <c r="Q2355" t="s">
        <v>7480</v>
      </c>
      <c r="S2355" s="1">
        <v>45020.209027777775</v>
      </c>
      <c r="V2355">
        <v>1944</v>
      </c>
      <c r="W2355">
        <v>114.52</v>
      </c>
      <c r="X2355">
        <v>-1.9</v>
      </c>
      <c r="Y2355" s="2">
        <v>421142267938</v>
      </c>
      <c r="Z2355">
        <v>36.799999999999997</v>
      </c>
      <c r="AA2355">
        <v>108.4</v>
      </c>
      <c r="AB2355">
        <v>0.1</v>
      </c>
      <c r="AC2355">
        <v>15.9</v>
      </c>
      <c r="AD2355">
        <v>9770529</v>
      </c>
    </row>
    <row r="2356" spans="1:30" hidden="1" x14ac:dyDescent="0.45">
      <c r="A2356">
        <v>2259</v>
      </c>
      <c r="B2356">
        <v>1200</v>
      </c>
      <c r="C2356" t="s">
        <v>61</v>
      </c>
      <c r="D2356" t="s">
        <v>7481</v>
      </c>
      <c r="E2356">
        <v>81</v>
      </c>
      <c r="F2356" t="s">
        <v>164</v>
      </c>
      <c r="G2356" t="s">
        <v>165</v>
      </c>
      <c r="H2356" t="s">
        <v>1839</v>
      </c>
      <c r="I2356" t="s">
        <v>61</v>
      </c>
      <c r="J2356" t="s">
        <v>164</v>
      </c>
      <c r="L2356" t="b">
        <v>1</v>
      </c>
      <c r="M2356" t="s">
        <v>39</v>
      </c>
      <c r="N2356" t="s">
        <v>8245</v>
      </c>
      <c r="O2356" s="1">
        <v>15304</v>
      </c>
      <c r="P2356" t="s">
        <v>4876</v>
      </c>
      <c r="Q2356" t="s">
        <v>4519</v>
      </c>
      <c r="S2356" s="1">
        <v>45020.209027777775</v>
      </c>
      <c r="V2356">
        <v>1941</v>
      </c>
      <c r="W2356">
        <v>116.76</v>
      </c>
      <c r="X2356">
        <v>1.9</v>
      </c>
      <c r="Y2356" s="2">
        <v>1736425629520</v>
      </c>
      <c r="Z2356">
        <v>68.900000000000006</v>
      </c>
      <c r="AA2356">
        <v>100.9</v>
      </c>
      <c r="AB2356">
        <v>12.8</v>
      </c>
      <c r="AC2356">
        <v>24.5</v>
      </c>
      <c r="AD2356">
        <v>36991981</v>
      </c>
    </row>
    <row r="2357" spans="1:30" hidden="1" x14ac:dyDescent="0.45">
      <c r="A2357">
        <v>2259</v>
      </c>
      <c r="B2357">
        <v>1200</v>
      </c>
      <c r="C2357" t="s">
        <v>23</v>
      </c>
      <c r="D2357" t="s">
        <v>7482</v>
      </c>
      <c r="E2357">
        <v>80</v>
      </c>
      <c r="F2357" t="s">
        <v>272</v>
      </c>
      <c r="G2357" t="s">
        <v>273</v>
      </c>
      <c r="H2357" t="s">
        <v>3555</v>
      </c>
      <c r="I2357" t="s">
        <v>23</v>
      </c>
      <c r="J2357" t="s">
        <v>558</v>
      </c>
      <c r="L2357" t="b">
        <v>1</v>
      </c>
      <c r="M2357" t="s">
        <v>39</v>
      </c>
      <c r="N2357" t="s">
        <v>8245</v>
      </c>
      <c r="O2357" s="1">
        <v>15707</v>
      </c>
      <c r="P2357" t="s">
        <v>7483</v>
      </c>
      <c r="Q2357" t="s">
        <v>7484</v>
      </c>
      <c r="S2357" s="1">
        <v>45020.209027777775</v>
      </c>
      <c r="V2357">
        <v>1943</v>
      </c>
      <c r="W2357">
        <v>119.62</v>
      </c>
      <c r="X2357">
        <v>1.7</v>
      </c>
      <c r="Y2357" s="2">
        <v>2827113184696</v>
      </c>
      <c r="Z2357">
        <v>60</v>
      </c>
      <c r="AA2357">
        <v>101.2</v>
      </c>
      <c r="AB2357">
        <v>25.5</v>
      </c>
      <c r="AC2357">
        <v>30.6</v>
      </c>
      <c r="AD2357">
        <v>66834405</v>
      </c>
    </row>
    <row r="2358" spans="1:30" hidden="1" x14ac:dyDescent="0.45">
      <c r="A2358">
        <v>2259</v>
      </c>
      <c r="B2358">
        <v>1200</v>
      </c>
      <c r="C2358" t="s">
        <v>45</v>
      </c>
      <c r="D2358" t="s">
        <v>7485</v>
      </c>
      <c r="E2358">
        <v>52</v>
      </c>
      <c r="F2358" t="s">
        <v>128</v>
      </c>
      <c r="G2358" t="s">
        <v>719</v>
      </c>
      <c r="H2358" t="s">
        <v>7486</v>
      </c>
      <c r="I2358" t="s">
        <v>45</v>
      </c>
      <c r="J2358" t="s">
        <v>128</v>
      </c>
      <c r="L2358" t="b">
        <v>1</v>
      </c>
      <c r="M2358" t="s">
        <v>1332</v>
      </c>
      <c r="N2358" t="s">
        <v>8245</v>
      </c>
      <c r="O2358" s="1">
        <v>25934</v>
      </c>
      <c r="P2358" t="s">
        <v>3350</v>
      </c>
      <c r="Q2358" t="s">
        <v>7487</v>
      </c>
      <c r="S2358" s="1">
        <v>45020.209027777775</v>
      </c>
      <c r="V2358">
        <v>1971</v>
      </c>
      <c r="W2358">
        <v>125.08</v>
      </c>
      <c r="X2358">
        <v>2.9</v>
      </c>
      <c r="Y2358" s="2">
        <v>19910000000000</v>
      </c>
      <c r="Z2358">
        <v>50.6</v>
      </c>
      <c r="AA2358">
        <v>100.2</v>
      </c>
      <c r="AB2358">
        <v>9.4</v>
      </c>
      <c r="AC2358">
        <v>59.2</v>
      </c>
      <c r="AD2358">
        <v>1397715000</v>
      </c>
    </row>
    <row r="2359" spans="1:30" hidden="1" x14ac:dyDescent="0.45">
      <c r="A2359">
        <v>2259</v>
      </c>
      <c r="B2359">
        <v>1200</v>
      </c>
      <c r="C2359" t="s">
        <v>45</v>
      </c>
      <c r="D2359" t="s">
        <v>7488</v>
      </c>
      <c r="E2359">
        <v>43</v>
      </c>
      <c r="F2359" t="s">
        <v>35</v>
      </c>
      <c r="G2359" t="s">
        <v>991</v>
      </c>
      <c r="H2359" t="s">
        <v>856</v>
      </c>
      <c r="I2359" t="s">
        <v>45</v>
      </c>
      <c r="J2359" t="s">
        <v>641</v>
      </c>
      <c r="L2359" t="b">
        <v>1</v>
      </c>
      <c r="M2359" t="s">
        <v>258</v>
      </c>
      <c r="N2359" t="s">
        <v>8245</v>
      </c>
      <c r="O2359" s="1">
        <v>29068</v>
      </c>
      <c r="P2359" t="s">
        <v>7489</v>
      </c>
      <c r="Q2359" t="s">
        <v>7490</v>
      </c>
      <c r="S2359" s="1">
        <v>45020.209027777775</v>
      </c>
      <c r="T2359" t="s">
        <v>115</v>
      </c>
      <c r="U2359" t="s">
        <v>53</v>
      </c>
      <c r="V2359">
        <v>1979</v>
      </c>
      <c r="W2359">
        <v>117.24</v>
      </c>
      <c r="X2359">
        <v>7.5</v>
      </c>
      <c r="Y2359" s="2">
        <v>21427700000000</v>
      </c>
      <c r="Z2359">
        <v>88.2</v>
      </c>
      <c r="AA2359">
        <v>101.8</v>
      </c>
      <c r="AB2359">
        <v>9.6</v>
      </c>
      <c r="AC2359">
        <v>36.6</v>
      </c>
      <c r="AD2359">
        <v>328239523</v>
      </c>
    </row>
    <row r="2360" spans="1:30" hidden="1" x14ac:dyDescent="0.45">
      <c r="A2360">
        <v>2259</v>
      </c>
      <c r="B2360">
        <v>1200</v>
      </c>
      <c r="C2360" t="s">
        <v>33</v>
      </c>
      <c r="D2360" t="s">
        <v>7491</v>
      </c>
      <c r="E2360">
        <v>43</v>
      </c>
      <c r="F2360" t="s">
        <v>194</v>
      </c>
      <c r="G2360" t="s">
        <v>1665</v>
      </c>
      <c r="H2360" t="s">
        <v>7492</v>
      </c>
      <c r="I2360" t="s">
        <v>33</v>
      </c>
      <c r="J2360" t="s">
        <v>194</v>
      </c>
      <c r="L2360" t="b">
        <v>0</v>
      </c>
      <c r="M2360" t="s">
        <v>39</v>
      </c>
      <c r="N2360" t="s">
        <v>8245</v>
      </c>
      <c r="O2360" s="1">
        <v>29152</v>
      </c>
      <c r="P2360" t="s">
        <v>7493</v>
      </c>
      <c r="Q2360" t="s">
        <v>1040</v>
      </c>
      <c r="S2360" s="1">
        <v>45020.209027777775</v>
      </c>
      <c r="V2360">
        <v>1979</v>
      </c>
      <c r="W2360">
        <v>112.85</v>
      </c>
      <c r="X2360">
        <v>1.4</v>
      </c>
      <c r="Y2360" s="2">
        <v>3845630030824</v>
      </c>
      <c r="Z2360">
        <v>70.2</v>
      </c>
      <c r="AA2360">
        <v>104</v>
      </c>
      <c r="AB2360">
        <v>11.5</v>
      </c>
      <c r="AC2360">
        <v>48.8</v>
      </c>
      <c r="AD2360">
        <v>83132799</v>
      </c>
    </row>
    <row r="2361" spans="1:30" hidden="1" x14ac:dyDescent="0.45">
      <c r="A2361">
        <v>2259</v>
      </c>
      <c r="B2361">
        <v>1200</v>
      </c>
      <c r="C2361" t="s">
        <v>33</v>
      </c>
      <c r="D2361" t="s">
        <v>7494</v>
      </c>
      <c r="E2361">
        <v>40</v>
      </c>
      <c r="F2361" t="s">
        <v>194</v>
      </c>
      <c r="G2361" t="s">
        <v>1665</v>
      </c>
      <c r="H2361" t="s">
        <v>7492</v>
      </c>
      <c r="I2361" t="s">
        <v>33</v>
      </c>
      <c r="J2361" t="s">
        <v>194</v>
      </c>
      <c r="L2361" t="b">
        <v>0</v>
      </c>
      <c r="M2361" t="s">
        <v>39</v>
      </c>
      <c r="N2361" t="s">
        <v>8245</v>
      </c>
      <c r="O2361" s="1">
        <v>30287</v>
      </c>
      <c r="P2361" t="s">
        <v>7493</v>
      </c>
      <c r="Q2361" t="s">
        <v>7176</v>
      </c>
      <c r="S2361" s="1">
        <v>45020.209027777775</v>
      </c>
      <c r="V2361">
        <v>1982</v>
      </c>
      <c r="W2361">
        <v>112.85</v>
      </c>
      <c r="X2361">
        <v>1.4</v>
      </c>
      <c r="Y2361" s="2">
        <v>3845630030824</v>
      </c>
      <c r="Z2361">
        <v>70.2</v>
      </c>
      <c r="AA2361">
        <v>104</v>
      </c>
      <c r="AB2361">
        <v>11.5</v>
      </c>
      <c r="AC2361">
        <v>48.8</v>
      </c>
      <c r="AD2361">
        <v>83132799</v>
      </c>
    </row>
    <row r="2362" spans="1:30" hidden="1" x14ac:dyDescent="0.45">
      <c r="A2362">
        <v>2259</v>
      </c>
      <c r="B2362">
        <v>1200</v>
      </c>
      <c r="C2362" t="s">
        <v>347</v>
      </c>
      <c r="D2362" t="s">
        <v>7495</v>
      </c>
      <c r="E2362">
        <v>73</v>
      </c>
      <c r="F2362" t="s">
        <v>349</v>
      </c>
      <c r="G2362" t="s">
        <v>350</v>
      </c>
      <c r="H2362" t="s">
        <v>7496</v>
      </c>
      <c r="I2362" t="s">
        <v>347</v>
      </c>
      <c r="J2362" t="s">
        <v>349</v>
      </c>
      <c r="L2362" t="b">
        <v>0</v>
      </c>
      <c r="M2362" t="s">
        <v>39</v>
      </c>
      <c r="N2362" t="s">
        <v>8245</v>
      </c>
      <c r="O2362" s="1">
        <v>18096</v>
      </c>
      <c r="P2362" t="s">
        <v>7497</v>
      </c>
      <c r="Q2362" t="s">
        <v>3043</v>
      </c>
      <c r="S2362" s="1">
        <v>45020.209027777775</v>
      </c>
      <c r="V2362">
        <v>1949</v>
      </c>
      <c r="W2362">
        <v>151.18</v>
      </c>
      <c r="X2362">
        <v>3</v>
      </c>
      <c r="Y2362" s="2">
        <v>1119190780753</v>
      </c>
      <c r="Z2362">
        <v>36.299999999999997</v>
      </c>
      <c r="AA2362">
        <v>106.4</v>
      </c>
      <c r="AB2362">
        <v>10.199999999999999</v>
      </c>
      <c r="AC2362">
        <v>30.1</v>
      </c>
      <c r="AD2362">
        <v>270203917</v>
      </c>
    </row>
    <row r="2363" spans="1:30" hidden="1" x14ac:dyDescent="0.45">
      <c r="A2363">
        <v>2259</v>
      </c>
      <c r="B2363">
        <v>1200</v>
      </c>
      <c r="C2363" t="s">
        <v>402</v>
      </c>
      <c r="D2363" t="s">
        <v>7498</v>
      </c>
      <c r="E2363">
        <v>49</v>
      </c>
      <c r="F2363" t="s">
        <v>93</v>
      </c>
      <c r="G2363" t="s">
        <v>94</v>
      </c>
      <c r="H2363" t="s">
        <v>402</v>
      </c>
      <c r="I2363" t="s">
        <v>402</v>
      </c>
      <c r="J2363" t="s">
        <v>93</v>
      </c>
      <c r="L2363" t="b">
        <v>1</v>
      </c>
      <c r="M2363" t="s">
        <v>258</v>
      </c>
      <c r="N2363" t="s">
        <v>8245</v>
      </c>
      <c r="O2363" s="1">
        <v>26895</v>
      </c>
      <c r="P2363" t="s">
        <v>7499</v>
      </c>
      <c r="Q2363" t="s">
        <v>4040</v>
      </c>
      <c r="S2363" s="1">
        <v>45020.209027777775</v>
      </c>
      <c r="V2363">
        <v>1973</v>
      </c>
      <c r="W2363">
        <v>180.44</v>
      </c>
      <c r="X2363">
        <v>7.7</v>
      </c>
      <c r="Y2363" s="2">
        <v>2611000000000</v>
      </c>
      <c r="Z2363">
        <v>28.1</v>
      </c>
      <c r="AA2363">
        <v>113</v>
      </c>
      <c r="AB2363">
        <v>11.2</v>
      </c>
      <c r="AC2363">
        <v>49.7</v>
      </c>
      <c r="AD2363">
        <v>1366417754</v>
      </c>
    </row>
    <row r="2364" spans="1:30" hidden="1" x14ac:dyDescent="0.45">
      <c r="A2364">
        <v>2259</v>
      </c>
      <c r="B2364">
        <v>1200</v>
      </c>
      <c r="C2364" t="s">
        <v>45</v>
      </c>
      <c r="D2364" t="s">
        <v>7500</v>
      </c>
      <c r="E2364">
        <v>52</v>
      </c>
      <c r="F2364" t="s">
        <v>272</v>
      </c>
      <c r="G2364" t="s">
        <v>273</v>
      </c>
      <c r="H2364" t="s">
        <v>856</v>
      </c>
      <c r="I2364" t="s">
        <v>45</v>
      </c>
      <c r="J2364" t="s">
        <v>35</v>
      </c>
      <c r="K2364" t="s">
        <v>7501</v>
      </c>
      <c r="L2364" t="b">
        <v>1</v>
      </c>
      <c r="M2364" t="s">
        <v>29</v>
      </c>
      <c r="N2364" t="s">
        <v>8245</v>
      </c>
      <c r="O2364" s="1">
        <v>25958</v>
      </c>
      <c r="P2364" t="s">
        <v>7502</v>
      </c>
      <c r="Q2364" t="s">
        <v>858</v>
      </c>
      <c r="R2364" t="s">
        <v>7503</v>
      </c>
      <c r="S2364" s="1">
        <v>45020.209027777775</v>
      </c>
      <c r="V2364">
        <v>1971</v>
      </c>
      <c r="W2364">
        <v>119.62</v>
      </c>
      <c r="X2364">
        <v>1.7</v>
      </c>
      <c r="Y2364" s="2">
        <v>2827113184696</v>
      </c>
      <c r="Z2364">
        <v>60</v>
      </c>
      <c r="AA2364">
        <v>101.2</v>
      </c>
      <c r="AB2364">
        <v>25.5</v>
      </c>
      <c r="AC2364">
        <v>30.6</v>
      </c>
      <c r="AD2364">
        <v>66834405</v>
      </c>
    </row>
    <row r="2365" spans="1:30" hidden="1" x14ac:dyDescent="0.45">
      <c r="A2365">
        <v>2259</v>
      </c>
      <c r="B2365">
        <v>1200</v>
      </c>
      <c r="C2365" t="s">
        <v>689</v>
      </c>
      <c r="D2365" t="s">
        <v>7504</v>
      </c>
      <c r="E2365">
        <v>51</v>
      </c>
      <c r="F2365" t="s">
        <v>214</v>
      </c>
      <c r="G2365" t="s">
        <v>802</v>
      </c>
      <c r="H2365" t="s">
        <v>6992</v>
      </c>
      <c r="I2365" t="s">
        <v>689</v>
      </c>
      <c r="J2365" t="s">
        <v>214</v>
      </c>
      <c r="L2365" t="b">
        <v>0</v>
      </c>
      <c r="M2365" t="s">
        <v>39</v>
      </c>
      <c r="N2365" t="s">
        <v>8245</v>
      </c>
      <c r="O2365" s="1">
        <v>26199</v>
      </c>
      <c r="P2365" t="s">
        <v>7505</v>
      </c>
      <c r="Q2365" t="s">
        <v>7506</v>
      </c>
      <c r="S2365" s="1">
        <v>45020.209027777775</v>
      </c>
      <c r="V2365">
        <v>1971</v>
      </c>
      <c r="W2365">
        <v>110.62</v>
      </c>
      <c r="X2365">
        <v>0.6</v>
      </c>
      <c r="Y2365" s="2">
        <v>2001244392042</v>
      </c>
      <c r="Z2365">
        <v>61.9</v>
      </c>
      <c r="AA2365">
        <v>101.9</v>
      </c>
      <c r="AB2365">
        <v>24.3</v>
      </c>
      <c r="AC2365">
        <v>59.1</v>
      </c>
      <c r="AD2365">
        <v>60297396</v>
      </c>
    </row>
    <row r="2366" spans="1:30" hidden="1" x14ac:dyDescent="0.45">
      <c r="A2366">
        <v>2259</v>
      </c>
      <c r="B2366">
        <v>1200</v>
      </c>
      <c r="C2366" t="s">
        <v>689</v>
      </c>
      <c r="D2366" t="s">
        <v>7507</v>
      </c>
      <c r="E2366">
        <v>51</v>
      </c>
      <c r="F2366" t="s">
        <v>214</v>
      </c>
      <c r="G2366" t="s">
        <v>802</v>
      </c>
      <c r="H2366" t="s">
        <v>6992</v>
      </c>
      <c r="I2366" t="s">
        <v>689</v>
      </c>
      <c r="J2366" t="s">
        <v>214</v>
      </c>
      <c r="L2366" t="b">
        <v>0</v>
      </c>
      <c r="M2366" t="s">
        <v>39</v>
      </c>
      <c r="N2366" t="s">
        <v>8246</v>
      </c>
      <c r="O2366" s="1">
        <v>26299</v>
      </c>
      <c r="P2366" t="s">
        <v>7505</v>
      </c>
      <c r="Q2366" t="s">
        <v>7508</v>
      </c>
      <c r="S2366" s="1">
        <v>45020.209027777775</v>
      </c>
      <c r="V2366">
        <v>1972</v>
      </c>
      <c r="W2366">
        <v>110.62</v>
      </c>
      <c r="X2366">
        <v>0.6</v>
      </c>
      <c r="Y2366" s="2">
        <v>2001244392042</v>
      </c>
      <c r="Z2366">
        <v>61.9</v>
      </c>
      <c r="AA2366">
        <v>101.9</v>
      </c>
      <c r="AB2366">
        <v>24.3</v>
      </c>
      <c r="AC2366">
        <v>59.1</v>
      </c>
      <c r="AD2366">
        <v>60297396</v>
      </c>
    </row>
    <row r="2367" spans="1:30" hidden="1" x14ac:dyDescent="0.45">
      <c r="A2367">
        <v>2259</v>
      </c>
      <c r="B2367">
        <v>1200</v>
      </c>
      <c r="C2367" t="s">
        <v>61</v>
      </c>
      <c r="D2367" t="s">
        <v>7509</v>
      </c>
      <c r="E2367">
        <v>82</v>
      </c>
      <c r="F2367" t="s">
        <v>35</v>
      </c>
      <c r="G2367" t="s">
        <v>7510</v>
      </c>
      <c r="H2367" t="s">
        <v>248</v>
      </c>
      <c r="I2367" t="s">
        <v>61</v>
      </c>
      <c r="J2367" t="s">
        <v>35</v>
      </c>
      <c r="L2367" t="b">
        <v>1</v>
      </c>
      <c r="M2367" t="s">
        <v>611</v>
      </c>
      <c r="N2367" t="s">
        <v>8245</v>
      </c>
      <c r="O2367" s="1">
        <v>14952</v>
      </c>
      <c r="P2367" t="s">
        <v>7511</v>
      </c>
      <c r="Q2367" t="s">
        <v>81</v>
      </c>
      <c r="S2367" s="1">
        <v>45020.209027777775</v>
      </c>
      <c r="T2367" t="s">
        <v>78</v>
      </c>
      <c r="U2367" t="s">
        <v>82</v>
      </c>
      <c r="V2367">
        <v>1940</v>
      </c>
      <c r="W2367">
        <v>117.24</v>
      </c>
      <c r="X2367">
        <v>7.5</v>
      </c>
      <c r="Y2367" s="2">
        <v>21427700000000</v>
      </c>
      <c r="Z2367">
        <v>88.2</v>
      </c>
      <c r="AA2367">
        <v>101.8</v>
      </c>
      <c r="AB2367">
        <v>9.6</v>
      </c>
      <c r="AC2367">
        <v>36.6</v>
      </c>
      <c r="AD2367">
        <v>328239523</v>
      </c>
    </row>
    <row r="2368" spans="1:30" hidden="1" x14ac:dyDescent="0.45">
      <c r="A2368">
        <v>2259</v>
      </c>
      <c r="B2368">
        <v>1200</v>
      </c>
      <c r="C2368" t="s">
        <v>45</v>
      </c>
      <c r="D2368" t="s">
        <v>7512</v>
      </c>
      <c r="E2368">
        <v>58</v>
      </c>
      <c r="F2368" t="s">
        <v>35</v>
      </c>
      <c r="G2368" t="s">
        <v>4550</v>
      </c>
      <c r="H2368" t="s">
        <v>6645</v>
      </c>
      <c r="I2368" t="s">
        <v>45</v>
      </c>
      <c r="J2368" t="s">
        <v>5311</v>
      </c>
      <c r="L2368" t="b">
        <v>1</v>
      </c>
      <c r="M2368" t="s">
        <v>39</v>
      </c>
      <c r="N2368" t="s">
        <v>8245</v>
      </c>
      <c r="O2368" s="1">
        <v>23785</v>
      </c>
      <c r="P2368" t="s">
        <v>7513</v>
      </c>
      <c r="Q2368" t="s">
        <v>5315</v>
      </c>
      <c r="S2368" s="1">
        <v>45020.209027777775</v>
      </c>
      <c r="T2368" t="s">
        <v>115</v>
      </c>
      <c r="U2368" t="s">
        <v>53</v>
      </c>
      <c r="V2368">
        <v>1965</v>
      </c>
      <c r="W2368">
        <v>117.24</v>
      </c>
      <c r="X2368">
        <v>7.5</v>
      </c>
      <c r="Y2368" s="2">
        <v>21427700000000</v>
      </c>
      <c r="Z2368">
        <v>88.2</v>
      </c>
      <c r="AA2368">
        <v>101.8</v>
      </c>
      <c r="AB2368">
        <v>9.6</v>
      </c>
      <c r="AC2368">
        <v>36.6</v>
      </c>
      <c r="AD2368">
        <v>328239523</v>
      </c>
    </row>
    <row r="2369" spans="1:30" hidden="1" x14ac:dyDescent="0.45">
      <c r="A2369">
        <v>2259</v>
      </c>
      <c r="B2369">
        <v>1200</v>
      </c>
      <c r="C2369" t="s">
        <v>326</v>
      </c>
      <c r="D2369" t="s">
        <v>7514</v>
      </c>
      <c r="E2369">
        <v>77</v>
      </c>
      <c r="F2369" t="s">
        <v>349</v>
      </c>
      <c r="G2369" t="s">
        <v>350</v>
      </c>
      <c r="H2369" t="s">
        <v>351</v>
      </c>
      <c r="I2369" t="s">
        <v>326</v>
      </c>
      <c r="J2369" t="s">
        <v>349</v>
      </c>
      <c r="L2369" t="b">
        <v>1</v>
      </c>
      <c r="M2369" t="s">
        <v>258</v>
      </c>
      <c r="N2369" t="s">
        <v>8245</v>
      </c>
      <c r="O2369" s="1">
        <v>16844</v>
      </c>
      <c r="P2369" t="s">
        <v>7515</v>
      </c>
      <c r="Q2369" t="s">
        <v>7516</v>
      </c>
      <c r="S2369" s="1">
        <v>45020.209027777775</v>
      </c>
      <c r="V2369">
        <v>1946</v>
      </c>
      <c r="W2369">
        <v>151.18</v>
      </c>
      <c r="X2369">
        <v>3</v>
      </c>
      <c r="Y2369" s="2">
        <v>1119190780753</v>
      </c>
      <c r="Z2369">
        <v>36.299999999999997</v>
      </c>
      <c r="AA2369">
        <v>106.4</v>
      </c>
      <c r="AB2369">
        <v>10.199999999999999</v>
      </c>
      <c r="AC2369">
        <v>30.1</v>
      </c>
      <c r="AD2369">
        <v>270203917</v>
      </c>
    </row>
    <row r="2370" spans="1:30" hidden="1" x14ac:dyDescent="0.45">
      <c r="A2370">
        <v>2259</v>
      </c>
      <c r="B2370">
        <v>1200</v>
      </c>
      <c r="C2370" t="s">
        <v>296</v>
      </c>
      <c r="D2370" t="s">
        <v>7517</v>
      </c>
      <c r="E2370">
        <v>61</v>
      </c>
      <c r="F2370" t="s">
        <v>211</v>
      </c>
      <c r="G2370" t="s">
        <v>7518</v>
      </c>
      <c r="H2370" t="s">
        <v>7519</v>
      </c>
      <c r="I2370" t="s">
        <v>296</v>
      </c>
      <c r="J2370" t="s">
        <v>211</v>
      </c>
      <c r="L2370" t="b">
        <v>1</v>
      </c>
      <c r="M2370" t="s">
        <v>611</v>
      </c>
      <c r="N2370" t="s">
        <v>8245</v>
      </c>
      <c r="O2370" s="1">
        <v>22525</v>
      </c>
      <c r="P2370" t="s">
        <v>7520</v>
      </c>
      <c r="Q2370" t="s">
        <v>7521</v>
      </c>
      <c r="S2370" s="1">
        <v>45020.209027777775</v>
      </c>
      <c r="V2370">
        <v>1961</v>
      </c>
      <c r="W2370">
        <v>117.11</v>
      </c>
      <c r="X2370">
        <v>1.4</v>
      </c>
      <c r="Y2370" s="2">
        <v>529606710418</v>
      </c>
      <c r="Z2370">
        <v>79.7</v>
      </c>
      <c r="AA2370">
        <v>103.9</v>
      </c>
      <c r="AB2370">
        <v>24</v>
      </c>
      <c r="AC2370">
        <v>55.4</v>
      </c>
      <c r="AD2370">
        <v>11484055</v>
      </c>
    </row>
    <row r="2371" spans="1:30" hidden="1" x14ac:dyDescent="0.45">
      <c r="A2371">
        <v>2259</v>
      </c>
      <c r="B2371">
        <v>1200</v>
      </c>
      <c r="C2371" t="s">
        <v>126</v>
      </c>
      <c r="D2371" t="s">
        <v>7522</v>
      </c>
      <c r="E2371">
        <v>70</v>
      </c>
      <c r="F2371" t="s">
        <v>1111</v>
      </c>
      <c r="G2371" t="s">
        <v>1112</v>
      </c>
      <c r="H2371" t="s">
        <v>2210</v>
      </c>
      <c r="I2371" t="s">
        <v>126</v>
      </c>
      <c r="J2371" t="s">
        <v>1111</v>
      </c>
      <c r="L2371" t="b">
        <v>1</v>
      </c>
      <c r="M2371" t="s">
        <v>39</v>
      </c>
      <c r="N2371" t="s">
        <v>8245</v>
      </c>
      <c r="O2371" s="1">
        <v>19364</v>
      </c>
      <c r="P2371" t="s">
        <v>7523</v>
      </c>
      <c r="Q2371" t="s">
        <v>2143</v>
      </c>
      <c r="S2371" s="1">
        <v>45020.209027777775</v>
      </c>
      <c r="V2371">
        <v>1953</v>
      </c>
      <c r="W2371">
        <v>129.61000000000001</v>
      </c>
      <c r="X2371">
        <v>2.5</v>
      </c>
      <c r="Y2371" s="2">
        <v>376795508680</v>
      </c>
      <c r="Z2371">
        <v>35.5</v>
      </c>
      <c r="AA2371">
        <v>107.5</v>
      </c>
      <c r="AB2371">
        <v>14</v>
      </c>
      <c r="AC2371">
        <v>43.1</v>
      </c>
      <c r="AD2371">
        <v>108116615</v>
      </c>
    </row>
    <row r="2372" spans="1:30" hidden="1" x14ac:dyDescent="0.45">
      <c r="A2372">
        <v>2259</v>
      </c>
      <c r="B2372">
        <v>1200</v>
      </c>
      <c r="C2372" t="s">
        <v>296</v>
      </c>
      <c r="D2372" t="s">
        <v>7524</v>
      </c>
      <c r="E2372">
        <v>59</v>
      </c>
      <c r="F2372" t="s">
        <v>128</v>
      </c>
      <c r="G2372" t="s">
        <v>678</v>
      </c>
      <c r="H2372" t="s">
        <v>296</v>
      </c>
      <c r="I2372" t="s">
        <v>296</v>
      </c>
      <c r="J2372" t="s">
        <v>128</v>
      </c>
      <c r="L2372" t="b">
        <v>1</v>
      </c>
      <c r="M2372" t="s">
        <v>29</v>
      </c>
      <c r="N2372" t="s">
        <v>8245</v>
      </c>
      <c r="O2372" s="1">
        <v>23248</v>
      </c>
      <c r="P2372" t="s">
        <v>4708</v>
      </c>
      <c r="Q2372" t="s">
        <v>7525</v>
      </c>
      <c r="S2372" s="1">
        <v>45020.209027777775</v>
      </c>
      <c r="V2372">
        <v>1963</v>
      </c>
      <c r="W2372">
        <v>125.08</v>
      </c>
      <c r="X2372">
        <v>2.9</v>
      </c>
      <c r="Y2372" s="2">
        <v>19910000000000</v>
      </c>
      <c r="Z2372">
        <v>50.6</v>
      </c>
      <c r="AA2372">
        <v>100.2</v>
      </c>
      <c r="AB2372">
        <v>9.4</v>
      </c>
      <c r="AC2372">
        <v>59.2</v>
      </c>
      <c r="AD2372">
        <v>1397715000</v>
      </c>
    </row>
    <row r="2373" spans="1:30" hidden="1" x14ac:dyDescent="0.45">
      <c r="A2373">
        <v>2259</v>
      </c>
      <c r="B2373">
        <v>1200</v>
      </c>
      <c r="C2373" t="s">
        <v>302</v>
      </c>
      <c r="D2373" t="s">
        <v>7526</v>
      </c>
      <c r="E2373">
        <v>78</v>
      </c>
      <c r="F2373" t="s">
        <v>328</v>
      </c>
      <c r="G2373" t="s">
        <v>795</v>
      </c>
      <c r="H2373" t="s">
        <v>304</v>
      </c>
      <c r="I2373" t="s">
        <v>302</v>
      </c>
      <c r="J2373" t="s">
        <v>328</v>
      </c>
      <c r="L2373" t="b">
        <v>1</v>
      </c>
      <c r="M2373" t="s">
        <v>611</v>
      </c>
      <c r="N2373" t="s">
        <v>8245</v>
      </c>
      <c r="O2373" s="1">
        <v>16275</v>
      </c>
      <c r="P2373" t="s">
        <v>7527</v>
      </c>
      <c r="Q2373" t="s">
        <v>2118</v>
      </c>
      <c r="S2373" s="1">
        <v>45020.209027777775</v>
      </c>
      <c r="V2373">
        <v>1944</v>
      </c>
      <c r="W2373">
        <v>119.8</v>
      </c>
      <c r="X2373">
        <v>1.6</v>
      </c>
      <c r="Y2373" s="2">
        <v>1392680589329</v>
      </c>
      <c r="Z2373">
        <v>113.1</v>
      </c>
      <c r="AA2373">
        <v>100.3</v>
      </c>
      <c r="AB2373">
        <v>23</v>
      </c>
      <c r="AC2373">
        <v>47.4</v>
      </c>
      <c r="AD2373">
        <v>25766605</v>
      </c>
    </row>
    <row r="2374" spans="1:30" hidden="1" x14ac:dyDescent="0.45">
      <c r="A2374">
        <v>2259</v>
      </c>
      <c r="B2374">
        <v>1200</v>
      </c>
      <c r="C2374" t="s">
        <v>61</v>
      </c>
      <c r="D2374" t="s">
        <v>7528</v>
      </c>
      <c r="E2374">
        <v>75</v>
      </c>
      <c r="F2374" t="s">
        <v>214</v>
      </c>
      <c r="G2374" t="s">
        <v>7529</v>
      </c>
      <c r="H2374" t="s">
        <v>2380</v>
      </c>
      <c r="I2374" t="s">
        <v>61</v>
      </c>
      <c r="J2374" t="s">
        <v>214</v>
      </c>
      <c r="L2374" t="b">
        <v>0</v>
      </c>
      <c r="M2374" t="s">
        <v>39</v>
      </c>
      <c r="N2374" t="s">
        <v>8246</v>
      </c>
      <c r="O2374" s="1">
        <v>17376</v>
      </c>
      <c r="P2374" t="s">
        <v>7530</v>
      </c>
      <c r="Q2374" t="s">
        <v>7531</v>
      </c>
      <c r="S2374" s="1">
        <v>45020.209027777775</v>
      </c>
      <c r="V2374">
        <v>1947</v>
      </c>
      <c r="W2374">
        <v>110.62</v>
      </c>
      <c r="X2374">
        <v>0.6</v>
      </c>
      <c r="Y2374" s="2">
        <v>2001244392042</v>
      </c>
      <c r="Z2374">
        <v>61.9</v>
      </c>
      <c r="AA2374">
        <v>101.9</v>
      </c>
      <c r="AB2374">
        <v>24.3</v>
      </c>
      <c r="AC2374">
        <v>59.1</v>
      </c>
      <c r="AD2374">
        <v>60297396</v>
      </c>
    </row>
    <row r="2375" spans="1:30" hidden="1" x14ac:dyDescent="0.45">
      <c r="A2375">
        <v>2259</v>
      </c>
      <c r="B2375">
        <v>1200</v>
      </c>
      <c r="C2375" t="s">
        <v>296</v>
      </c>
      <c r="D2375" t="s">
        <v>7532</v>
      </c>
      <c r="E2375">
        <v>60</v>
      </c>
      <c r="F2375" t="s">
        <v>128</v>
      </c>
      <c r="G2375" t="s">
        <v>6018</v>
      </c>
      <c r="H2375" t="s">
        <v>296</v>
      </c>
      <c r="I2375" t="s">
        <v>296</v>
      </c>
      <c r="J2375" t="s">
        <v>128</v>
      </c>
      <c r="L2375" t="b">
        <v>1</v>
      </c>
      <c r="M2375" t="s">
        <v>39</v>
      </c>
      <c r="N2375" t="s">
        <v>8245</v>
      </c>
      <c r="O2375" s="1">
        <v>23012</v>
      </c>
      <c r="P2375" t="s">
        <v>3076</v>
      </c>
      <c r="Q2375" t="s">
        <v>7533</v>
      </c>
      <c r="S2375" s="1">
        <v>45020.209027777775</v>
      </c>
      <c r="V2375">
        <v>1963</v>
      </c>
      <c r="W2375">
        <v>125.08</v>
      </c>
      <c r="X2375">
        <v>2.9</v>
      </c>
      <c r="Y2375" s="2">
        <v>19910000000000</v>
      </c>
      <c r="Z2375">
        <v>50.6</v>
      </c>
      <c r="AA2375">
        <v>100.2</v>
      </c>
      <c r="AB2375">
        <v>9.4</v>
      </c>
      <c r="AC2375">
        <v>59.2</v>
      </c>
      <c r="AD2375">
        <v>1397715000</v>
      </c>
    </row>
    <row r="2376" spans="1:30" hidden="1" x14ac:dyDescent="0.45">
      <c r="A2376">
        <v>2259</v>
      </c>
      <c r="B2376">
        <v>1200</v>
      </c>
      <c r="C2376" t="s">
        <v>76</v>
      </c>
      <c r="D2376" t="s">
        <v>7534</v>
      </c>
      <c r="E2376">
        <v>81</v>
      </c>
      <c r="F2376" t="s">
        <v>641</v>
      </c>
      <c r="G2376" t="s">
        <v>7535</v>
      </c>
      <c r="H2376" t="s">
        <v>4474</v>
      </c>
      <c r="I2376" t="s">
        <v>76</v>
      </c>
      <c r="J2376" t="s">
        <v>641</v>
      </c>
      <c r="L2376" t="b">
        <v>1</v>
      </c>
      <c r="M2376" t="s">
        <v>39</v>
      </c>
      <c r="N2376" t="s">
        <v>8245</v>
      </c>
      <c r="O2376" s="1">
        <v>15395</v>
      </c>
      <c r="P2376" t="s">
        <v>7536</v>
      </c>
      <c r="Q2376" t="s">
        <v>7537</v>
      </c>
      <c r="S2376" s="1">
        <v>45020.209027777775</v>
      </c>
      <c r="V2376">
        <v>1942</v>
      </c>
      <c r="W2376">
        <v>115.91</v>
      </c>
      <c r="X2376">
        <v>2.6</v>
      </c>
      <c r="Y2376" s="2">
        <v>909070395161</v>
      </c>
      <c r="Z2376">
        <v>85</v>
      </c>
      <c r="AA2376">
        <v>104.2</v>
      </c>
      <c r="AB2376">
        <v>23</v>
      </c>
      <c r="AC2376">
        <v>41.2</v>
      </c>
      <c r="AD2376">
        <v>17332850</v>
      </c>
    </row>
    <row r="2377" spans="1:30" hidden="1" x14ac:dyDescent="0.45">
      <c r="A2377">
        <v>2259</v>
      </c>
      <c r="B2377">
        <v>1200</v>
      </c>
      <c r="C2377" t="s">
        <v>61</v>
      </c>
      <c r="D2377" t="s">
        <v>7538</v>
      </c>
      <c r="E2377">
        <v>54</v>
      </c>
      <c r="F2377" t="s">
        <v>7539</v>
      </c>
      <c r="G2377" t="s">
        <v>7540</v>
      </c>
      <c r="H2377" t="s">
        <v>3491</v>
      </c>
      <c r="I2377" t="s">
        <v>61</v>
      </c>
      <c r="J2377" t="s">
        <v>7539</v>
      </c>
      <c r="L2377" t="b">
        <v>1</v>
      </c>
      <c r="M2377" t="s">
        <v>1332</v>
      </c>
      <c r="N2377" t="s">
        <v>8245</v>
      </c>
      <c r="O2377" s="1">
        <v>24983</v>
      </c>
      <c r="P2377" t="s">
        <v>7541</v>
      </c>
      <c r="Q2377" t="s">
        <v>7542</v>
      </c>
      <c r="S2377" s="1">
        <v>45020.209027777775</v>
      </c>
      <c r="V2377">
        <v>1968</v>
      </c>
      <c r="W2377">
        <v>129.18</v>
      </c>
      <c r="X2377">
        <v>1.4</v>
      </c>
      <c r="Y2377" s="2">
        <v>13672802158</v>
      </c>
      <c r="Z2377">
        <v>54.6</v>
      </c>
      <c r="AA2377">
        <v>92.7</v>
      </c>
      <c r="AB2377">
        <v>20.9</v>
      </c>
      <c r="AC2377">
        <v>22.6</v>
      </c>
      <c r="AD2377">
        <v>2957731</v>
      </c>
    </row>
    <row r="2378" spans="1:30" hidden="1" x14ac:dyDescent="0.45">
      <c r="A2378">
        <v>2259</v>
      </c>
      <c r="B2378">
        <v>1200</v>
      </c>
      <c r="C2378" t="s">
        <v>23</v>
      </c>
      <c r="D2378" t="s">
        <v>7543</v>
      </c>
      <c r="E2378">
        <v>63</v>
      </c>
      <c r="F2378" t="s">
        <v>214</v>
      </c>
      <c r="G2378" t="s">
        <v>802</v>
      </c>
      <c r="H2378" t="s">
        <v>3393</v>
      </c>
      <c r="I2378" t="s">
        <v>23</v>
      </c>
      <c r="J2378" t="s">
        <v>214</v>
      </c>
      <c r="L2378" t="b">
        <v>1</v>
      </c>
      <c r="M2378" t="s">
        <v>39</v>
      </c>
      <c r="N2378" t="s">
        <v>8245</v>
      </c>
      <c r="O2378" s="1">
        <v>21841</v>
      </c>
      <c r="P2378" t="s">
        <v>7544</v>
      </c>
      <c r="Q2378" t="s">
        <v>7545</v>
      </c>
      <c r="S2378" s="1">
        <v>45020.209027777775</v>
      </c>
      <c r="V2378">
        <v>1959</v>
      </c>
      <c r="W2378">
        <v>110.62</v>
      </c>
      <c r="X2378">
        <v>0.6</v>
      </c>
      <c r="Y2378" s="2">
        <v>2001244392042</v>
      </c>
      <c r="Z2378">
        <v>61.9</v>
      </c>
      <c r="AA2378">
        <v>101.9</v>
      </c>
      <c r="AB2378">
        <v>24.3</v>
      </c>
      <c r="AC2378">
        <v>59.1</v>
      </c>
      <c r="AD2378">
        <v>60297396</v>
      </c>
    </row>
    <row r="2379" spans="1:30" hidden="1" x14ac:dyDescent="0.45">
      <c r="A2379">
        <v>2259</v>
      </c>
      <c r="B2379">
        <v>1200</v>
      </c>
      <c r="C2379" t="s">
        <v>302</v>
      </c>
      <c r="D2379" t="s">
        <v>7546</v>
      </c>
      <c r="E2379">
        <v>65</v>
      </c>
      <c r="F2379" t="s">
        <v>628</v>
      </c>
      <c r="G2379" t="s">
        <v>629</v>
      </c>
      <c r="H2379" t="s">
        <v>304</v>
      </c>
      <c r="I2379" t="s">
        <v>302</v>
      </c>
      <c r="J2379" t="s">
        <v>628</v>
      </c>
      <c r="L2379" t="b">
        <v>1</v>
      </c>
      <c r="M2379" t="s">
        <v>611</v>
      </c>
      <c r="N2379" t="s">
        <v>8245</v>
      </c>
      <c r="O2379" s="1">
        <v>21009</v>
      </c>
      <c r="P2379" t="s">
        <v>7547</v>
      </c>
      <c r="Q2379" t="s">
        <v>7548</v>
      </c>
      <c r="S2379" s="1">
        <v>45020.209027777775</v>
      </c>
      <c r="V2379">
        <v>1957</v>
      </c>
      <c r="W2379">
        <v>113.27</v>
      </c>
      <c r="X2379">
        <v>0.7</v>
      </c>
      <c r="Y2379" s="2">
        <v>543649976166</v>
      </c>
      <c r="Z2379">
        <v>49.3</v>
      </c>
      <c r="AA2379">
        <v>99.8</v>
      </c>
      <c r="AB2379">
        <v>14.9</v>
      </c>
      <c r="AC2379">
        <v>29.5</v>
      </c>
      <c r="AD2379">
        <v>69625582</v>
      </c>
    </row>
    <row r="2380" spans="1:30" hidden="1" x14ac:dyDescent="0.45">
      <c r="A2380">
        <v>2259</v>
      </c>
      <c r="B2380">
        <v>1200</v>
      </c>
      <c r="C2380" t="s">
        <v>61</v>
      </c>
      <c r="D2380" t="s">
        <v>7549</v>
      </c>
      <c r="E2380">
        <v>57</v>
      </c>
      <c r="F2380" t="s">
        <v>228</v>
      </c>
      <c r="G2380" t="s">
        <v>228</v>
      </c>
      <c r="H2380" t="s">
        <v>7007</v>
      </c>
      <c r="I2380" t="s">
        <v>61</v>
      </c>
      <c r="J2380" t="s">
        <v>577</v>
      </c>
      <c r="L2380" t="b">
        <v>1</v>
      </c>
      <c r="M2380" t="s">
        <v>39</v>
      </c>
      <c r="N2380" t="s">
        <v>8245</v>
      </c>
      <c r="O2380" s="1">
        <v>24190</v>
      </c>
      <c r="P2380" t="s">
        <v>7550</v>
      </c>
      <c r="Q2380" t="s">
        <v>358</v>
      </c>
      <c r="S2380" s="1">
        <v>45020.209027777775</v>
      </c>
      <c r="V2380">
        <v>1966</v>
      </c>
      <c r="W2380"/>
      <c r="Y2380"/>
    </row>
    <row r="2381" spans="1:30" hidden="1" x14ac:dyDescent="0.45">
      <c r="A2381">
        <v>2259</v>
      </c>
      <c r="B2381">
        <v>1200</v>
      </c>
      <c r="C2381" t="s">
        <v>402</v>
      </c>
      <c r="D2381" t="s">
        <v>7551</v>
      </c>
      <c r="F2381" t="s">
        <v>128</v>
      </c>
      <c r="G2381" t="s">
        <v>7552</v>
      </c>
      <c r="H2381" t="s">
        <v>610</v>
      </c>
      <c r="I2381" t="s">
        <v>402</v>
      </c>
      <c r="J2381" t="s">
        <v>128</v>
      </c>
      <c r="L2381" t="b">
        <v>1</v>
      </c>
      <c r="M2381" t="s">
        <v>39</v>
      </c>
      <c r="N2381" t="s">
        <v>8245</v>
      </c>
      <c r="O2381"/>
      <c r="P2381" t="s">
        <v>439</v>
      </c>
      <c r="Q2381" t="s">
        <v>7553</v>
      </c>
      <c r="S2381" s="1">
        <v>45020.209027777775</v>
      </c>
      <c r="W2381">
        <v>125.08</v>
      </c>
      <c r="X2381">
        <v>2.9</v>
      </c>
      <c r="Y2381" s="2">
        <v>19910000000000</v>
      </c>
      <c r="Z2381">
        <v>50.6</v>
      </c>
      <c r="AA2381">
        <v>100.2</v>
      </c>
      <c r="AB2381">
        <v>9.4</v>
      </c>
      <c r="AC2381">
        <v>59.2</v>
      </c>
      <c r="AD2381">
        <v>1397715000</v>
      </c>
    </row>
    <row r="2382" spans="1:30" hidden="1" x14ac:dyDescent="0.45">
      <c r="A2382">
        <v>2259</v>
      </c>
      <c r="B2382">
        <v>1200</v>
      </c>
      <c r="C2382" t="s">
        <v>296</v>
      </c>
      <c r="D2382" t="s">
        <v>7554</v>
      </c>
      <c r="E2382">
        <v>61</v>
      </c>
      <c r="F2382" t="s">
        <v>1259</v>
      </c>
      <c r="G2382" t="s">
        <v>1260</v>
      </c>
      <c r="H2382" t="s">
        <v>7555</v>
      </c>
      <c r="I2382" t="s">
        <v>296</v>
      </c>
      <c r="J2382" t="s">
        <v>1259</v>
      </c>
      <c r="L2382" t="b">
        <v>1</v>
      </c>
      <c r="M2382" t="s">
        <v>258</v>
      </c>
      <c r="N2382" t="s">
        <v>8245</v>
      </c>
      <c r="O2382" s="1">
        <v>22647</v>
      </c>
      <c r="P2382" t="s">
        <v>439</v>
      </c>
      <c r="Q2382" t="s">
        <v>7556</v>
      </c>
      <c r="S2382" s="1">
        <v>45020.209027777775</v>
      </c>
      <c r="V2382">
        <v>1962</v>
      </c>
      <c r="W2382"/>
      <c r="Y2382"/>
    </row>
    <row r="2383" spans="1:30" hidden="1" x14ac:dyDescent="0.45">
      <c r="A2383">
        <v>2259</v>
      </c>
      <c r="B2383">
        <v>1200</v>
      </c>
      <c r="C2383" t="s">
        <v>296</v>
      </c>
      <c r="D2383" t="s">
        <v>7557</v>
      </c>
      <c r="E2383">
        <v>54</v>
      </c>
      <c r="F2383" t="s">
        <v>128</v>
      </c>
      <c r="G2383" t="s">
        <v>7558</v>
      </c>
      <c r="H2383" t="s">
        <v>3442</v>
      </c>
      <c r="I2383" t="s">
        <v>296</v>
      </c>
      <c r="J2383" t="s">
        <v>128</v>
      </c>
      <c r="L2383" t="b">
        <v>1</v>
      </c>
      <c r="M2383" t="s">
        <v>39</v>
      </c>
      <c r="N2383" t="s">
        <v>8245</v>
      </c>
      <c r="O2383" s="1">
        <v>25112</v>
      </c>
      <c r="P2383" t="s">
        <v>439</v>
      </c>
      <c r="Q2383" t="s">
        <v>7559</v>
      </c>
      <c r="S2383" s="1">
        <v>45020.209027777775</v>
      </c>
      <c r="V2383">
        <v>1968</v>
      </c>
      <c r="W2383">
        <v>125.08</v>
      </c>
      <c r="X2383">
        <v>2.9</v>
      </c>
      <c r="Y2383" s="2">
        <v>19910000000000</v>
      </c>
      <c r="Z2383">
        <v>50.6</v>
      </c>
      <c r="AA2383">
        <v>100.2</v>
      </c>
      <c r="AB2383">
        <v>9.4</v>
      </c>
      <c r="AC2383">
        <v>59.2</v>
      </c>
      <c r="AD2383">
        <v>1397715000</v>
      </c>
    </row>
    <row r="2384" spans="1:30" hidden="1" x14ac:dyDescent="0.45">
      <c r="A2384">
        <v>2259</v>
      </c>
      <c r="B2384">
        <v>1200</v>
      </c>
      <c r="C2384" t="s">
        <v>91</v>
      </c>
      <c r="D2384" t="s">
        <v>7560</v>
      </c>
      <c r="E2384">
        <v>87</v>
      </c>
      <c r="F2384" t="s">
        <v>35</v>
      </c>
      <c r="G2384" t="s">
        <v>7561</v>
      </c>
      <c r="H2384" t="s">
        <v>1273</v>
      </c>
      <c r="I2384" t="s">
        <v>91</v>
      </c>
      <c r="J2384" t="s">
        <v>35</v>
      </c>
      <c r="L2384" t="b">
        <v>1</v>
      </c>
      <c r="M2384" t="s">
        <v>611</v>
      </c>
      <c r="N2384" t="s">
        <v>8245</v>
      </c>
      <c r="O2384" s="1">
        <v>13028</v>
      </c>
      <c r="P2384" t="s">
        <v>7562</v>
      </c>
      <c r="Q2384" t="s">
        <v>7563</v>
      </c>
      <c r="S2384" s="1">
        <v>45020.209027777775</v>
      </c>
      <c r="T2384" t="s">
        <v>253</v>
      </c>
      <c r="U2384" t="s">
        <v>44</v>
      </c>
      <c r="V2384">
        <v>1935</v>
      </c>
      <c r="W2384">
        <v>117.24</v>
      </c>
      <c r="X2384">
        <v>7.5</v>
      </c>
      <c r="Y2384" s="2">
        <v>21427700000000</v>
      </c>
      <c r="Z2384">
        <v>88.2</v>
      </c>
      <c r="AA2384">
        <v>101.8</v>
      </c>
      <c r="AB2384">
        <v>9.6</v>
      </c>
      <c r="AC2384">
        <v>36.6</v>
      </c>
      <c r="AD2384">
        <v>328239523</v>
      </c>
    </row>
    <row r="2385" spans="1:30" hidden="1" x14ac:dyDescent="0.45">
      <c r="A2385">
        <v>2259</v>
      </c>
      <c r="B2385">
        <v>1200</v>
      </c>
      <c r="C2385" t="s">
        <v>126</v>
      </c>
      <c r="D2385" t="s">
        <v>7564</v>
      </c>
      <c r="E2385">
        <v>67</v>
      </c>
      <c r="F2385" t="s">
        <v>490</v>
      </c>
      <c r="G2385" t="s">
        <v>7565</v>
      </c>
      <c r="H2385" t="s">
        <v>7566</v>
      </c>
      <c r="I2385" t="s">
        <v>126</v>
      </c>
      <c r="J2385" t="s">
        <v>490</v>
      </c>
      <c r="L2385" t="b">
        <v>0</v>
      </c>
      <c r="M2385" t="s">
        <v>39</v>
      </c>
      <c r="N2385" t="s">
        <v>8246</v>
      </c>
      <c r="O2385" s="1">
        <v>20455</v>
      </c>
      <c r="P2385" t="s">
        <v>2580</v>
      </c>
      <c r="Q2385" t="s">
        <v>7567</v>
      </c>
      <c r="S2385" s="1">
        <v>45020.209027777775</v>
      </c>
      <c r="V2385">
        <v>1956</v>
      </c>
      <c r="W2385">
        <v>108.15</v>
      </c>
      <c r="X2385">
        <v>0.8</v>
      </c>
      <c r="Y2385" s="2">
        <v>395098666122</v>
      </c>
      <c r="Z2385">
        <v>63.4</v>
      </c>
      <c r="AA2385">
        <v>104.9</v>
      </c>
      <c r="AB2385">
        <v>23.1</v>
      </c>
      <c r="AC2385">
        <v>25.3</v>
      </c>
      <c r="AD2385">
        <v>9053300</v>
      </c>
    </row>
    <row r="2386" spans="1:30" hidden="1" x14ac:dyDescent="0.45">
      <c r="A2386">
        <v>2259</v>
      </c>
      <c r="B2386">
        <v>1200</v>
      </c>
      <c r="C2386" t="s">
        <v>61</v>
      </c>
      <c r="D2386" t="s">
        <v>7568</v>
      </c>
      <c r="E2386">
        <v>41</v>
      </c>
      <c r="F2386" t="s">
        <v>35</v>
      </c>
      <c r="G2386" t="s">
        <v>78</v>
      </c>
      <c r="H2386" t="s">
        <v>4551</v>
      </c>
      <c r="I2386" t="s">
        <v>61</v>
      </c>
      <c r="J2386" t="s">
        <v>35</v>
      </c>
      <c r="L2386" t="b">
        <v>1</v>
      </c>
      <c r="M2386" t="s">
        <v>39</v>
      </c>
      <c r="N2386" t="s">
        <v>8245</v>
      </c>
      <c r="O2386" s="1">
        <v>29819</v>
      </c>
      <c r="P2386" t="s">
        <v>7569</v>
      </c>
      <c r="Q2386" t="s">
        <v>5550</v>
      </c>
      <c r="S2386" s="1">
        <v>45020.209027777775</v>
      </c>
      <c r="T2386" t="s">
        <v>78</v>
      </c>
      <c r="U2386" t="s">
        <v>82</v>
      </c>
      <c r="V2386">
        <v>1981</v>
      </c>
      <c r="W2386">
        <v>117.24</v>
      </c>
      <c r="X2386">
        <v>7.5</v>
      </c>
      <c r="Y2386" s="2">
        <v>21427700000000</v>
      </c>
      <c r="Z2386">
        <v>88.2</v>
      </c>
      <c r="AA2386">
        <v>101.8</v>
      </c>
      <c r="AB2386">
        <v>9.6</v>
      </c>
      <c r="AC2386">
        <v>36.6</v>
      </c>
      <c r="AD2386">
        <v>328239523</v>
      </c>
    </row>
    <row r="2387" spans="1:30" hidden="1" x14ac:dyDescent="0.45">
      <c r="A2387">
        <v>2259</v>
      </c>
      <c r="B2387">
        <v>1200</v>
      </c>
      <c r="C2387" t="s">
        <v>61</v>
      </c>
      <c r="D2387" t="s">
        <v>7570</v>
      </c>
      <c r="E2387">
        <v>41</v>
      </c>
      <c r="F2387" t="s">
        <v>35</v>
      </c>
      <c r="G2387" t="s">
        <v>78</v>
      </c>
      <c r="H2387" t="s">
        <v>4551</v>
      </c>
      <c r="I2387" t="s">
        <v>61</v>
      </c>
      <c r="J2387" t="s">
        <v>35</v>
      </c>
      <c r="L2387" t="b">
        <v>1</v>
      </c>
      <c r="M2387" t="s">
        <v>39</v>
      </c>
      <c r="N2387" t="s">
        <v>8245</v>
      </c>
      <c r="O2387" s="1">
        <v>29819</v>
      </c>
      <c r="P2387" t="s">
        <v>7569</v>
      </c>
      <c r="Q2387" t="s">
        <v>7571</v>
      </c>
      <c r="S2387" s="1">
        <v>45020.209027777775</v>
      </c>
      <c r="T2387" t="s">
        <v>78</v>
      </c>
      <c r="U2387" t="s">
        <v>82</v>
      </c>
      <c r="V2387">
        <v>1981</v>
      </c>
      <c r="W2387">
        <v>117.24</v>
      </c>
      <c r="X2387">
        <v>7.5</v>
      </c>
      <c r="Y2387" s="2">
        <v>21427700000000</v>
      </c>
      <c r="Z2387">
        <v>88.2</v>
      </c>
      <c r="AA2387">
        <v>101.8</v>
      </c>
      <c r="AB2387">
        <v>9.6</v>
      </c>
      <c r="AC2387">
        <v>36.6</v>
      </c>
      <c r="AD2387">
        <v>328239523</v>
      </c>
    </row>
    <row r="2388" spans="1:30" hidden="1" x14ac:dyDescent="0.45">
      <c r="A2388">
        <v>2259</v>
      </c>
      <c r="B2388">
        <v>1200</v>
      </c>
      <c r="C2388" t="s">
        <v>296</v>
      </c>
      <c r="D2388" t="s">
        <v>7572</v>
      </c>
      <c r="E2388">
        <v>67</v>
      </c>
      <c r="F2388" t="s">
        <v>1259</v>
      </c>
      <c r="G2388" t="s">
        <v>7573</v>
      </c>
      <c r="H2388" t="s">
        <v>296</v>
      </c>
      <c r="I2388" t="s">
        <v>296</v>
      </c>
      <c r="J2388" t="s">
        <v>1259</v>
      </c>
      <c r="L2388" t="b">
        <v>0</v>
      </c>
      <c r="M2388" t="s">
        <v>611</v>
      </c>
      <c r="N2388" t="s">
        <v>8245</v>
      </c>
      <c r="O2388" s="1">
        <v>20271</v>
      </c>
      <c r="P2388" t="s">
        <v>894</v>
      </c>
      <c r="Q2388" t="s">
        <v>7574</v>
      </c>
      <c r="S2388" s="1">
        <v>45020.209027777775</v>
      </c>
      <c r="V2388">
        <v>1955</v>
      </c>
      <c r="W2388"/>
      <c r="Y2388"/>
    </row>
    <row r="2389" spans="1:30" hidden="1" x14ac:dyDescent="0.45">
      <c r="A2389">
        <v>2259</v>
      </c>
      <c r="B2389">
        <v>1200</v>
      </c>
      <c r="C2389" t="s">
        <v>61</v>
      </c>
      <c r="D2389" t="s">
        <v>7575</v>
      </c>
      <c r="E2389">
        <v>77</v>
      </c>
      <c r="F2389" t="s">
        <v>1259</v>
      </c>
      <c r="G2389" t="s">
        <v>1260</v>
      </c>
      <c r="H2389" t="s">
        <v>1839</v>
      </c>
      <c r="I2389" t="s">
        <v>61</v>
      </c>
      <c r="J2389" t="s">
        <v>1259</v>
      </c>
      <c r="L2389" t="b">
        <v>0</v>
      </c>
      <c r="M2389" t="s">
        <v>39</v>
      </c>
      <c r="N2389" t="s">
        <v>8245</v>
      </c>
      <c r="O2389" s="1">
        <v>16560</v>
      </c>
      <c r="P2389" t="s">
        <v>894</v>
      </c>
      <c r="Q2389" t="s">
        <v>5026</v>
      </c>
      <c r="S2389" s="1">
        <v>45020.209027777775</v>
      </c>
      <c r="V2389">
        <v>1945</v>
      </c>
      <c r="W2389"/>
      <c r="Y2389"/>
    </row>
    <row r="2390" spans="1:30" hidden="1" x14ac:dyDescent="0.45">
      <c r="A2390">
        <v>2259</v>
      </c>
      <c r="B2390">
        <v>1200</v>
      </c>
      <c r="C2390" t="s">
        <v>23</v>
      </c>
      <c r="D2390" t="s">
        <v>7576</v>
      </c>
      <c r="E2390">
        <v>52</v>
      </c>
      <c r="F2390" t="s">
        <v>128</v>
      </c>
      <c r="G2390" t="s">
        <v>2921</v>
      </c>
      <c r="H2390" t="s">
        <v>1475</v>
      </c>
      <c r="I2390" t="s">
        <v>23</v>
      </c>
      <c r="J2390" t="s">
        <v>128</v>
      </c>
      <c r="L2390" t="b">
        <v>1</v>
      </c>
      <c r="M2390" t="s">
        <v>29</v>
      </c>
      <c r="N2390" t="s">
        <v>8245</v>
      </c>
      <c r="O2390" s="1">
        <v>25934</v>
      </c>
      <c r="P2390" t="s">
        <v>894</v>
      </c>
      <c r="Q2390" t="s">
        <v>7577</v>
      </c>
      <c r="S2390" s="1">
        <v>45020.209027777775</v>
      </c>
      <c r="V2390">
        <v>1971</v>
      </c>
      <c r="W2390">
        <v>125.08</v>
      </c>
      <c r="X2390">
        <v>2.9</v>
      </c>
      <c r="Y2390" s="2">
        <v>19910000000000</v>
      </c>
      <c r="Z2390">
        <v>50.6</v>
      </c>
      <c r="AA2390">
        <v>100.2</v>
      </c>
      <c r="AB2390">
        <v>9.4</v>
      </c>
      <c r="AC2390">
        <v>59.2</v>
      </c>
      <c r="AD2390">
        <v>1397715000</v>
      </c>
    </row>
    <row r="2391" spans="1:30" hidden="1" x14ac:dyDescent="0.45">
      <c r="A2391">
        <v>2259</v>
      </c>
      <c r="B2391">
        <v>1200</v>
      </c>
      <c r="C2391" t="s">
        <v>296</v>
      </c>
      <c r="D2391" t="s">
        <v>7578</v>
      </c>
      <c r="E2391">
        <v>58</v>
      </c>
      <c r="F2391" t="s">
        <v>128</v>
      </c>
      <c r="G2391" t="s">
        <v>719</v>
      </c>
      <c r="H2391" t="s">
        <v>262</v>
      </c>
      <c r="I2391" t="s">
        <v>296</v>
      </c>
      <c r="J2391" t="s">
        <v>128</v>
      </c>
      <c r="L2391" t="b">
        <v>1</v>
      </c>
      <c r="M2391" t="s">
        <v>29</v>
      </c>
      <c r="N2391" t="s">
        <v>8245</v>
      </c>
      <c r="O2391" s="1">
        <v>23665</v>
      </c>
      <c r="P2391" t="s">
        <v>3082</v>
      </c>
      <c r="Q2391" t="s">
        <v>7579</v>
      </c>
      <c r="S2391" s="1">
        <v>45020.209027777775</v>
      </c>
      <c r="V2391">
        <v>1964</v>
      </c>
      <c r="W2391">
        <v>125.08</v>
      </c>
      <c r="X2391">
        <v>2.9</v>
      </c>
      <c r="Y2391" s="2">
        <v>19910000000000</v>
      </c>
      <c r="Z2391">
        <v>50.6</v>
      </c>
      <c r="AA2391">
        <v>100.2</v>
      </c>
      <c r="AB2391">
        <v>9.4</v>
      </c>
      <c r="AC2391">
        <v>59.2</v>
      </c>
      <c r="AD2391">
        <v>1397715000</v>
      </c>
    </row>
    <row r="2392" spans="1:30" hidden="1" x14ac:dyDescent="0.45">
      <c r="A2392">
        <v>2259</v>
      </c>
      <c r="B2392">
        <v>1200</v>
      </c>
      <c r="C2392" t="s">
        <v>296</v>
      </c>
      <c r="D2392" t="s">
        <v>7580</v>
      </c>
      <c r="E2392">
        <v>60</v>
      </c>
      <c r="F2392" t="s">
        <v>128</v>
      </c>
      <c r="G2392" t="s">
        <v>678</v>
      </c>
      <c r="H2392" t="s">
        <v>296</v>
      </c>
      <c r="I2392" t="s">
        <v>296</v>
      </c>
      <c r="J2392" t="s">
        <v>128</v>
      </c>
      <c r="L2392" t="b">
        <v>1</v>
      </c>
      <c r="M2392" t="s">
        <v>39</v>
      </c>
      <c r="N2392" t="s">
        <v>8245</v>
      </c>
      <c r="O2392" s="1">
        <v>22818</v>
      </c>
      <c r="P2392" t="s">
        <v>2906</v>
      </c>
      <c r="Q2392" t="s">
        <v>7581</v>
      </c>
      <c r="S2392" s="1">
        <v>45020.209027777775</v>
      </c>
      <c r="V2392">
        <v>1962</v>
      </c>
      <c r="W2392">
        <v>125.08</v>
      </c>
      <c r="X2392">
        <v>2.9</v>
      </c>
      <c r="Y2392" s="2">
        <v>19910000000000</v>
      </c>
      <c r="Z2392">
        <v>50.6</v>
      </c>
      <c r="AA2392">
        <v>100.2</v>
      </c>
      <c r="AB2392">
        <v>9.4</v>
      </c>
      <c r="AC2392">
        <v>59.2</v>
      </c>
      <c r="AD2392">
        <v>1397715000</v>
      </c>
    </row>
    <row r="2393" spans="1:30" hidden="1" x14ac:dyDescent="0.45">
      <c r="A2393">
        <v>2259</v>
      </c>
      <c r="B2393">
        <v>1200</v>
      </c>
      <c r="C2393" t="s">
        <v>126</v>
      </c>
      <c r="D2393" t="s">
        <v>7582</v>
      </c>
      <c r="E2393">
        <v>58</v>
      </c>
      <c r="F2393" t="s">
        <v>128</v>
      </c>
      <c r="G2393" t="s">
        <v>7583</v>
      </c>
      <c r="H2393" t="s">
        <v>3509</v>
      </c>
      <c r="I2393" t="s">
        <v>126</v>
      </c>
      <c r="J2393" t="s">
        <v>128</v>
      </c>
      <c r="L2393" t="b">
        <v>1</v>
      </c>
      <c r="M2393" t="s">
        <v>39</v>
      </c>
      <c r="N2393" t="s">
        <v>8245</v>
      </c>
      <c r="O2393" s="1">
        <v>23766</v>
      </c>
      <c r="P2393" t="s">
        <v>646</v>
      </c>
      <c r="Q2393" t="s">
        <v>957</v>
      </c>
      <c r="S2393" s="1">
        <v>45020.209027777775</v>
      </c>
      <c r="V2393">
        <v>1965</v>
      </c>
      <c r="W2393">
        <v>125.08</v>
      </c>
      <c r="X2393">
        <v>2.9</v>
      </c>
      <c r="Y2393" s="2">
        <v>19910000000000</v>
      </c>
      <c r="Z2393">
        <v>50.6</v>
      </c>
      <c r="AA2393">
        <v>100.2</v>
      </c>
      <c r="AB2393">
        <v>9.4</v>
      </c>
      <c r="AC2393">
        <v>59.2</v>
      </c>
      <c r="AD2393">
        <v>1397715000</v>
      </c>
    </row>
    <row r="2394" spans="1:30" hidden="1" x14ac:dyDescent="0.45">
      <c r="A2394">
        <v>2259</v>
      </c>
      <c r="B2394">
        <v>1200</v>
      </c>
      <c r="C2394" t="s">
        <v>296</v>
      </c>
      <c r="D2394" t="s">
        <v>7584</v>
      </c>
      <c r="E2394">
        <v>60</v>
      </c>
      <c r="F2394" t="s">
        <v>128</v>
      </c>
      <c r="G2394" t="s">
        <v>7585</v>
      </c>
      <c r="H2394" t="s">
        <v>296</v>
      </c>
      <c r="I2394" t="s">
        <v>296</v>
      </c>
      <c r="J2394" t="s">
        <v>128</v>
      </c>
      <c r="L2394" t="b">
        <v>1</v>
      </c>
      <c r="M2394" t="s">
        <v>39</v>
      </c>
      <c r="N2394" t="s">
        <v>8245</v>
      </c>
      <c r="O2394" s="1">
        <v>23071</v>
      </c>
      <c r="P2394" t="s">
        <v>646</v>
      </c>
      <c r="Q2394" t="s">
        <v>7586</v>
      </c>
      <c r="S2394" s="1">
        <v>45020.209027777775</v>
      </c>
      <c r="V2394">
        <v>1963</v>
      </c>
      <c r="W2394">
        <v>125.08</v>
      </c>
      <c r="X2394">
        <v>2.9</v>
      </c>
      <c r="Y2394" s="2">
        <v>19910000000000</v>
      </c>
      <c r="Z2394">
        <v>50.6</v>
      </c>
      <c r="AA2394">
        <v>100.2</v>
      </c>
      <c r="AB2394">
        <v>9.4</v>
      </c>
      <c r="AC2394">
        <v>59.2</v>
      </c>
      <c r="AD2394">
        <v>1397715000</v>
      </c>
    </row>
    <row r="2395" spans="1:30" hidden="1" x14ac:dyDescent="0.45">
      <c r="A2395">
        <v>2259</v>
      </c>
      <c r="B2395">
        <v>1200</v>
      </c>
      <c r="C2395" t="s">
        <v>436</v>
      </c>
      <c r="D2395" t="s">
        <v>7587</v>
      </c>
      <c r="E2395">
        <v>78</v>
      </c>
      <c r="F2395" t="s">
        <v>128</v>
      </c>
      <c r="G2395" t="s">
        <v>960</v>
      </c>
      <c r="H2395" t="s">
        <v>3550</v>
      </c>
      <c r="I2395" t="s">
        <v>436</v>
      </c>
      <c r="J2395" t="s">
        <v>128</v>
      </c>
      <c r="L2395" t="b">
        <v>1</v>
      </c>
      <c r="M2395" t="s">
        <v>39</v>
      </c>
      <c r="N2395" t="s">
        <v>8245</v>
      </c>
      <c r="O2395" s="1">
        <v>16438</v>
      </c>
      <c r="P2395" t="s">
        <v>646</v>
      </c>
      <c r="Q2395" t="s">
        <v>7588</v>
      </c>
      <c r="S2395" s="1">
        <v>45020.209027777775</v>
      </c>
      <c r="V2395">
        <v>1945</v>
      </c>
      <c r="W2395">
        <v>125.08</v>
      </c>
      <c r="X2395">
        <v>2.9</v>
      </c>
      <c r="Y2395" s="2">
        <v>19910000000000</v>
      </c>
      <c r="Z2395">
        <v>50.6</v>
      </c>
      <c r="AA2395">
        <v>100.2</v>
      </c>
      <c r="AB2395">
        <v>9.4</v>
      </c>
      <c r="AC2395">
        <v>59.2</v>
      </c>
      <c r="AD2395">
        <v>1397715000</v>
      </c>
    </row>
    <row r="2396" spans="1:30" hidden="1" x14ac:dyDescent="0.45">
      <c r="A2396">
        <v>2259</v>
      </c>
      <c r="B2396">
        <v>1200</v>
      </c>
      <c r="C2396" t="s">
        <v>296</v>
      </c>
      <c r="D2396" t="s">
        <v>7589</v>
      </c>
      <c r="E2396">
        <v>61</v>
      </c>
      <c r="F2396" t="s">
        <v>128</v>
      </c>
      <c r="G2396" t="s">
        <v>129</v>
      </c>
      <c r="H2396" t="s">
        <v>7383</v>
      </c>
      <c r="I2396" t="s">
        <v>296</v>
      </c>
      <c r="J2396" t="s">
        <v>128</v>
      </c>
      <c r="L2396" t="b">
        <v>1</v>
      </c>
      <c r="M2396" t="s">
        <v>39</v>
      </c>
      <c r="N2396" t="s">
        <v>8246</v>
      </c>
      <c r="O2396" s="1">
        <v>22670</v>
      </c>
      <c r="P2396" t="s">
        <v>646</v>
      </c>
      <c r="Q2396" t="s">
        <v>7590</v>
      </c>
      <c r="S2396" s="1">
        <v>45020.209027777775</v>
      </c>
      <c r="V2396">
        <v>1962</v>
      </c>
      <c r="W2396">
        <v>125.08</v>
      </c>
      <c r="X2396">
        <v>2.9</v>
      </c>
      <c r="Y2396" s="2">
        <v>19910000000000</v>
      </c>
      <c r="Z2396">
        <v>50.6</v>
      </c>
      <c r="AA2396">
        <v>100.2</v>
      </c>
      <c r="AB2396">
        <v>9.4</v>
      </c>
      <c r="AC2396">
        <v>59.2</v>
      </c>
      <c r="AD2396">
        <v>1397715000</v>
      </c>
    </row>
    <row r="2397" spans="1:30" hidden="1" x14ac:dyDescent="0.45">
      <c r="A2397">
        <v>2259</v>
      </c>
      <c r="B2397">
        <v>1200</v>
      </c>
      <c r="C2397" t="s">
        <v>402</v>
      </c>
      <c r="D2397" t="s">
        <v>7591</v>
      </c>
      <c r="E2397">
        <v>60</v>
      </c>
      <c r="F2397" t="s">
        <v>363</v>
      </c>
      <c r="G2397" t="s">
        <v>381</v>
      </c>
      <c r="H2397" t="s">
        <v>7592</v>
      </c>
      <c r="I2397" t="s">
        <v>402</v>
      </c>
      <c r="J2397" t="s">
        <v>363</v>
      </c>
      <c r="L2397" t="b">
        <v>1</v>
      </c>
      <c r="M2397" t="s">
        <v>1332</v>
      </c>
      <c r="N2397" t="s">
        <v>8245</v>
      </c>
      <c r="O2397" s="1">
        <v>23016</v>
      </c>
      <c r="P2397" t="s">
        <v>7593</v>
      </c>
      <c r="Q2397" t="s">
        <v>4678</v>
      </c>
      <c r="S2397" s="1">
        <v>45020.209027777775</v>
      </c>
      <c r="V2397">
        <v>1963</v>
      </c>
      <c r="W2397">
        <v>180.75</v>
      </c>
      <c r="X2397">
        <v>4.5</v>
      </c>
      <c r="Y2397" s="2">
        <v>1699876578871</v>
      </c>
      <c r="Z2397">
        <v>81.900000000000006</v>
      </c>
      <c r="AA2397">
        <v>102.6</v>
      </c>
      <c r="AB2397">
        <v>11.4</v>
      </c>
      <c r="AC2397">
        <v>46.2</v>
      </c>
      <c r="AD2397">
        <v>144373535</v>
      </c>
    </row>
    <row r="2398" spans="1:30" hidden="1" x14ac:dyDescent="0.45">
      <c r="A2398">
        <v>2259</v>
      </c>
      <c r="B2398">
        <v>1200</v>
      </c>
      <c r="C2398" t="s">
        <v>23</v>
      </c>
      <c r="D2398" t="s">
        <v>7594</v>
      </c>
      <c r="E2398">
        <v>46</v>
      </c>
      <c r="F2398" t="s">
        <v>128</v>
      </c>
      <c r="G2398" t="s">
        <v>719</v>
      </c>
      <c r="H2398" t="s">
        <v>196</v>
      </c>
      <c r="I2398" t="s">
        <v>23</v>
      </c>
      <c r="J2398" t="s">
        <v>128</v>
      </c>
      <c r="L2398" t="b">
        <v>1</v>
      </c>
      <c r="M2398" t="s">
        <v>1332</v>
      </c>
      <c r="N2398" t="s">
        <v>8246</v>
      </c>
      <c r="O2398" s="1">
        <v>28126</v>
      </c>
      <c r="P2398" t="s">
        <v>1179</v>
      </c>
      <c r="Q2398" t="s">
        <v>7595</v>
      </c>
      <c r="S2398" s="1">
        <v>45020.209027777775</v>
      </c>
      <c r="V2398">
        <v>1977</v>
      </c>
      <c r="W2398">
        <v>125.08</v>
      </c>
      <c r="X2398">
        <v>2.9</v>
      </c>
      <c r="Y2398" s="2">
        <v>19910000000000</v>
      </c>
      <c r="Z2398">
        <v>50.6</v>
      </c>
      <c r="AA2398">
        <v>100.2</v>
      </c>
      <c r="AB2398">
        <v>9.4</v>
      </c>
      <c r="AC2398">
        <v>59.2</v>
      </c>
      <c r="AD2398">
        <v>1397715000</v>
      </c>
    </row>
    <row r="2399" spans="1:30" hidden="1" x14ac:dyDescent="0.45">
      <c r="A2399">
        <v>2259</v>
      </c>
      <c r="B2399">
        <v>1200</v>
      </c>
      <c r="C2399" t="s">
        <v>45</v>
      </c>
      <c r="D2399" t="s">
        <v>7596</v>
      </c>
      <c r="E2399">
        <v>37</v>
      </c>
      <c r="F2399" t="s">
        <v>35</v>
      </c>
      <c r="G2399" t="s">
        <v>4550</v>
      </c>
      <c r="H2399" t="s">
        <v>6645</v>
      </c>
      <c r="I2399" t="s">
        <v>45</v>
      </c>
      <c r="J2399" t="s">
        <v>5311</v>
      </c>
      <c r="L2399" t="b">
        <v>1</v>
      </c>
      <c r="M2399" t="s">
        <v>39</v>
      </c>
      <c r="N2399" t="s">
        <v>8245</v>
      </c>
      <c r="O2399" s="1">
        <v>31158</v>
      </c>
      <c r="P2399" t="s">
        <v>7597</v>
      </c>
      <c r="Q2399" t="s">
        <v>7598</v>
      </c>
      <c r="S2399" s="1">
        <v>45020.209027777775</v>
      </c>
      <c r="T2399" t="s">
        <v>115</v>
      </c>
      <c r="U2399" t="s">
        <v>53</v>
      </c>
      <c r="V2399">
        <v>1985</v>
      </c>
      <c r="W2399">
        <v>117.24</v>
      </c>
      <c r="X2399">
        <v>7.5</v>
      </c>
      <c r="Y2399" s="2">
        <v>21427700000000</v>
      </c>
      <c r="Z2399">
        <v>88.2</v>
      </c>
      <c r="AA2399">
        <v>101.8</v>
      </c>
      <c r="AB2399">
        <v>9.6</v>
      </c>
      <c r="AC2399">
        <v>36.6</v>
      </c>
      <c r="AD2399">
        <v>328239523</v>
      </c>
    </row>
    <row r="2400" spans="1:30" hidden="1" x14ac:dyDescent="0.45">
      <c r="A2400">
        <v>2259</v>
      </c>
      <c r="B2400">
        <v>1200</v>
      </c>
      <c r="C2400" t="s">
        <v>91</v>
      </c>
      <c r="D2400" t="s">
        <v>7599</v>
      </c>
      <c r="E2400">
        <v>60</v>
      </c>
      <c r="F2400" t="s">
        <v>128</v>
      </c>
      <c r="G2400" t="s">
        <v>7585</v>
      </c>
      <c r="H2400" t="s">
        <v>91</v>
      </c>
      <c r="I2400" t="s">
        <v>91</v>
      </c>
      <c r="J2400" t="s">
        <v>128</v>
      </c>
      <c r="L2400" t="b">
        <v>1</v>
      </c>
      <c r="M2400" t="s">
        <v>39</v>
      </c>
      <c r="N2400" t="s">
        <v>8245</v>
      </c>
      <c r="O2400" s="1">
        <v>23103</v>
      </c>
      <c r="P2400" t="s">
        <v>7600</v>
      </c>
      <c r="Q2400" t="s">
        <v>7601</v>
      </c>
      <c r="S2400" s="1">
        <v>45020.209027777775</v>
      </c>
      <c r="V2400">
        <v>1963</v>
      </c>
      <c r="W2400">
        <v>125.08</v>
      </c>
      <c r="X2400">
        <v>2.9</v>
      </c>
      <c r="Y2400" s="2">
        <v>19910000000000</v>
      </c>
      <c r="Z2400">
        <v>50.6</v>
      </c>
      <c r="AA2400">
        <v>100.2</v>
      </c>
      <c r="AB2400">
        <v>9.4</v>
      </c>
      <c r="AC2400">
        <v>59.2</v>
      </c>
      <c r="AD2400">
        <v>1397715000</v>
      </c>
    </row>
    <row r="2401" spans="1:30" hidden="1" x14ac:dyDescent="0.45">
      <c r="A2401">
        <v>2259</v>
      </c>
      <c r="B2401">
        <v>1200</v>
      </c>
      <c r="C2401" t="s">
        <v>45</v>
      </c>
      <c r="D2401" t="s">
        <v>7602</v>
      </c>
      <c r="E2401">
        <v>47</v>
      </c>
      <c r="F2401" t="s">
        <v>128</v>
      </c>
      <c r="G2401" t="s">
        <v>2855</v>
      </c>
      <c r="H2401" t="s">
        <v>83</v>
      </c>
      <c r="I2401" t="s">
        <v>45</v>
      </c>
      <c r="J2401" t="s">
        <v>128</v>
      </c>
      <c r="L2401" t="b">
        <v>1</v>
      </c>
      <c r="M2401" t="s">
        <v>39</v>
      </c>
      <c r="N2401" t="s">
        <v>8245</v>
      </c>
      <c r="O2401" s="1">
        <v>27546</v>
      </c>
      <c r="P2401" t="s">
        <v>190</v>
      </c>
      <c r="Q2401" t="s">
        <v>7603</v>
      </c>
      <c r="S2401" s="1">
        <v>45020.209027777775</v>
      </c>
      <c r="V2401">
        <v>1975</v>
      </c>
      <c r="W2401">
        <v>125.08</v>
      </c>
      <c r="X2401">
        <v>2.9</v>
      </c>
      <c r="Y2401" s="2">
        <v>19910000000000</v>
      </c>
      <c r="Z2401">
        <v>50.6</v>
      </c>
      <c r="AA2401">
        <v>100.2</v>
      </c>
      <c r="AB2401">
        <v>9.4</v>
      </c>
      <c r="AC2401">
        <v>59.2</v>
      </c>
      <c r="AD2401">
        <v>1397715000</v>
      </c>
    </row>
    <row r="2402" spans="1:30" hidden="1" x14ac:dyDescent="0.45">
      <c r="A2402">
        <v>2259</v>
      </c>
      <c r="B2402">
        <v>1200</v>
      </c>
      <c r="C2402" t="s">
        <v>296</v>
      </c>
      <c r="D2402" t="s">
        <v>7604</v>
      </c>
      <c r="E2402">
        <v>66</v>
      </c>
      <c r="F2402" t="s">
        <v>128</v>
      </c>
      <c r="G2402" t="s">
        <v>6018</v>
      </c>
      <c r="H2402" t="s">
        <v>7605</v>
      </c>
      <c r="I2402" t="s">
        <v>296</v>
      </c>
      <c r="J2402" t="s">
        <v>128</v>
      </c>
      <c r="L2402" t="b">
        <v>1</v>
      </c>
      <c r="M2402" t="s">
        <v>39</v>
      </c>
      <c r="N2402" t="s">
        <v>8246</v>
      </c>
      <c r="O2402" s="1">
        <v>20852</v>
      </c>
      <c r="P2402" t="s">
        <v>190</v>
      </c>
      <c r="Q2402" t="s">
        <v>2456</v>
      </c>
      <c r="S2402" s="1">
        <v>45020.209027777775</v>
      </c>
      <c r="V2402">
        <v>1957</v>
      </c>
      <c r="W2402">
        <v>125.08</v>
      </c>
      <c r="X2402">
        <v>2.9</v>
      </c>
      <c r="Y2402" s="2">
        <v>19910000000000</v>
      </c>
      <c r="Z2402">
        <v>50.6</v>
      </c>
      <c r="AA2402">
        <v>100.2</v>
      </c>
      <c r="AB2402">
        <v>9.4</v>
      </c>
      <c r="AC2402">
        <v>59.2</v>
      </c>
      <c r="AD2402">
        <v>1397715000</v>
      </c>
    </row>
    <row r="2403" spans="1:30" hidden="1" x14ac:dyDescent="0.45">
      <c r="A2403">
        <v>2259</v>
      </c>
      <c r="B2403">
        <v>1200</v>
      </c>
      <c r="C2403" t="s">
        <v>402</v>
      </c>
      <c r="D2403" t="s">
        <v>7606</v>
      </c>
      <c r="E2403">
        <v>56</v>
      </c>
      <c r="F2403" t="s">
        <v>128</v>
      </c>
      <c r="G2403" t="s">
        <v>292</v>
      </c>
      <c r="H2403" t="s">
        <v>610</v>
      </c>
      <c r="I2403" t="s">
        <v>402</v>
      </c>
      <c r="J2403" t="s">
        <v>35</v>
      </c>
      <c r="L2403" t="b">
        <v>1</v>
      </c>
      <c r="M2403" t="s">
        <v>285</v>
      </c>
      <c r="N2403" t="s">
        <v>8246</v>
      </c>
      <c r="O2403" s="1">
        <v>24473</v>
      </c>
      <c r="P2403" t="s">
        <v>850</v>
      </c>
      <c r="Q2403" t="s">
        <v>5168</v>
      </c>
      <c r="S2403" s="1">
        <v>45020.209027777775</v>
      </c>
      <c r="V2403">
        <v>1967</v>
      </c>
      <c r="W2403">
        <v>125.08</v>
      </c>
      <c r="X2403">
        <v>2.9</v>
      </c>
      <c r="Y2403" s="2">
        <v>19910000000000</v>
      </c>
      <c r="Z2403">
        <v>50.6</v>
      </c>
      <c r="AA2403">
        <v>100.2</v>
      </c>
      <c r="AB2403">
        <v>9.4</v>
      </c>
      <c r="AC2403">
        <v>59.2</v>
      </c>
      <c r="AD2403">
        <v>1397715000</v>
      </c>
    </row>
    <row r="2404" spans="1:30" hidden="1" x14ac:dyDescent="0.45">
      <c r="A2404">
        <v>2259</v>
      </c>
      <c r="B2404">
        <v>1200</v>
      </c>
      <c r="C2404" t="s">
        <v>296</v>
      </c>
      <c r="D2404" t="s">
        <v>7607</v>
      </c>
      <c r="E2404">
        <v>58</v>
      </c>
      <c r="F2404" t="s">
        <v>128</v>
      </c>
      <c r="G2404" t="s">
        <v>292</v>
      </c>
      <c r="H2404" t="s">
        <v>399</v>
      </c>
      <c r="I2404" t="s">
        <v>296</v>
      </c>
      <c r="J2404" t="s">
        <v>128</v>
      </c>
      <c r="L2404" t="b">
        <v>1</v>
      </c>
      <c r="M2404" t="s">
        <v>29</v>
      </c>
      <c r="N2404" t="s">
        <v>8245</v>
      </c>
      <c r="O2404" s="1">
        <v>23807</v>
      </c>
      <c r="P2404" t="s">
        <v>1784</v>
      </c>
      <c r="Q2404" t="s">
        <v>3527</v>
      </c>
      <c r="S2404" s="1">
        <v>45020.209027777775</v>
      </c>
      <c r="V2404">
        <v>1965</v>
      </c>
      <c r="W2404">
        <v>125.08</v>
      </c>
      <c r="X2404">
        <v>2.9</v>
      </c>
      <c r="Y2404" s="2">
        <v>19910000000000</v>
      </c>
      <c r="Z2404">
        <v>50.6</v>
      </c>
      <c r="AA2404">
        <v>100.2</v>
      </c>
      <c r="AB2404">
        <v>9.4</v>
      </c>
      <c r="AC2404">
        <v>59.2</v>
      </c>
      <c r="AD2404">
        <v>1397715000</v>
      </c>
    </row>
    <row r="2405" spans="1:30" hidden="1" x14ac:dyDescent="0.45">
      <c r="A2405">
        <v>2259</v>
      </c>
      <c r="B2405">
        <v>1200</v>
      </c>
      <c r="C2405" t="s">
        <v>689</v>
      </c>
      <c r="D2405" t="s">
        <v>7608</v>
      </c>
      <c r="E2405">
        <v>63</v>
      </c>
      <c r="F2405" t="s">
        <v>128</v>
      </c>
      <c r="G2405" t="s">
        <v>2006</v>
      </c>
      <c r="H2405" t="s">
        <v>2481</v>
      </c>
      <c r="I2405" t="s">
        <v>689</v>
      </c>
      <c r="J2405" t="s">
        <v>128</v>
      </c>
      <c r="L2405" t="b">
        <v>1</v>
      </c>
      <c r="M2405" t="s">
        <v>39</v>
      </c>
      <c r="N2405" t="s">
        <v>8245</v>
      </c>
      <c r="O2405" s="1">
        <v>21671</v>
      </c>
      <c r="P2405" t="s">
        <v>2217</v>
      </c>
      <c r="Q2405" t="s">
        <v>7609</v>
      </c>
      <c r="S2405" s="1">
        <v>45020.209027777775</v>
      </c>
      <c r="V2405">
        <v>1959</v>
      </c>
      <c r="W2405">
        <v>125.08</v>
      </c>
      <c r="X2405">
        <v>2.9</v>
      </c>
      <c r="Y2405" s="2">
        <v>19910000000000</v>
      </c>
      <c r="Z2405">
        <v>50.6</v>
      </c>
      <c r="AA2405">
        <v>100.2</v>
      </c>
      <c r="AB2405">
        <v>9.4</v>
      </c>
      <c r="AC2405">
        <v>59.2</v>
      </c>
      <c r="AD2405">
        <v>1397715000</v>
      </c>
    </row>
    <row r="2406" spans="1:30" hidden="1" x14ac:dyDescent="0.45">
      <c r="A2406">
        <v>2405</v>
      </c>
      <c r="B2406">
        <v>1100</v>
      </c>
      <c r="C2406" t="s">
        <v>23</v>
      </c>
      <c r="D2406" t="s">
        <v>7610</v>
      </c>
      <c r="E2406">
        <v>66</v>
      </c>
      <c r="F2406" t="s">
        <v>93</v>
      </c>
      <c r="G2406" t="s">
        <v>343</v>
      </c>
      <c r="H2406" t="s">
        <v>7611</v>
      </c>
      <c r="I2406" t="s">
        <v>23</v>
      </c>
      <c r="J2406" t="s">
        <v>93</v>
      </c>
      <c r="L2406" t="b">
        <v>1</v>
      </c>
      <c r="M2406" t="s">
        <v>258</v>
      </c>
      <c r="N2406" t="s">
        <v>8245</v>
      </c>
      <c r="O2406" s="1">
        <v>20550</v>
      </c>
      <c r="P2406" t="s">
        <v>6896</v>
      </c>
      <c r="Q2406" t="s">
        <v>7612</v>
      </c>
      <c r="S2406" s="1">
        <v>45020.209027777775</v>
      </c>
      <c r="V2406">
        <v>1956</v>
      </c>
      <c r="W2406">
        <v>180.44</v>
      </c>
      <c r="X2406">
        <v>7.7</v>
      </c>
      <c r="Y2406" s="2">
        <v>2611000000000</v>
      </c>
      <c r="Z2406">
        <v>28.1</v>
      </c>
      <c r="AA2406">
        <v>113</v>
      </c>
      <c r="AB2406">
        <v>11.2</v>
      </c>
      <c r="AC2406">
        <v>49.7</v>
      </c>
      <c r="AD2406">
        <v>1366417754</v>
      </c>
    </row>
    <row r="2407" spans="1:30" hidden="1" x14ac:dyDescent="0.45">
      <c r="A2407">
        <v>2405</v>
      </c>
      <c r="B2407">
        <v>1100</v>
      </c>
      <c r="C2407" t="s">
        <v>347</v>
      </c>
      <c r="D2407" t="s">
        <v>7613</v>
      </c>
      <c r="E2407">
        <v>67</v>
      </c>
      <c r="F2407" t="s">
        <v>363</v>
      </c>
      <c r="G2407" t="s">
        <v>381</v>
      </c>
      <c r="H2407" t="s">
        <v>317</v>
      </c>
      <c r="I2407" t="s">
        <v>347</v>
      </c>
      <c r="J2407" t="s">
        <v>363</v>
      </c>
      <c r="L2407" t="b">
        <v>1</v>
      </c>
      <c r="M2407" t="s">
        <v>39</v>
      </c>
      <c r="N2407" t="s">
        <v>8245</v>
      </c>
      <c r="O2407" s="1">
        <v>20347</v>
      </c>
      <c r="P2407" t="s">
        <v>7614</v>
      </c>
      <c r="Q2407" t="s">
        <v>7615</v>
      </c>
      <c r="S2407" s="1">
        <v>45020.209027777775</v>
      </c>
      <c r="V2407">
        <v>1955</v>
      </c>
      <c r="W2407">
        <v>180.75</v>
      </c>
      <c r="X2407">
        <v>4.5</v>
      </c>
      <c r="Y2407" s="2">
        <v>1699876578871</v>
      </c>
      <c r="Z2407">
        <v>81.900000000000006</v>
      </c>
      <c r="AA2407">
        <v>102.6</v>
      </c>
      <c r="AB2407">
        <v>11.4</v>
      </c>
      <c r="AC2407">
        <v>46.2</v>
      </c>
      <c r="AD2407">
        <v>144373535</v>
      </c>
    </row>
    <row r="2408" spans="1:30" hidden="1" x14ac:dyDescent="0.45">
      <c r="A2408">
        <v>2405</v>
      </c>
      <c r="B2408">
        <v>1100</v>
      </c>
      <c r="C2408" t="s">
        <v>402</v>
      </c>
      <c r="D2408" t="s">
        <v>7616</v>
      </c>
      <c r="E2408">
        <v>84</v>
      </c>
      <c r="H2408" t="s">
        <v>610</v>
      </c>
      <c r="I2408" t="s">
        <v>402</v>
      </c>
      <c r="J2408" t="s">
        <v>93</v>
      </c>
      <c r="L2408" t="b">
        <v>0</v>
      </c>
      <c r="M2408" t="s">
        <v>258</v>
      </c>
      <c r="N2408" t="s">
        <v>8245</v>
      </c>
      <c r="O2408" s="1">
        <v>14134</v>
      </c>
      <c r="P2408" t="s">
        <v>7617</v>
      </c>
      <c r="Q2408" t="s">
        <v>7618</v>
      </c>
      <c r="S2408" s="1">
        <v>45020.209027777775</v>
      </c>
      <c r="V2408">
        <v>1938</v>
      </c>
      <c r="W2408"/>
      <c r="Y2408"/>
    </row>
    <row r="2409" spans="1:30" hidden="1" x14ac:dyDescent="0.45">
      <c r="A2409">
        <v>2405</v>
      </c>
      <c r="B2409">
        <v>1100</v>
      </c>
      <c r="C2409" t="s">
        <v>61</v>
      </c>
      <c r="D2409" t="s">
        <v>7619</v>
      </c>
      <c r="E2409">
        <v>51</v>
      </c>
      <c r="F2409" t="s">
        <v>35</v>
      </c>
      <c r="G2409" t="s">
        <v>78</v>
      </c>
      <c r="H2409" t="s">
        <v>930</v>
      </c>
      <c r="I2409" t="s">
        <v>61</v>
      </c>
      <c r="J2409" t="s">
        <v>35</v>
      </c>
      <c r="L2409" t="b">
        <v>1</v>
      </c>
      <c r="M2409" t="s">
        <v>258</v>
      </c>
      <c r="N2409" t="s">
        <v>8245</v>
      </c>
      <c r="O2409" s="1">
        <v>26310</v>
      </c>
      <c r="P2409" t="s">
        <v>7620</v>
      </c>
      <c r="Q2409" t="s">
        <v>717</v>
      </c>
      <c r="S2409" s="1">
        <v>45020.209027777775</v>
      </c>
      <c r="T2409" t="s">
        <v>78</v>
      </c>
      <c r="U2409" t="s">
        <v>82</v>
      </c>
      <c r="V2409">
        <v>1972</v>
      </c>
      <c r="W2409">
        <v>117.24</v>
      </c>
      <c r="X2409">
        <v>7.5</v>
      </c>
      <c r="Y2409" s="2">
        <v>21427700000000</v>
      </c>
      <c r="Z2409">
        <v>88.2</v>
      </c>
      <c r="AA2409">
        <v>101.8</v>
      </c>
      <c r="AB2409">
        <v>9.6</v>
      </c>
      <c r="AC2409">
        <v>36.6</v>
      </c>
      <c r="AD2409">
        <v>328239523</v>
      </c>
    </row>
    <row r="2410" spans="1:30" hidden="1" x14ac:dyDescent="0.45">
      <c r="A2410">
        <v>2405</v>
      </c>
      <c r="B2410">
        <v>1100</v>
      </c>
      <c r="C2410" t="s">
        <v>126</v>
      </c>
      <c r="D2410" t="s">
        <v>7621</v>
      </c>
      <c r="E2410">
        <v>42</v>
      </c>
      <c r="F2410" t="s">
        <v>35</v>
      </c>
      <c r="G2410" t="s">
        <v>7622</v>
      </c>
      <c r="H2410" t="s">
        <v>3079</v>
      </c>
      <c r="I2410" t="s">
        <v>126</v>
      </c>
      <c r="J2410" t="s">
        <v>35</v>
      </c>
      <c r="L2410" t="b">
        <v>0</v>
      </c>
      <c r="M2410" t="s">
        <v>285</v>
      </c>
      <c r="N2410" t="s">
        <v>8246</v>
      </c>
      <c r="O2410" s="1">
        <v>29582</v>
      </c>
      <c r="P2410" t="s">
        <v>3301</v>
      </c>
      <c r="Q2410" t="s">
        <v>426</v>
      </c>
      <c r="S2410" s="1">
        <v>45020.209027777775</v>
      </c>
      <c r="T2410" t="s">
        <v>78</v>
      </c>
      <c r="U2410" t="s">
        <v>82</v>
      </c>
      <c r="V2410">
        <v>1980</v>
      </c>
      <c r="W2410">
        <v>117.24</v>
      </c>
      <c r="X2410">
        <v>7.5</v>
      </c>
      <c r="Y2410" s="2">
        <v>21427700000000</v>
      </c>
      <c r="Z2410">
        <v>88.2</v>
      </c>
      <c r="AA2410">
        <v>101.8</v>
      </c>
      <c r="AB2410">
        <v>9.6</v>
      </c>
      <c r="AC2410">
        <v>36.6</v>
      </c>
      <c r="AD2410">
        <v>328239523</v>
      </c>
    </row>
    <row r="2411" spans="1:30" x14ac:dyDescent="0.45">
      <c r="A2411">
        <v>2405</v>
      </c>
      <c r="B2411" s="6">
        <v>1100</v>
      </c>
      <c r="C2411" t="s">
        <v>23</v>
      </c>
      <c r="D2411" t="s">
        <v>7623</v>
      </c>
      <c r="E2411">
        <v>52</v>
      </c>
      <c r="F2411" t="s">
        <v>35</v>
      </c>
      <c r="G2411" t="s">
        <v>1130</v>
      </c>
      <c r="H2411" t="s">
        <v>7624</v>
      </c>
      <c r="I2411" t="s">
        <v>23</v>
      </c>
      <c r="J2411" t="s">
        <v>35</v>
      </c>
      <c r="K2411" t="s">
        <v>7624</v>
      </c>
      <c r="L2411" t="b">
        <v>1</v>
      </c>
      <c r="M2411" t="s">
        <v>611</v>
      </c>
      <c r="N2411" t="s">
        <v>8246</v>
      </c>
      <c r="O2411" s="10">
        <v>25991</v>
      </c>
      <c r="P2411" t="s">
        <v>7625</v>
      </c>
      <c r="Q2411" t="s">
        <v>7626</v>
      </c>
      <c r="R2411" t="s">
        <v>192</v>
      </c>
      <c r="S2411" s="8">
        <v>45020.209027777775</v>
      </c>
      <c r="T2411" t="s">
        <v>1134</v>
      </c>
      <c r="U2411" t="s">
        <v>44</v>
      </c>
      <c r="V2411">
        <v>1971</v>
      </c>
      <c r="W2411" s="12">
        <v>117.24</v>
      </c>
      <c r="X2411">
        <v>7.5</v>
      </c>
      <c r="Y2411" s="14">
        <v>21427700000000</v>
      </c>
      <c r="Z2411">
        <v>88.2</v>
      </c>
      <c r="AA2411">
        <v>101.8</v>
      </c>
      <c r="AB2411">
        <v>9.6</v>
      </c>
      <c r="AC2411">
        <v>36.6</v>
      </c>
      <c r="AD2411">
        <v>328239523</v>
      </c>
    </row>
    <row r="2412" spans="1:30" x14ac:dyDescent="0.45">
      <c r="A2412">
        <v>2405</v>
      </c>
      <c r="B2412" s="6">
        <v>1100</v>
      </c>
      <c r="C2412" t="s">
        <v>61</v>
      </c>
      <c r="D2412" t="s">
        <v>7627</v>
      </c>
      <c r="E2412">
        <v>68</v>
      </c>
      <c r="F2412" t="s">
        <v>35</v>
      </c>
      <c r="G2412" t="s">
        <v>78</v>
      </c>
      <c r="H2412" t="s">
        <v>557</v>
      </c>
      <c r="I2412" t="s">
        <v>61</v>
      </c>
      <c r="J2412" t="s">
        <v>35</v>
      </c>
      <c r="K2412" t="s">
        <v>7628</v>
      </c>
      <c r="L2412" t="b">
        <v>1</v>
      </c>
      <c r="M2412" t="s">
        <v>611</v>
      </c>
      <c r="N2412" t="s">
        <v>8245</v>
      </c>
      <c r="O2412" s="10">
        <v>19987</v>
      </c>
      <c r="P2412" t="s">
        <v>7629</v>
      </c>
      <c r="Q2412" t="s">
        <v>7630</v>
      </c>
      <c r="R2412" t="s">
        <v>42</v>
      </c>
      <c r="S2412" s="8">
        <v>45020.209027777775</v>
      </c>
      <c r="T2412" t="s">
        <v>78</v>
      </c>
      <c r="U2412" t="s">
        <v>82</v>
      </c>
      <c r="V2412">
        <v>1954</v>
      </c>
      <c r="W2412" s="12">
        <v>117.24</v>
      </c>
      <c r="X2412">
        <v>7.5</v>
      </c>
      <c r="Y2412" s="14">
        <v>21427700000000</v>
      </c>
      <c r="Z2412">
        <v>88.2</v>
      </c>
      <c r="AA2412">
        <v>101.8</v>
      </c>
      <c r="AB2412">
        <v>9.6</v>
      </c>
      <c r="AC2412">
        <v>36.6</v>
      </c>
      <c r="AD2412">
        <v>328239523</v>
      </c>
    </row>
    <row r="2413" spans="1:30" hidden="1" x14ac:dyDescent="0.45">
      <c r="A2413">
        <v>2405</v>
      </c>
      <c r="B2413">
        <v>1100</v>
      </c>
      <c r="C2413" t="s">
        <v>91</v>
      </c>
      <c r="D2413" t="s">
        <v>7631</v>
      </c>
      <c r="E2413">
        <v>61</v>
      </c>
      <c r="F2413" t="s">
        <v>1855</v>
      </c>
      <c r="G2413" t="s">
        <v>7632</v>
      </c>
      <c r="H2413" t="s">
        <v>5414</v>
      </c>
      <c r="I2413" t="s">
        <v>91</v>
      </c>
      <c r="J2413" t="s">
        <v>1855</v>
      </c>
      <c r="L2413" t="b">
        <v>1</v>
      </c>
      <c r="M2413" t="s">
        <v>611</v>
      </c>
      <c r="N2413" t="s">
        <v>8245</v>
      </c>
      <c r="O2413" s="1">
        <v>22647</v>
      </c>
      <c r="P2413" t="s">
        <v>7633</v>
      </c>
      <c r="Q2413" t="s">
        <v>7634</v>
      </c>
      <c r="S2413" s="1">
        <v>45020.209027777775</v>
      </c>
      <c r="V2413">
        <v>1962</v>
      </c>
      <c r="W2413">
        <v>281.66000000000003</v>
      </c>
      <c r="X2413">
        <v>7.9</v>
      </c>
      <c r="Y2413" s="2">
        <v>153781069118</v>
      </c>
      <c r="Z2413">
        <v>82.7</v>
      </c>
      <c r="AA2413">
        <v>99</v>
      </c>
      <c r="AB2413">
        <v>20.100000000000001</v>
      </c>
      <c r="AC2413">
        <v>45.2</v>
      </c>
      <c r="AD2413">
        <v>44385155</v>
      </c>
    </row>
    <row r="2414" spans="1:30" hidden="1" x14ac:dyDescent="0.45">
      <c r="A2414">
        <v>2405</v>
      </c>
      <c r="B2414">
        <v>1100</v>
      </c>
      <c r="C2414" t="s">
        <v>302</v>
      </c>
      <c r="D2414" t="s">
        <v>7635</v>
      </c>
      <c r="E2414">
        <v>56</v>
      </c>
      <c r="F2414" t="s">
        <v>205</v>
      </c>
      <c r="G2414" t="s">
        <v>7636</v>
      </c>
      <c r="H2414" t="s">
        <v>304</v>
      </c>
      <c r="I2414" t="s">
        <v>302</v>
      </c>
      <c r="J2414" t="s">
        <v>205</v>
      </c>
      <c r="L2414" t="b">
        <v>1</v>
      </c>
      <c r="M2414" t="s">
        <v>39</v>
      </c>
      <c r="N2414" t="s">
        <v>8245</v>
      </c>
      <c r="O2414" s="1">
        <v>24473</v>
      </c>
      <c r="P2414" t="s">
        <v>7637</v>
      </c>
      <c r="Q2414" t="s">
        <v>7638</v>
      </c>
      <c r="S2414" s="1">
        <v>45020.209027777775</v>
      </c>
      <c r="V2414">
        <v>1967</v>
      </c>
      <c r="W2414">
        <v>99.55</v>
      </c>
      <c r="X2414">
        <v>0.4</v>
      </c>
      <c r="Y2414" s="2">
        <v>703082435360</v>
      </c>
      <c r="Z2414">
        <v>59.6</v>
      </c>
      <c r="AA2414">
        <v>105.2</v>
      </c>
      <c r="AB2414">
        <v>10.1</v>
      </c>
      <c r="AC2414">
        <v>28.8</v>
      </c>
      <c r="AD2414">
        <v>8574832</v>
      </c>
    </row>
    <row r="2415" spans="1:30" hidden="1" x14ac:dyDescent="0.45">
      <c r="A2415">
        <v>2405</v>
      </c>
      <c r="B2415">
        <v>1100</v>
      </c>
      <c r="C2415" t="s">
        <v>91</v>
      </c>
      <c r="D2415" t="s">
        <v>7639</v>
      </c>
      <c r="E2415">
        <v>58</v>
      </c>
      <c r="F2415" t="s">
        <v>205</v>
      </c>
      <c r="G2415" t="s">
        <v>7640</v>
      </c>
      <c r="H2415" t="s">
        <v>91</v>
      </c>
      <c r="I2415" t="s">
        <v>91</v>
      </c>
      <c r="J2415" t="s">
        <v>363</v>
      </c>
      <c r="L2415" t="b">
        <v>1</v>
      </c>
      <c r="M2415" t="s">
        <v>39</v>
      </c>
      <c r="N2415" t="s">
        <v>8245</v>
      </c>
      <c r="O2415" s="1">
        <v>23648</v>
      </c>
      <c r="P2415" t="s">
        <v>7641</v>
      </c>
      <c r="Q2415" t="s">
        <v>4370</v>
      </c>
      <c r="S2415" s="1">
        <v>45020.209027777775</v>
      </c>
      <c r="V2415">
        <v>1964</v>
      </c>
      <c r="W2415">
        <v>99.55</v>
      </c>
      <c r="X2415">
        <v>0.4</v>
      </c>
      <c r="Y2415" s="2">
        <v>703082435360</v>
      </c>
      <c r="Z2415">
        <v>59.6</v>
      </c>
      <c r="AA2415">
        <v>105.2</v>
      </c>
      <c r="AB2415">
        <v>10.1</v>
      </c>
      <c r="AC2415">
        <v>28.8</v>
      </c>
      <c r="AD2415">
        <v>8574832</v>
      </c>
    </row>
    <row r="2416" spans="1:30" x14ac:dyDescent="0.45">
      <c r="A2416">
        <v>2405</v>
      </c>
      <c r="B2416" s="6">
        <v>1100</v>
      </c>
      <c r="C2416" t="s">
        <v>45</v>
      </c>
      <c r="D2416" t="s">
        <v>7642</v>
      </c>
      <c r="E2416">
        <v>28</v>
      </c>
      <c r="F2416" t="s">
        <v>35</v>
      </c>
      <c r="G2416" t="s">
        <v>247</v>
      </c>
      <c r="H2416" t="s">
        <v>7643</v>
      </c>
      <c r="I2416" t="s">
        <v>45</v>
      </c>
      <c r="J2416" t="s">
        <v>35</v>
      </c>
      <c r="K2416" t="s">
        <v>7644</v>
      </c>
      <c r="L2416" t="b">
        <v>1</v>
      </c>
      <c r="M2416" t="s">
        <v>39</v>
      </c>
      <c r="N2416" t="s">
        <v>8245</v>
      </c>
      <c r="O2416" s="10">
        <v>34474</v>
      </c>
      <c r="P2416" t="s">
        <v>7645</v>
      </c>
      <c r="Q2416" t="s">
        <v>1212</v>
      </c>
      <c r="R2416" t="s">
        <v>138</v>
      </c>
      <c r="S2416" s="8">
        <v>45020.209027777775</v>
      </c>
      <c r="T2416" t="s">
        <v>253</v>
      </c>
      <c r="U2416" t="s">
        <v>44</v>
      </c>
      <c r="V2416">
        <v>1994</v>
      </c>
      <c r="W2416" s="12">
        <v>117.24</v>
      </c>
      <c r="X2416">
        <v>7.5</v>
      </c>
      <c r="Y2416" s="14">
        <v>21427700000000</v>
      </c>
      <c r="Z2416">
        <v>88.2</v>
      </c>
      <c r="AA2416">
        <v>101.8</v>
      </c>
      <c r="AB2416">
        <v>9.6</v>
      </c>
      <c r="AC2416">
        <v>36.6</v>
      </c>
      <c r="AD2416">
        <v>328239523</v>
      </c>
    </row>
    <row r="2417" spans="1:30" hidden="1" x14ac:dyDescent="0.45">
      <c r="A2417">
        <v>2405</v>
      </c>
      <c r="B2417">
        <v>1100</v>
      </c>
      <c r="C2417" t="s">
        <v>23</v>
      </c>
      <c r="D2417" t="s">
        <v>7646</v>
      </c>
      <c r="E2417">
        <v>72</v>
      </c>
      <c r="F2417" t="s">
        <v>194</v>
      </c>
      <c r="G2417" t="s">
        <v>7647</v>
      </c>
      <c r="H2417" t="s">
        <v>196</v>
      </c>
      <c r="I2417" t="s">
        <v>23</v>
      </c>
      <c r="J2417" t="s">
        <v>194</v>
      </c>
      <c r="L2417" t="b">
        <v>0</v>
      </c>
      <c r="M2417" t="s">
        <v>39</v>
      </c>
      <c r="N2417" t="s">
        <v>8245</v>
      </c>
      <c r="O2417" s="1">
        <v>18378</v>
      </c>
      <c r="P2417" t="s">
        <v>7648</v>
      </c>
      <c r="Q2417" t="s">
        <v>358</v>
      </c>
      <c r="S2417" s="1">
        <v>45020.209027777775</v>
      </c>
      <c r="V2417">
        <v>1950</v>
      </c>
      <c r="W2417">
        <v>112.85</v>
      </c>
      <c r="X2417">
        <v>1.4</v>
      </c>
      <c r="Y2417" s="2">
        <v>3845630030824</v>
      </c>
      <c r="Z2417">
        <v>70.2</v>
      </c>
      <c r="AA2417">
        <v>104</v>
      </c>
      <c r="AB2417">
        <v>11.5</v>
      </c>
      <c r="AC2417">
        <v>48.8</v>
      </c>
      <c r="AD2417">
        <v>83132799</v>
      </c>
    </row>
    <row r="2418" spans="1:30" hidden="1" x14ac:dyDescent="0.45">
      <c r="A2418">
        <v>2405</v>
      </c>
      <c r="B2418">
        <v>1100</v>
      </c>
      <c r="C2418" t="s">
        <v>45</v>
      </c>
      <c r="D2418" t="s">
        <v>7649</v>
      </c>
      <c r="E2418">
        <v>61</v>
      </c>
      <c r="F2418" t="s">
        <v>349</v>
      </c>
      <c r="G2418" t="s">
        <v>350</v>
      </c>
      <c r="H2418" t="s">
        <v>5302</v>
      </c>
      <c r="I2418" t="s">
        <v>45</v>
      </c>
      <c r="J2418" t="s">
        <v>349</v>
      </c>
      <c r="L2418" t="b">
        <v>1</v>
      </c>
      <c r="M2418" t="s">
        <v>39</v>
      </c>
      <c r="N2418" t="s">
        <v>8246</v>
      </c>
      <c r="O2418" s="1">
        <v>22529</v>
      </c>
      <c r="P2418" t="s">
        <v>7650</v>
      </c>
      <c r="Q2418" t="s">
        <v>4695</v>
      </c>
      <c r="S2418" s="1">
        <v>45020.209027777775</v>
      </c>
      <c r="V2418">
        <v>1961</v>
      </c>
      <c r="W2418">
        <v>151.18</v>
      </c>
      <c r="X2418">
        <v>3</v>
      </c>
      <c r="Y2418" s="2">
        <v>1119190780753</v>
      </c>
      <c r="Z2418">
        <v>36.299999999999997</v>
      </c>
      <c r="AA2418">
        <v>106.4</v>
      </c>
      <c r="AB2418">
        <v>10.199999999999999</v>
      </c>
      <c r="AC2418">
        <v>30.1</v>
      </c>
      <c r="AD2418">
        <v>270203917</v>
      </c>
    </row>
    <row r="2419" spans="1:30" hidden="1" x14ac:dyDescent="0.45">
      <c r="A2419">
        <v>2405</v>
      </c>
      <c r="B2419">
        <v>1100</v>
      </c>
      <c r="C2419" t="s">
        <v>126</v>
      </c>
      <c r="D2419" t="s">
        <v>7651</v>
      </c>
      <c r="E2419">
        <v>80</v>
      </c>
      <c r="F2419" t="s">
        <v>93</v>
      </c>
      <c r="G2419" t="s">
        <v>343</v>
      </c>
      <c r="H2419" t="s">
        <v>2022</v>
      </c>
      <c r="I2419" t="s">
        <v>126</v>
      </c>
      <c r="J2419" t="s">
        <v>93</v>
      </c>
      <c r="L2419" t="b">
        <v>0</v>
      </c>
      <c r="M2419" t="s">
        <v>39</v>
      </c>
      <c r="N2419" t="s">
        <v>8245</v>
      </c>
      <c r="O2419" s="1">
        <v>15647</v>
      </c>
      <c r="P2419" t="s">
        <v>4349</v>
      </c>
      <c r="Q2419" t="s">
        <v>7652</v>
      </c>
      <c r="S2419" s="1">
        <v>45020.209027777775</v>
      </c>
      <c r="V2419">
        <v>1942</v>
      </c>
      <c r="W2419">
        <v>180.44</v>
      </c>
      <c r="X2419">
        <v>7.7</v>
      </c>
      <c r="Y2419" s="2">
        <v>2611000000000</v>
      </c>
      <c r="Z2419">
        <v>28.1</v>
      </c>
      <c r="AA2419">
        <v>113</v>
      </c>
      <c r="AB2419">
        <v>11.2</v>
      </c>
      <c r="AC2419">
        <v>49.7</v>
      </c>
      <c r="AD2419">
        <v>1366417754</v>
      </c>
    </row>
    <row r="2420" spans="1:30" hidden="1" x14ac:dyDescent="0.45">
      <c r="A2420">
        <v>2405</v>
      </c>
      <c r="B2420">
        <v>1100</v>
      </c>
      <c r="C2420" t="s">
        <v>402</v>
      </c>
      <c r="D2420" t="s">
        <v>7653</v>
      </c>
      <c r="F2420" t="s">
        <v>128</v>
      </c>
      <c r="G2420" t="s">
        <v>944</v>
      </c>
      <c r="H2420" t="s">
        <v>610</v>
      </c>
      <c r="I2420" t="s">
        <v>402</v>
      </c>
      <c r="J2420" t="s">
        <v>128</v>
      </c>
      <c r="L2420" t="b">
        <v>1</v>
      </c>
      <c r="M2420" t="s">
        <v>39</v>
      </c>
      <c r="N2420" t="s">
        <v>8245</v>
      </c>
      <c r="O2420"/>
      <c r="P2420" t="s">
        <v>1829</v>
      </c>
      <c r="Q2420" t="s">
        <v>7654</v>
      </c>
      <c r="S2420" s="1">
        <v>45020.209027777775</v>
      </c>
      <c r="W2420">
        <v>125.08</v>
      </c>
      <c r="X2420">
        <v>2.9</v>
      </c>
      <c r="Y2420" s="2">
        <v>19910000000000</v>
      </c>
      <c r="Z2420">
        <v>50.6</v>
      </c>
      <c r="AA2420">
        <v>100.2</v>
      </c>
      <c r="AB2420">
        <v>9.4</v>
      </c>
      <c r="AC2420">
        <v>59.2</v>
      </c>
      <c r="AD2420">
        <v>1397715000</v>
      </c>
    </row>
    <row r="2421" spans="1:30" hidden="1" x14ac:dyDescent="0.45">
      <c r="A2421">
        <v>2405</v>
      </c>
      <c r="B2421">
        <v>1100</v>
      </c>
      <c r="C2421" t="s">
        <v>296</v>
      </c>
      <c r="D2421" t="s">
        <v>7655</v>
      </c>
      <c r="E2421">
        <v>60</v>
      </c>
      <c r="F2421" t="s">
        <v>128</v>
      </c>
      <c r="G2421" t="s">
        <v>7656</v>
      </c>
      <c r="H2421" t="s">
        <v>7657</v>
      </c>
      <c r="I2421" t="s">
        <v>296</v>
      </c>
      <c r="J2421" t="s">
        <v>128</v>
      </c>
      <c r="L2421" t="b">
        <v>1</v>
      </c>
      <c r="M2421" t="s">
        <v>611</v>
      </c>
      <c r="N2421" t="s">
        <v>8245</v>
      </c>
      <c r="O2421" s="1">
        <v>22746</v>
      </c>
      <c r="P2421" t="s">
        <v>1304</v>
      </c>
      <c r="Q2421" t="s">
        <v>7658</v>
      </c>
      <c r="S2421" s="1">
        <v>45020.209027777775</v>
      </c>
      <c r="V2421">
        <v>1962</v>
      </c>
      <c r="W2421">
        <v>125.08</v>
      </c>
      <c r="X2421">
        <v>2.9</v>
      </c>
      <c r="Y2421" s="2">
        <v>19910000000000</v>
      </c>
      <c r="Z2421">
        <v>50.6</v>
      </c>
      <c r="AA2421">
        <v>100.2</v>
      </c>
      <c r="AB2421">
        <v>9.4</v>
      </c>
      <c r="AC2421">
        <v>59.2</v>
      </c>
      <c r="AD2421">
        <v>1397715000</v>
      </c>
    </row>
    <row r="2422" spans="1:30" hidden="1" x14ac:dyDescent="0.45">
      <c r="A2422">
        <v>2405</v>
      </c>
      <c r="B2422">
        <v>1100</v>
      </c>
      <c r="C2422" t="s">
        <v>126</v>
      </c>
      <c r="D2422" t="s">
        <v>7659</v>
      </c>
      <c r="E2422">
        <v>82</v>
      </c>
      <c r="F2422" t="s">
        <v>214</v>
      </c>
      <c r="G2422" t="s">
        <v>802</v>
      </c>
      <c r="H2422" t="s">
        <v>594</v>
      </c>
      <c r="I2422" t="s">
        <v>126</v>
      </c>
      <c r="J2422" t="s">
        <v>214</v>
      </c>
      <c r="L2422" t="b">
        <v>0</v>
      </c>
      <c r="M2422" t="s">
        <v>39</v>
      </c>
      <c r="N2422" t="s">
        <v>8246</v>
      </c>
      <c r="O2422" s="1">
        <v>14936</v>
      </c>
      <c r="P2422" t="s">
        <v>7660</v>
      </c>
      <c r="Q2422" t="s">
        <v>3377</v>
      </c>
      <c r="S2422" s="1">
        <v>45020.209027777775</v>
      </c>
      <c r="V2422">
        <v>1940</v>
      </c>
      <c r="W2422">
        <v>110.62</v>
      </c>
      <c r="X2422">
        <v>0.6</v>
      </c>
      <c r="Y2422" s="2">
        <v>2001244392042</v>
      </c>
      <c r="Z2422">
        <v>61.9</v>
      </c>
      <c r="AA2422">
        <v>101.9</v>
      </c>
      <c r="AB2422">
        <v>24.3</v>
      </c>
      <c r="AC2422">
        <v>59.1</v>
      </c>
      <c r="AD2422">
        <v>60297396</v>
      </c>
    </row>
    <row r="2423" spans="1:30" hidden="1" x14ac:dyDescent="0.45">
      <c r="A2423">
        <v>2405</v>
      </c>
      <c r="B2423">
        <v>1100</v>
      </c>
      <c r="C2423" t="s">
        <v>126</v>
      </c>
      <c r="D2423" t="s">
        <v>7661</v>
      </c>
      <c r="E2423">
        <v>45</v>
      </c>
      <c r="F2423" t="s">
        <v>214</v>
      </c>
      <c r="G2423" t="s">
        <v>802</v>
      </c>
      <c r="H2423" t="s">
        <v>594</v>
      </c>
      <c r="I2423" t="s">
        <v>126</v>
      </c>
      <c r="J2423" t="s">
        <v>214</v>
      </c>
      <c r="L2423" t="b">
        <v>0</v>
      </c>
      <c r="M2423" t="s">
        <v>39</v>
      </c>
      <c r="N2423" t="s">
        <v>8246</v>
      </c>
      <c r="O2423" s="1">
        <v>28507</v>
      </c>
      <c r="P2423" t="s">
        <v>7660</v>
      </c>
      <c r="Q2423" t="s">
        <v>4695</v>
      </c>
      <c r="S2423" s="1">
        <v>45020.209027777775</v>
      </c>
      <c r="V2423">
        <v>1978</v>
      </c>
      <c r="W2423">
        <v>110.62</v>
      </c>
      <c r="X2423">
        <v>0.6</v>
      </c>
      <c r="Y2423" s="2">
        <v>2001244392042</v>
      </c>
      <c r="Z2423">
        <v>61.9</v>
      </c>
      <c r="AA2423">
        <v>101.9</v>
      </c>
      <c r="AB2423">
        <v>24.3</v>
      </c>
      <c r="AC2423">
        <v>59.1</v>
      </c>
      <c r="AD2423">
        <v>60297396</v>
      </c>
    </row>
    <row r="2424" spans="1:30" hidden="1" x14ac:dyDescent="0.45">
      <c r="A2424">
        <v>2405</v>
      </c>
      <c r="B2424">
        <v>1100</v>
      </c>
      <c r="C2424" t="s">
        <v>45</v>
      </c>
      <c r="D2424" t="s">
        <v>7662</v>
      </c>
      <c r="E2424">
        <v>40</v>
      </c>
      <c r="F2424" t="s">
        <v>128</v>
      </c>
      <c r="G2424" t="s">
        <v>187</v>
      </c>
      <c r="H2424" t="s">
        <v>45</v>
      </c>
      <c r="I2424" t="s">
        <v>45</v>
      </c>
      <c r="J2424" t="s">
        <v>128</v>
      </c>
      <c r="L2424" t="b">
        <v>1</v>
      </c>
      <c r="M2424" t="s">
        <v>39</v>
      </c>
      <c r="N2424" t="s">
        <v>8245</v>
      </c>
      <c r="O2424" s="1">
        <v>30164</v>
      </c>
      <c r="P2424" t="s">
        <v>2327</v>
      </c>
      <c r="Q2424" t="s">
        <v>7663</v>
      </c>
      <c r="S2424" s="1">
        <v>45020.209027777775</v>
      </c>
      <c r="V2424">
        <v>1982</v>
      </c>
      <c r="W2424">
        <v>125.08</v>
      </c>
      <c r="X2424">
        <v>2.9</v>
      </c>
      <c r="Y2424" s="2">
        <v>19910000000000</v>
      </c>
      <c r="Z2424">
        <v>50.6</v>
      </c>
      <c r="AA2424">
        <v>100.2</v>
      </c>
      <c r="AB2424">
        <v>9.4</v>
      </c>
      <c r="AC2424">
        <v>59.2</v>
      </c>
      <c r="AD2424">
        <v>1397715000</v>
      </c>
    </row>
    <row r="2425" spans="1:30" hidden="1" x14ac:dyDescent="0.45">
      <c r="A2425">
        <v>2405</v>
      </c>
      <c r="B2425">
        <v>1100</v>
      </c>
      <c r="C2425" t="s">
        <v>402</v>
      </c>
      <c r="D2425" t="s">
        <v>7664</v>
      </c>
      <c r="E2425">
        <v>61</v>
      </c>
      <c r="F2425" t="s">
        <v>128</v>
      </c>
      <c r="G2425" t="s">
        <v>7665</v>
      </c>
      <c r="H2425" t="s">
        <v>5931</v>
      </c>
      <c r="I2425" t="s">
        <v>402</v>
      </c>
      <c r="J2425" t="s">
        <v>128</v>
      </c>
      <c r="L2425" t="b">
        <v>1</v>
      </c>
      <c r="M2425" t="s">
        <v>39</v>
      </c>
      <c r="N2425" t="s">
        <v>8245</v>
      </c>
      <c r="O2425" s="1">
        <v>22647</v>
      </c>
      <c r="P2425" t="s">
        <v>679</v>
      </c>
      <c r="Q2425" t="s">
        <v>7666</v>
      </c>
      <c r="S2425" s="1">
        <v>45020.209027777775</v>
      </c>
      <c r="V2425">
        <v>1962</v>
      </c>
      <c r="W2425">
        <v>125.08</v>
      </c>
      <c r="X2425">
        <v>2.9</v>
      </c>
      <c r="Y2425" s="2">
        <v>19910000000000</v>
      </c>
      <c r="Z2425">
        <v>50.6</v>
      </c>
      <c r="AA2425">
        <v>100.2</v>
      </c>
      <c r="AB2425">
        <v>9.4</v>
      </c>
      <c r="AC2425">
        <v>59.2</v>
      </c>
      <c r="AD2425">
        <v>1397715000</v>
      </c>
    </row>
    <row r="2426" spans="1:30" hidden="1" x14ac:dyDescent="0.45">
      <c r="A2426">
        <v>2405</v>
      </c>
      <c r="B2426">
        <v>1100</v>
      </c>
      <c r="C2426" t="s">
        <v>347</v>
      </c>
      <c r="D2426" t="s">
        <v>7667</v>
      </c>
      <c r="E2426">
        <v>55</v>
      </c>
      <c r="F2426" t="s">
        <v>128</v>
      </c>
      <c r="G2426" t="s">
        <v>719</v>
      </c>
      <c r="H2426" t="s">
        <v>7668</v>
      </c>
      <c r="I2426" t="s">
        <v>347</v>
      </c>
      <c r="J2426" t="s">
        <v>128</v>
      </c>
      <c r="L2426" t="b">
        <v>1</v>
      </c>
      <c r="M2426" t="s">
        <v>39</v>
      </c>
      <c r="N2426" t="s">
        <v>8245</v>
      </c>
      <c r="O2426" s="1">
        <v>24838</v>
      </c>
      <c r="P2426" t="s">
        <v>679</v>
      </c>
      <c r="Q2426" t="s">
        <v>3752</v>
      </c>
      <c r="S2426" s="1">
        <v>45020.209027777775</v>
      </c>
      <c r="V2426">
        <v>1968</v>
      </c>
      <c r="W2426">
        <v>125.08</v>
      </c>
      <c r="X2426">
        <v>2.9</v>
      </c>
      <c r="Y2426" s="2">
        <v>19910000000000</v>
      </c>
      <c r="Z2426">
        <v>50.6</v>
      </c>
      <c r="AA2426">
        <v>100.2</v>
      </c>
      <c r="AB2426">
        <v>9.4</v>
      </c>
      <c r="AC2426">
        <v>59.2</v>
      </c>
      <c r="AD2426">
        <v>1397715000</v>
      </c>
    </row>
    <row r="2427" spans="1:30" hidden="1" x14ac:dyDescent="0.45">
      <c r="A2427">
        <v>2405</v>
      </c>
      <c r="B2427">
        <v>1100</v>
      </c>
      <c r="C2427" t="s">
        <v>203</v>
      </c>
      <c r="D2427" t="s">
        <v>7669</v>
      </c>
      <c r="E2427">
        <v>47</v>
      </c>
      <c r="F2427" t="s">
        <v>128</v>
      </c>
      <c r="G2427" t="s">
        <v>292</v>
      </c>
      <c r="H2427" t="s">
        <v>438</v>
      </c>
      <c r="I2427" t="s">
        <v>203</v>
      </c>
      <c r="J2427" t="s">
        <v>128</v>
      </c>
      <c r="L2427" t="b">
        <v>1</v>
      </c>
      <c r="M2427" t="s">
        <v>39</v>
      </c>
      <c r="N2427" t="s">
        <v>8246</v>
      </c>
      <c r="O2427" s="1">
        <v>27697</v>
      </c>
      <c r="P2427" t="s">
        <v>679</v>
      </c>
      <c r="Q2427" t="s">
        <v>7670</v>
      </c>
      <c r="S2427" s="1">
        <v>45020.209027777775</v>
      </c>
      <c r="V2427">
        <v>1975</v>
      </c>
      <c r="W2427">
        <v>125.08</v>
      </c>
      <c r="X2427">
        <v>2.9</v>
      </c>
      <c r="Y2427" s="2">
        <v>19910000000000</v>
      </c>
      <c r="Z2427">
        <v>50.6</v>
      </c>
      <c r="AA2427">
        <v>100.2</v>
      </c>
      <c r="AB2427">
        <v>9.4</v>
      </c>
      <c r="AC2427">
        <v>59.2</v>
      </c>
      <c r="AD2427">
        <v>1397715000</v>
      </c>
    </row>
    <row r="2428" spans="1:30" hidden="1" x14ac:dyDescent="0.45">
      <c r="A2428">
        <v>2405</v>
      </c>
      <c r="B2428">
        <v>1100</v>
      </c>
      <c r="C2428" t="s">
        <v>45</v>
      </c>
      <c r="D2428" t="s">
        <v>7671</v>
      </c>
      <c r="E2428">
        <v>73</v>
      </c>
      <c r="F2428" t="s">
        <v>1259</v>
      </c>
      <c r="G2428" t="s">
        <v>6422</v>
      </c>
      <c r="H2428" t="s">
        <v>1400</v>
      </c>
      <c r="I2428" t="s">
        <v>45</v>
      </c>
      <c r="J2428" t="s">
        <v>1259</v>
      </c>
      <c r="L2428" t="b">
        <v>1</v>
      </c>
      <c r="M2428" t="s">
        <v>29</v>
      </c>
      <c r="N2428" t="s">
        <v>8245</v>
      </c>
      <c r="O2428" s="1">
        <v>18080</v>
      </c>
      <c r="P2428" t="s">
        <v>679</v>
      </c>
      <c r="Q2428" t="s">
        <v>2143</v>
      </c>
      <c r="S2428" s="1">
        <v>45020.209027777775</v>
      </c>
      <c r="V2428">
        <v>1949</v>
      </c>
      <c r="W2428"/>
      <c r="Y2428"/>
    </row>
    <row r="2429" spans="1:30" hidden="1" x14ac:dyDescent="0.45">
      <c r="A2429">
        <v>2405</v>
      </c>
      <c r="B2429">
        <v>1100</v>
      </c>
      <c r="C2429" t="s">
        <v>296</v>
      </c>
      <c r="D2429" t="s">
        <v>7672</v>
      </c>
      <c r="E2429">
        <v>55</v>
      </c>
      <c r="F2429" t="s">
        <v>128</v>
      </c>
      <c r="G2429" t="s">
        <v>4232</v>
      </c>
      <c r="H2429" t="s">
        <v>5190</v>
      </c>
      <c r="I2429" t="s">
        <v>296</v>
      </c>
      <c r="J2429" t="s">
        <v>128</v>
      </c>
      <c r="L2429" t="b">
        <v>1</v>
      </c>
      <c r="M2429" t="s">
        <v>39</v>
      </c>
      <c r="N2429" t="s">
        <v>8246</v>
      </c>
      <c r="O2429" s="1">
        <v>24761</v>
      </c>
      <c r="P2429" t="s">
        <v>679</v>
      </c>
      <c r="Q2429" t="s">
        <v>7673</v>
      </c>
      <c r="S2429" s="1">
        <v>45020.209027777775</v>
      </c>
      <c r="V2429">
        <v>1967</v>
      </c>
      <c r="W2429">
        <v>125.08</v>
      </c>
      <c r="X2429">
        <v>2.9</v>
      </c>
      <c r="Y2429" s="2">
        <v>19910000000000</v>
      </c>
      <c r="Z2429">
        <v>50.6</v>
      </c>
      <c r="AA2429">
        <v>100.2</v>
      </c>
      <c r="AB2429">
        <v>9.4</v>
      </c>
      <c r="AC2429">
        <v>59.2</v>
      </c>
      <c r="AD2429">
        <v>1397715000</v>
      </c>
    </row>
    <row r="2430" spans="1:30" hidden="1" x14ac:dyDescent="0.45">
      <c r="A2430">
        <v>2405</v>
      </c>
      <c r="B2430">
        <v>1100</v>
      </c>
      <c r="C2430" t="s">
        <v>126</v>
      </c>
      <c r="D2430" t="s">
        <v>7674</v>
      </c>
      <c r="E2430">
        <v>58</v>
      </c>
      <c r="F2430" t="s">
        <v>128</v>
      </c>
      <c r="G2430" t="s">
        <v>1045</v>
      </c>
      <c r="H2430" t="s">
        <v>7675</v>
      </c>
      <c r="I2430" t="s">
        <v>126</v>
      </c>
      <c r="J2430" t="s">
        <v>128</v>
      </c>
      <c r="L2430" t="b">
        <v>1</v>
      </c>
      <c r="M2430" t="s">
        <v>39</v>
      </c>
      <c r="N2430" t="s">
        <v>8245</v>
      </c>
      <c r="O2430" s="1">
        <v>23743</v>
      </c>
      <c r="P2430" t="s">
        <v>2082</v>
      </c>
      <c r="Q2430" t="s">
        <v>6257</v>
      </c>
      <c r="S2430" s="1">
        <v>45020.209027777775</v>
      </c>
      <c r="V2430">
        <v>1965</v>
      </c>
      <c r="W2430">
        <v>125.08</v>
      </c>
      <c r="X2430">
        <v>2.9</v>
      </c>
      <c r="Y2430" s="2">
        <v>19910000000000</v>
      </c>
      <c r="Z2430">
        <v>50.6</v>
      </c>
      <c r="AA2430">
        <v>100.2</v>
      </c>
      <c r="AB2430">
        <v>9.4</v>
      </c>
      <c r="AC2430">
        <v>59.2</v>
      </c>
      <c r="AD2430">
        <v>1397715000</v>
      </c>
    </row>
    <row r="2431" spans="1:30" hidden="1" x14ac:dyDescent="0.45">
      <c r="A2431">
        <v>2405</v>
      </c>
      <c r="B2431">
        <v>1100</v>
      </c>
      <c r="C2431" t="s">
        <v>45</v>
      </c>
      <c r="D2431" t="s">
        <v>7676</v>
      </c>
      <c r="H2431" t="s">
        <v>442</v>
      </c>
      <c r="I2431" t="s">
        <v>45</v>
      </c>
      <c r="J2431" t="s">
        <v>1259</v>
      </c>
      <c r="L2431" t="b">
        <v>1</v>
      </c>
      <c r="M2431" t="s">
        <v>39</v>
      </c>
      <c r="N2431" t="s">
        <v>8245</v>
      </c>
      <c r="O2431"/>
      <c r="P2431" t="s">
        <v>3224</v>
      </c>
      <c r="Q2431" t="s">
        <v>7677</v>
      </c>
      <c r="S2431" s="1">
        <v>45020.209027777775</v>
      </c>
      <c r="W2431"/>
      <c r="Y2431"/>
    </row>
    <row r="2432" spans="1:30" x14ac:dyDescent="0.45">
      <c r="A2432">
        <v>2405</v>
      </c>
      <c r="B2432" s="6">
        <v>1100</v>
      </c>
      <c r="C2432" t="s">
        <v>45</v>
      </c>
      <c r="D2432" t="s">
        <v>7678</v>
      </c>
      <c r="E2432">
        <v>61</v>
      </c>
      <c r="F2432" t="s">
        <v>35</v>
      </c>
      <c r="G2432" t="s">
        <v>241</v>
      </c>
      <c r="H2432" t="s">
        <v>442</v>
      </c>
      <c r="I2432" t="s">
        <v>45</v>
      </c>
      <c r="J2432" t="s">
        <v>35</v>
      </c>
      <c r="K2432" t="s">
        <v>7679</v>
      </c>
      <c r="L2432" t="b">
        <v>1</v>
      </c>
      <c r="M2432" t="s">
        <v>39</v>
      </c>
      <c r="N2432" t="s">
        <v>8246</v>
      </c>
      <c r="O2432" s="10">
        <v>22538</v>
      </c>
      <c r="P2432" t="s">
        <v>6964</v>
      </c>
      <c r="Q2432" t="s">
        <v>7680</v>
      </c>
      <c r="R2432" t="s">
        <v>7681</v>
      </c>
      <c r="S2432" s="8">
        <v>45020.209027777775</v>
      </c>
      <c r="T2432" t="s">
        <v>245</v>
      </c>
      <c r="U2432" t="s">
        <v>53</v>
      </c>
      <c r="V2432">
        <v>1961</v>
      </c>
      <c r="W2432" s="12">
        <v>117.24</v>
      </c>
      <c r="X2432">
        <v>7.5</v>
      </c>
      <c r="Y2432" s="14">
        <v>21427700000000</v>
      </c>
      <c r="Z2432">
        <v>88.2</v>
      </c>
      <c r="AA2432">
        <v>101.8</v>
      </c>
      <c r="AB2432">
        <v>9.6</v>
      </c>
      <c r="AC2432">
        <v>36.6</v>
      </c>
      <c r="AD2432">
        <v>328239523</v>
      </c>
    </row>
    <row r="2433" spans="1:30" hidden="1" x14ac:dyDescent="0.45">
      <c r="A2433">
        <v>2405</v>
      </c>
      <c r="B2433">
        <v>1100</v>
      </c>
      <c r="C2433" t="s">
        <v>126</v>
      </c>
      <c r="D2433" t="s">
        <v>7682</v>
      </c>
      <c r="F2433" t="s">
        <v>117</v>
      </c>
      <c r="G2433" t="s">
        <v>3759</v>
      </c>
      <c r="H2433" t="s">
        <v>5378</v>
      </c>
      <c r="I2433" t="s">
        <v>126</v>
      </c>
      <c r="J2433" t="s">
        <v>117</v>
      </c>
      <c r="L2433" t="b">
        <v>0</v>
      </c>
      <c r="M2433" t="s">
        <v>1332</v>
      </c>
      <c r="N2433" t="s">
        <v>8246</v>
      </c>
      <c r="O2433"/>
      <c r="P2433" t="s">
        <v>7683</v>
      </c>
      <c r="Q2433" t="s">
        <v>6559</v>
      </c>
      <c r="S2433" s="1">
        <v>45020.209027777775</v>
      </c>
      <c r="W2433">
        <v>110.96</v>
      </c>
      <c r="X2433">
        <v>0.7</v>
      </c>
      <c r="Y2433" s="2">
        <v>1394116310769</v>
      </c>
      <c r="Z2433">
        <v>88.9</v>
      </c>
      <c r="AA2433">
        <v>102.7</v>
      </c>
      <c r="AB2433">
        <v>14.2</v>
      </c>
      <c r="AC2433">
        <v>47</v>
      </c>
      <c r="AD2433">
        <v>47076781</v>
      </c>
    </row>
    <row r="2434" spans="1:30" hidden="1" x14ac:dyDescent="0.45">
      <c r="A2434">
        <v>2405</v>
      </c>
      <c r="B2434">
        <v>1100</v>
      </c>
      <c r="C2434" t="s">
        <v>296</v>
      </c>
      <c r="D2434" t="s">
        <v>7684</v>
      </c>
      <c r="E2434">
        <v>72</v>
      </c>
      <c r="F2434" t="s">
        <v>128</v>
      </c>
      <c r="G2434" t="s">
        <v>6871</v>
      </c>
      <c r="H2434" t="s">
        <v>3138</v>
      </c>
      <c r="I2434" t="s">
        <v>296</v>
      </c>
      <c r="J2434" t="s">
        <v>128</v>
      </c>
      <c r="L2434" t="b">
        <v>1</v>
      </c>
      <c r="M2434" t="s">
        <v>39</v>
      </c>
      <c r="N2434" t="s">
        <v>8245</v>
      </c>
      <c r="O2434" s="1">
        <v>18629</v>
      </c>
      <c r="P2434" t="s">
        <v>3526</v>
      </c>
      <c r="Q2434" t="s">
        <v>7685</v>
      </c>
      <c r="S2434" s="1">
        <v>45020.209027777775</v>
      </c>
      <c r="V2434">
        <v>1951</v>
      </c>
      <c r="W2434">
        <v>125.08</v>
      </c>
      <c r="X2434">
        <v>2.9</v>
      </c>
      <c r="Y2434" s="2">
        <v>19910000000000</v>
      </c>
      <c r="Z2434">
        <v>50.6</v>
      </c>
      <c r="AA2434">
        <v>100.2</v>
      </c>
      <c r="AB2434">
        <v>9.4</v>
      </c>
      <c r="AC2434">
        <v>59.2</v>
      </c>
      <c r="AD2434">
        <v>1397715000</v>
      </c>
    </row>
    <row r="2435" spans="1:30" hidden="1" x14ac:dyDescent="0.45">
      <c r="A2435">
        <v>2405</v>
      </c>
      <c r="B2435">
        <v>1100</v>
      </c>
      <c r="C2435" t="s">
        <v>61</v>
      </c>
      <c r="D2435" t="s">
        <v>7686</v>
      </c>
      <c r="E2435">
        <v>87</v>
      </c>
      <c r="F2435" t="s">
        <v>490</v>
      </c>
      <c r="G2435" t="s">
        <v>1737</v>
      </c>
      <c r="H2435" t="s">
        <v>1210</v>
      </c>
      <c r="I2435" t="s">
        <v>61</v>
      </c>
      <c r="J2435" t="s">
        <v>490</v>
      </c>
      <c r="L2435" t="b">
        <v>1</v>
      </c>
      <c r="M2435" t="s">
        <v>39</v>
      </c>
      <c r="N2435" t="s">
        <v>8245</v>
      </c>
      <c r="O2435" s="1">
        <v>13167</v>
      </c>
      <c r="P2435" t="s">
        <v>7687</v>
      </c>
      <c r="Q2435" t="s">
        <v>5230</v>
      </c>
      <c r="S2435" s="1">
        <v>45020.209027777775</v>
      </c>
      <c r="V2435">
        <v>1936</v>
      </c>
      <c r="W2435">
        <v>108.15</v>
      </c>
      <c r="X2435">
        <v>0.8</v>
      </c>
      <c r="Y2435" s="2">
        <v>395098666122</v>
      </c>
      <c r="Z2435">
        <v>63.4</v>
      </c>
      <c r="AA2435">
        <v>104.9</v>
      </c>
      <c r="AB2435">
        <v>23.1</v>
      </c>
      <c r="AC2435">
        <v>25.3</v>
      </c>
      <c r="AD2435">
        <v>9053300</v>
      </c>
    </row>
    <row r="2436" spans="1:30" hidden="1" x14ac:dyDescent="0.45">
      <c r="A2436">
        <v>2405</v>
      </c>
      <c r="B2436">
        <v>1100</v>
      </c>
      <c r="C2436" t="s">
        <v>61</v>
      </c>
      <c r="D2436" t="s">
        <v>7688</v>
      </c>
      <c r="E2436">
        <v>65</v>
      </c>
      <c r="F2436" t="s">
        <v>272</v>
      </c>
      <c r="G2436" t="s">
        <v>7689</v>
      </c>
      <c r="H2436" t="s">
        <v>1210</v>
      </c>
      <c r="I2436" t="s">
        <v>61</v>
      </c>
      <c r="J2436" t="s">
        <v>35</v>
      </c>
      <c r="K2436" t="s">
        <v>7690</v>
      </c>
      <c r="L2436" t="b">
        <v>1</v>
      </c>
      <c r="M2436" t="s">
        <v>39</v>
      </c>
      <c r="N2436" t="s">
        <v>8245</v>
      </c>
      <c r="O2436" s="1">
        <v>21202</v>
      </c>
      <c r="P2436" t="s">
        <v>7691</v>
      </c>
      <c r="Q2436" t="s">
        <v>1292</v>
      </c>
      <c r="R2436" t="s">
        <v>620</v>
      </c>
      <c r="S2436" s="1">
        <v>45020.209027777775</v>
      </c>
      <c r="V2436">
        <v>1958</v>
      </c>
      <c r="W2436">
        <v>119.62</v>
      </c>
      <c r="X2436">
        <v>1.7</v>
      </c>
      <c r="Y2436" s="2">
        <v>2827113184696</v>
      </c>
      <c r="Z2436">
        <v>60</v>
      </c>
      <c r="AA2436">
        <v>101.2</v>
      </c>
      <c r="AB2436">
        <v>25.5</v>
      </c>
      <c r="AC2436">
        <v>30.6</v>
      </c>
      <c r="AD2436">
        <v>66834405</v>
      </c>
    </row>
    <row r="2437" spans="1:30" hidden="1" x14ac:dyDescent="0.45">
      <c r="A2437">
        <v>2405</v>
      </c>
      <c r="B2437">
        <v>1100</v>
      </c>
      <c r="C2437" t="s">
        <v>436</v>
      </c>
      <c r="D2437" t="s">
        <v>7692</v>
      </c>
      <c r="E2437">
        <v>88</v>
      </c>
      <c r="F2437" t="s">
        <v>117</v>
      </c>
      <c r="G2437" t="s">
        <v>7693</v>
      </c>
      <c r="H2437" t="s">
        <v>3015</v>
      </c>
      <c r="I2437" t="s">
        <v>436</v>
      </c>
      <c r="J2437" t="s">
        <v>117</v>
      </c>
      <c r="L2437" t="b">
        <v>1</v>
      </c>
      <c r="M2437" t="s">
        <v>611</v>
      </c>
      <c r="N2437" t="s">
        <v>8245</v>
      </c>
      <c r="O2437" s="1">
        <v>12845</v>
      </c>
      <c r="P2437" t="s">
        <v>7694</v>
      </c>
      <c r="Q2437" t="s">
        <v>7695</v>
      </c>
      <c r="S2437" s="1">
        <v>45020.209027777775</v>
      </c>
      <c r="V2437">
        <v>1935</v>
      </c>
      <c r="W2437">
        <v>110.96</v>
      </c>
      <c r="X2437">
        <v>0.7</v>
      </c>
      <c r="Y2437" s="2">
        <v>1394116310769</v>
      </c>
      <c r="Z2437">
        <v>88.9</v>
      </c>
      <c r="AA2437">
        <v>102.7</v>
      </c>
      <c r="AB2437">
        <v>14.2</v>
      </c>
      <c r="AC2437">
        <v>47</v>
      </c>
      <c r="AD2437">
        <v>47076781</v>
      </c>
    </row>
    <row r="2438" spans="1:30" hidden="1" x14ac:dyDescent="0.45">
      <c r="A2438">
        <v>2405</v>
      </c>
      <c r="B2438">
        <v>1100</v>
      </c>
      <c r="C2438" t="s">
        <v>296</v>
      </c>
      <c r="D2438" t="s">
        <v>7696</v>
      </c>
      <c r="E2438">
        <v>63</v>
      </c>
      <c r="F2438" t="s">
        <v>558</v>
      </c>
      <c r="G2438" t="s">
        <v>7233</v>
      </c>
      <c r="H2438" t="s">
        <v>7308</v>
      </c>
      <c r="I2438" t="s">
        <v>296</v>
      </c>
      <c r="J2438" t="s">
        <v>558</v>
      </c>
      <c r="L2438" t="b">
        <v>0</v>
      </c>
      <c r="M2438" t="s">
        <v>39</v>
      </c>
      <c r="N2438" t="s">
        <v>8245</v>
      </c>
      <c r="O2438" s="1">
        <v>21851</v>
      </c>
      <c r="P2438" t="s">
        <v>7309</v>
      </c>
      <c r="Q2438" t="s">
        <v>520</v>
      </c>
      <c r="S2438" s="1">
        <v>45020.209027777775</v>
      </c>
      <c r="V2438">
        <v>1959</v>
      </c>
      <c r="W2438">
        <v>167.4</v>
      </c>
      <c r="X2438">
        <v>3.7</v>
      </c>
      <c r="Y2438" s="2">
        <v>1839758040766</v>
      </c>
      <c r="Z2438">
        <v>51.3</v>
      </c>
      <c r="AA2438">
        <v>115.4</v>
      </c>
      <c r="AB2438">
        <v>14.2</v>
      </c>
      <c r="AC2438">
        <v>65.099999999999994</v>
      </c>
      <c r="AD2438">
        <v>212559417</v>
      </c>
    </row>
    <row r="2439" spans="1:30" hidden="1" x14ac:dyDescent="0.45">
      <c r="A2439">
        <v>2405</v>
      </c>
      <c r="B2439">
        <v>1100</v>
      </c>
      <c r="C2439" t="s">
        <v>296</v>
      </c>
      <c r="D2439" t="s">
        <v>7697</v>
      </c>
      <c r="E2439">
        <v>53</v>
      </c>
      <c r="F2439" t="s">
        <v>558</v>
      </c>
      <c r="G2439" t="s">
        <v>7233</v>
      </c>
      <c r="H2439" t="s">
        <v>7308</v>
      </c>
      <c r="I2439" t="s">
        <v>296</v>
      </c>
      <c r="J2439" t="s">
        <v>558</v>
      </c>
      <c r="L2439" t="b">
        <v>0</v>
      </c>
      <c r="M2439" t="s">
        <v>39</v>
      </c>
      <c r="N2439" t="s">
        <v>8245</v>
      </c>
      <c r="O2439"/>
      <c r="P2439" t="s">
        <v>7309</v>
      </c>
      <c r="Q2439" t="s">
        <v>7542</v>
      </c>
      <c r="S2439" s="1">
        <v>45020.209027777775</v>
      </c>
      <c r="W2439">
        <v>167.4</v>
      </c>
      <c r="X2439">
        <v>3.7</v>
      </c>
      <c r="Y2439" s="2">
        <v>1839758040766</v>
      </c>
      <c r="Z2439">
        <v>51.3</v>
      </c>
      <c r="AA2439">
        <v>115.4</v>
      </c>
      <c r="AB2439">
        <v>14.2</v>
      </c>
      <c r="AC2439">
        <v>65.099999999999994</v>
      </c>
      <c r="AD2439">
        <v>212559417</v>
      </c>
    </row>
    <row r="2440" spans="1:30" hidden="1" x14ac:dyDescent="0.45">
      <c r="A2440">
        <v>2405</v>
      </c>
      <c r="B2440">
        <v>1100</v>
      </c>
      <c r="C2440" t="s">
        <v>83</v>
      </c>
      <c r="D2440" t="s">
        <v>7698</v>
      </c>
      <c r="E2440">
        <v>56</v>
      </c>
      <c r="F2440" t="s">
        <v>686</v>
      </c>
      <c r="G2440" t="s">
        <v>5028</v>
      </c>
      <c r="H2440" t="s">
        <v>317</v>
      </c>
      <c r="I2440" t="s">
        <v>83</v>
      </c>
      <c r="J2440" t="s">
        <v>363</v>
      </c>
      <c r="L2440" t="b">
        <v>1</v>
      </c>
      <c r="M2440" t="s">
        <v>39</v>
      </c>
      <c r="N2440" t="s">
        <v>8245</v>
      </c>
      <c r="O2440" s="1">
        <v>24263</v>
      </c>
      <c r="P2440" t="s">
        <v>7699</v>
      </c>
      <c r="Q2440" t="s">
        <v>7700</v>
      </c>
      <c r="S2440" s="1">
        <v>45020.209027777775</v>
      </c>
      <c r="V2440">
        <v>1966</v>
      </c>
      <c r="W2440">
        <v>102.51</v>
      </c>
      <c r="X2440">
        <v>0.3</v>
      </c>
      <c r="Y2440" s="2">
        <v>24564647935</v>
      </c>
      <c r="Z2440">
        <v>75.900000000000006</v>
      </c>
      <c r="AA2440">
        <v>99.3</v>
      </c>
      <c r="AB2440">
        <v>24.5</v>
      </c>
      <c r="AC2440">
        <v>22.4</v>
      </c>
      <c r="AD2440">
        <v>1198575</v>
      </c>
    </row>
    <row r="2441" spans="1:30" hidden="1" x14ac:dyDescent="0.45">
      <c r="A2441">
        <v>2405</v>
      </c>
      <c r="B2441">
        <v>1100</v>
      </c>
      <c r="C2441" t="s">
        <v>23</v>
      </c>
      <c r="D2441" t="s">
        <v>7701</v>
      </c>
      <c r="E2441">
        <v>79</v>
      </c>
      <c r="F2441" t="s">
        <v>35</v>
      </c>
      <c r="G2441" t="s">
        <v>833</v>
      </c>
      <c r="H2441" t="s">
        <v>7702</v>
      </c>
      <c r="I2441" t="s">
        <v>23</v>
      </c>
      <c r="J2441" t="s">
        <v>35</v>
      </c>
      <c r="L2441" t="b">
        <v>1</v>
      </c>
      <c r="M2441" t="s">
        <v>611</v>
      </c>
      <c r="N2441" t="s">
        <v>8245</v>
      </c>
      <c r="O2441" s="1">
        <v>16116</v>
      </c>
      <c r="P2441" t="s">
        <v>7703</v>
      </c>
      <c r="Q2441" t="s">
        <v>1977</v>
      </c>
      <c r="S2441" s="1">
        <v>45020.209027777775</v>
      </c>
      <c r="T2441" t="s">
        <v>427</v>
      </c>
      <c r="U2441" t="s">
        <v>82</v>
      </c>
      <c r="V2441">
        <v>1944</v>
      </c>
      <c r="W2441">
        <v>117.24</v>
      </c>
      <c r="X2441">
        <v>7.5</v>
      </c>
      <c r="Y2441" s="2">
        <v>21427700000000</v>
      </c>
      <c r="Z2441">
        <v>88.2</v>
      </c>
      <c r="AA2441">
        <v>101.8</v>
      </c>
      <c r="AB2441">
        <v>9.6</v>
      </c>
      <c r="AC2441">
        <v>36.6</v>
      </c>
      <c r="AD2441">
        <v>328239523</v>
      </c>
    </row>
    <row r="2442" spans="1:30" x14ac:dyDescent="0.45">
      <c r="A2442">
        <v>2405</v>
      </c>
      <c r="B2442" s="6">
        <v>1100</v>
      </c>
      <c r="C2442" t="s">
        <v>23</v>
      </c>
      <c r="D2442" t="s">
        <v>7704</v>
      </c>
      <c r="E2442">
        <v>69</v>
      </c>
      <c r="F2442" t="s">
        <v>35</v>
      </c>
      <c r="G2442" t="s">
        <v>991</v>
      </c>
      <c r="H2442" t="s">
        <v>4513</v>
      </c>
      <c r="I2442" t="s">
        <v>23</v>
      </c>
      <c r="J2442" t="s">
        <v>35</v>
      </c>
      <c r="K2442" t="s">
        <v>4514</v>
      </c>
      <c r="L2442" t="b">
        <v>0</v>
      </c>
      <c r="M2442" t="s">
        <v>39</v>
      </c>
      <c r="N2442" t="s">
        <v>8245</v>
      </c>
      <c r="O2442" s="10">
        <v>19572</v>
      </c>
      <c r="P2442" t="s">
        <v>1581</v>
      </c>
      <c r="Q2442" t="s">
        <v>619</v>
      </c>
      <c r="R2442" t="s">
        <v>7705</v>
      </c>
      <c r="S2442" s="8">
        <v>45020.209027777775</v>
      </c>
      <c r="T2442" t="s">
        <v>115</v>
      </c>
      <c r="U2442" t="s">
        <v>53</v>
      </c>
      <c r="V2442">
        <v>1953</v>
      </c>
      <c r="W2442" s="12">
        <v>117.24</v>
      </c>
      <c r="X2442">
        <v>7.5</v>
      </c>
      <c r="Y2442" s="14">
        <v>21427700000000</v>
      </c>
      <c r="Z2442">
        <v>88.2</v>
      </c>
      <c r="AA2442">
        <v>101.8</v>
      </c>
      <c r="AB2442">
        <v>9.6</v>
      </c>
      <c r="AC2442">
        <v>36.6</v>
      </c>
      <c r="AD2442">
        <v>328239523</v>
      </c>
    </row>
    <row r="2443" spans="1:30" hidden="1" x14ac:dyDescent="0.45">
      <c r="A2443">
        <v>2405</v>
      </c>
      <c r="B2443">
        <v>1100</v>
      </c>
      <c r="C2443" t="s">
        <v>23</v>
      </c>
      <c r="D2443" t="s">
        <v>7706</v>
      </c>
      <c r="E2443">
        <v>66</v>
      </c>
      <c r="F2443" t="s">
        <v>194</v>
      </c>
      <c r="G2443" t="s">
        <v>7707</v>
      </c>
      <c r="H2443" t="s">
        <v>268</v>
      </c>
      <c r="I2443" t="s">
        <v>23</v>
      </c>
      <c r="J2443" t="s">
        <v>194</v>
      </c>
      <c r="L2443" t="b">
        <v>1</v>
      </c>
      <c r="M2443" t="s">
        <v>39</v>
      </c>
      <c r="N2443" t="s">
        <v>8245</v>
      </c>
      <c r="O2443" s="1">
        <v>20821</v>
      </c>
      <c r="P2443" t="s">
        <v>7708</v>
      </c>
      <c r="Q2443" t="s">
        <v>7709</v>
      </c>
      <c r="S2443" s="1">
        <v>45020.209027777775</v>
      </c>
      <c r="V2443">
        <v>1957</v>
      </c>
      <c r="W2443">
        <v>112.85</v>
      </c>
      <c r="X2443">
        <v>1.4</v>
      </c>
      <c r="Y2443" s="2">
        <v>3845630030824</v>
      </c>
      <c r="Z2443">
        <v>70.2</v>
      </c>
      <c r="AA2443">
        <v>104</v>
      </c>
      <c r="AB2443">
        <v>11.5</v>
      </c>
      <c r="AC2443">
        <v>48.8</v>
      </c>
      <c r="AD2443">
        <v>83132799</v>
      </c>
    </row>
    <row r="2444" spans="1:30" hidden="1" x14ac:dyDescent="0.45">
      <c r="A2444">
        <v>2405</v>
      </c>
      <c r="B2444">
        <v>1100</v>
      </c>
      <c r="C2444" t="s">
        <v>296</v>
      </c>
      <c r="D2444" t="s">
        <v>7710</v>
      </c>
      <c r="E2444">
        <v>82</v>
      </c>
      <c r="F2444" t="s">
        <v>35</v>
      </c>
      <c r="G2444" t="s">
        <v>964</v>
      </c>
      <c r="H2444" t="s">
        <v>296</v>
      </c>
      <c r="I2444" t="s">
        <v>296</v>
      </c>
      <c r="J2444" t="s">
        <v>35</v>
      </c>
      <c r="L2444" t="b">
        <v>1</v>
      </c>
      <c r="M2444" t="s">
        <v>611</v>
      </c>
      <c r="N2444" t="s">
        <v>8245</v>
      </c>
      <c r="O2444" s="1">
        <v>14887</v>
      </c>
      <c r="P2444" t="s">
        <v>7711</v>
      </c>
      <c r="Q2444" t="s">
        <v>543</v>
      </c>
      <c r="S2444" s="1">
        <v>45020.209027777775</v>
      </c>
      <c r="T2444" t="s">
        <v>115</v>
      </c>
      <c r="U2444" t="s">
        <v>53</v>
      </c>
      <c r="V2444">
        <v>1940</v>
      </c>
      <c r="W2444">
        <v>117.24</v>
      </c>
      <c r="X2444">
        <v>7.5</v>
      </c>
      <c r="Y2444" s="2">
        <v>21427700000000</v>
      </c>
      <c r="Z2444">
        <v>88.2</v>
      </c>
      <c r="AA2444">
        <v>101.8</v>
      </c>
      <c r="AB2444">
        <v>9.6</v>
      </c>
      <c r="AC2444">
        <v>36.6</v>
      </c>
      <c r="AD2444">
        <v>328239523</v>
      </c>
    </row>
    <row r="2445" spans="1:30" hidden="1" x14ac:dyDescent="0.45">
      <c r="A2445">
        <v>2405</v>
      </c>
      <c r="B2445">
        <v>1100</v>
      </c>
      <c r="C2445" t="s">
        <v>402</v>
      </c>
      <c r="D2445" t="s">
        <v>7712</v>
      </c>
      <c r="E2445">
        <v>74</v>
      </c>
      <c r="F2445" t="s">
        <v>128</v>
      </c>
      <c r="G2445" t="s">
        <v>187</v>
      </c>
      <c r="H2445" t="s">
        <v>610</v>
      </c>
      <c r="I2445" t="s">
        <v>402</v>
      </c>
      <c r="J2445" t="s">
        <v>128</v>
      </c>
      <c r="L2445" t="b">
        <v>1</v>
      </c>
      <c r="M2445" t="s">
        <v>39</v>
      </c>
      <c r="N2445" t="s">
        <v>8245</v>
      </c>
      <c r="O2445" s="1">
        <v>17715</v>
      </c>
      <c r="P2445" t="s">
        <v>7713</v>
      </c>
      <c r="Q2445" t="s">
        <v>7714</v>
      </c>
      <c r="S2445" s="1">
        <v>45020.209027777775</v>
      </c>
      <c r="V2445">
        <v>1948</v>
      </c>
      <c r="W2445">
        <v>125.08</v>
      </c>
      <c r="X2445">
        <v>2.9</v>
      </c>
      <c r="Y2445" s="2">
        <v>19910000000000</v>
      </c>
      <c r="Z2445">
        <v>50.6</v>
      </c>
      <c r="AA2445">
        <v>100.2</v>
      </c>
      <c r="AB2445">
        <v>9.4</v>
      </c>
      <c r="AC2445">
        <v>59.2</v>
      </c>
      <c r="AD2445">
        <v>1397715000</v>
      </c>
    </row>
    <row r="2446" spans="1:30" hidden="1" x14ac:dyDescent="0.45">
      <c r="A2446">
        <v>2405</v>
      </c>
      <c r="B2446">
        <v>1100</v>
      </c>
      <c r="C2446" t="s">
        <v>23</v>
      </c>
      <c r="D2446" t="s">
        <v>7715</v>
      </c>
      <c r="E2446">
        <v>70</v>
      </c>
      <c r="F2446" t="s">
        <v>93</v>
      </c>
      <c r="G2446" t="s">
        <v>343</v>
      </c>
      <c r="H2446" t="s">
        <v>7716</v>
      </c>
      <c r="I2446" t="s">
        <v>23</v>
      </c>
      <c r="J2446" t="s">
        <v>93</v>
      </c>
      <c r="L2446" t="b">
        <v>0</v>
      </c>
      <c r="M2446" t="s">
        <v>39</v>
      </c>
      <c r="N2446" t="s">
        <v>8245</v>
      </c>
      <c r="O2446" s="1">
        <v>19316</v>
      </c>
      <c r="P2446" t="s">
        <v>179</v>
      </c>
      <c r="Q2446" t="s">
        <v>2876</v>
      </c>
      <c r="S2446" s="1">
        <v>45020.209027777775</v>
      </c>
      <c r="V2446">
        <v>1952</v>
      </c>
      <c r="W2446">
        <v>180.44</v>
      </c>
      <c r="X2446">
        <v>7.7</v>
      </c>
      <c r="Y2446" s="2">
        <v>2611000000000</v>
      </c>
      <c r="Z2446">
        <v>28.1</v>
      </c>
      <c r="AA2446">
        <v>113</v>
      </c>
      <c r="AB2446">
        <v>11.2</v>
      </c>
      <c r="AC2446">
        <v>49.7</v>
      </c>
      <c r="AD2446">
        <v>1366417754</v>
      </c>
    </row>
    <row r="2447" spans="1:30" hidden="1" x14ac:dyDescent="0.45">
      <c r="A2447">
        <v>2405</v>
      </c>
      <c r="B2447">
        <v>1100</v>
      </c>
      <c r="C2447" t="s">
        <v>61</v>
      </c>
      <c r="D2447" t="s">
        <v>7717</v>
      </c>
      <c r="E2447">
        <v>60</v>
      </c>
      <c r="F2447" t="s">
        <v>35</v>
      </c>
      <c r="G2447" t="s">
        <v>78</v>
      </c>
      <c r="H2447" t="s">
        <v>930</v>
      </c>
      <c r="I2447" t="s">
        <v>61</v>
      </c>
      <c r="J2447" t="s">
        <v>35</v>
      </c>
      <c r="L2447" t="b">
        <v>1</v>
      </c>
      <c r="M2447" t="s">
        <v>611</v>
      </c>
      <c r="N2447" t="s">
        <v>8245</v>
      </c>
      <c r="O2447" s="1">
        <v>22752</v>
      </c>
      <c r="P2447" t="s">
        <v>7325</v>
      </c>
      <c r="Q2447" t="s">
        <v>169</v>
      </c>
      <c r="R2447" t="s">
        <v>688</v>
      </c>
      <c r="S2447" s="1">
        <v>45020.209027777775</v>
      </c>
      <c r="T2447" t="s">
        <v>78</v>
      </c>
      <c r="U2447" t="s">
        <v>82</v>
      </c>
      <c r="V2447">
        <v>1962</v>
      </c>
      <c r="W2447">
        <v>117.24</v>
      </c>
      <c r="X2447">
        <v>7.5</v>
      </c>
      <c r="Y2447" s="2">
        <v>21427700000000</v>
      </c>
      <c r="Z2447">
        <v>88.2</v>
      </c>
      <c r="AA2447">
        <v>101.8</v>
      </c>
      <c r="AB2447">
        <v>9.6</v>
      </c>
      <c r="AC2447">
        <v>36.6</v>
      </c>
      <c r="AD2447">
        <v>328239523</v>
      </c>
    </row>
    <row r="2448" spans="1:30" hidden="1" x14ac:dyDescent="0.45">
      <c r="A2448">
        <v>2405</v>
      </c>
      <c r="B2448">
        <v>1100</v>
      </c>
      <c r="C2448" t="s">
        <v>302</v>
      </c>
      <c r="D2448" t="s">
        <v>7718</v>
      </c>
      <c r="E2448">
        <v>47</v>
      </c>
      <c r="F2448" t="s">
        <v>363</v>
      </c>
      <c r="G2448" t="s">
        <v>381</v>
      </c>
      <c r="H2448" t="s">
        <v>7719</v>
      </c>
      <c r="I2448" t="s">
        <v>302</v>
      </c>
      <c r="J2448" t="s">
        <v>363</v>
      </c>
      <c r="L2448" t="b">
        <v>1</v>
      </c>
      <c r="M2448" t="s">
        <v>258</v>
      </c>
      <c r="N2448" t="s">
        <v>8245</v>
      </c>
      <c r="O2448" s="1">
        <v>27832</v>
      </c>
      <c r="P2448" t="s">
        <v>7720</v>
      </c>
      <c r="Q2448" t="s">
        <v>770</v>
      </c>
      <c r="S2448" s="1">
        <v>45020.209027777775</v>
      </c>
      <c r="V2448">
        <v>1976</v>
      </c>
      <c r="W2448">
        <v>180.75</v>
      </c>
      <c r="X2448">
        <v>4.5</v>
      </c>
      <c r="Y2448" s="2">
        <v>1699876578871</v>
      </c>
      <c r="Z2448">
        <v>81.900000000000006</v>
      </c>
      <c r="AA2448">
        <v>102.6</v>
      </c>
      <c r="AB2448">
        <v>11.4</v>
      </c>
      <c r="AC2448">
        <v>46.2</v>
      </c>
      <c r="AD2448">
        <v>144373535</v>
      </c>
    </row>
    <row r="2449" spans="1:30" hidden="1" x14ac:dyDescent="0.45">
      <c r="A2449">
        <v>2405</v>
      </c>
      <c r="B2449">
        <v>1100</v>
      </c>
      <c r="C2449" t="s">
        <v>23</v>
      </c>
      <c r="D2449" t="s">
        <v>7721</v>
      </c>
      <c r="F2449" t="s">
        <v>272</v>
      </c>
      <c r="G2449" t="s">
        <v>273</v>
      </c>
      <c r="H2449" t="s">
        <v>268</v>
      </c>
      <c r="I2449" t="s">
        <v>23</v>
      </c>
      <c r="J2449" t="s">
        <v>272</v>
      </c>
      <c r="L2449" t="b">
        <v>1</v>
      </c>
      <c r="M2449" t="s">
        <v>285</v>
      </c>
      <c r="N2449" t="s">
        <v>8246</v>
      </c>
      <c r="O2449"/>
      <c r="P2449" t="s">
        <v>634</v>
      </c>
      <c r="Q2449" t="s">
        <v>7722</v>
      </c>
      <c r="S2449" s="1">
        <v>45020.209027777775</v>
      </c>
      <c r="W2449">
        <v>119.62</v>
      </c>
      <c r="X2449">
        <v>1.7</v>
      </c>
      <c r="Y2449" s="2">
        <v>2827113184696</v>
      </c>
      <c r="Z2449">
        <v>60</v>
      </c>
      <c r="AA2449">
        <v>101.2</v>
      </c>
      <c r="AB2449">
        <v>25.5</v>
      </c>
      <c r="AC2449">
        <v>30.6</v>
      </c>
      <c r="AD2449">
        <v>66834405</v>
      </c>
    </row>
    <row r="2450" spans="1:30" hidden="1" x14ac:dyDescent="0.45">
      <c r="A2450">
        <v>2405</v>
      </c>
      <c r="B2450">
        <v>1100</v>
      </c>
      <c r="C2450" t="s">
        <v>23</v>
      </c>
      <c r="D2450" t="s">
        <v>7723</v>
      </c>
      <c r="F2450" t="s">
        <v>272</v>
      </c>
      <c r="G2450" t="s">
        <v>273</v>
      </c>
      <c r="H2450" t="s">
        <v>268</v>
      </c>
      <c r="I2450" t="s">
        <v>23</v>
      </c>
      <c r="J2450" t="s">
        <v>272</v>
      </c>
      <c r="L2450" t="b">
        <v>1</v>
      </c>
      <c r="M2450" t="s">
        <v>285</v>
      </c>
      <c r="N2450" t="s">
        <v>8245</v>
      </c>
      <c r="O2450"/>
      <c r="P2450" t="s">
        <v>634</v>
      </c>
      <c r="Q2450" t="s">
        <v>819</v>
      </c>
      <c r="S2450" s="1">
        <v>45020.209027777775</v>
      </c>
      <c r="W2450">
        <v>119.62</v>
      </c>
      <c r="X2450">
        <v>1.7</v>
      </c>
      <c r="Y2450" s="2">
        <v>2827113184696</v>
      </c>
      <c r="Z2450">
        <v>60</v>
      </c>
      <c r="AA2450">
        <v>101.2</v>
      </c>
      <c r="AB2450">
        <v>25.5</v>
      </c>
      <c r="AC2450">
        <v>30.6</v>
      </c>
      <c r="AD2450">
        <v>66834405</v>
      </c>
    </row>
    <row r="2451" spans="1:30" hidden="1" x14ac:dyDescent="0.45">
      <c r="A2451">
        <v>2405</v>
      </c>
      <c r="B2451">
        <v>1100</v>
      </c>
      <c r="C2451" t="s">
        <v>347</v>
      </c>
      <c r="D2451" t="s">
        <v>7724</v>
      </c>
      <c r="E2451">
        <v>34</v>
      </c>
      <c r="F2451" t="s">
        <v>272</v>
      </c>
      <c r="G2451" t="s">
        <v>273</v>
      </c>
      <c r="H2451" t="s">
        <v>622</v>
      </c>
      <c r="I2451" t="s">
        <v>347</v>
      </c>
      <c r="J2451" t="s">
        <v>363</v>
      </c>
      <c r="L2451" t="b">
        <v>0</v>
      </c>
      <c r="M2451" t="s">
        <v>1332</v>
      </c>
      <c r="N2451" t="s">
        <v>8245</v>
      </c>
      <c r="O2451" s="1">
        <v>32251</v>
      </c>
      <c r="P2451" t="s">
        <v>3136</v>
      </c>
      <c r="Q2451" t="s">
        <v>7725</v>
      </c>
      <c r="S2451" s="1">
        <v>45020.209027777775</v>
      </c>
      <c r="V2451">
        <v>1988</v>
      </c>
      <c r="W2451">
        <v>119.62</v>
      </c>
      <c r="X2451">
        <v>1.7</v>
      </c>
      <c r="Y2451" s="2">
        <v>2827113184696</v>
      </c>
      <c r="Z2451">
        <v>60</v>
      </c>
      <c r="AA2451">
        <v>101.2</v>
      </c>
      <c r="AB2451">
        <v>25.5</v>
      </c>
      <c r="AC2451">
        <v>30.6</v>
      </c>
      <c r="AD2451">
        <v>66834405</v>
      </c>
    </row>
    <row r="2452" spans="1:30" hidden="1" x14ac:dyDescent="0.45">
      <c r="A2452">
        <v>2405</v>
      </c>
      <c r="B2452">
        <v>1100</v>
      </c>
      <c r="C2452" t="s">
        <v>436</v>
      </c>
      <c r="D2452" t="s">
        <v>7726</v>
      </c>
      <c r="E2452">
        <v>63</v>
      </c>
      <c r="F2452" t="s">
        <v>487</v>
      </c>
      <c r="G2452" t="s">
        <v>487</v>
      </c>
      <c r="H2452" t="s">
        <v>7727</v>
      </c>
      <c r="I2452" t="s">
        <v>436</v>
      </c>
      <c r="J2452" t="s">
        <v>686</v>
      </c>
      <c r="L2452" t="b">
        <v>0</v>
      </c>
      <c r="M2452" t="s">
        <v>29</v>
      </c>
      <c r="N2452" t="s">
        <v>8245</v>
      </c>
      <c r="O2452" s="1">
        <v>21926</v>
      </c>
      <c r="P2452" t="s">
        <v>7728</v>
      </c>
      <c r="Q2452" t="s">
        <v>7729</v>
      </c>
      <c r="S2452" s="1">
        <v>45020.209027777775</v>
      </c>
      <c r="V2452">
        <v>1960</v>
      </c>
      <c r="W2452"/>
      <c r="Y2452" s="2">
        <v>7184844193</v>
      </c>
      <c r="AD2452">
        <v>38964</v>
      </c>
    </row>
    <row r="2453" spans="1:30" hidden="1" x14ac:dyDescent="0.45">
      <c r="A2453">
        <v>2405</v>
      </c>
      <c r="B2453">
        <v>1100</v>
      </c>
      <c r="C2453" t="s">
        <v>126</v>
      </c>
      <c r="D2453" t="s">
        <v>7730</v>
      </c>
      <c r="E2453">
        <v>57</v>
      </c>
      <c r="F2453" t="s">
        <v>128</v>
      </c>
      <c r="G2453" t="s">
        <v>5405</v>
      </c>
      <c r="H2453" t="s">
        <v>495</v>
      </c>
      <c r="I2453" t="s">
        <v>126</v>
      </c>
      <c r="J2453" t="s">
        <v>128</v>
      </c>
      <c r="L2453" t="b">
        <v>1</v>
      </c>
      <c r="M2453" t="s">
        <v>39</v>
      </c>
      <c r="N2453" t="s">
        <v>8245</v>
      </c>
      <c r="O2453" s="1">
        <v>24043</v>
      </c>
      <c r="P2453" t="s">
        <v>390</v>
      </c>
      <c r="Q2453" t="s">
        <v>7731</v>
      </c>
      <c r="S2453" s="1">
        <v>45020.209027777775</v>
      </c>
      <c r="V2453">
        <v>1965</v>
      </c>
      <c r="W2453">
        <v>125.08</v>
      </c>
      <c r="X2453">
        <v>2.9</v>
      </c>
      <c r="Y2453" s="2">
        <v>19910000000000</v>
      </c>
      <c r="Z2453">
        <v>50.6</v>
      </c>
      <c r="AA2453">
        <v>100.2</v>
      </c>
      <c r="AB2453">
        <v>9.4</v>
      </c>
      <c r="AC2453">
        <v>59.2</v>
      </c>
      <c r="AD2453">
        <v>1397715000</v>
      </c>
    </row>
    <row r="2454" spans="1:30" hidden="1" x14ac:dyDescent="0.45">
      <c r="A2454">
        <v>2405</v>
      </c>
      <c r="B2454">
        <v>1100</v>
      </c>
      <c r="C2454" t="s">
        <v>61</v>
      </c>
      <c r="D2454" t="s">
        <v>7732</v>
      </c>
      <c r="F2454" t="s">
        <v>194</v>
      </c>
      <c r="G2454" t="s">
        <v>1038</v>
      </c>
      <c r="H2454" t="s">
        <v>1772</v>
      </c>
      <c r="I2454" t="s">
        <v>61</v>
      </c>
      <c r="J2454" t="s">
        <v>194</v>
      </c>
      <c r="L2454" t="b">
        <v>0</v>
      </c>
      <c r="M2454" t="s">
        <v>611</v>
      </c>
      <c r="N2454" t="s">
        <v>8245</v>
      </c>
      <c r="O2454"/>
      <c r="P2454" t="s">
        <v>1773</v>
      </c>
      <c r="Q2454" t="s">
        <v>2490</v>
      </c>
      <c r="S2454" s="1">
        <v>45020.209027777775</v>
      </c>
      <c r="W2454">
        <v>112.85</v>
      </c>
      <c r="X2454">
        <v>1.4</v>
      </c>
      <c r="Y2454" s="2">
        <v>3845630030824</v>
      </c>
      <c r="Z2454">
        <v>70.2</v>
      </c>
      <c r="AA2454">
        <v>104</v>
      </c>
      <c r="AB2454">
        <v>11.5</v>
      </c>
      <c r="AC2454">
        <v>48.8</v>
      </c>
      <c r="AD2454">
        <v>83132799</v>
      </c>
    </row>
    <row r="2455" spans="1:30" hidden="1" x14ac:dyDescent="0.45">
      <c r="A2455">
        <v>2405</v>
      </c>
      <c r="B2455">
        <v>1100</v>
      </c>
      <c r="C2455" t="s">
        <v>61</v>
      </c>
      <c r="D2455" t="s">
        <v>7733</v>
      </c>
      <c r="F2455" t="s">
        <v>194</v>
      </c>
      <c r="G2455" t="s">
        <v>1038</v>
      </c>
      <c r="H2455" t="s">
        <v>1772</v>
      </c>
      <c r="I2455" t="s">
        <v>61</v>
      </c>
      <c r="J2455" t="s">
        <v>194</v>
      </c>
      <c r="L2455" t="b">
        <v>0</v>
      </c>
      <c r="M2455" t="s">
        <v>611</v>
      </c>
      <c r="N2455" t="s">
        <v>8246</v>
      </c>
      <c r="O2455"/>
      <c r="P2455" t="s">
        <v>1773</v>
      </c>
      <c r="Q2455" t="s">
        <v>7734</v>
      </c>
      <c r="S2455" s="1">
        <v>45020.209027777775</v>
      </c>
      <c r="W2455">
        <v>112.85</v>
      </c>
      <c r="X2455">
        <v>1.4</v>
      </c>
      <c r="Y2455" s="2">
        <v>3845630030824</v>
      </c>
      <c r="Z2455">
        <v>70.2</v>
      </c>
      <c r="AA2455">
        <v>104</v>
      </c>
      <c r="AB2455">
        <v>11.5</v>
      </c>
      <c r="AC2455">
        <v>48.8</v>
      </c>
      <c r="AD2455">
        <v>83132799</v>
      </c>
    </row>
    <row r="2456" spans="1:30" x14ac:dyDescent="0.45">
      <c r="A2456">
        <v>2405</v>
      </c>
      <c r="B2456" s="6">
        <v>1100</v>
      </c>
      <c r="C2456" t="s">
        <v>45</v>
      </c>
      <c r="D2456" t="s">
        <v>7735</v>
      </c>
      <c r="E2456">
        <v>78</v>
      </c>
      <c r="F2456" t="s">
        <v>35</v>
      </c>
      <c r="G2456" t="s">
        <v>372</v>
      </c>
      <c r="H2456" t="s">
        <v>856</v>
      </c>
      <c r="I2456" t="s">
        <v>45</v>
      </c>
      <c r="J2456" t="s">
        <v>35</v>
      </c>
      <c r="K2456" t="s">
        <v>7340</v>
      </c>
      <c r="L2456" t="b">
        <v>1</v>
      </c>
      <c r="M2456" t="s">
        <v>39</v>
      </c>
      <c r="N2456" t="s">
        <v>8245</v>
      </c>
      <c r="O2456" s="10">
        <v>16414</v>
      </c>
      <c r="P2456" t="s">
        <v>7341</v>
      </c>
      <c r="Q2456" t="s">
        <v>169</v>
      </c>
      <c r="R2456" t="s">
        <v>334</v>
      </c>
      <c r="S2456" s="8">
        <v>45020.209027777775</v>
      </c>
      <c r="T2456" t="s">
        <v>52</v>
      </c>
      <c r="U2456" t="s">
        <v>53</v>
      </c>
      <c r="V2456">
        <v>1944</v>
      </c>
      <c r="W2456" s="12">
        <v>117.24</v>
      </c>
      <c r="X2456">
        <v>7.5</v>
      </c>
      <c r="Y2456" s="14">
        <v>21427700000000</v>
      </c>
      <c r="Z2456">
        <v>88.2</v>
      </c>
      <c r="AA2456">
        <v>101.8</v>
      </c>
      <c r="AB2456">
        <v>9.6</v>
      </c>
      <c r="AC2456">
        <v>36.6</v>
      </c>
      <c r="AD2456">
        <v>328239523</v>
      </c>
    </row>
    <row r="2457" spans="1:30" hidden="1" x14ac:dyDescent="0.45">
      <c r="A2457">
        <v>2405</v>
      </c>
      <c r="B2457">
        <v>1100</v>
      </c>
      <c r="C2457" t="s">
        <v>45</v>
      </c>
      <c r="D2457" t="s">
        <v>7736</v>
      </c>
      <c r="E2457">
        <v>52</v>
      </c>
      <c r="F2457" t="s">
        <v>128</v>
      </c>
      <c r="G2457" t="s">
        <v>234</v>
      </c>
      <c r="H2457" t="s">
        <v>856</v>
      </c>
      <c r="I2457" t="s">
        <v>45</v>
      </c>
      <c r="J2457" t="s">
        <v>128</v>
      </c>
      <c r="L2457" t="b">
        <v>1</v>
      </c>
      <c r="M2457" t="s">
        <v>1332</v>
      </c>
      <c r="N2457" t="s">
        <v>8245</v>
      </c>
      <c r="O2457" s="1">
        <v>25789</v>
      </c>
      <c r="P2457" t="s">
        <v>294</v>
      </c>
      <c r="Q2457" t="s">
        <v>7737</v>
      </c>
      <c r="S2457" s="1">
        <v>45020.209027777775</v>
      </c>
      <c r="V2457">
        <v>1970</v>
      </c>
      <c r="W2457">
        <v>125.08</v>
      </c>
      <c r="X2457">
        <v>2.9</v>
      </c>
      <c r="Y2457" s="2">
        <v>19910000000000</v>
      </c>
      <c r="Z2457">
        <v>50.6</v>
      </c>
      <c r="AA2457">
        <v>100.2</v>
      </c>
      <c r="AB2457">
        <v>9.4</v>
      </c>
      <c r="AC2457">
        <v>59.2</v>
      </c>
      <c r="AD2457">
        <v>1397715000</v>
      </c>
    </row>
    <row r="2458" spans="1:30" hidden="1" x14ac:dyDescent="0.45">
      <c r="A2458">
        <v>2405</v>
      </c>
      <c r="B2458">
        <v>1100</v>
      </c>
      <c r="C2458" t="s">
        <v>45</v>
      </c>
      <c r="D2458" t="s">
        <v>7738</v>
      </c>
      <c r="E2458">
        <v>61</v>
      </c>
      <c r="F2458" t="s">
        <v>128</v>
      </c>
      <c r="G2458" t="s">
        <v>234</v>
      </c>
      <c r="H2458" t="s">
        <v>7739</v>
      </c>
      <c r="I2458" t="s">
        <v>45</v>
      </c>
      <c r="J2458" t="s">
        <v>128</v>
      </c>
      <c r="L2458" t="b">
        <v>1</v>
      </c>
      <c r="M2458" t="s">
        <v>39</v>
      </c>
      <c r="N2458" t="s">
        <v>8246</v>
      </c>
      <c r="O2458" s="1">
        <v>22647</v>
      </c>
      <c r="P2458" t="s">
        <v>294</v>
      </c>
      <c r="Q2458" t="s">
        <v>7740</v>
      </c>
      <c r="S2458" s="1">
        <v>45020.209027777775</v>
      </c>
      <c r="V2458">
        <v>1962</v>
      </c>
      <c r="W2458">
        <v>125.08</v>
      </c>
      <c r="X2458">
        <v>2.9</v>
      </c>
      <c r="Y2458" s="2">
        <v>19910000000000</v>
      </c>
      <c r="Z2458">
        <v>50.6</v>
      </c>
      <c r="AA2458">
        <v>100.2</v>
      </c>
      <c r="AB2458">
        <v>9.4</v>
      </c>
      <c r="AC2458">
        <v>59.2</v>
      </c>
      <c r="AD2458">
        <v>1397715000</v>
      </c>
    </row>
    <row r="2459" spans="1:30" hidden="1" x14ac:dyDescent="0.45">
      <c r="A2459">
        <v>2405</v>
      </c>
      <c r="B2459">
        <v>1100</v>
      </c>
      <c r="C2459" t="s">
        <v>33</v>
      </c>
      <c r="D2459" t="s">
        <v>7741</v>
      </c>
      <c r="E2459">
        <v>76</v>
      </c>
      <c r="F2459" t="s">
        <v>266</v>
      </c>
      <c r="G2459" t="s">
        <v>267</v>
      </c>
      <c r="H2459" t="s">
        <v>3851</v>
      </c>
      <c r="I2459" t="s">
        <v>33</v>
      </c>
      <c r="J2459" t="s">
        <v>266</v>
      </c>
      <c r="L2459" t="b">
        <v>0</v>
      </c>
      <c r="M2459" t="s">
        <v>29</v>
      </c>
      <c r="N2459" t="s">
        <v>8245</v>
      </c>
      <c r="O2459" s="1">
        <v>17015</v>
      </c>
      <c r="P2459" t="s">
        <v>7742</v>
      </c>
      <c r="Q2459" t="s">
        <v>3249</v>
      </c>
      <c r="S2459" s="1">
        <v>45020.209027777775</v>
      </c>
      <c r="V2459">
        <v>1946</v>
      </c>
      <c r="W2459">
        <v>105.48</v>
      </c>
      <c r="X2459">
        <v>0.5</v>
      </c>
      <c r="Y2459" s="2">
        <v>5081769542380</v>
      </c>
      <c r="Z2459">
        <v>63.2</v>
      </c>
      <c r="AA2459">
        <v>98.8</v>
      </c>
      <c r="AB2459">
        <v>11.9</v>
      </c>
      <c r="AC2459">
        <v>46.7</v>
      </c>
      <c r="AD2459">
        <v>126226568</v>
      </c>
    </row>
    <row r="2460" spans="1:30" hidden="1" x14ac:dyDescent="0.45">
      <c r="A2460">
        <v>2405</v>
      </c>
      <c r="B2460">
        <v>1100</v>
      </c>
      <c r="C2460" t="s">
        <v>239</v>
      </c>
      <c r="D2460" t="s">
        <v>7743</v>
      </c>
      <c r="E2460">
        <v>74</v>
      </c>
      <c r="F2460" t="s">
        <v>266</v>
      </c>
      <c r="G2460" t="s">
        <v>267</v>
      </c>
      <c r="H2460" t="s">
        <v>7744</v>
      </c>
      <c r="I2460" t="s">
        <v>239</v>
      </c>
      <c r="J2460" t="s">
        <v>266</v>
      </c>
      <c r="L2460" t="b">
        <v>0</v>
      </c>
      <c r="M2460" t="s">
        <v>1332</v>
      </c>
      <c r="N2460" t="s">
        <v>8245</v>
      </c>
      <c r="O2460" s="1">
        <v>17882</v>
      </c>
      <c r="P2460" t="s">
        <v>7745</v>
      </c>
      <c r="Q2460" t="s">
        <v>7746</v>
      </c>
      <c r="S2460" s="1">
        <v>45020.209027777775</v>
      </c>
      <c r="V2460">
        <v>1948</v>
      </c>
      <c r="W2460">
        <v>105.48</v>
      </c>
      <c r="X2460">
        <v>0.5</v>
      </c>
      <c r="Y2460" s="2">
        <v>5081769542380</v>
      </c>
      <c r="Z2460">
        <v>63.2</v>
      </c>
      <c r="AA2460">
        <v>98.8</v>
      </c>
      <c r="AB2460">
        <v>11.9</v>
      </c>
      <c r="AC2460">
        <v>46.7</v>
      </c>
      <c r="AD2460">
        <v>126226568</v>
      </c>
    </row>
    <row r="2461" spans="1:30" hidden="1" x14ac:dyDescent="0.45">
      <c r="A2461">
        <v>2405</v>
      </c>
      <c r="B2461">
        <v>1100</v>
      </c>
      <c r="C2461" t="s">
        <v>61</v>
      </c>
      <c r="D2461" t="s">
        <v>7747</v>
      </c>
      <c r="E2461">
        <v>71</v>
      </c>
      <c r="F2461" t="s">
        <v>628</v>
      </c>
      <c r="G2461" t="s">
        <v>629</v>
      </c>
      <c r="H2461" t="s">
        <v>1409</v>
      </c>
      <c r="I2461" t="s">
        <v>61</v>
      </c>
      <c r="J2461" t="s">
        <v>628</v>
      </c>
      <c r="L2461" t="b">
        <v>1</v>
      </c>
      <c r="M2461" t="s">
        <v>39</v>
      </c>
      <c r="N2461" t="s">
        <v>8245</v>
      </c>
      <c r="O2461" s="1">
        <v>18814</v>
      </c>
      <c r="P2461" t="s">
        <v>7748</v>
      </c>
      <c r="Q2461" t="s">
        <v>7749</v>
      </c>
      <c r="S2461" s="1">
        <v>45020.209027777775</v>
      </c>
      <c r="V2461">
        <v>1951</v>
      </c>
      <c r="W2461">
        <v>113.27</v>
      </c>
      <c r="X2461">
        <v>0.7</v>
      </c>
      <c r="Y2461" s="2">
        <v>543649976166</v>
      </c>
      <c r="Z2461">
        <v>49.3</v>
      </c>
      <c r="AA2461">
        <v>99.8</v>
      </c>
      <c r="AB2461">
        <v>14.9</v>
      </c>
      <c r="AC2461">
        <v>29.5</v>
      </c>
      <c r="AD2461">
        <v>69625582</v>
      </c>
    </row>
    <row r="2462" spans="1:30" hidden="1" x14ac:dyDescent="0.45">
      <c r="A2462">
        <v>2405</v>
      </c>
      <c r="B2462">
        <v>1100</v>
      </c>
      <c r="C2462" t="s">
        <v>61</v>
      </c>
      <c r="D2462" t="s">
        <v>7750</v>
      </c>
      <c r="E2462">
        <v>36</v>
      </c>
      <c r="F2462" t="s">
        <v>93</v>
      </c>
      <c r="G2462" t="s">
        <v>1015</v>
      </c>
      <c r="H2462" t="s">
        <v>2380</v>
      </c>
      <c r="I2462" t="s">
        <v>61</v>
      </c>
      <c r="J2462" t="s">
        <v>93</v>
      </c>
      <c r="L2462" t="b">
        <v>1</v>
      </c>
      <c r="M2462" t="s">
        <v>258</v>
      </c>
      <c r="N2462" t="s">
        <v>8245</v>
      </c>
      <c r="O2462" s="1">
        <v>31660</v>
      </c>
      <c r="P2462" t="s">
        <v>4060</v>
      </c>
      <c r="Q2462" t="s">
        <v>7751</v>
      </c>
      <c r="S2462" s="1">
        <v>45020.209027777775</v>
      </c>
      <c r="V2462">
        <v>1986</v>
      </c>
      <c r="W2462">
        <v>180.44</v>
      </c>
      <c r="X2462">
        <v>7.7</v>
      </c>
      <c r="Y2462" s="2">
        <v>2611000000000</v>
      </c>
      <c r="Z2462">
        <v>28.1</v>
      </c>
      <c r="AA2462">
        <v>113</v>
      </c>
      <c r="AB2462">
        <v>11.2</v>
      </c>
      <c r="AC2462">
        <v>49.7</v>
      </c>
      <c r="AD2462">
        <v>1366417754</v>
      </c>
    </row>
    <row r="2463" spans="1:30" hidden="1" x14ac:dyDescent="0.45">
      <c r="A2463">
        <v>2405</v>
      </c>
      <c r="B2463">
        <v>1100</v>
      </c>
      <c r="C2463" t="s">
        <v>61</v>
      </c>
      <c r="D2463" t="s">
        <v>7752</v>
      </c>
      <c r="E2463">
        <v>57</v>
      </c>
      <c r="F2463" t="s">
        <v>272</v>
      </c>
      <c r="G2463" t="s">
        <v>273</v>
      </c>
      <c r="H2463" t="s">
        <v>7753</v>
      </c>
      <c r="I2463" t="s">
        <v>61</v>
      </c>
      <c r="J2463" t="s">
        <v>577</v>
      </c>
      <c r="L2463" t="b">
        <v>0</v>
      </c>
      <c r="M2463" t="s">
        <v>611</v>
      </c>
      <c r="N2463" t="s">
        <v>8245</v>
      </c>
      <c r="O2463" s="1">
        <v>24170</v>
      </c>
      <c r="P2463" t="s">
        <v>7754</v>
      </c>
      <c r="Q2463" t="s">
        <v>7755</v>
      </c>
      <c r="S2463" s="1">
        <v>45020.209027777775</v>
      </c>
      <c r="V2463">
        <v>1966</v>
      </c>
      <c r="W2463">
        <v>119.62</v>
      </c>
      <c r="X2463">
        <v>1.7</v>
      </c>
      <c r="Y2463" s="2">
        <v>2827113184696</v>
      </c>
      <c r="Z2463">
        <v>60</v>
      </c>
      <c r="AA2463">
        <v>101.2</v>
      </c>
      <c r="AB2463">
        <v>25.5</v>
      </c>
      <c r="AC2463">
        <v>30.6</v>
      </c>
      <c r="AD2463">
        <v>66834405</v>
      </c>
    </row>
    <row r="2464" spans="1:30" hidden="1" x14ac:dyDescent="0.45">
      <c r="A2464">
        <v>2405</v>
      </c>
      <c r="B2464">
        <v>1100</v>
      </c>
      <c r="C2464" t="s">
        <v>61</v>
      </c>
      <c r="D2464" t="s">
        <v>7756</v>
      </c>
      <c r="E2464">
        <v>53</v>
      </c>
      <c r="F2464" t="s">
        <v>272</v>
      </c>
      <c r="G2464" t="s">
        <v>273</v>
      </c>
      <c r="H2464" t="s">
        <v>7753</v>
      </c>
      <c r="I2464" t="s">
        <v>61</v>
      </c>
      <c r="J2464" t="s">
        <v>577</v>
      </c>
      <c r="L2464" t="b">
        <v>0</v>
      </c>
      <c r="M2464" t="s">
        <v>611</v>
      </c>
      <c r="N2464" t="s">
        <v>8245</v>
      </c>
      <c r="O2464" s="1">
        <v>25381</v>
      </c>
      <c r="P2464" t="s">
        <v>7754</v>
      </c>
      <c r="Q2464" t="s">
        <v>7296</v>
      </c>
      <c r="S2464" s="1">
        <v>45020.209027777775</v>
      </c>
      <c r="V2464">
        <v>1969</v>
      </c>
      <c r="W2464">
        <v>119.62</v>
      </c>
      <c r="X2464">
        <v>1.7</v>
      </c>
      <c r="Y2464" s="2">
        <v>2827113184696</v>
      </c>
      <c r="Z2464">
        <v>60</v>
      </c>
      <c r="AA2464">
        <v>101.2</v>
      </c>
      <c r="AB2464">
        <v>25.5</v>
      </c>
      <c r="AC2464">
        <v>30.6</v>
      </c>
      <c r="AD2464">
        <v>66834405</v>
      </c>
    </row>
    <row r="2465" spans="1:30" hidden="1" x14ac:dyDescent="0.45">
      <c r="A2465">
        <v>2405</v>
      </c>
      <c r="B2465">
        <v>1100</v>
      </c>
      <c r="C2465" t="s">
        <v>61</v>
      </c>
      <c r="D2465" t="s">
        <v>7757</v>
      </c>
      <c r="E2465">
        <v>59</v>
      </c>
      <c r="F2465" t="s">
        <v>211</v>
      </c>
      <c r="G2465" t="s">
        <v>7758</v>
      </c>
      <c r="H2465" t="s">
        <v>7753</v>
      </c>
      <c r="I2465" t="s">
        <v>61</v>
      </c>
      <c r="J2465" t="s">
        <v>577</v>
      </c>
      <c r="L2465" t="b">
        <v>0</v>
      </c>
      <c r="M2465" t="s">
        <v>611</v>
      </c>
      <c r="N2465" t="s">
        <v>8245</v>
      </c>
      <c r="O2465" s="1">
        <v>23465</v>
      </c>
      <c r="P2465" t="s">
        <v>7754</v>
      </c>
      <c r="Q2465" t="s">
        <v>608</v>
      </c>
      <c r="S2465" s="1">
        <v>45020.209027777775</v>
      </c>
      <c r="V2465">
        <v>1964</v>
      </c>
      <c r="W2465">
        <v>117.11</v>
      </c>
      <c r="X2465">
        <v>1.4</v>
      </c>
      <c r="Y2465" s="2">
        <v>529606710418</v>
      </c>
      <c r="Z2465">
        <v>79.7</v>
      </c>
      <c r="AA2465">
        <v>103.9</v>
      </c>
      <c r="AB2465">
        <v>24</v>
      </c>
      <c r="AC2465">
        <v>55.4</v>
      </c>
      <c r="AD2465">
        <v>11484055</v>
      </c>
    </row>
    <row r="2466" spans="1:30" hidden="1" x14ac:dyDescent="0.45">
      <c r="A2466">
        <v>2405</v>
      </c>
      <c r="B2466">
        <v>1100</v>
      </c>
      <c r="C2466" t="s">
        <v>436</v>
      </c>
      <c r="D2466" t="s">
        <v>7759</v>
      </c>
      <c r="E2466">
        <v>66</v>
      </c>
      <c r="F2466" t="s">
        <v>266</v>
      </c>
      <c r="G2466" t="s">
        <v>6769</v>
      </c>
      <c r="H2466" t="s">
        <v>7760</v>
      </c>
      <c r="I2466" t="s">
        <v>436</v>
      </c>
      <c r="J2466" t="s">
        <v>266</v>
      </c>
      <c r="L2466" t="b">
        <v>1</v>
      </c>
      <c r="M2466" t="s">
        <v>258</v>
      </c>
      <c r="N2466" t="s">
        <v>8245</v>
      </c>
      <c r="O2466" s="1">
        <v>20745</v>
      </c>
      <c r="P2466" t="s">
        <v>7761</v>
      </c>
      <c r="Q2466" t="s">
        <v>7762</v>
      </c>
      <c r="S2466" s="1">
        <v>45020.209027777775</v>
      </c>
      <c r="V2466">
        <v>1956</v>
      </c>
      <c r="W2466">
        <v>105.48</v>
      </c>
      <c r="X2466">
        <v>0.5</v>
      </c>
      <c r="Y2466" s="2">
        <v>5081769542380</v>
      </c>
      <c r="Z2466">
        <v>63.2</v>
      </c>
      <c r="AA2466">
        <v>98.8</v>
      </c>
      <c r="AB2466">
        <v>11.9</v>
      </c>
      <c r="AC2466">
        <v>46.7</v>
      </c>
      <c r="AD2466">
        <v>126226568</v>
      </c>
    </row>
    <row r="2467" spans="1:30" hidden="1" x14ac:dyDescent="0.45">
      <c r="A2467">
        <v>2405</v>
      </c>
      <c r="B2467">
        <v>1100</v>
      </c>
      <c r="C2467" t="s">
        <v>33</v>
      </c>
      <c r="D2467" t="s">
        <v>7763</v>
      </c>
      <c r="E2467">
        <v>51</v>
      </c>
      <c r="F2467" t="s">
        <v>93</v>
      </c>
      <c r="G2467" t="s">
        <v>343</v>
      </c>
      <c r="H2467" t="s">
        <v>752</v>
      </c>
      <c r="I2467" t="s">
        <v>33</v>
      </c>
      <c r="J2467" t="s">
        <v>35</v>
      </c>
      <c r="L2467" t="b">
        <v>0</v>
      </c>
      <c r="M2467" t="s">
        <v>39</v>
      </c>
      <c r="N2467" t="s">
        <v>8245</v>
      </c>
      <c r="O2467" s="1">
        <v>26221</v>
      </c>
      <c r="P2467" t="s">
        <v>7764</v>
      </c>
      <c r="Q2467" t="s">
        <v>7765</v>
      </c>
      <c r="S2467" s="1">
        <v>45020.209027777775</v>
      </c>
      <c r="V2467">
        <v>1971</v>
      </c>
      <c r="W2467">
        <v>180.44</v>
      </c>
      <c r="X2467">
        <v>7.7</v>
      </c>
      <c r="Y2467" s="2">
        <v>2611000000000</v>
      </c>
      <c r="Z2467">
        <v>28.1</v>
      </c>
      <c r="AA2467">
        <v>113</v>
      </c>
      <c r="AB2467">
        <v>11.2</v>
      </c>
      <c r="AC2467">
        <v>49.7</v>
      </c>
      <c r="AD2467">
        <v>1366417754</v>
      </c>
    </row>
    <row r="2468" spans="1:30" hidden="1" x14ac:dyDescent="0.45">
      <c r="A2468">
        <v>2405</v>
      </c>
      <c r="B2468">
        <v>1100</v>
      </c>
      <c r="C2468" t="s">
        <v>347</v>
      </c>
      <c r="D2468" t="s">
        <v>7766</v>
      </c>
      <c r="E2468">
        <v>88</v>
      </c>
      <c r="F2468" t="s">
        <v>2037</v>
      </c>
      <c r="G2468" t="s">
        <v>2038</v>
      </c>
      <c r="H2468" t="s">
        <v>347</v>
      </c>
      <c r="I2468" t="s">
        <v>347</v>
      </c>
      <c r="J2468" t="s">
        <v>2037</v>
      </c>
      <c r="L2468" t="b">
        <v>1</v>
      </c>
      <c r="M2468" t="s">
        <v>1332</v>
      </c>
      <c r="N2468" t="s">
        <v>8245</v>
      </c>
      <c r="O2468" s="1">
        <v>12661</v>
      </c>
      <c r="P2468" t="s">
        <v>4403</v>
      </c>
      <c r="Q2468" t="s">
        <v>7767</v>
      </c>
      <c r="S2468" s="1">
        <v>45020.209027777775</v>
      </c>
      <c r="V2468">
        <v>1934</v>
      </c>
      <c r="W2468">
        <v>234.44</v>
      </c>
      <c r="X2468">
        <v>15.2</v>
      </c>
      <c r="Y2468" s="2">
        <v>754411708203</v>
      </c>
      <c r="Z2468">
        <v>23.9</v>
      </c>
      <c r="AA2468">
        <v>93.2</v>
      </c>
      <c r="AB2468">
        <v>17.899999999999999</v>
      </c>
      <c r="AC2468">
        <v>42.3</v>
      </c>
      <c r="AD2468">
        <v>83429615</v>
      </c>
    </row>
    <row r="2469" spans="1:30" hidden="1" x14ac:dyDescent="0.45">
      <c r="A2469">
        <v>2405</v>
      </c>
      <c r="B2469">
        <v>1100</v>
      </c>
      <c r="C2469" t="s">
        <v>402</v>
      </c>
      <c r="D2469" t="s">
        <v>7768</v>
      </c>
      <c r="E2469">
        <v>60</v>
      </c>
      <c r="F2469" t="s">
        <v>128</v>
      </c>
      <c r="G2469" t="s">
        <v>719</v>
      </c>
      <c r="H2469" t="s">
        <v>4275</v>
      </c>
      <c r="I2469" t="s">
        <v>402</v>
      </c>
      <c r="J2469" t="s">
        <v>128</v>
      </c>
      <c r="L2469" t="b">
        <v>1</v>
      </c>
      <c r="M2469" t="s">
        <v>29</v>
      </c>
      <c r="N2469" t="s">
        <v>8245</v>
      </c>
      <c r="O2469" s="1">
        <v>23012</v>
      </c>
      <c r="P2469" t="s">
        <v>6389</v>
      </c>
      <c r="Q2469" t="s">
        <v>7769</v>
      </c>
      <c r="S2469" s="1">
        <v>45020.209027777775</v>
      </c>
      <c r="V2469">
        <v>1963</v>
      </c>
      <c r="W2469">
        <v>125.08</v>
      </c>
      <c r="X2469">
        <v>2.9</v>
      </c>
      <c r="Y2469" s="2">
        <v>19910000000000</v>
      </c>
      <c r="Z2469">
        <v>50.6</v>
      </c>
      <c r="AA2469">
        <v>100.2</v>
      </c>
      <c r="AB2469">
        <v>9.4</v>
      </c>
      <c r="AC2469">
        <v>59.2</v>
      </c>
      <c r="AD2469">
        <v>1397715000</v>
      </c>
    </row>
    <row r="2470" spans="1:30" hidden="1" x14ac:dyDescent="0.45">
      <c r="A2470">
        <v>2405</v>
      </c>
      <c r="B2470">
        <v>1100</v>
      </c>
      <c r="C2470" t="s">
        <v>702</v>
      </c>
      <c r="D2470" t="s">
        <v>7770</v>
      </c>
      <c r="E2470">
        <v>58</v>
      </c>
      <c r="F2470" t="s">
        <v>205</v>
      </c>
      <c r="G2470" t="s">
        <v>601</v>
      </c>
      <c r="H2470" t="s">
        <v>7771</v>
      </c>
      <c r="I2470" t="s">
        <v>702</v>
      </c>
      <c r="J2470" t="s">
        <v>194</v>
      </c>
      <c r="L2470" t="b">
        <v>1</v>
      </c>
      <c r="M2470" t="s">
        <v>39</v>
      </c>
      <c r="N2470" t="s">
        <v>8245</v>
      </c>
      <c r="O2470" s="1">
        <v>23708</v>
      </c>
      <c r="P2470" t="s">
        <v>7772</v>
      </c>
      <c r="Q2470" t="s">
        <v>7099</v>
      </c>
      <c r="R2470" t="s">
        <v>2503</v>
      </c>
      <c r="S2470" s="1">
        <v>45020.209027777775</v>
      </c>
      <c r="V2470">
        <v>1964</v>
      </c>
      <c r="W2470">
        <v>99.55</v>
      </c>
      <c r="X2470">
        <v>0.4</v>
      </c>
      <c r="Y2470" s="2">
        <v>703082435360</v>
      </c>
      <c r="Z2470">
        <v>59.6</v>
      </c>
      <c r="AA2470">
        <v>105.2</v>
      </c>
      <c r="AB2470">
        <v>10.1</v>
      </c>
      <c r="AC2470">
        <v>28.8</v>
      </c>
      <c r="AD2470">
        <v>8574832</v>
      </c>
    </row>
    <row r="2471" spans="1:30" hidden="1" x14ac:dyDescent="0.45">
      <c r="A2471">
        <v>2405</v>
      </c>
      <c r="B2471">
        <v>1100</v>
      </c>
      <c r="C2471" t="s">
        <v>45</v>
      </c>
      <c r="D2471" t="s">
        <v>7773</v>
      </c>
      <c r="E2471">
        <v>64</v>
      </c>
      <c r="F2471" t="s">
        <v>928</v>
      </c>
      <c r="G2471" t="s">
        <v>929</v>
      </c>
      <c r="H2471" t="s">
        <v>5636</v>
      </c>
      <c r="I2471" t="s">
        <v>45</v>
      </c>
      <c r="J2471" t="s">
        <v>928</v>
      </c>
      <c r="K2471" t="s">
        <v>7774</v>
      </c>
      <c r="L2471" t="b">
        <v>0</v>
      </c>
      <c r="M2471" t="s">
        <v>611</v>
      </c>
      <c r="N2471" t="s">
        <v>8245</v>
      </c>
      <c r="O2471" s="1">
        <v>21364</v>
      </c>
      <c r="P2471" t="s">
        <v>2381</v>
      </c>
      <c r="Q2471" t="s">
        <v>7775</v>
      </c>
      <c r="S2471" s="1">
        <v>45020.209027777775</v>
      </c>
      <c r="V2471">
        <v>1958</v>
      </c>
      <c r="W2471">
        <v>115.16</v>
      </c>
      <c r="X2471">
        <v>0.4</v>
      </c>
      <c r="Y2471" s="2">
        <v>2029000000000</v>
      </c>
      <c r="Z2471">
        <v>94.3</v>
      </c>
      <c r="AA2471">
        <v>98.1</v>
      </c>
      <c r="AB2471">
        <v>15.6</v>
      </c>
      <c r="AC2471">
        <v>33.200000000000003</v>
      </c>
      <c r="AD2471">
        <v>51709098</v>
      </c>
    </row>
    <row r="2472" spans="1:30" hidden="1" x14ac:dyDescent="0.45">
      <c r="A2472">
        <v>2405</v>
      </c>
      <c r="B2472">
        <v>1100</v>
      </c>
      <c r="C2472" t="s">
        <v>347</v>
      </c>
      <c r="D2472" t="s">
        <v>7776</v>
      </c>
      <c r="E2472">
        <v>62</v>
      </c>
      <c r="F2472" t="s">
        <v>363</v>
      </c>
      <c r="G2472" t="s">
        <v>381</v>
      </c>
      <c r="H2472" t="s">
        <v>557</v>
      </c>
      <c r="I2472" t="s">
        <v>347</v>
      </c>
      <c r="J2472" t="s">
        <v>363</v>
      </c>
      <c r="L2472" t="b">
        <v>1</v>
      </c>
      <c r="M2472" t="s">
        <v>39</v>
      </c>
      <c r="N2472" t="s">
        <v>8245</v>
      </c>
      <c r="O2472" s="1">
        <v>22355</v>
      </c>
      <c r="P2472" t="s">
        <v>7777</v>
      </c>
      <c r="Q2472" t="s">
        <v>926</v>
      </c>
      <c r="S2472" s="1">
        <v>45020.209027777775</v>
      </c>
      <c r="V2472">
        <v>1961</v>
      </c>
      <c r="W2472">
        <v>180.75</v>
      </c>
      <c r="X2472">
        <v>4.5</v>
      </c>
      <c r="Y2472" s="2">
        <v>1699876578871</v>
      </c>
      <c r="Z2472">
        <v>81.900000000000006</v>
      </c>
      <c r="AA2472">
        <v>102.6</v>
      </c>
      <c r="AB2472">
        <v>11.4</v>
      </c>
      <c r="AC2472">
        <v>46.2</v>
      </c>
      <c r="AD2472">
        <v>144373535</v>
      </c>
    </row>
    <row r="2473" spans="1:30" hidden="1" x14ac:dyDescent="0.45">
      <c r="A2473">
        <v>2405</v>
      </c>
      <c r="B2473">
        <v>1100</v>
      </c>
      <c r="C2473" t="s">
        <v>296</v>
      </c>
      <c r="D2473" t="s">
        <v>7778</v>
      </c>
      <c r="E2473">
        <v>74</v>
      </c>
      <c r="F2473" t="s">
        <v>93</v>
      </c>
      <c r="G2473" t="s">
        <v>94</v>
      </c>
      <c r="H2473" t="s">
        <v>7285</v>
      </c>
      <c r="I2473" t="s">
        <v>296</v>
      </c>
      <c r="J2473" t="s">
        <v>93</v>
      </c>
      <c r="L2473" t="b">
        <v>1</v>
      </c>
      <c r="M2473" t="s">
        <v>39</v>
      </c>
      <c r="N2473" t="s">
        <v>8245</v>
      </c>
      <c r="O2473" s="1">
        <v>17899</v>
      </c>
      <c r="P2473" t="s">
        <v>6693</v>
      </c>
      <c r="Q2473" t="s">
        <v>7779</v>
      </c>
      <c r="S2473" s="1">
        <v>45020.209027777775</v>
      </c>
      <c r="V2473">
        <v>1949</v>
      </c>
      <c r="W2473">
        <v>180.44</v>
      </c>
      <c r="X2473">
        <v>7.7</v>
      </c>
      <c r="Y2473" s="2">
        <v>2611000000000</v>
      </c>
      <c r="Z2473">
        <v>28.1</v>
      </c>
      <c r="AA2473">
        <v>113</v>
      </c>
      <c r="AB2473">
        <v>11.2</v>
      </c>
      <c r="AC2473">
        <v>49.7</v>
      </c>
      <c r="AD2473">
        <v>1366417754</v>
      </c>
    </row>
    <row r="2474" spans="1:30" hidden="1" x14ac:dyDescent="0.45">
      <c r="A2474">
        <v>2405</v>
      </c>
      <c r="B2474">
        <v>1100</v>
      </c>
      <c r="C2474" t="s">
        <v>402</v>
      </c>
      <c r="D2474" t="s">
        <v>7780</v>
      </c>
      <c r="E2474">
        <v>73</v>
      </c>
      <c r="F2474" t="s">
        <v>93</v>
      </c>
      <c r="G2474" t="s">
        <v>343</v>
      </c>
      <c r="H2474" t="s">
        <v>7781</v>
      </c>
      <c r="I2474" t="s">
        <v>402</v>
      </c>
      <c r="J2474" t="s">
        <v>93</v>
      </c>
      <c r="L2474" t="b">
        <v>0</v>
      </c>
      <c r="M2474" t="s">
        <v>39</v>
      </c>
      <c r="N2474" t="s">
        <v>8245</v>
      </c>
      <c r="O2474" s="1">
        <v>18132</v>
      </c>
      <c r="P2474" t="s">
        <v>1899</v>
      </c>
      <c r="Q2474" t="s">
        <v>3853</v>
      </c>
      <c r="S2474" s="1">
        <v>45020.209027777775</v>
      </c>
      <c r="V2474">
        <v>1949</v>
      </c>
      <c r="W2474">
        <v>180.44</v>
      </c>
      <c r="X2474">
        <v>7.7</v>
      </c>
      <c r="Y2474" s="2">
        <v>2611000000000</v>
      </c>
      <c r="Z2474">
        <v>28.1</v>
      </c>
      <c r="AA2474">
        <v>113</v>
      </c>
      <c r="AB2474">
        <v>11.2</v>
      </c>
      <c r="AC2474">
        <v>49.7</v>
      </c>
      <c r="AD2474">
        <v>1366417754</v>
      </c>
    </row>
    <row r="2475" spans="1:30" hidden="1" x14ac:dyDescent="0.45">
      <c r="A2475">
        <v>2405</v>
      </c>
      <c r="B2475">
        <v>1100</v>
      </c>
      <c r="C2475" t="s">
        <v>239</v>
      </c>
      <c r="D2475" t="s">
        <v>7782</v>
      </c>
      <c r="E2475">
        <v>78</v>
      </c>
      <c r="F2475" t="s">
        <v>117</v>
      </c>
      <c r="G2475" t="s">
        <v>7783</v>
      </c>
      <c r="H2475" t="s">
        <v>242</v>
      </c>
      <c r="I2475" t="s">
        <v>239</v>
      </c>
      <c r="J2475" t="s">
        <v>117</v>
      </c>
      <c r="L2475" t="b">
        <v>1</v>
      </c>
      <c r="M2475" t="s">
        <v>39</v>
      </c>
      <c r="N2475" t="s">
        <v>8245</v>
      </c>
      <c r="O2475" s="1">
        <v>16233</v>
      </c>
      <c r="P2475" t="s">
        <v>7784</v>
      </c>
      <c r="Q2475" t="s">
        <v>1114</v>
      </c>
      <c r="S2475" s="1">
        <v>45020.209027777775</v>
      </c>
      <c r="V2475">
        <v>1944</v>
      </c>
      <c r="W2475">
        <v>110.96</v>
      </c>
      <c r="X2475">
        <v>0.7</v>
      </c>
      <c r="Y2475" s="2">
        <v>1394116310769</v>
      </c>
      <c r="Z2475">
        <v>88.9</v>
      </c>
      <c r="AA2475">
        <v>102.7</v>
      </c>
      <c r="AB2475">
        <v>14.2</v>
      </c>
      <c r="AC2475">
        <v>47</v>
      </c>
      <c r="AD2475">
        <v>47076781</v>
      </c>
    </row>
    <row r="2476" spans="1:30" hidden="1" x14ac:dyDescent="0.45">
      <c r="A2476">
        <v>2405</v>
      </c>
      <c r="B2476">
        <v>1100</v>
      </c>
      <c r="C2476" t="s">
        <v>689</v>
      </c>
      <c r="D2476" t="s">
        <v>7785</v>
      </c>
      <c r="E2476">
        <v>82</v>
      </c>
      <c r="F2476" t="s">
        <v>928</v>
      </c>
      <c r="G2476" t="s">
        <v>929</v>
      </c>
      <c r="H2476" t="s">
        <v>7786</v>
      </c>
      <c r="I2476" t="s">
        <v>689</v>
      </c>
      <c r="J2476" t="s">
        <v>928</v>
      </c>
      <c r="K2476" t="s">
        <v>7787</v>
      </c>
      <c r="L2476" t="b">
        <v>1</v>
      </c>
      <c r="M2476" t="s">
        <v>39</v>
      </c>
      <c r="N2476" t="s">
        <v>8245</v>
      </c>
      <c r="O2476" s="1">
        <v>14987</v>
      </c>
      <c r="P2476" t="s">
        <v>305</v>
      </c>
      <c r="Q2476" t="s">
        <v>7788</v>
      </c>
      <c r="S2476" s="1">
        <v>45020.209027777775</v>
      </c>
      <c r="V2476">
        <v>1941</v>
      </c>
      <c r="W2476">
        <v>115.16</v>
      </c>
      <c r="X2476">
        <v>0.4</v>
      </c>
      <c r="Y2476" s="2">
        <v>2029000000000</v>
      </c>
      <c r="Z2476">
        <v>94.3</v>
      </c>
      <c r="AA2476">
        <v>98.1</v>
      </c>
      <c r="AB2476">
        <v>15.6</v>
      </c>
      <c r="AC2476">
        <v>33.200000000000003</v>
      </c>
      <c r="AD2476">
        <v>51709098</v>
      </c>
    </row>
    <row r="2477" spans="1:30" hidden="1" x14ac:dyDescent="0.45">
      <c r="A2477">
        <v>2405</v>
      </c>
      <c r="B2477">
        <v>1100</v>
      </c>
      <c r="C2477" t="s">
        <v>61</v>
      </c>
      <c r="D2477" t="s">
        <v>7789</v>
      </c>
      <c r="E2477">
        <v>62</v>
      </c>
      <c r="F2477" t="s">
        <v>35</v>
      </c>
      <c r="G2477" t="s">
        <v>7454</v>
      </c>
      <c r="H2477" t="s">
        <v>5282</v>
      </c>
      <c r="I2477" t="s">
        <v>61</v>
      </c>
      <c r="J2477" t="s">
        <v>35</v>
      </c>
      <c r="L2477" t="b">
        <v>0</v>
      </c>
      <c r="M2477" t="s">
        <v>611</v>
      </c>
      <c r="N2477" t="s">
        <v>8246</v>
      </c>
      <c r="O2477" s="1">
        <v>22047</v>
      </c>
      <c r="P2477" t="s">
        <v>1679</v>
      </c>
      <c r="Q2477" t="s">
        <v>7790</v>
      </c>
      <c r="S2477" s="1">
        <v>45020.209027777775</v>
      </c>
      <c r="T2477" t="s">
        <v>1827</v>
      </c>
      <c r="U2477" t="s">
        <v>69</v>
      </c>
      <c r="V2477">
        <v>1960</v>
      </c>
      <c r="W2477">
        <v>117.24</v>
      </c>
      <c r="X2477">
        <v>7.5</v>
      </c>
      <c r="Y2477" s="2">
        <v>21427700000000</v>
      </c>
      <c r="Z2477">
        <v>88.2</v>
      </c>
      <c r="AA2477">
        <v>101.8</v>
      </c>
      <c r="AB2477">
        <v>9.6</v>
      </c>
      <c r="AC2477">
        <v>36.6</v>
      </c>
      <c r="AD2477">
        <v>328239523</v>
      </c>
    </row>
    <row r="2478" spans="1:30" hidden="1" x14ac:dyDescent="0.45">
      <c r="A2478">
        <v>2405</v>
      </c>
      <c r="B2478">
        <v>1100</v>
      </c>
      <c r="C2478" t="s">
        <v>61</v>
      </c>
      <c r="D2478" t="s">
        <v>7791</v>
      </c>
      <c r="E2478">
        <v>87</v>
      </c>
      <c r="F2478" t="s">
        <v>35</v>
      </c>
      <c r="G2478" t="s">
        <v>7454</v>
      </c>
      <c r="H2478" t="s">
        <v>557</v>
      </c>
      <c r="I2478" t="s">
        <v>61</v>
      </c>
      <c r="J2478" t="s">
        <v>35</v>
      </c>
      <c r="L2478" t="b">
        <v>0</v>
      </c>
      <c r="M2478" t="s">
        <v>611</v>
      </c>
      <c r="N2478" t="s">
        <v>8246</v>
      </c>
      <c r="O2478" s="1">
        <v>13237</v>
      </c>
      <c r="P2478" t="s">
        <v>1679</v>
      </c>
      <c r="Q2478" t="s">
        <v>7792</v>
      </c>
      <c r="S2478" s="1">
        <v>45020.209027777775</v>
      </c>
      <c r="T2478" t="s">
        <v>1827</v>
      </c>
      <c r="U2478" t="s">
        <v>69</v>
      </c>
      <c r="V2478">
        <v>1936</v>
      </c>
      <c r="W2478">
        <v>117.24</v>
      </c>
      <c r="X2478">
        <v>7.5</v>
      </c>
      <c r="Y2478" s="2">
        <v>21427700000000</v>
      </c>
      <c r="Z2478">
        <v>88.2</v>
      </c>
      <c r="AA2478">
        <v>101.8</v>
      </c>
      <c r="AB2478">
        <v>9.6</v>
      </c>
      <c r="AC2478">
        <v>36.6</v>
      </c>
      <c r="AD2478">
        <v>328239523</v>
      </c>
    </row>
    <row r="2479" spans="1:30" hidden="1" x14ac:dyDescent="0.45">
      <c r="A2479">
        <v>2405</v>
      </c>
      <c r="B2479">
        <v>1100</v>
      </c>
      <c r="C2479" t="s">
        <v>61</v>
      </c>
      <c r="D2479" t="s">
        <v>7793</v>
      </c>
      <c r="E2479">
        <v>61</v>
      </c>
      <c r="F2479" t="s">
        <v>35</v>
      </c>
      <c r="G2479" t="s">
        <v>7454</v>
      </c>
      <c r="H2479" t="s">
        <v>5282</v>
      </c>
      <c r="I2479" t="s">
        <v>61</v>
      </c>
      <c r="J2479" t="s">
        <v>35</v>
      </c>
      <c r="L2479" t="b">
        <v>0</v>
      </c>
      <c r="M2479" t="s">
        <v>611</v>
      </c>
      <c r="N2479" t="s">
        <v>8245</v>
      </c>
      <c r="O2479" s="1">
        <v>22698</v>
      </c>
      <c r="P2479" t="s">
        <v>1679</v>
      </c>
      <c r="Q2479" t="s">
        <v>7794</v>
      </c>
      <c r="S2479" s="1">
        <v>45020.209027777775</v>
      </c>
      <c r="T2479" t="s">
        <v>1827</v>
      </c>
      <c r="U2479" t="s">
        <v>69</v>
      </c>
      <c r="V2479">
        <v>1962</v>
      </c>
      <c r="W2479">
        <v>117.24</v>
      </c>
      <c r="X2479">
        <v>7.5</v>
      </c>
      <c r="Y2479" s="2">
        <v>21427700000000</v>
      </c>
      <c r="Z2479">
        <v>88.2</v>
      </c>
      <c r="AA2479">
        <v>101.8</v>
      </c>
      <c r="AB2479">
        <v>9.6</v>
      </c>
      <c r="AC2479">
        <v>36.6</v>
      </c>
      <c r="AD2479">
        <v>328239523</v>
      </c>
    </row>
    <row r="2480" spans="1:30" hidden="1" x14ac:dyDescent="0.45">
      <c r="A2480">
        <v>2405</v>
      </c>
      <c r="B2480">
        <v>1100</v>
      </c>
      <c r="C2480" t="s">
        <v>402</v>
      </c>
      <c r="D2480" t="s">
        <v>7795</v>
      </c>
      <c r="E2480">
        <v>47</v>
      </c>
      <c r="F2480" t="s">
        <v>128</v>
      </c>
      <c r="G2480" t="s">
        <v>2921</v>
      </c>
      <c r="H2480" t="s">
        <v>645</v>
      </c>
      <c r="I2480" t="s">
        <v>402</v>
      </c>
      <c r="J2480" t="s">
        <v>128</v>
      </c>
      <c r="L2480" t="b">
        <v>1</v>
      </c>
      <c r="M2480" t="s">
        <v>39</v>
      </c>
      <c r="N2480" t="s">
        <v>8245</v>
      </c>
      <c r="O2480" s="1">
        <v>27638</v>
      </c>
      <c r="P2480" t="s">
        <v>1261</v>
      </c>
      <c r="Q2480" t="s">
        <v>7796</v>
      </c>
      <c r="S2480" s="1">
        <v>45020.209027777775</v>
      </c>
      <c r="V2480">
        <v>1975</v>
      </c>
      <c r="W2480">
        <v>125.08</v>
      </c>
      <c r="X2480">
        <v>2.9</v>
      </c>
      <c r="Y2480" s="2">
        <v>19910000000000</v>
      </c>
      <c r="Z2480">
        <v>50.6</v>
      </c>
      <c r="AA2480">
        <v>100.2</v>
      </c>
      <c r="AB2480">
        <v>9.4</v>
      </c>
      <c r="AC2480">
        <v>59.2</v>
      </c>
      <c r="AD2480">
        <v>1397715000</v>
      </c>
    </row>
    <row r="2481" spans="1:30" hidden="1" x14ac:dyDescent="0.45">
      <c r="A2481">
        <v>2405</v>
      </c>
      <c r="B2481">
        <v>1100</v>
      </c>
      <c r="C2481" t="s">
        <v>402</v>
      </c>
      <c r="D2481" t="s">
        <v>7797</v>
      </c>
      <c r="E2481">
        <v>49</v>
      </c>
      <c r="F2481" t="s">
        <v>128</v>
      </c>
      <c r="G2481" t="s">
        <v>2921</v>
      </c>
      <c r="H2481" t="s">
        <v>645</v>
      </c>
      <c r="I2481" t="s">
        <v>402</v>
      </c>
      <c r="J2481" t="s">
        <v>128</v>
      </c>
      <c r="L2481" t="b">
        <v>1</v>
      </c>
      <c r="M2481" t="s">
        <v>39</v>
      </c>
      <c r="N2481" t="s">
        <v>8245</v>
      </c>
      <c r="O2481" s="1">
        <v>26846</v>
      </c>
      <c r="P2481" t="s">
        <v>1261</v>
      </c>
      <c r="Q2481" t="s">
        <v>7798</v>
      </c>
      <c r="S2481" s="1">
        <v>45020.209027777775</v>
      </c>
      <c r="V2481">
        <v>1973</v>
      </c>
      <c r="W2481">
        <v>125.08</v>
      </c>
      <c r="X2481">
        <v>2.9</v>
      </c>
      <c r="Y2481" s="2">
        <v>19910000000000</v>
      </c>
      <c r="Z2481">
        <v>50.6</v>
      </c>
      <c r="AA2481">
        <v>100.2</v>
      </c>
      <c r="AB2481">
        <v>9.4</v>
      </c>
      <c r="AC2481">
        <v>59.2</v>
      </c>
      <c r="AD2481">
        <v>1397715000</v>
      </c>
    </row>
    <row r="2482" spans="1:30" hidden="1" x14ac:dyDescent="0.45">
      <c r="A2482">
        <v>2405</v>
      </c>
      <c r="B2482">
        <v>1100</v>
      </c>
      <c r="C2482" t="s">
        <v>296</v>
      </c>
      <c r="D2482" t="s">
        <v>7799</v>
      </c>
      <c r="E2482">
        <v>68</v>
      </c>
      <c r="F2482" t="s">
        <v>35</v>
      </c>
      <c r="G2482" t="s">
        <v>7800</v>
      </c>
      <c r="H2482" t="s">
        <v>7801</v>
      </c>
      <c r="I2482" t="s">
        <v>296</v>
      </c>
      <c r="J2482" t="s">
        <v>35</v>
      </c>
      <c r="L2482" t="b">
        <v>0</v>
      </c>
      <c r="M2482" t="s">
        <v>39</v>
      </c>
      <c r="N2482" t="s">
        <v>8245</v>
      </c>
      <c r="O2482" s="1">
        <v>20022</v>
      </c>
      <c r="P2482" t="s">
        <v>7802</v>
      </c>
      <c r="Q2482" t="s">
        <v>2498</v>
      </c>
      <c r="S2482" s="1">
        <v>45020.209027777775</v>
      </c>
      <c r="T2482" t="s">
        <v>469</v>
      </c>
      <c r="U2482" t="s">
        <v>44</v>
      </c>
      <c r="V2482">
        <v>1954</v>
      </c>
      <c r="W2482">
        <v>117.24</v>
      </c>
      <c r="X2482">
        <v>7.5</v>
      </c>
      <c r="Y2482" s="2">
        <v>21427700000000</v>
      </c>
      <c r="Z2482">
        <v>88.2</v>
      </c>
      <c r="AA2482">
        <v>101.8</v>
      </c>
      <c r="AB2482">
        <v>9.6</v>
      </c>
      <c r="AC2482">
        <v>36.6</v>
      </c>
      <c r="AD2482">
        <v>328239523</v>
      </c>
    </row>
    <row r="2483" spans="1:30" hidden="1" x14ac:dyDescent="0.45">
      <c r="A2483">
        <v>2405</v>
      </c>
      <c r="B2483">
        <v>1100</v>
      </c>
      <c r="C2483" t="s">
        <v>83</v>
      </c>
      <c r="D2483" t="s">
        <v>7803</v>
      </c>
      <c r="E2483">
        <v>52</v>
      </c>
      <c r="F2483" t="s">
        <v>128</v>
      </c>
      <c r="G2483" t="s">
        <v>2921</v>
      </c>
      <c r="H2483" t="s">
        <v>7804</v>
      </c>
      <c r="I2483" t="s">
        <v>83</v>
      </c>
      <c r="J2483" t="s">
        <v>128</v>
      </c>
      <c r="L2483" t="b">
        <v>1</v>
      </c>
      <c r="M2483" t="s">
        <v>39</v>
      </c>
      <c r="N2483" t="s">
        <v>8245</v>
      </c>
      <c r="O2483" s="1">
        <v>25934</v>
      </c>
      <c r="P2483" t="s">
        <v>721</v>
      </c>
      <c r="Q2483" t="s">
        <v>7805</v>
      </c>
      <c r="S2483" s="1">
        <v>45020.209027777775</v>
      </c>
      <c r="V2483">
        <v>1971</v>
      </c>
      <c r="W2483">
        <v>125.08</v>
      </c>
      <c r="X2483">
        <v>2.9</v>
      </c>
      <c r="Y2483" s="2">
        <v>19910000000000</v>
      </c>
      <c r="Z2483">
        <v>50.6</v>
      </c>
      <c r="AA2483">
        <v>100.2</v>
      </c>
      <c r="AB2483">
        <v>9.4</v>
      </c>
      <c r="AC2483">
        <v>59.2</v>
      </c>
      <c r="AD2483">
        <v>1397715000</v>
      </c>
    </row>
    <row r="2484" spans="1:30" hidden="1" x14ac:dyDescent="0.45">
      <c r="A2484">
        <v>2405</v>
      </c>
      <c r="B2484">
        <v>1100</v>
      </c>
      <c r="C2484" t="s">
        <v>23</v>
      </c>
      <c r="D2484" t="s">
        <v>7806</v>
      </c>
      <c r="E2484">
        <v>60</v>
      </c>
      <c r="F2484" t="s">
        <v>128</v>
      </c>
      <c r="G2484" t="s">
        <v>292</v>
      </c>
      <c r="H2484" t="s">
        <v>3555</v>
      </c>
      <c r="I2484" t="s">
        <v>23</v>
      </c>
      <c r="J2484" t="s">
        <v>128</v>
      </c>
      <c r="L2484" t="b">
        <v>1</v>
      </c>
      <c r="M2484" t="s">
        <v>258</v>
      </c>
      <c r="N2484" t="s">
        <v>8245</v>
      </c>
      <c r="O2484" s="1">
        <v>23012</v>
      </c>
      <c r="P2484" t="s">
        <v>7807</v>
      </c>
      <c r="Q2484" t="s">
        <v>7808</v>
      </c>
      <c r="S2484" s="1">
        <v>45020.209027777775</v>
      </c>
      <c r="V2484">
        <v>1963</v>
      </c>
      <c r="W2484">
        <v>125.08</v>
      </c>
      <c r="X2484">
        <v>2.9</v>
      </c>
      <c r="Y2484" s="2">
        <v>19910000000000</v>
      </c>
      <c r="Z2484">
        <v>50.6</v>
      </c>
      <c r="AA2484">
        <v>100.2</v>
      </c>
      <c r="AB2484">
        <v>9.4</v>
      </c>
      <c r="AC2484">
        <v>59.2</v>
      </c>
      <c r="AD2484">
        <v>1397715000</v>
      </c>
    </row>
    <row r="2485" spans="1:30" hidden="1" x14ac:dyDescent="0.45">
      <c r="A2485">
        <v>2405</v>
      </c>
      <c r="B2485">
        <v>1100</v>
      </c>
      <c r="C2485" t="s">
        <v>45</v>
      </c>
      <c r="D2485" t="s">
        <v>7809</v>
      </c>
      <c r="E2485">
        <v>46</v>
      </c>
      <c r="F2485" t="s">
        <v>266</v>
      </c>
      <c r="G2485" t="s">
        <v>267</v>
      </c>
      <c r="H2485" t="s">
        <v>7810</v>
      </c>
      <c r="I2485" t="s">
        <v>45</v>
      </c>
      <c r="J2485" t="s">
        <v>266</v>
      </c>
      <c r="L2485" t="b">
        <v>1</v>
      </c>
      <c r="M2485" t="s">
        <v>611</v>
      </c>
      <c r="N2485" t="s">
        <v>8245</v>
      </c>
      <c r="O2485" s="1">
        <v>27926</v>
      </c>
      <c r="P2485" t="s">
        <v>7811</v>
      </c>
      <c r="Q2485" t="s">
        <v>7812</v>
      </c>
      <c r="S2485" s="1">
        <v>45020.209027777775</v>
      </c>
      <c r="V2485">
        <v>1976</v>
      </c>
      <c r="W2485">
        <v>105.48</v>
      </c>
      <c r="X2485">
        <v>0.5</v>
      </c>
      <c r="Y2485" s="2">
        <v>5081769542380</v>
      </c>
      <c r="Z2485">
        <v>63.2</v>
      </c>
      <c r="AA2485">
        <v>98.8</v>
      </c>
      <c r="AB2485">
        <v>11.9</v>
      </c>
      <c r="AC2485">
        <v>46.7</v>
      </c>
      <c r="AD2485">
        <v>126226568</v>
      </c>
    </row>
    <row r="2486" spans="1:30" hidden="1" x14ac:dyDescent="0.45">
      <c r="A2486">
        <v>2405</v>
      </c>
      <c r="B2486">
        <v>1100</v>
      </c>
      <c r="C2486" t="s">
        <v>33</v>
      </c>
      <c r="D2486" t="s">
        <v>7813</v>
      </c>
      <c r="E2486">
        <v>68</v>
      </c>
      <c r="F2486" t="s">
        <v>93</v>
      </c>
      <c r="G2486" t="s">
        <v>343</v>
      </c>
      <c r="H2486" t="s">
        <v>7814</v>
      </c>
      <c r="I2486" t="s">
        <v>33</v>
      </c>
      <c r="J2486" t="s">
        <v>93</v>
      </c>
      <c r="L2486" t="b">
        <v>0</v>
      </c>
      <c r="M2486" t="s">
        <v>285</v>
      </c>
      <c r="N2486" t="s">
        <v>8245</v>
      </c>
      <c r="O2486" s="1">
        <v>20025</v>
      </c>
      <c r="P2486" t="s">
        <v>7815</v>
      </c>
      <c r="Q2486" t="s">
        <v>7816</v>
      </c>
      <c r="S2486" s="1">
        <v>45020.209027777775</v>
      </c>
      <c r="V2486">
        <v>1954</v>
      </c>
      <c r="W2486">
        <v>180.44</v>
      </c>
      <c r="X2486">
        <v>7.7</v>
      </c>
      <c r="Y2486" s="2">
        <v>2611000000000</v>
      </c>
      <c r="Z2486">
        <v>28.1</v>
      </c>
      <c r="AA2486">
        <v>113</v>
      </c>
      <c r="AB2486">
        <v>11.2</v>
      </c>
      <c r="AC2486">
        <v>49.7</v>
      </c>
      <c r="AD2486">
        <v>1366417754</v>
      </c>
    </row>
    <row r="2487" spans="1:30" hidden="1" x14ac:dyDescent="0.45">
      <c r="A2487">
        <v>2405</v>
      </c>
      <c r="B2487">
        <v>1100</v>
      </c>
      <c r="C2487" t="s">
        <v>33</v>
      </c>
      <c r="D2487" t="s">
        <v>7817</v>
      </c>
      <c r="E2487">
        <v>68</v>
      </c>
      <c r="F2487" t="s">
        <v>93</v>
      </c>
      <c r="G2487" t="s">
        <v>343</v>
      </c>
      <c r="H2487" t="s">
        <v>7814</v>
      </c>
      <c r="I2487" t="s">
        <v>33</v>
      </c>
      <c r="J2487" t="s">
        <v>93</v>
      </c>
      <c r="L2487" t="b">
        <v>0</v>
      </c>
      <c r="M2487" t="s">
        <v>285</v>
      </c>
      <c r="N2487" t="s">
        <v>8246</v>
      </c>
      <c r="O2487" s="1">
        <v>20154</v>
      </c>
      <c r="P2487" t="s">
        <v>7815</v>
      </c>
      <c r="Q2487" t="s">
        <v>7818</v>
      </c>
      <c r="S2487" s="1">
        <v>45020.209027777775</v>
      </c>
      <c r="V2487">
        <v>1955</v>
      </c>
      <c r="W2487">
        <v>180.44</v>
      </c>
      <c r="X2487">
        <v>7.7</v>
      </c>
      <c r="Y2487" s="2">
        <v>2611000000000</v>
      </c>
      <c r="Z2487">
        <v>28.1</v>
      </c>
      <c r="AA2487">
        <v>113</v>
      </c>
      <c r="AB2487">
        <v>11.2</v>
      </c>
      <c r="AC2487">
        <v>49.7</v>
      </c>
      <c r="AD2487">
        <v>1366417754</v>
      </c>
    </row>
    <row r="2488" spans="1:30" hidden="1" x14ac:dyDescent="0.45">
      <c r="A2488">
        <v>2405</v>
      </c>
      <c r="B2488">
        <v>1100</v>
      </c>
      <c r="C2488" t="s">
        <v>33</v>
      </c>
      <c r="D2488" t="s">
        <v>7819</v>
      </c>
      <c r="E2488">
        <v>70</v>
      </c>
      <c r="F2488" t="s">
        <v>93</v>
      </c>
      <c r="G2488" t="s">
        <v>343</v>
      </c>
      <c r="H2488" t="s">
        <v>1898</v>
      </c>
      <c r="I2488" t="s">
        <v>33</v>
      </c>
      <c r="J2488" t="s">
        <v>93</v>
      </c>
      <c r="L2488" t="b">
        <v>0</v>
      </c>
      <c r="M2488" t="s">
        <v>285</v>
      </c>
      <c r="N2488" t="s">
        <v>8245</v>
      </c>
      <c r="O2488" s="1">
        <v>19416</v>
      </c>
      <c r="P2488" t="s">
        <v>7815</v>
      </c>
      <c r="Q2488" t="s">
        <v>7820</v>
      </c>
      <c r="S2488" s="1">
        <v>45020.209027777775</v>
      </c>
      <c r="V2488">
        <v>1953</v>
      </c>
      <c r="W2488">
        <v>180.44</v>
      </c>
      <c r="X2488">
        <v>7.7</v>
      </c>
      <c r="Y2488" s="2">
        <v>2611000000000</v>
      </c>
      <c r="Z2488">
        <v>28.1</v>
      </c>
      <c r="AA2488">
        <v>113</v>
      </c>
      <c r="AB2488">
        <v>11.2</v>
      </c>
      <c r="AC2488">
        <v>49.7</v>
      </c>
      <c r="AD2488">
        <v>1366417754</v>
      </c>
    </row>
    <row r="2489" spans="1:30" hidden="1" x14ac:dyDescent="0.45">
      <c r="A2489">
        <v>2405</v>
      </c>
      <c r="B2489">
        <v>1100</v>
      </c>
      <c r="C2489" t="s">
        <v>347</v>
      </c>
      <c r="D2489" t="s">
        <v>7821</v>
      </c>
      <c r="E2489">
        <v>56</v>
      </c>
      <c r="F2489" t="s">
        <v>363</v>
      </c>
      <c r="G2489" t="s">
        <v>7822</v>
      </c>
      <c r="H2489" t="s">
        <v>351</v>
      </c>
      <c r="I2489" t="s">
        <v>347</v>
      </c>
      <c r="J2489" t="s">
        <v>363</v>
      </c>
      <c r="L2489" t="b">
        <v>1</v>
      </c>
      <c r="M2489" t="s">
        <v>258</v>
      </c>
      <c r="N2489" t="s">
        <v>8245</v>
      </c>
      <c r="O2489" s="1">
        <v>24336</v>
      </c>
      <c r="P2489" t="s">
        <v>7823</v>
      </c>
      <c r="Q2489" t="s">
        <v>7824</v>
      </c>
      <c r="S2489" s="1">
        <v>45020.209027777775</v>
      </c>
      <c r="V2489">
        <v>1966</v>
      </c>
      <c r="W2489">
        <v>180.75</v>
      </c>
      <c r="X2489">
        <v>4.5</v>
      </c>
      <c r="Y2489" s="2">
        <v>1699876578871</v>
      </c>
      <c r="Z2489">
        <v>81.900000000000006</v>
      </c>
      <c r="AA2489">
        <v>102.6</v>
      </c>
      <c r="AB2489">
        <v>11.4</v>
      </c>
      <c r="AC2489">
        <v>46.2</v>
      </c>
      <c r="AD2489">
        <v>144373535</v>
      </c>
    </row>
    <row r="2490" spans="1:30" hidden="1" x14ac:dyDescent="0.45">
      <c r="A2490">
        <v>2405</v>
      </c>
      <c r="B2490">
        <v>1100</v>
      </c>
      <c r="C2490" t="s">
        <v>33</v>
      </c>
      <c r="D2490" t="s">
        <v>7825</v>
      </c>
      <c r="E2490">
        <v>81</v>
      </c>
      <c r="F2490" t="s">
        <v>574</v>
      </c>
      <c r="G2490" t="s">
        <v>574</v>
      </c>
      <c r="H2490" t="s">
        <v>7826</v>
      </c>
      <c r="I2490" t="s">
        <v>33</v>
      </c>
      <c r="J2490" t="s">
        <v>349</v>
      </c>
      <c r="L2490" t="b">
        <v>0</v>
      </c>
      <c r="M2490" t="s">
        <v>1332</v>
      </c>
      <c r="N2490" t="s">
        <v>8245</v>
      </c>
      <c r="O2490" s="1">
        <v>15360</v>
      </c>
      <c r="P2490" t="s">
        <v>7827</v>
      </c>
      <c r="Q2490" t="s">
        <v>7828</v>
      </c>
      <c r="S2490" s="1">
        <v>45020.209027777775</v>
      </c>
      <c r="V2490">
        <v>1942</v>
      </c>
      <c r="W2490">
        <v>114.41</v>
      </c>
      <c r="X2490">
        <v>0.6</v>
      </c>
      <c r="Y2490" s="2">
        <v>372062527489</v>
      </c>
      <c r="Z2490">
        <v>84.8</v>
      </c>
      <c r="AA2490">
        <v>100.6</v>
      </c>
      <c r="AB2490">
        <v>13.1</v>
      </c>
      <c r="AC2490">
        <v>21</v>
      </c>
      <c r="AD2490">
        <v>5703569</v>
      </c>
    </row>
    <row r="2491" spans="1:30" hidden="1" x14ac:dyDescent="0.45">
      <c r="A2491">
        <v>2405</v>
      </c>
      <c r="B2491">
        <v>1100</v>
      </c>
      <c r="C2491" t="s">
        <v>23</v>
      </c>
      <c r="D2491" t="s">
        <v>7829</v>
      </c>
      <c r="E2491">
        <v>54</v>
      </c>
      <c r="F2491" t="s">
        <v>5311</v>
      </c>
      <c r="G2491" t="s">
        <v>5924</v>
      </c>
      <c r="H2491" t="s">
        <v>196</v>
      </c>
      <c r="I2491" t="s">
        <v>23</v>
      </c>
      <c r="J2491" t="s">
        <v>5311</v>
      </c>
      <c r="L2491" t="b">
        <v>1</v>
      </c>
      <c r="M2491" t="s">
        <v>29</v>
      </c>
      <c r="N2491" t="s">
        <v>8245</v>
      </c>
      <c r="O2491" s="1">
        <v>25104</v>
      </c>
      <c r="P2491" t="s">
        <v>5925</v>
      </c>
      <c r="Q2491" t="s">
        <v>7830</v>
      </c>
      <c r="S2491" s="1">
        <v>45020.209027777775</v>
      </c>
      <c r="V2491">
        <v>1968</v>
      </c>
      <c r="W2491">
        <v>123.78</v>
      </c>
      <c r="X2491">
        <v>3.8</v>
      </c>
      <c r="Y2491" s="2">
        <v>250077444017</v>
      </c>
      <c r="Z2491">
        <v>49.4</v>
      </c>
      <c r="AA2491">
        <v>85.2</v>
      </c>
      <c r="AB2491">
        <v>14.6</v>
      </c>
      <c r="AC2491">
        <v>20</v>
      </c>
      <c r="AD2491">
        <v>19356544</v>
      </c>
    </row>
    <row r="2492" spans="1:30" hidden="1" x14ac:dyDescent="0.45">
      <c r="A2492">
        <v>2405</v>
      </c>
      <c r="B2492">
        <v>1100</v>
      </c>
      <c r="C2492" t="s">
        <v>91</v>
      </c>
      <c r="D2492" t="s">
        <v>7831</v>
      </c>
      <c r="E2492">
        <v>69</v>
      </c>
      <c r="F2492" t="s">
        <v>214</v>
      </c>
      <c r="G2492" t="s">
        <v>3763</v>
      </c>
      <c r="H2492" t="s">
        <v>7832</v>
      </c>
      <c r="I2492" t="s">
        <v>91</v>
      </c>
      <c r="J2492" t="s">
        <v>214</v>
      </c>
      <c r="L2492" t="b">
        <v>1</v>
      </c>
      <c r="M2492" t="s">
        <v>39</v>
      </c>
      <c r="N2492" t="s">
        <v>8245</v>
      </c>
      <c r="O2492" s="1">
        <v>19519</v>
      </c>
      <c r="P2492" t="s">
        <v>7833</v>
      </c>
      <c r="Q2492" t="s">
        <v>3398</v>
      </c>
      <c r="S2492" s="1">
        <v>45020.209027777775</v>
      </c>
      <c r="V2492">
        <v>1953</v>
      </c>
      <c r="W2492">
        <v>110.62</v>
      </c>
      <c r="X2492">
        <v>0.6</v>
      </c>
      <c r="Y2492" s="2">
        <v>2001244392042</v>
      </c>
      <c r="Z2492">
        <v>61.9</v>
      </c>
      <c r="AA2492">
        <v>101.9</v>
      </c>
      <c r="AB2492">
        <v>24.3</v>
      </c>
      <c r="AC2492">
        <v>59.1</v>
      </c>
      <c r="AD2492">
        <v>60297396</v>
      </c>
    </row>
    <row r="2493" spans="1:30" x14ac:dyDescent="0.45">
      <c r="A2493">
        <v>2405</v>
      </c>
      <c r="B2493" s="6">
        <v>1100</v>
      </c>
      <c r="C2493" t="s">
        <v>23</v>
      </c>
      <c r="D2493" t="s">
        <v>7834</v>
      </c>
      <c r="E2493">
        <v>50</v>
      </c>
      <c r="F2493" t="s">
        <v>35</v>
      </c>
      <c r="G2493" t="s">
        <v>7835</v>
      </c>
      <c r="H2493" t="s">
        <v>7836</v>
      </c>
      <c r="I2493" t="s">
        <v>23</v>
      </c>
      <c r="J2493" t="s">
        <v>35</v>
      </c>
      <c r="K2493" t="s">
        <v>7836</v>
      </c>
      <c r="L2493" t="b">
        <v>1</v>
      </c>
      <c r="M2493" t="s">
        <v>39</v>
      </c>
      <c r="N2493" t="s">
        <v>8245</v>
      </c>
      <c r="O2493" s="10">
        <v>26524</v>
      </c>
      <c r="P2493" t="s">
        <v>7837</v>
      </c>
      <c r="Q2493" t="s">
        <v>6536</v>
      </c>
      <c r="R2493" t="s">
        <v>32</v>
      </c>
      <c r="S2493" s="8">
        <v>45020.209027777775</v>
      </c>
      <c r="T2493" t="s">
        <v>1681</v>
      </c>
      <c r="U2493" t="s">
        <v>44</v>
      </c>
      <c r="V2493">
        <v>1972</v>
      </c>
      <c r="W2493" s="12">
        <v>117.24</v>
      </c>
      <c r="X2493">
        <v>7.5</v>
      </c>
      <c r="Y2493" s="14">
        <v>21427700000000</v>
      </c>
      <c r="Z2493">
        <v>88.2</v>
      </c>
      <c r="AA2493">
        <v>101.8</v>
      </c>
      <c r="AB2493">
        <v>9.6</v>
      </c>
      <c r="AC2493">
        <v>36.6</v>
      </c>
      <c r="AD2493">
        <v>328239523</v>
      </c>
    </row>
    <row r="2494" spans="1:30" hidden="1" x14ac:dyDescent="0.45">
      <c r="A2494">
        <v>2405</v>
      </c>
      <c r="B2494">
        <v>1100</v>
      </c>
      <c r="C2494" t="s">
        <v>402</v>
      </c>
      <c r="D2494" t="s">
        <v>7838</v>
      </c>
      <c r="E2494">
        <v>62</v>
      </c>
      <c r="F2494" t="s">
        <v>93</v>
      </c>
      <c r="G2494" t="s">
        <v>2223</v>
      </c>
      <c r="H2494" t="s">
        <v>610</v>
      </c>
      <c r="I2494" t="s">
        <v>402</v>
      </c>
      <c r="J2494" t="s">
        <v>93</v>
      </c>
      <c r="L2494" t="b">
        <v>0</v>
      </c>
      <c r="M2494" t="s">
        <v>29</v>
      </c>
      <c r="N2494" t="s">
        <v>8245</v>
      </c>
      <c r="O2494" s="1">
        <v>22242</v>
      </c>
      <c r="P2494" t="s">
        <v>7839</v>
      </c>
      <c r="Q2494" t="s">
        <v>7840</v>
      </c>
      <c r="S2494" s="1">
        <v>45020.209027777775</v>
      </c>
      <c r="V2494">
        <v>1960</v>
      </c>
      <c r="W2494">
        <v>180.44</v>
      </c>
      <c r="X2494">
        <v>7.7</v>
      </c>
      <c r="Y2494" s="2">
        <v>2611000000000</v>
      </c>
      <c r="Z2494">
        <v>28.1</v>
      </c>
      <c r="AA2494">
        <v>113</v>
      </c>
      <c r="AB2494">
        <v>11.2</v>
      </c>
      <c r="AC2494">
        <v>49.7</v>
      </c>
      <c r="AD2494">
        <v>1366417754</v>
      </c>
    </row>
    <row r="2495" spans="1:30" hidden="1" x14ac:dyDescent="0.45">
      <c r="A2495">
        <v>2405</v>
      </c>
      <c r="B2495">
        <v>1100</v>
      </c>
      <c r="C2495" t="s">
        <v>402</v>
      </c>
      <c r="D2495" t="s">
        <v>7841</v>
      </c>
      <c r="E2495">
        <v>60</v>
      </c>
      <c r="F2495" t="s">
        <v>128</v>
      </c>
      <c r="G2495" t="s">
        <v>187</v>
      </c>
      <c r="H2495" t="s">
        <v>1529</v>
      </c>
      <c r="I2495" t="s">
        <v>402</v>
      </c>
      <c r="J2495" t="s">
        <v>128</v>
      </c>
      <c r="L2495" t="b">
        <v>1</v>
      </c>
      <c r="M2495" t="s">
        <v>611</v>
      </c>
      <c r="N2495" t="s">
        <v>8245</v>
      </c>
      <c r="O2495" s="1">
        <v>23012</v>
      </c>
      <c r="P2495" t="s">
        <v>7842</v>
      </c>
      <c r="Q2495" t="s">
        <v>7843</v>
      </c>
      <c r="S2495" s="1">
        <v>45020.209027777775</v>
      </c>
      <c r="V2495">
        <v>1963</v>
      </c>
      <c r="W2495">
        <v>125.08</v>
      </c>
      <c r="X2495">
        <v>2.9</v>
      </c>
      <c r="Y2495" s="2">
        <v>19910000000000</v>
      </c>
      <c r="Z2495">
        <v>50.6</v>
      </c>
      <c r="AA2495">
        <v>100.2</v>
      </c>
      <c r="AB2495">
        <v>9.4</v>
      </c>
      <c r="AC2495">
        <v>59.2</v>
      </c>
      <c r="AD2495">
        <v>1397715000</v>
      </c>
    </row>
    <row r="2496" spans="1:30" hidden="1" x14ac:dyDescent="0.45">
      <c r="A2496">
        <v>2405</v>
      </c>
      <c r="B2496">
        <v>1100</v>
      </c>
      <c r="C2496" t="s">
        <v>402</v>
      </c>
      <c r="D2496" t="s">
        <v>7844</v>
      </c>
      <c r="E2496">
        <v>58</v>
      </c>
      <c r="F2496" t="s">
        <v>128</v>
      </c>
      <c r="G2496" t="s">
        <v>234</v>
      </c>
      <c r="H2496" t="s">
        <v>610</v>
      </c>
      <c r="I2496" t="s">
        <v>402</v>
      </c>
      <c r="J2496" t="s">
        <v>128</v>
      </c>
      <c r="L2496" t="b">
        <v>1</v>
      </c>
      <c r="M2496" t="s">
        <v>1332</v>
      </c>
      <c r="N2496" t="s">
        <v>8245</v>
      </c>
      <c r="O2496" s="1">
        <v>23693</v>
      </c>
      <c r="P2496" t="s">
        <v>7130</v>
      </c>
      <c r="Q2496" t="s">
        <v>440</v>
      </c>
      <c r="S2496" s="1">
        <v>45020.209027777775</v>
      </c>
      <c r="V2496">
        <v>1964</v>
      </c>
      <c r="W2496">
        <v>125.08</v>
      </c>
      <c r="X2496">
        <v>2.9</v>
      </c>
      <c r="Y2496" s="2">
        <v>19910000000000</v>
      </c>
      <c r="Z2496">
        <v>50.6</v>
      </c>
      <c r="AA2496">
        <v>100.2</v>
      </c>
      <c r="AB2496">
        <v>9.4</v>
      </c>
      <c r="AC2496">
        <v>59.2</v>
      </c>
      <c r="AD2496">
        <v>1397715000</v>
      </c>
    </row>
    <row r="2497" spans="1:30" hidden="1" x14ac:dyDescent="0.45">
      <c r="A2497">
        <v>2405</v>
      </c>
      <c r="B2497">
        <v>1100</v>
      </c>
      <c r="C2497" t="s">
        <v>436</v>
      </c>
      <c r="D2497" t="s">
        <v>7845</v>
      </c>
      <c r="E2497">
        <v>76</v>
      </c>
      <c r="F2497" t="s">
        <v>117</v>
      </c>
      <c r="G2497" t="s">
        <v>2480</v>
      </c>
      <c r="H2497" t="s">
        <v>7846</v>
      </c>
      <c r="I2497" t="s">
        <v>436</v>
      </c>
      <c r="J2497" t="s">
        <v>117</v>
      </c>
      <c r="L2497" t="b">
        <v>0</v>
      </c>
      <c r="M2497" t="s">
        <v>39</v>
      </c>
      <c r="N2497" t="s">
        <v>8246</v>
      </c>
      <c r="O2497" s="1">
        <v>17208</v>
      </c>
      <c r="P2497" t="s">
        <v>7847</v>
      </c>
      <c r="Q2497" t="s">
        <v>7848</v>
      </c>
      <c r="S2497" s="1">
        <v>45020.209027777775</v>
      </c>
      <c r="V2497">
        <v>1947</v>
      </c>
      <c r="W2497">
        <v>110.96</v>
      </c>
      <c r="X2497">
        <v>0.7</v>
      </c>
      <c r="Y2497" s="2">
        <v>1394116310769</v>
      </c>
      <c r="Z2497">
        <v>88.9</v>
      </c>
      <c r="AA2497">
        <v>102.7</v>
      </c>
      <c r="AB2497">
        <v>14.2</v>
      </c>
      <c r="AC2497">
        <v>47</v>
      </c>
      <c r="AD2497">
        <v>47076781</v>
      </c>
    </row>
    <row r="2498" spans="1:30" hidden="1" x14ac:dyDescent="0.45">
      <c r="A2498">
        <v>2405</v>
      </c>
      <c r="B2498">
        <v>1100</v>
      </c>
      <c r="C2498" t="s">
        <v>61</v>
      </c>
      <c r="D2498" t="s">
        <v>7849</v>
      </c>
      <c r="E2498">
        <v>50</v>
      </c>
      <c r="F2498" t="s">
        <v>35</v>
      </c>
      <c r="G2498" t="s">
        <v>433</v>
      </c>
      <c r="H2498" t="s">
        <v>4551</v>
      </c>
      <c r="I2498" t="s">
        <v>61</v>
      </c>
      <c r="J2498" t="s">
        <v>35</v>
      </c>
      <c r="L2498" t="b">
        <v>1</v>
      </c>
      <c r="M2498" t="s">
        <v>39</v>
      </c>
      <c r="N2498" t="s">
        <v>8245</v>
      </c>
      <c r="O2498" s="1">
        <v>26642</v>
      </c>
      <c r="P2498" t="s">
        <v>7850</v>
      </c>
      <c r="Q2498" t="s">
        <v>5271</v>
      </c>
      <c r="S2498" s="1">
        <v>45020.209027777775</v>
      </c>
      <c r="T2498" t="s">
        <v>435</v>
      </c>
      <c r="U2498" t="s">
        <v>69</v>
      </c>
      <c r="V2498">
        <v>1972</v>
      </c>
      <c r="W2498">
        <v>117.24</v>
      </c>
      <c r="X2498">
        <v>7.5</v>
      </c>
      <c r="Y2498" s="2">
        <v>21427700000000</v>
      </c>
      <c r="Z2498">
        <v>88.2</v>
      </c>
      <c r="AA2498">
        <v>101.8</v>
      </c>
      <c r="AB2498">
        <v>9.6</v>
      </c>
      <c r="AC2498">
        <v>36.6</v>
      </c>
      <c r="AD2498">
        <v>328239523</v>
      </c>
    </row>
    <row r="2499" spans="1:30" hidden="1" x14ac:dyDescent="0.45">
      <c r="A2499">
        <v>2405</v>
      </c>
      <c r="B2499">
        <v>1100</v>
      </c>
      <c r="C2499" t="s">
        <v>45</v>
      </c>
      <c r="D2499" t="s">
        <v>7851</v>
      </c>
      <c r="E2499">
        <v>42</v>
      </c>
      <c r="F2499" t="s">
        <v>35</v>
      </c>
      <c r="G2499" t="s">
        <v>991</v>
      </c>
      <c r="H2499" t="s">
        <v>6506</v>
      </c>
      <c r="I2499" t="s">
        <v>45</v>
      </c>
      <c r="J2499" t="s">
        <v>35</v>
      </c>
      <c r="L2499" t="b">
        <v>1</v>
      </c>
      <c r="M2499" t="s">
        <v>39</v>
      </c>
      <c r="N2499" t="s">
        <v>8245</v>
      </c>
      <c r="O2499" s="1">
        <v>29632</v>
      </c>
      <c r="P2499" t="s">
        <v>7852</v>
      </c>
      <c r="Q2499" t="s">
        <v>1977</v>
      </c>
      <c r="S2499" s="1">
        <v>45020.209027777775</v>
      </c>
      <c r="T2499" t="s">
        <v>115</v>
      </c>
      <c r="U2499" t="s">
        <v>53</v>
      </c>
      <c r="V2499">
        <v>1981</v>
      </c>
      <c r="W2499">
        <v>117.24</v>
      </c>
      <c r="X2499">
        <v>7.5</v>
      </c>
      <c r="Y2499" s="2">
        <v>21427700000000</v>
      </c>
      <c r="Z2499">
        <v>88.2</v>
      </c>
      <c r="AA2499">
        <v>101.8</v>
      </c>
      <c r="AB2499">
        <v>9.6</v>
      </c>
      <c r="AC2499">
        <v>36.6</v>
      </c>
      <c r="AD2499">
        <v>328239523</v>
      </c>
    </row>
    <row r="2500" spans="1:30" hidden="1" x14ac:dyDescent="0.45">
      <c r="A2500">
        <v>2405</v>
      </c>
      <c r="B2500">
        <v>1100</v>
      </c>
      <c r="C2500" t="s">
        <v>61</v>
      </c>
      <c r="D2500" t="s">
        <v>7853</v>
      </c>
      <c r="E2500">
        <v>53</v>
      </c>
      <c r="F2500" t="s">
        <v>93</v>
      </c>
      <c r="G2500" t="s">
        <v>94</v>
      </c>
      <c r="H2500" t="s">
        <v>1839</v>
      </c>
      <c r="I2500" t="s">
        <v>61</v>
      </c>
      <c r="J2500" t="s">
        <v>93</v>
      </c>
      <c r="L2500" t="b">
        <v>0</v>
      </c>
      <c r="M2500" t="s">
        <v>258</v>
      </c>
      <c r="N2500" t="s">
        <v>8245</v>
      </c>
      <c r="O2500" s="1">
        <v>25624</v>
      </c>
      <c r="P2500" t="s">
        <v>7854</v>
      </c>
      <c r="Q2500" t="s">
        <v>7855</v>
      </c>
      <c r="S2500" s="1">
        <v>45020.209027777775</v>
      </c>
      <c r="V2500">
        <v>1970</v>
      </c>
      <c r="W2500">
        <v>180.44</v>
      </c>
      <c r="X2500">
        <v>7.7</v>
      </c>
      <c r="Y2500" s="2">
        <v>2611000000000</v>
      </c>
      <c r="Z2500">
        <v>28.1</v>
      </c>
      <c r="AA2500">
        <v>113</v>
      </c>
      <c r="AB2500">
        <v>11.2</v>
      </c>
      <c r="AC2500">
        <v>49.7</v>
      </c>
      <c r="AD2500">
        <v>1366417754</v>
      </c>
    </row>
    <row r="2501" spans="1:30" hidden="1" x14ac:dyDescent="0.45">
      <c r="A2501">
        <v>2405</v>
      </c>
      <c r="B2501">
        <v>1100</v>
      </c>
      <c r="C2501" t="s">
        <v>347</v>
      </c>
      <c r="D2501" t="s">
        <v>7856</v>
      </c>
      <c r="E2501">
        <v>58</v>
      </c>
      <c r="F2501" t="s">
        <v>35</v>
      </c>
      <c r="G2501" t="s">
        <v>7857</v>
      </c>
      <c r="H2501" t="s">
        <v>7858</v>
      </c>
      <c r="I2501" t="s">
        <v>347</v>
      </c>
      <c r="J2501" t="s">
        <v>35</v>
      </c>
      <c r="L2501" t="b">
        <v>1</v>
      </c>
      <c r="M2501" t="s">
        <v>29</v>
      </c>
      <c r="N2501" t="s">
        <v>8245</v>
      </c>
      <c r="O2501" s="1">
        <v>23743</v>
      </c>
      <c r="P2501" t="s">
        <v>7859</v>
      </c>
      <c r="Q2501" t="s">
        <v>7860</v>
      </c>
      <c r="S2501" s="1">
        <v>45020.209027777775</v>
      </c>
      <c r="T2501" t="s">
        <v>469</v>
      </c>
      <c r="U2501" t="s">
        <v>44</v>
      </c>
      <c r="V2501">
        <v>1965</v>
      </c>
      <c r="W2501">
        <v>117.24</v>
      </c>
      <c r="X2501">
        <v>7.5</v>
      </c>
      <c r="Y2501" s="2">
        <v>21427700000000</v>
      </c>
      <c r="Z2501">
        <v>88.2</v>
      </c>
      <c r="AA2501">
        <v>101.8</v>
      </c>
      <c r="AB2501">
        <v>9.6</v>
      </c>
      <c r="AC2501">
        <v>36.6</v>
      </c>
      <c r="AD2501">
        <v>328239523</v>
      </c>
    </row>
    <row r="2502" spans="1:30" hidden="1" x14ac:dyDescent="0.45">
      <c r="A2502">
        <v>2405</v>
      </c>
      <c r="B2502">
        <v>1100</v>
      </c>
      <c r="C2502" t="s">
        <v>61</v>
      </c>
      <c r="D2502" t="s">
        <v>7861</v>
      </c>
      <c r="E2502">
        <v>67</v>
      </c>
      <c r="F2502" t="s">
        <v>272</v>
      </c>
      <c r="G2502" t="s">
        <v>7862</v>
      </c>
      <c r="H2502" t="s">
        <v>7863</v>
      </c>
      <c r="I2502" t="s">
        <v>61</v>
      </c>
      <c r="J2502" t="s">
        <v>272</v>
      </c>
      <c r="L2502" t="b">
        <v>1</v>
      </c>
      <c r="M2502" t="s">
        <v>611</v>
      </c>
      <c r="N2502" t="s">
        <v>8245</v>
      </c>
      <c r="O2502" s="1">
        <v>20239</v>
      </c>
      <c r="P2502" t="s">
        <v>7864</v>
      </c>
      <c r="Q2502" t="s">
        <v>81</v>
      </c>
      <c r="S2502" s="1">
        <v>45020.209027777775</v>
      </c>
      <c r="V2502">
        <v>1955</v>
      </c>
      <c r="W2502">
        <v>119.62</v>
      </c>
      <c r="X2502">
        <v>1.7</v>
      </c>
      <c r="Y2502" s="2">
        <v>2827113184696</v>
      </c>
      <c r="Z2502">
        <v>60</v>
      </c>
      <c r="AA2502">
        <v>101.2</v>
      </c>
      <c r="AB2502">
        <v>25.5</v>
      </c>
      <c r="AC2502">
        <v>30.6</v>
      </c>
      <c r="AD2502">
        <v>66834405</v>
      </c>
    </row>
    <row r="2503" spans="1:30" hidden="1" x14ac:dyDescent="0.45">
      <c r="A2503">
        <v>2405</v>
      </c>
      <c r="B2503">
        <v>1100</v>
      </c>
      <c r="C2503" t="s">
        <v>61</v>
      </c>
      <c r="D2503" t="s">
        <v>7865</v>
      </c>
      <c r="E2503">
        <v>79</v>
      </c>
      <c r="F2503" t="s">
        <v>35</v>
      </c>
      <c r="G2503" t="s">
        <v>78</v>
      </c>
      <c r="H2503" t="s">
        <v>317</v>
      </c>
      <c r="I2503" t="s">
        <v>61</v>
      </c>
      <c r="J2503" t="s">
        <v>35</v>
      </c>
      <c r="L2503" t="b">
        <v>1</v>
      </c>
      <c r="M2503" t="s">
        <v>29</v>
      </c>
      <c r="N2503" t="s">
        <v>8245</v>
      </c>
      <c r="O2503" s="1">
        <v>16107</v>
      </c>
      <c r="P2503" t="s">
        <v>7866</v>
      </c>
      <c r="Q2503" t="s">
        <v>717</v>
      </c>
      <c r="S2503" s="1">
        <v>45020.209027777775</v>
      </c>
      <c r="T2503" t="s">
        <v>78</v>
      </c>
      <c r="U2503" t="s">
        <v>82</v>
      </c>
      <c r="V2503">
        <v>1944</v>
      </c>
      <c r="W2503">
        <v>117.24</v>
      </c>
      <c r="X2503">
        <v>7.5</v>
      </c>
      <c r="Y2503" s="2">
        <v>21427700000000</v>
      </c>
      <c r="Z2503">
        <v>88.2</v>
      </c>
      <c r="AA2503">
        <v>101.8</v>
      </c>
      <c r="AB2503">
        <v>9.6</v>
      </c>
      <c r="AC2503">
        <v>36.6</v>
      </c>
      <c r="AD2503">
        <v>328239523</v>
      </c>
    </row>
    <row r="2504" spans="1:30" hidden="1" x14ac:dyDescent="0.45">
      <c r="A2504">
        <v>2405</v>
      </c>
      <c r="B2504">
        <v>1100</v>
      </c>
      <c r="C2504" t="s">
        <v>126</v>
      </c>
      <c r="D2504" t="s">
        <v>7867</v>
      </c>
      <c r="E2504">
        <v>41</v>
      </c>
      <c r="F2504" t="s">
        <v>35</v>
      </c>
      <c r="G2504" t="s">
        <v>224</v>
      </c>
      <c r="H2504" t="s">
        <v>3079</v>
      </c>
      <c r="I2504" t="s">
        <v>126</v>
      </c>
      <c r="J2504" t="s">
        <v>35</v>
      </c>
      <c r="L2504" t="b">
        <v>0</v>
      </c>
      <c r="M2504" t="s">
        <v>285</v>
      </c>
      <c r="N2504" t="s">
        <v>8245</v>
      </c>
      <c r="O2504" s="1">
        <v>29960</v>
      </c>
      <c r="P2504" t="s">
        <v>1321</v>
      </c>
      <c r="Q2504" t="s">
        <v>7868</v>
      </c>
      <c r="S2504" s="1">
        <v>45020.209027777775</v>
      </c>
      <c r="T2504" t="s">
        <v>226</v>
      </c>
      <c r="U2504" t="s">
        <v>44</v>
      </c>
      <c r="V2504">
        <v>1982</v>
      </c>
      <c r="W2504">
        <v>117.24</v>
      </c>
      <c r="X2504">
        <v>7.5</v>
      </c>
      <c r="Y2504" s="2">
        <v>21427700000000</v>
      </c>
      <c r="Z2504">
        <v>88.2</v>
      </c>
      <c r="AA2504">
        <v>101.8</v>
      </c>
      <c r="AB2504">
        <v>9.6</v>
      </c>
      <c r="AC2504">
        <v>36.6</v>
      </c>
      <c r="AD2504">
        <v>328239523</v>
      </c>
    </row>
    <row r="2505" spans="1:30" hidden="1" x14ac:dyDescent="0.45">
      <c r="A2505">
        <v>2405</v>
      </c>
      <c r="B2505">
        <v>1100</v>
      </c>
      <c r="C2505" t="s">
        <v>296</v>
      </c>
      <c r="D2505" t="s">
        <v>7869</v>
      </c>
      <c r="E2505">
        <v>73</v>
      </c>
      <c r="F2505" t="s">
        <v>328</v>
      </c>
      <c r="G2505" t="s">
        <v>795</v>
      </c>
      <c r="H2505" t="s">
        <v>6223</v>
      </c>
      <c r="I2505" t="s">
        <v>296</v>
      </c>
      <c r="J2505" t="s">
        <v>328</v>
      </c>
      <c r="L2505" t="b">
        <v>1</v>
      </c>
      <c r="M2505" t="s">
        <v>39</v>
      </c>
      <c r="N2505" t="s">
        <v>8245</v>
      </c>
      <c r="O2505" s="1">
        <v>18027</v>
      </c>
      <c r="P2505" t="s">
        <v>7870</v>
      </c>
      <c r="Q2505" t="s">
        <v>7871</v>
      </c>
      <c r="S2505" s="1">
        <v>45020.209027777775</v>
      </c>
      <c r="V2505">
        <v>1949</v>
      </c>
      <c r="W2505">
        <v>119.8</v>
      </c>
      <c r="X2505">
        <v>1.6</v>
      </c>
      <c r="Y2505" s="2">
        <v>1392680589329</v>
      </c>
      <c r="Z2505">
        <v>113.1</v>
      </c>
      <c r="AA2505">
        <v>100.3</v>
      </c>
      <c r="AB2505">
        <v>23</v>
      </c>
      <c r="AC2505">
        <v>47.4</v>
      </c>
      <c r="AD2505">
        <v>25766605</v>
      </c>
    </row>
    <row r="2506" spans="1:30" hidden="1" x14ac:dyDescent="0.45">
      <c r="A2506">
        <v>2405</v>
      </c>
      <c r="B2506">
        <v>1100</v>
      </c>
      <c r="C2506" t="s">
        <v>45</v>
      </c>
      <c r="D2506" t="s">
        <v>7872</v>
      </c>
      <c r="E2506">
        <v>49</v>
      </c>
      <c r="F2506" t="s">
        <v>128</v>
      </c>
      <c r="G2506" t="s">
        <v>292</v>
      </c>
      <c r="H2506" t="s">
        <v>442</v>
      </c>
      <c r="I2506" t="s">
        <v>45</v>
      </c>
      <c r="J2506" t="s">
        <v>128</v>
      </c>
      <c r="L2506" t="b">
        <v>1</v>
      </c>
      <c r="M2506" t="s">
        <v>39</v>
      </c>
      <c r="N2506" t="s">
        <v>8245</v>
      </c>
      <c r="O2506" s="1">
        <v>26846</v>
      </c>
      <c r="P2506" t="s">
        <v>945</v>
      </c>
      <c r="Q2506" t="s">
        <v>7873</v>
      </c>
      <c r="S2506" s="1">
        <v>45020.209027777775</v>
      </c>
      <c r="V2506">
        <v>1973</v>
      </c>
      <c r="W2506">
        <v>125.08</v>
      </c>
      <c r="X2506">
        <v>2.9</v>
      </c>
      <c r="Y2506" s="2">
        <v>19910000000000</v>
      </c>
      <c r="Z2506">
        <v>50.6</v>
      </c>
      <c r="AA2506">
        <v>100.2</v>
      </c>
      <c r="AB2506">
        <v>9.4</v>
      </c>
      <c r="AC2506">
        <v>59.2</v>
      </c>
      <c r="AD2506">
        <v>1397715000</v>
      </c>
    </row>
    <row r="2507" spans="1:30" hidden="1" x14ac:dyDescent="0.45">
      <c r="A2507">
        <v>2405</v>
      </c>
      <c r="B2507">
        <v>1100</v>
      </c>
      <c r="C2507" t="s">
        <v>296</v>
      </c>
      <c r="D2507" t="s">
        <v>7874</v>
      </c>
      <c r="E2507">
        <v>59</v>
      </c>
      <c r="F2507" t="s">
        <v>128</v>
      </c>
      <c r="G2507" t="s">
        <v>5126</v>
      </c>
      <c r="H2507" t="s">
        <v>7875</v>
      </c>
      <c r="I2507" t="s">
        <v>296</v>
      </c>
      <c r="J2507" t="s">
        <v>128</v>
      </c>
      <c r="L2507" t="b">
        <v>1</v>
      </c>
      <c r="M2507" t="s">
        <v>39</v>
      </c>
      <c r="N2507" t="s">
        <v>8245</v>
      </c>
      <c r="O2507" s="1">
        <v>23218</v>
      </c>
      <c r="P2507" t="s">
        <v>945</v>
      </c>
      <c r="Q2507" t="s">
        <v>7876</v>
      </c>
      <c r="S2507" s="1">
        <v>45020.209027777775</v>
      </c>
      <c r="V2507">
        <v>1963</v>
      </c>
      <c r="W2507">
        <v>125.08</v>
      </c>
      <c r="X2507">
        <v>2.9</v>
      </c>
      <c r="Y2507" s="2">
        <v>19910000000000</v>
      </c>
      <c r="Z2507">
        <v>50.6</v>
      </c>
      <c r="AA2507">
        <v>100.2</v>
      </c>
      <c r="AB2507">
        <v>9.4</v>
      </c>
      <c r="AC2507">
        <v>59.2</v>
      </c>
      <c r="AD2507">
        <v>1397715000</v>
      </c>
    </row>
    <row r="2508" spans="1:30" hidden="1" x14ac:dyDescent="0.45">
      <c r="A2508">
        <v>2405</v>
      </c>
      <c r="B2508">
        <v>1100</v>
      </c>
      <c r="C2508" t="s">
        <v>45</v>
      </c>
      <c r="D2508" t="s">
        <v>7877</v>
      </c>
      <c r="E2508">
        <v>61</v>
      </c>
      <c r="F2508" t="s">
        <v>35</v>
      </c>
      <c r="G2508" t="s">
        <v>241</v>
      </c>
      <c r="H2508" t="s">
        <v>442</v>
      </c>
      <c r="I2508" t="s">
        <v>45</v>
      </c>
      <c r="J2508" t="s">
        <v>35</v>
      </c>
      <c r="L2508" t="b">
        <v>1</v>
      </c>
      <c r="M2508" t="s">
        <v>39</v>
      </c>
      <c r="N2508" t="s">
        <v>8245</v>
      </c>
      <c r="O2508" s="1">
        <v>22471</v>
      </c>
      <c r="P2508" t="s">
        <v>7878</v>
      </c>
      <c r="Q2508" t="s">
        <v>7879</v>
      </c>
      <c r="S2508" s="1">
        <v>45020.209027777775</v>
      </c>
      <c r="T2508" t="s">
        <v>245</v>
      </c>
      <c r="U2508" t="s">
        <v>53</v>
      </c>
      <c r="V2508">
        <v>1961</v>
      </c>
      <c r="W2508">
        <v>117.24</v>
      </c>
      <c r="X2508">
        <v>7.5</v>
      </c>
      <c r="Y2508" s="2">
        <v>21427700000000</v>
      </c>
      <c r="Z2508">
        <v>88.2</v>
      </c>
      <c r="AA2508">
        <v>101.8</v>
      </c>
      <c r="AB2508">
        <v>9.6</v>
      </c>
      <c r="AC2508">
        <v>36.6</v>
      </c>
      <c r="AD2508">
        <v>328239523</v>
      </c>
    </row>
    <row r="2509" spans="1:30" hidden="1" x14ac:dyDescent="0.45">
      <c r="A2509">
        <v>2405</v>
      </c>
      <c r="B2509">
        <v>1100</v>
      </c>
      <c r="C2509" t="s">
        <v>76</v>
      </c>
      <c r="D2509" t="s">
        <v>7880</v>
      </c>
      <c r="E2509">
        <v>45</v>
      </c>
      <c r="F2509" t="s">
        <v>574</v>
      </c>
      <c r="G2509" t="s">
        <v>574</v>
      </c>
      <c r="H2509" t="s">
        <v>7881</v>
      </c>
      <c r="I2509" t="s">
        <v>76</v>
      </c>
      <c r="J2509" t="s">
        <v>574</v>
      </c>
      <c r="L2509" t="b">
        <v>1</v>
      </c>
      <c r="M2509" t="s">
        <v>1332</v>
      </c>
      <c r="N2509" t="s">
        <v>8245</v>
      </c>
      <c r="O2509" s="1">
        <v>28434</v>
      </c>
      <c r="P2509" t="s">
        <v>4458</v>
      </c>
      <c r="Q2509" t="s">
        <v>7882</v>
      </c>
      <c r="S2509" s="1">
        <v>45020.209027777775</v>
      </c>
      <c r="V2509">
        <v>1977</v>
      </c>
      <c r="W2509">
        <v>114.41</v>
      </c>
      <c r="X2509">
        <v>0.6</v>
      </c>
      <c r="Y2509" s="2">
        <v>372062527489</v>
      </c>
      <c r="Z2509">
        <v>84.8</v>
      </c>
      <c r="AA2509">
        <v>100.6</v>
      </c>
      <c r="AB2509">
        <v>13.1</v>
      </c>
      <c r="AC2509">
        <v>21</v>
      </c>
      <c r="AD2509">
        <v>5703569</v>
      </c>
    </row>
    <row r="2510" spans="1:30" hidden="1" x14ac:dyDescent="0.45">
      <c r="A2510">
        <v>2405</v>
      </c>
      <c r="B2510">
        <v>1100</v>
      </c>
      <c r="C2510" t="s">
        <v>23</v>
      </c>
      <c r="D2510" t="s">
        <v>7883</v>
      </c>
      <c r="E2510">
        <v>52</v>
      </c>
      <c r="F2510" t="s">
        <v>762</v>
      </c>
      <c r="G2510" t="s">
        <v>7884</v>
      </c>
      <c r="H2510" t="s">
        <v>196</v>
      </c>
      <c r="I2510" t="s">
        <v>23</v>
      </c>
      <c r="J2510" t="s">
        <v>762</v>
      </c>
      <c r="L2510" t="b">
        <v>1</v>
      </c>
      <c r="M2510" t="s">
        <v>39</v>
      </c>
      <c r="N2510" t="s">
        <v>8245</v>
      </c>
      <c r="O2510" s="1">
        <v>25934</v>
      </c>
      <c r="P2510" t="s">
        <v>4458</v>
      </c>
      <c r="Q2510" t="s">
        <v>7885</v>
      </c>
      <c r="S2510" s="1">
        <v>45020.209027777775</v>
      </c>
      <c r="V2510">
        <v>1971</v>
      </c>
      <c r="W2510">
        <v>121.46</v>
      </c>
      <c r="X2510">
        <v>0.7</v>
      </c>
      <c r="Y2510" s="2">
        <v>364701517788</v>
      </c>
      <c r="Z2510">
        <v>45.1</v>
      </c>
      <c r="AA2510">
        <v>105.3</v>
      </c>
      <c r="AB2510">
        <v>12</v>
      </c>
      <c r="AC2510">
        <v>38.700000000000003</v>
      </c>
      <c r="AD2510">
        <v>32447385</v>
      </c>
    </row>
    <row r="2511" spans="1:30" hidden="1" x14ac:dyDescent="0.45">
      <c r="A2511">
        <v>2405</v>
      </c>
      <c r="B2511">
        <v>1100</v>
      </c>
      <c r="C2511" t="s">
        <v>33</v>
      </c>
      <c r="D2511" t="s">
        <v>7886</v>
      </c>
      <c r="E2511">
        <v>77</v>
      </c>
      <c r="F2511" t="s">
        <v>128</v>
      </c>
      <c r="G2511" t="s">
        <v>1045</v>
      </c>
      <c r="H2511" t="s">
        <v>752</v>
      </c>
      <c r="I2511" t="s">
        <v>33</v>
      </c>
      <c r="J2511" t="s">
        <v>128</v>
      </c>
      <c r="L2511" t="b">
        <v>1</v>
      </c>
      <c r="M2511" t="s">
        <v>258</v>
      </c>
      <c r="N2511" t="s">
        <v>8245</v>
      </c>
      <c r="O2511" s="1">
        <v>16538</v>
      </c>
      <c r="P2511" t="s">
        <v>4708</v>
      </c>
      <c r="Q2511" t="s">
        <v>7887</v>
      </c>
      <c r="S2511" s="1">
        <v>45020.209027777775</v>
      </c>
      <c r="V2511">
        <v>1945</v>
      </c>
      <c r="W2511">
        <v>125.08</v>
      </c>
      <c r="X2511">
        <v>2.9</v>
      </c>
      <c r="Y2511" s="2">
        <v>19910000000000</v>
      </c>
      <c r="Z2511">
        <v>50.6</v>
      </c>
      <c r="AA2511">
        <v>100.2</v>
      </c>
      <c r="AB2511">
        <v>9.4</v>
      </c>
      <c r="AC2511">
        <v>59.2</v>
      </c>
      <c r="AD2511">
        <v>1397715000</v>
      </c>
    </row>
    <row r="2512" spans="1:30" hidden="1" x14ac:dyDescent="0.45">
      <c r="A2512">
        <v>2405</v>
      </c>
      <c r="B2512">
        <v>1100</v>
      </c>
      <c r="C2512" t="s">
        <v>296</v>
      </c>
      <c r="D2512" t="s">
        <v>7888</v>
      </c>
      <c r="E2512">
        <v>51</v>
      </c>
      <c r="F2512" t="s">
        <v>628</v>
      </c>
      <c r="G2512" t="s">
        <v>629</v>
      </c>
      <c r="H2512" t="s">
        <v>7889</v>
      </c>
      <c r="I2512" t="s">
        <v>296</v>
      </c>
      <c r="J2512" t="s">
        <v>628</v>
      </c>
      <c r="L2512" t="b">
        <v>0</v>
      </c>
      <c r="M2512" t="s">
        <v>39</v>
      </c>
      <c r="N2512" t="s">
        <v>8245</v>
      </c>
      <c r="O2512" s="1">
        <v>26187</v>
      </c>
      <c r="P2512" t="s">
        <v>6544</v>
      </c>
      <c r="Q2512" t="s">
        <v>7890</v>
      </c>
      <c r="S2512" s="1">
        <v>45020.209027777775</v>
      </c>
      <c r="V2512">
        <v>1971</v>
      </c>
      <c r="W2512">
        <v>113.27</v>
      </c>
      <c r="X2512">
        <v>0.7</v>
      </c>
      <c r="Y2512" s="2">
        <v>543649976166</v>
      </c>
      <c r="Z2512">
        <v>49.3</v>
      </c>
      <c r="AA2512">
        <v>99.8</v>
      </c>
      <c r="AB2512">
        <v>14.9</v>
      </c>
      <c r="AC2512">
        <v>29.5</v>
      </c>
      <c r="AD2512">
        <v>69625582</v>
      </c>
    </row>
    <row r="2513" spans="1:30" hidden="1" x14ac:dyDescent="0.45">
      <c r="A2513">
        <v>2405</v>
      </c>
      <c r="B2513">
        <v>1100</v>
      </c>
      <c r="C2513" t="s">
        <v>126</v>
      </c>
      <c r="D2513" t="s">
        <v>7891</v>
      </c>
      <c r="E2513">
        <v>76</v>
      </c>
      <c r="F2513" t="s">
        <v>1259</v>
      </c>
      <c r="G2513" t="s">
        <v>1260</v>
      </c>
      <c r="H2513" t="s">
        <v>2210</v>
      </c>
      <c r="I2513" t="s">
        <v>126</v>
      </c>
      <c r="J2513" t="s">
        <v>1259</v>
      </c>
      <c r="L2513" t="b">
        <v>1</v>
      </c>
      <c r="M2513" t="s">
        <v>258</v>
      </c>
      <c r="N2513" t="s">
        <v>8245</v>
      </c>
      <c r="O2513" s="1">
        <v>17168</v>
      </c>
      <c r="P2513" t="s">
        <v>7892</v>
      </c>
      <c r="Q2513" t="s">
        <v>7893</v>
      </c>
      <c r="S2513" s="1">
        <v>45020.209027777775</v>
      </c>
      <c r="V2513">
        <v>1947</v>
      </c>
      <c r="W2513"/>
      <c r="Y2513"/>
    </row>
    <row r="2514" spans="1:30" hidden="1" x14ac:dyDescent="0.45">
      <c r="A2514">
        <v>2405</v>
      </c>
      <c r="B2514">
        <v>1100</v>
      </c>
      <c r="C2514" t="s">
        <v>296</v>
      </c>
      <c r="D2514" t="s">
        <v>7894</v>
      </c>
      <c r="E2514">
        <v>58</v>
      </c>
      <c r="F2514" t="s">
        <v>128</v>
      </c>
      <c r="G2514" t="s">
        <v>6018</v>
      </c>
      <c r="H2514" t="s">
        <v>296</v>
      </c>
      <c r="I2514" t="s">
        <v>296</v>
      </c>
      <c r="J2514" t="s">
        <v>128</v>
      </c>
      <c r="L2514" t="b">
        <v>1</v>
      </c>
      <c r="M2514" t="s">
        <v>39</v>
      </c>
      <c r="N2514" t="s">
        <v>8245</v>
      </c>
      <c r="O2514" s="1">
        <v>23743</v>
      </c>
      <c r="P2514" t="s">
        <v>3076</v>
      </c>
      <c r="Q2514" t="s">
        <v>7895</v>
      </c>
      <c r="S2514" s="1">
        <v>45020.209027777775</v>
      </c>
      <c r="V2514">
        <v>1965</v>
      </c>
      <c r="W2514">
        <v>125.08</v>
      </c>
      <c r="X2514">
        <v>2.9</v>
      </c>
      <c r="Y2514" s="2">
        <v>19910000000000</v>
      </c>
      <c r="Z2514">
        <v>50.6</v>
      </c>
      <c r="AA2514">
        <v>100.2</v>
      </c>
      <c r="AB2514">
        <v>9.4</v>
      </c>
      <c r="AC2514">
        <v>59.2</v>
      </c>
      <c r="AD2514">
        <v>1397715000</v>
      </c>
    </row>
    <row r="2515" spans="1:30" hidden="1" x14ac:dyDescent="0.45">
      <c r="A2515">
        <v>2405</v>
      </c>
      <c r="B2515">
        <v>1100</v>
      </c>
      <c r="C2515" t="s">
        <v>45</v>
      </c>
      <c r="D2515" t="s">
        <v>7896</v>
      </c>
      <c r="E2515">
        <v>59</v>
      </c>
      <c r="F2515" t="s">
        <v>490</v>
      </c>
      <c r="G2515" t="s">
        <v>1737</v>
      </c>
      <c r="H2515" t="s">
        <v>7897</v>
      </c>
      <c r="I2515" t="s">
        <v>45</v>
      </c>
      <c r="J2515" t="s">
        <v>363</v>
      </c>
      <c r="L2515" t="b">
        <v>1</v>
      </c>
      <c r="M2515" t="s">
        <v>1332</v>
      </c>
      <c r="N2515" t="s">
        <v>8245</v>
      </c>
      <c r="O2515" s="1">
        <v>23418</v>
      </c>
      <c r="P2515" t="s">
        <v>7898</v>
      </c>
      <c r="Q2515" t="s">
        <v>3163</v>
      </c>
      <c r="S2515" s="1">
        <v>45020.209027777775</v>
      </c>
      <c r="V2515">
        <v>1964</v>
      </c>
      <c r="W2515">
        <v>108.15</v>
      </c>
      <c r="X2515">
        <v>0.8</v>
      </c>
      <c r="Y2515" s="2">
        <v>395098666122</v>
      </c>
      <c r="Z2515">
        <v>63.4</v>
      </c>
      <c r="AA2515">
        <v>104.9</v>
      </c>
      <c r="AB2515">
        <v>23.1</v>
      </c>
      <c r="AC2515">
        <v>25.3</v>
      </c>
      <c r="AD2515">
        <v>9053300</v>
      </c>
    </row>
    <row r="2516" spans="1:30" hidden="1" x14ac:dyDescent="0.45">
      <c r="A2516">
        <v>2405</v>
      </c>
      <c r="B2516">
        <v>1100</v>
      </c>
      <c r="C2516" t="s">
        <v>296</v>
      </c>
      <c r="D2516" t="s">
        <v>7899</v>
      </c>
      <c r="E2516">
        <v>71</v>
      </c>
      <c r="F2516" t="s">
        <v>194</v>
      </c>
      <c r="G2516" t="s">
        <v>7900</v>
      </c>
      <c r="H2516" t="s">
        <v>399</v>
      </c>
      <c r="I2516" t="s">
        <v>296</v>
      </c>
      <c r="J2516" t="s">
        <v>194</v>
      </c>
      <c r="L2516" t="b">
        <v>0</v>
      </c>
      <c r="M2516" t="s">
        <v>29</v>
      </c>
      <c r="N2516" t="s">
        <v>8245</v>
      </c>
      <c r="O2516" s="1">
        <v>18903</v>
      </c>
      <c r="P2516" t="s">
        <v>7901</v>
      </c>
      <c r="Q2516" t="s">
        <v>7902</v>
      </c>
      <c r="S2516" s="1">
        <v>45020.209027777775</v>
      </c>
      <c r="V2516">
        <v>1951</v>
      </c>
      <c r="W2516">
        <v>112.85</v>
      </c>
      <c r="X2516">
        <v>1.4</v>
      </c>
      <c r="Y2516" s="2">
        <v>3845630030824</v>
      </c>
      <c r="Z2516">
        <v>70.2</v>
      </c>
      <c r="AA2516">
        <v>104</v>
      </c>
      <c r="AB2516">
        <v>11.5</v>
      </c>
      <c r="AC2516">
        <v>48.8</v>
      </c>
      <c r="AD2516">
        <v>83132799</v>
      </c>
    </row>
    <row r="2517" spans="1:30" hidden="1" x14ac:dyDescent="0.45">
      <c r="A2517">
        <v>2405</v>
      </c>
      <c r="B2517">
        <v>1100</v>
      </c>
      <c r="C2517" t="s">
        <v>126</v>
      </c>
      <c r="D2517" t="s">
        <v>7903</v>
      </c>
      <c r="E2517">
        <v>82</v>
      </c>
      <c r="F2517" t="s">
        <v>128</v>
      </c>
      <c r="G2517" t="s">
        <v>7904</v>
      </c>
      <c r="H2517" t="s">
        <v>2210</v>
      </c>
      <c r="I2517" t="s">
        <v>126</v>
      </c>
      <c r="J2517" t="s">
        <v>128</v>
      </c>
      <c r="L2517" t="b">
        <v>1</v>
      </c>
      <c r="M2517" t="s">
        <v>39</v>
      </c>
      <c r="N2517" t="s">
        <v>8245</v>
      </c>
      <c r="O2517" s="1">
        <v>14855</v>
      </c>
      <c r="P2517" t="s">
        <v>7905</v>
      </c>
      <c r="Q2517" t="s">
        <v>4642</v>
      </c>
      <c r="S2517" s="1">
        <v>45020.209027777775</v>
      </c>
      <c r="V2517">
        <v>1940</v>
      </c>
      <c r="W2517">
        <v>125.08</v>
      </c>
      <c r="X2517">
        <v>2.9</v>
      </c>
      <c r="Y2517" s="2">
        <v>19910000000000</v>
      </c>
      <c r="Z2517">
        <v>50.6</v>
      </c>
      <c r="AA2517">
        <v>100.2</v>
      </c>
      <c r="AB2517">
        <v>9.4</v>
      </c>
      <c r="AC2517">
        <v>59.2</v>
      </c>
      <c r="AD2517">
        <v>1397715000</v>
      </c>
    </row>
    <row r="2518" spans="1:30" hidden="1" x14ac:dyDescent="0.45">
      <c r="A2518">
        <v>2405</v>
      </c>
      <c r="B2518">
        <v>1100</v>
      </c>
      <c r="C2518" t="s">
        <v>91</v>
      </c>
      <c r="D2518" t="s">
        <v>7906</v>
      </c>
      <c r="E2518">
        <v>35</v>
      </c>
      <c r="F2518" t="s">
        <v>128</v>
      </c>
      <c r="G2518" t="s">
        <v>292</v>
      </c>
      <c r="H2518" t="s">
        <v>2893</v>
      </c>
      <c r="I2518" t="s">
        <v>91</v>
      </c>
      <c r="J2518" t="s">
        <v>128</v>
      </c>
      <c r="L2518" t="b">
        <v>0</v>
      </c>
      <c r="M2518" t="s">
        <v>39</v>
      </c>
      <c r="N2518" t="s">
        <v>8245</v>
      </c>
      <c r="O2518" s="1">
        <v>31990</v>
      </c>
      <c r="P2518" t="s">
        <v>439</v>
      </c>
      <c r="Q2518" t="s">
        <v>7907</v>
      </c>
      <c r="S2518" s="1">
        <v>45020.209027777775</v>
      </c>
      <c r="V2518">
        <v>1987</v>
      </c>
      <c r="W2518">
        <v>125.08</v>
      </c>
      <c r="X2518">
        <v>2.9</v>
      </c>
      <c r="Y2518" s="2">
        <v>19910000000000</v>
      </c>
      <c r="Z2518">
        <v>50.6</v>
      </c>
      <c r="AA2518">
        <v>100.2</v>
      </c>
      <c r="AB2518">
        <v>9.4</v>
      </c>
      <c r="AC2518">
        <v>59.2</v>
      </c>
      <c r="AD2518">
        <v>1397715000</v>
      </c>
    </row>
    <row r="2519" spans="1:30" hidden="1" x14ac:dyDescent="0.45">
      <c r="A2519">
        <v>2405</v>
      </c>
      <c r="B2519">
        <v>1100</v>
      </c>
      <c r="C2519" t="s">
        <v>76</v>
      </c>
      <c r="D2519" t="s">
        <v>7908</v>
      </c>
      <c r="E2519">
        <v>46</v>
      </c>
      <c r="F2519" t="s">
        <v>577</v>
      </c>
      <c r="G2519" t="s">
        <v>7909</v>
      </c>
      <c r="H2519" t="s">
        <v>2354</v>
      </c>
      <c r="I2519" t="s">
        <v>76</v>
      </c>
      <c r="J2519" t="s">
        <v>577</v>
      </c>
      <c r="L2519" t="b">
        <v>1</v>
      </c>
      <c r="M2519" t="s">
        <v>39</v>
      </c>
      <c r="N2519" t="s">
        <v>8245</v>
      </c>
      <c r="O2519" s="1">
        <v>28217</v>
      </c>
      <c r="P2519" t="s">
        <v>7910</v>
      </c>
      <c r="Q2519" t="s">
        <v>7911</v>
      </c>
      <c r="S2519" s="1">
        <v>45020.209027777775</v>
      </c>
      <c r="V2519">
        <v>1977</v>
      </c>
      <c r="W2519">
        <v>110.51</v>
      </c>
      <c r="X2519">
        <v>1.8</v>
      </c>
      <c r="Y2519" s="2">
        <v>530832908738</v>
      </c>
      <c r="Z2519">
        <v>67</v>
      </c>
      <c r="AA2519">
        <v>126.6</v>
      </c>
      <c r="AB2519">
        <v>27.9</v>
      </c>
      <c r="AC2519">
        <v>49.1</v>
      </c>
      <c r="AD2519">
        <v>10285453</v>
      </c>
    </row>
    <row r="2520" spans="1:30" hidden="1" x14ac:dyDescent="0.45">
      <c r="A2520">
        <v>2405</v>
      </c>
      <c r="B2520">
        <v>1100</v>
      </c>
      <c r="C2520" t="s">
        <v>296</v>
      </c>
      <c r="D2520" t="s">
        <v>7912</v>
      </c>
      <c r="E2520">
        <v>73</v>
      </c>
      <c r="F2520" t="s">
        <v>228</v>
      </c>
      <c r="G2520" t="s">
        <v>228</v>
      </c>
      <c r="H2520" t="s">
        <v>1400</v>
      </c>
      <c r="I2520" t="s">
        <v>296</v>
      </c>
      <c r="J2520" t="s">
        <v>228</v>
      </c>
      <c r="L2520" t="b">
        <v>1</v>
      </c>
      <c r="M2520" t="s">
        <v>611</v>
      </c>
      <c r="N2520" t="s">
        <v>8245</v>
      </c>
      <c r="O2520" s="1">
        <v>18354</v>
      </c>
      <c r="P2520" t="s">
        <v>3992</v>
      </c>
      <c r="Q2520" t="s">
        <v>7913</v>
      </c>
      <c r="S2520" s="1">
        <v>45020.209027777775</v>
      </c>
      <c r="V2520">
        <v>1950</v>
      </c>
      <c r="W2520"/>
      <c r="Y2520"/>
    </row>
    <row r="2521" spans="1:30" x14ac:dyDescent="0.45">
      <c r="A2521">
        <v>2405</v>
      </c>
      <c r="B2521" s="6">
        <v>1100</v>
      </c>
      <c r="C2521" t="s">
        <v>702</v>
      </c>
      <c r="D2521" t="s">
        <v>7914</v>
      </c>
      <c r="E2521">
        <v>47</v>
      </c>
      <c r="F2521" t="s">
        <v>35</v>
      </c>
      <c r="G2521" t="s">
        <v>7915</v>
      </c>
      <c r="H2521" t="s">
        <v>7916</v>
      </c>
      <c r="I2521" t="s">
        <v>702</v>
      </c>
      <c r="J2521" t="s">
        <v>35</v>
      </c>
      <c r="K2521" t="s">
        <v>7917</v>
      </c>
      <c r="L2521" t="b">
        <v>1</v>
      </c>
      <c r="M2521" t="s">
        <v>258</v>
      </c>
      <c r="N2521" t="s">
        <v>8245</v>
      </c>
      <c r="O2521" s="10">
        <v>27758</v>
      </c>
      <c r="P2521" t="s">
        <v>7918</v>
      </c>
      <c r="Q2521" t="s">
        <v>7919</v>
      </c>
      <c r="R2521" t="s">
        <v>3628</v>
      </c>
      <c r="S2521" s="8">
        <v>45020.209027777775</v>
      </c>
      <c r="T2521" t="s">
        <v>253</v>
      </c>
      <c r="U2521" t="s">
        <v>44</v>
      </c>
      <c r="V2521">
        <v>1975</v>
      </c>
      <c r="W2521" s="12">
        <v>117.24</v>
      </c>
      <c r="X2521">
        <v>7.5</v>
      </c>
      <c r="Y2521" s="14">
        <v>21427700000000</v>
      </c>
      <c r="Z2521">
        <v>88.2</v>
      </c>
      <c r="AA2521">
        <v>101.8</v>
      </c>
      <c r="AB2521">
        <v>9.6</v>
      </c>
      <c r="AC2521">
        <v>36.6</v>
      </c>
      <c r="AD2521">
        <v>328239523</v>
      </c>
    </row>
    <row r="2522" spans="1:30" hidden="1" x14ac:dyDescent="0.45">
      <c r="A2522">
        <v>2405</v>
      </c>
      <c r="B2522">
        <v>1100</v>
      </c>
      <c r="C2522" t="s">
        <v>23</v>
      </c>
      <c r="D2522" t="s">
        <v>7920</v>
      </c>
      <c r="E2522">
        <v>81</v>
      </c>
      <c r="F2522" t="s">
        <v>194</v>
      </c>
      <c r="G2522" t="s">
        <v>7921</v>
      </c>
      <c r="H2522" t="s">
        <v>5061</v>
      </c>
      <c r="I2522" t="s">
        <v>23</v>
      </c>
      <c r="J2522" t="s">
        <v>194</v>
      </c>
      <c r="L2522" t="b">
        <v>1</v>
      </c>
      <c r="M2522" t="s">
        <v>39</v>
      </c>
      <c r="N2522" t="s">
        <v>8245</v>
      </c>
      <c r="O2522" s="1">
        <v>15104</v>
      </c>
      <c r="P2522" t="s">
        <v>7922</v>
      </c>
      <c r="Q2522" t="s">
        <v>2975</v>
      </c>
      <c r="S2522" s="1">
        <v>45020.209027777775</v>
      </c>
      <c r="V2522">
        <v>1941</v>
      </c>
      <c r="W2522">
        <v>112.85</v>
      </c>
      <c r="X2522">
        <v>1.4</v>
      </c>
      <c r="Y2522" s="2">
        <v>3845630030824</v>
      </c>
      <c r="Z2522">
        <v>70.2</v>
      </c>
      <c r="AA2522">
        <v>104</v>
      </c>
      <c r="AB2522">
        <v>11.5</v>
      </c>
      <c r="AC2522">
        <v>48.8</v>
      </c>
      <c r="AD2522">
        <v>83132799</v>
      </c>
    </row>
    <row r="2523" spans="1:30" hidden="1" x14ac:dyDescent="0.45">
      <c r="A2523">
        <v>2405</v>
      </c>
      <c r="B2523">
        <v>1100</v>
      </c>
      <c r="C2523" t="s">
        <v>83</v>
      </c>
      <c r="D2523" t="s">
        <v>7923</v>
      </c>
      <c r="E2523">
        <v>53</v>
      </c>
      <c r="F2523" t="s">
        <v>128</v>
      </c>
      <c r="G2523" t="s">
        <v>2921</v>
      </c>
      <c r="H2523" t="s">
        <v>1400</v>
      </c>
      <c r="I2523" t="s">
        <v>83</v>
      </c>
      <c r="J2523" t="s">
        <v>228</v>
      </c>
      <c r="L2523" t="b">
        <v>1</v>
      </c>
      <c r="M2523" t="s">
        <v>39</v>
      </c>
      <c r="N2523" t="s">
        <v>8245</v>
      </c>
      <c r="O2523" s="1">
        <v>25538</v>
      </c>
      <c r="P2523" t="s">
        <v>894</v>
      </c>
      <c r="Q2523" t="s">
        <v>7924</v>
      </c>
      <c r="S2523" s="1">
        <v>45020.209027777775</v>
      </c>
      <c r="V2523">
        <v>1969</v>
      </c>
      <c r="W2523">
        <v>125.08</v>
      </c>
      <c r="X2523">
        <v>2.9</v>
      </c>
      <c r="Y2523" s="2">
        <v>19910000000000</v>
      </c>
      <c r="Z2523">
        <v>50.6</v>
      </c>
      <c r="AA2523">
        <v>100.2</v>
      </c>
      <c r="AB2523">
        <v>9.4</v>
      </c>
      <c r="AC2523">
        <v>59.2</v>
      </c>
      <c r="AD2523">
        <v>1397715000</v>
      </c>
    </row>
    <row r="2524" spans="1:30" hidden="1" x14ac:dyDescent="0.45">
      <c r="A2524">
        <v>2405</v>
      </c>
      <c r="B2524">
        <v>1100</v>
      </c>
      <c r="C2524" t="s">
        <v>296</v>
      </c>
      <c r="D2524" t="s">
        <v>7925</v>
      </c>
      <c r="E2524">
        <v>82</v>
      </c>
      <c r="F2524" t="s">
        <v>1259</v>
      </c>
      <c r="G2524" t="s">
        <v>7926</v>
      </c>
      <c r="H2524" t="s">
        <v>6256</v>
      </c>
      <c r="I2524" t="s">
        <v>296</v>
      </c>
      <c r="J2524" t="s">
        <v>1259</v>
      </c>
      <c r="L2524" t="b">
        <v>1</v>
      </c>
      <c r="M2524" t="s">
        <v>39</v>
      </c>
      <c r="N2524" t="s">
        <v>8245</v>
      </c>
      <c r="O2524" s="1">
        <v>14977</v>
      </c>
      <c r="P2524" t="s">
        <v>894</v>
      </c>
      <c r="Q2524" t="s">
        <v>7927</v>
      </c>
      <c r="S2524" s="1">
        <v>45020.209027777775</v>
      </c>
      <c r="V2524">
        <v>1941</v>
      </c>
      <c r="W2524"/>
      <c r="Y2524"/>
    </row>
    <row r="2525" spans="1:30" hidden="1" x14ac:dyDescent="0.45">
      <c r="A2525">
        <v>2405</v>
      </c>
      <c r="B2525">
        <v>1100</v>
      </c>
      <c r="C2525" t="s">
        <v>126</v>
      </c>
      <c r="D2525" t="s">
        <v>7928</v>
      </c>
      <c r="E2525">
        <v>54</v>
      </c>
      <c r="F2525" t="s">
        <v>128</v>
      </c>
      <c r="G2525" t="s">
        <v>187</v>
      </c>
      <c r="H2525" t="s">
        <v>7929</v>
      </c>
      <c r="I2525" t="s">
        <v>126</v>
      </c>
      <c r="J2525" t="s">
        <v>128</v>
      </c>
      <c r="L2525" t="b">
        <v>1</v>
      </c>
      <c r="M2525" t="s">
        <v>39</v>
      </c>
      <c r="N2525" t="s">
        <v>8245</v>
      </c>
      <c r="O2525" s="1">
        <v>25204</v>
      </c>
      <c r="P2525" t="s">
        <v>894</v>
      </c>
      <c r="Q2525" t="s">
        <v>4856</v>
      </c>
      <c r="S2525" s="1">
        <v>45020.209027777775</v>
      </c>
      <c r="V2525">
        <v>1969</v>
      </c>
      <c r="W2525">
        <v>125.08</v>
      </c>
      <c r="X2525">
        <v>2.9</v>
      </c>
      <c r="Y2525" s="2">
        <v>19910000000000</v>
      </c>
      <c r="Z2525">
        <v>50.6</v>
      </c>
      <c r="AA2525">
        <v>100.2</v>
      </c>
      <c r="AB2525">
        <v>9.4</v>
      </c>
      <c r="AC2525">
        <v>59.2</v>
      </c>
      <c r="AD2525">
        <v>1397715000</v>
      </c>
    </row>
    <row r="2526" spans="1:30" hidden="1" x14ac:dyDescent="0.45">
      <c r="A2526">
        <v>2405</v>
      </c>
      <c r="B2526">
        <v>1100</v>
      </c>
      <c r="C2526" t="s">
        <v>402</v>
      </c>
      <c r="D2526" t="s">
        <v>7930</v>
      </c>
      <c r="E2526">
        <v>68</v>
      </c>
      <c r="F2526" t="s">
        <v>128</v>
      </c>
      <c r="G2526" t="s">
        <v>6427</v>
      </c>
      <c r="H2526" t="s">
        <v>610</v>
      </c>
      <c r="I2526" t="s">
        <v>402</v>
      </c>
      <c r="J2526" t="s">
        <v>128</v>
      </c>
      <c r="L2526" t="b">
        <v>1</v>
      </c>
      <c r="M2526" t="s">
        <v>39</v>
      </c>
      <c r="N2526" t="s">
        <v>8245</v>
      </c>
      <c r="O2526" s="1">
        <v>19906</v>
      </c>
      <c r="P2526" t="s">
        <v>7931</v>
      </c>
      <c r="Q2526" t="s">
        <v>7932</v>
      </c>
      <c r="S2526" s="1">
        <v>45020.209027777775</v>
      </c>
      <c r="V2526">
        <v>1954</v>
      </c>
      <c r="W2526">
        <v>125.08</v>
      </c>
      <c r="X2526">
        <v>2.9</v>
      </c>
      <c r="Y2526" s="2">
        <v>19910000000000</v>
      </c>
      <c r="Z2526">
        <v>50.6</v>
      </c>
      <c r="AA2526">
        <v>100.2</v>
      </c>
      <c r="AB2526">
        <v>9.4</v>
      </c>
      <c r="AC2526">
        <v>59.2</v>
      </c>
      <c r="AD2526">
        <v>1397715000</v>
      </c>
    </row>
    <row r="2527" spans="1:30" hidden="1" x14ac:dyDescent="0.45">
      <c r="A2527">
        <v>2405</v>
      </c>
      <c r="B2527">
        <v>1100</v>
      </c>
      <c r="C2527" t="s">
        <v>402</v>
      </c>
      <c r="D2527" t="s">
        <v>7933</v>
      </c>
      <c r="E2527">
        <v>61</v>
      </c>
      <c r="F2527" t="s">
        <v>128</v>
      </c>
      <c r="G2527" t="s">
        <v>7934</v>
      </c>
      <c r="H2527" t="s">
        <v>7935</v>
      </c>
      <c r="I2527" t="s">
        <v>402</v>
      </c>
      <c r="J2527" t="s">
        <v>128</v>
      </c>
      <c r="L2527" t="b">
        <v>1</v>
      </c>
      <c r="M2527" t="s">
        <v>258</v>
      </c>
      <c r="N2527" t="s">
        <v>8245</v>
      </c>
      <c r="O2527" s="1">
        <v>22647</v>
      </c>
      <c r="P2527" t="s">
        <v>646</v>
      </c>
      <c r="Q2527" t="s">
        <v>7936</v>
      </c>
      <c r="S2527" s="1">
        <v>45020.209027777775</v>
      </c>
      <c r="V2527">
        <v>1962</v>
      </c>
      <c r="W2527">
        <v>125.08</v>
      </c>
      <c r="X2527">
        <v>2.9</v>
      </c>
      <c r="Y2527" s="2">
        <v>19910000000000</v>
      </c>
      <c r="Z2527">
        <v>50.6</v>
      </c>
      <c r="AA2527">
        <v>100.2</v>
      </c>
      <c r="AB2527">
        <v>9.4</v>
      </c>
      <c r="AC2527">
        <v>59.2</v>
      </c>
      <c r="AD2527">
        <v>1397715000</v>
      </c>
    </row>
    <row r="2528" spans="1:30" hidden="1" x14ac:dyDescent="0.45">
      <c r="A2528">
        <v>2405</v>
      </c>
      <c r="B2528">
        <v>1100</v>
      </c>
      <c r="C2528" t="s">
        <v>83</v>
      </c>
      <c r="D2528" t="s">
        <v>7937</v>
      </c>
      <c r="E2528">
        <v>72</v>
      </c>
      <c r="F2528" t="s">
        <v>128</v>
      </c>
      <c r="G2528" t="s">
        <v>7585</v>
      </c>
      <c r="H2528" t="s">
        <v>7938</v>
      </c>
      <c r="I2528" t="s">
        <v>83</v>
      </c>
      <c r="J2528" t="s">
        <v>128</v>
      </c>
      <c r="L2528" t="b">
        <v>1</v>
      </c>
      <c r="M2528" t="s">
        <v>39</v>
      </c>
      <c r="N2528" t="s">
        <v>8245</v>
      </c>
      <c r="O2528" s="1">
        <v>18629</v>
      </c>
      <c r="P2528" t="s">
        <v>2083</v>
      </c>
      <c r="Q2528" t="s">
        <v>7939</v>
      </c>
      <c r="S2528" s="1">
        <v>45020.209027777775</v>
      </c>
      <c r="V2528">
        <v>1951</v>
      </c>
      <c r="W2528">
        <v>125.08</v>
      </c>
      <c r="X2528">
        <v>2.9</v>
      </c>
      <c r="Y2528" s="2">
        <v>19910000000000</v>
      </c>
      <c r="Z2528">
        <v>50.6</v>
      </c>
      <c r="AA2528">
        <v>100.2</v>
      </c>
      <c r="AB2528">
        <v>9.4</v>
      </c>
      <c r="AC2528">
        <v>59.2</v>
      </c>
      <c r="AD2528">
        <v>1397715000</v>
      </c>
    </row>
    <row r="2529" spans="1:30" hidden="1" x14ac:dyDescent="0.45">
      <c r="A2529">
        <v>2405</v>
      </c>
      <c r="B2529">
        <v>1100</v>
      </c>
      <c r="C2529" t="s">
        <v>296</v>
      </c>
      <c r="D2529" t="s">
        <v>7940</v>
      </c>
      <c r="E2529">
        <v>83</v>
      </c>
      <c r="F2529" t="s">
        <v>574</v>
      </c>
      <c r="G2529" t="s">
        <v>574</v>
      </c>
      <c r="H2529" t="s">
        <v>296</v>
      </c>
      <c r="I2529" t="s">
        <v>296</v>
      </c>
      <c r="J2529" t="s">
        <v>574</v>
      </c>
      <c r="L2529" t="b">
        <v>1</v>
      </c>
      <c r="M2529" t="s">
        <v>29</v>
      </c>
      <c r="N2529" t="s">
        <v>8245</v>
      </c>
      <c r="O2529" s="1">
        <v>14611</v>
      </c>
      <c r="P2529" t="s">
        <v>1269</v>
      </c>
      <c r="Q2529" t="s">
        <v>7941</v>
      </c>
      <c r="S2529" s="1">
        <v>45020.209027777775</v>
      </c>
      <c r="V2529">
        <v>1940</v>
      </c>
      <c r="W2529">
        <v>114.41</v>
      </c>
      <c r="X2529">
        <v>0.6</v>
      </c>
      <c r="Y2529" s="2">
        <v>372062527489</v>
      </c>
      <c r="Z2529">
        <v>84.8</v>
      </c>
      <c r="AA2529">
        <v>100.6</v>
      </c>
      <c r="AB2529">
        <v>13.1</v>
      </c>
      <c r="AC2529">
        <v>21</v>
      </c>
      <c r="AD2529">
        <v>5703569</v>
      </c>
    </row>
    <row r="2530" spans="1:30" hidden="1" x14ac:dyDescent="0.45">
      <c r="A2530">
        <v>2405</v>
      </c>
      <c r="B2530">
        <v>1100</v>
      </c>
      <c r="C2530" t="s">
        <v>45</v>
      </c>
      <c r="D2530" t="s">
        <v>7942</v>
      </c>
      <c r="E2530">
        <v>68</v>
      </c>
      <c r="F2530" t="s">
        <v>128</v>
      </c>
      <c r="G2530" t="s">
        <v>129</v>
      </c>
      <c r="H2530" t="s">
        <v>856</v>
      </c>
      <c r="I2530" t="s">
        <v>45</v>
      </c>
      <c r="J2530" t="s">
        <v>128</v>
      </c>
      <c r="L2530" t="b">
        <v>1</v>
      </c>
      <c r="M2530" t="s">
        <v>29</v>
      </c>
      <c r="N2530" t="s">
        <v>8246</v>
      </c>
      <c r="O2530" s="1">
        <v>20011</v>
      </c>
      <c r="P2530" t="s">
        <v>3751</v>
      </c>
      <c r="Q2530" t="s">
        <v>7943</v>
      </c>
      <c r="S2530" s="1">
        <v>45020.209027777775</v>
      </c>
      <c r="V2530">
        <v>1954</v>
      </c>
      <c r="W2530">
        <v>125.08</v>
      </c>
      <c r="X2530">
        <v>2.9</v>
      </c>
      <c r="Y2530" s="2">
        <v>19910000000000</v>
      </c>
      <c r="Z2530">
        <v>50.6</v>
      </c>
      <c r="AA2530">
        <v>100.2</v>
      </c>
      <c r="AB2530">
        <v>9.4</v>
      </c>
      <c r="AC2530">
        <v>59.2</v>
      </c>
      <c r="AD2530">
        <v>1397715000</v>
      </c>
    </row>
    <row r="2531" spans="1:30" hidden="1" x14ac:dyDescent="0.45">
      <c r="A2531">
        <v>2405</v>
      </c>
      <c r="B2531">
        <v>1100</v>
      </c>
      <c r="C2531" t="s">
        <v>126</v>
      </c>
      <c r="D2531" t="s">
        <v>7944</v>
      </c>
      <c r="E2531">
        <v>53</v>
      </c>
      <c r="F2531" t="s">
        <v>128</v>
      </c>
      <c r="G2531" t="s">
        <v>388</v>
      </c>
      <c r="H2531" t="s">
        <v>590</v>
      </c>
      <c r="I2531" t="s">
        <v>126</v>
      </c>
      <c r="J2531" t="s">
        <v>128</v>
      </c>
      <c r="L2531" t="b">
        <v>1</v>
      </c>
      <c r="M2531" t="s">
        <v>39</v>
      </c>
      <c r="N2531" t="s">
        <v>8245</v>
      </c>
      <c r="O2531" s="1">
        <v>25477</v>
      </c>
      <c r="P2531" t="s">
        <v>3751</v>
      </c>
      <c r="Q2531" t="s">
        <v>7945</v>
      </c>
      <c r="S2531" s="1">
        <v>45020.209027777775</v>
      </c>
      <c r="V2531">
        <v>1969</v>
      </c>
      <c r="W2531">
        <v>125.08</v>
      </c>
      <c r="X2531">
        <v>2.9</v>
      </c>
      <c r="Y2531" s="2">
        <v>19910000000000</v>
      </c>
      <c r="Z2531">
        <v>50.6</v>
      </c>
      <c r="AA2531">
        <v>100.2</v>
      </c>
      <c r="AB2531">
        <v>9.4</v>
      </c>
      <c r="AC2531">
        <v>59.2</v>
      </c>
      <c r="AD2531">
        <v>1397715000</v>
      </c>
    </row>
    <row r="2532" spans="1:30" hidden="1" x14ac:dyDescent="0.45">
      <c r="A2532">
        <v>2405</v>
      </c>
      <c r="B2532">
        <v>1100</v>
      </c>
      <c r="C2532" t="s">
        <v>296</v>
      </c>
      <c r="D2532" t="s">
        <v>7946</v>
      </c>
      <c r="E2532">
        <v>81</v>
      </c>
      <c r="H2532" t="s">
        <v>296</v>
      </c>
      <c r="I2532" t="s">
        <v>296</v>
      </c>
      <c r="J2532" t="s">
        <v>1259</v>
      </c>
      <c r="L2532" t="b">
        <v>1</v>
      </c>
      <c r="M2532" t="s">
        <v>39</v>
      </c>
      <c r="N2532" t="s">
        <v>8245</v>
      </c>
      <c r="O2532" s="1">
        <v>15087</v>
      </c>
      <c r="P2532" t="s">
        <v>7947</v>
      </c>
      <c r="Q2532" t="s">
        <v>7948</v>
      </c>
      <c r="S2532" s="1">
        <v>45020.209027777775</v>
      </c>
      <c r="V2532">
        <v>1941</v>
      </c>
      <c r="W2532"/>
      <c r="Y2532"/>
    </row>
    <row r="2533" spans="1:30" hidden="1" x14ac:dyDescent="0.45">
      <c r="A2533">
        <v>2405</v>
      </c>
      <c r="B2533">
        <v>1100</v>
      </c>
      <c r="C2533" t="s">
        <v>76</v>
      </c>
      <c r="D2533" t="s">
        <v>7949</v>
      </c>
      <c r="E2533">
        <v>51</v>
      </c>
      <c r="F2533" t="s">
        <v>128</v>
      </c>
      <c r="G2533" t="s">
        <v>2785</v>
      </c>
      <c r="H2533" t="s">
        <v>7950</v>
      </c>
      <c r="I2533" t="s">
        <v>76</v>
      </c>
      <c r="J2533" t="s">
        <v>128</v>
      </c>
      <c r="L2533" t="b">
        <v>1</v>
      </c>
      <c r="M2533" t="s">
        <v>39</v>
      </c>
      <c r="N2533" t="s">
        <v>8245</v>
      </c>
      <c r="O2533" s="1">
        <v>26213</v>
      </c>
      <c r="P2533" t="s">
        <v>2314</v>
      </c>
      <c r="Q2533" t="s">
        <v>7951</v>
      </c>
      <c r="S2533" s="1">
        <v>45020.209027777775</v>
      </c>
      <c r="V2533">
        <v>1971</v>
      </c>
      <c r="W2533">
        <v>125.08</v>
      </c>
      <c r="X2533">
        <v>2.9</v>
      </c>
      <c r="Y2533" s="2">
        <v>19910000000000</v>
      </c>
      <c r="Z2533">
        <v>50.6</v>
      </c>
      <c r="AA2533">
        <v>100.2</v>
      </c>
      <c r="AB2533">
        <v>9.4</v>
      </c>
      <c r="AC2533">
        <v>59.2</v>
      </c>
      <c r="AD2533">
        <v>1397715000</v>
      </c>
    </row>
    <row r="2534" spans="1:30" hidden="1" x14ac:dyDescent="0.45">
      <c r="A2534">
        <v>2405</v>
      </c>
      <c r="B2534">
        <v>1100</v>
      </c>
      <c r="C2534" t="s">
        <v>326</v>
      </c>
      <c r="D2534" t="s">
        <v>7952</v>
      </c>
      <c r="E2534">
        <v>40</v>
      </c>
      <c r="F2534" t="s">
        <v>128</v>
      </c>
      <c r="G2534" t="s">
        <v>7953</v>
      </c>
      <c r="H2534" t="s">
        <v>7954</v>
      </c>
      <c r="I2534" t="s">
        <v>326</v>
      </c>
      <c r="J2534" t="s">
        <v>128</v>
      </c>
      <c r="L2534" t="b">
        <v>0</v>
      </c>
      <c r="M2534" t="s">
        <v>39</v>
      </c>
      <c r="N2534" t="s">
        <v>8245</v>
      </c>
      <c r="O2534" s="1">
        <v>30164</v>
      </c>
      <c r="P2534" t="s">
        <v>263</v>
      </c>
      <c r="Q2534" t="s">
        <v>7955</v>
      </c>
      <c r="S2534" s="1">
        <v>45020.209027777775</v>
      </c>
      <c r="V2534">
        <v>1982</v>
      </c>
      <c r="W2534">
        <v>125.08</v>
      </c>
      <c r="X2534">
        <v>2.9</v>
      </c>
      <c r="Y2534" s="2">
        <v>19910000000000</v>
      </c>
      <c r="Z2534">
        <v>50.6</v>
      </c>
      <c r="AA2534">
        <v>100.2</v>
      </c>
      <c r="AB2534">
        <v>9.4</v>
      </c>
      <c r="AC2534">
        <v>59.2</v>
      </c>
      <c r="AD2534">
        <v>1397715000</v>
      </c>
    </row>
    <row r="2535" spans="1:30" hidden="1" x14ac:dyDescent="0.45">
      <c r="A2535">
        <v>2405</v>
      </c>
      <c r="B2535">
        <v>1100</v>
      </c>
      <c r="C2535" t="s">
        <v>689</v>
      </c>
      <c r="D2535" t="s">
        <v>7956</v>
      </c>
      <c r="E2535">
        <v>58</v>
      </c>
      <c r="F2535" t="s">
        <v>128</v>
      </c>
      <c r="G2535" t="s">
        <v>7665</v>
      </c>
      <c r="H2535" t="s">
        <v>3991</v>
      </c>
      <c r="I2535" t="s">
        <v>689</v>
      </c>
      <c r="J2535" t="s">
        <v>128</v>
      </c>
      <c r="L2535" t="b">
        <v>1</v>
      </c>
      <c r="M2535" t="s">
        <v>29</v>
      </c>
      <c r="N2535" t="s">
        <v>8245</v>
      </c>
      <c r="O2535" s="1">
        <v>23743</v>
      </c>
      <c r="P2535" t="s">
        <v>190</v>
      </c>
      <c r="Q2535" t="s">
        <v>7957</v>
      </c>
      <c r="S2535" s="1">
        <v>45020.209027777775</v>
      </c>
      <c r="V2535">
        <v>1965</v>
      </c>
      <c r="W2535">
        <v>125.08</v>
      </c>
      <c r="X2535">
        <v>2.9</v>
      </c>
      <c r="Y2535" s="2">
        <v>19910000000000</v>
      </c>
      <c r="Z2535">
        <v>50.6</v>
      </c>
      <c r="AA2535">
        <v>100.2</v>
      </c>
      <c r="AB2535">
        <v>9.4</v>
      </c>
      <c r="AC2535">
        <v>59.2</v>
      </c>
      <c r="AD2535">
        <v>1397715000</v>
      </c>
    </row>
    <row r="2536" spans="1:30" hidden="1" x14ac:dyDescent="0.45">
      <c r="A2536">
        <v>2405</v>
      </c>
      <c r="B2536">
        <v>1100</v>
      </c>
      <c r="C2536" t="s">
        <v>23</v>
      </c>
      <c r="D2536" t="s">
        <v>7958</v>
      </c>
      <c r="E2536">
        <v>51</v>
      </c>
      <c r="F2536" t="s">
        <v>128</v>
      </c>
      <c r="G2536" t="s">
        <v>3098</v>
      </c>
      <c r="H2536" t="s">
        <v>594</v>
      </c>
      <c r="I2536" t="s">
        <v>23</v>
      </c>
      <c r="J2536" t="s">
        <v>128</v>
      </c>
      <c r="L2536" t="b">
        <v>1</v>
      </c>
      <c r="M2536" t="s">
        <v>39</v>
      </c>
      <c r="N2536" t="s">
        <v>8245</v>
      </c>
      <c r="O2536" s="1">
        <v>26215</v>
      </c>
      <c r="P2536" t="s">
        <v>190</v>
      </c>
      <c r="Q2536" t="s">
        <v>7959</v>
      </c>
      <c r="S2536" s="1">
        <v>45020.209027777775</v>
      </c>
      <c r="V2536">
        <v>1971</v>
      </c>
      <c r="W2536">
        <v>125.08</v>
      </c>
      <c r="X2536">
        <v>2.9</v>
      </c>
      <c r="Y2536" s="2">
        <v>19910000000000</v>
      </c>
      <c r="Z2536">
        <v>50.6</v>
      </c>
      <c r="AA2536">
        <v>100.2</v>
      </c>
      <c r="AB2536">
        <v>9.4</v>
      </c>
      <c r="AC2536">
        <v>59.2</v>
      </c>
      <c r="AD2536">
        <v>1397715000</v>
      </c>
    </row>
    <row r="2537" spans="1:30" hidden="1" x14ac:dyDescent="0.45">
      <c r="A2537">
        <v>2405</v>
      </c>
      <c r="B2537">
        <v>1100</v>
      </c>
      <c r="C2537" t="s">
        <v>126</v>
      </c>
      <c r="D2537" t="s">
        <v>7960</v>
      </c>
      <c r="E2537">
        <v>48</v>
      </c>
      <c r="F2537" t="s">
        <v>128</v>
      </c>
      <c r="G2537" t="s">
        <v>678</v>
      </c>
      <c r="H2537" t="s">
        <v>6270</v>
      </c>
      <c r="I2537" t="s">
        <v>126</v>
      </c>
      <c r="J2537" t="s">
        <v>128</v>
      </c>
      <c r="L2537" t="b">
        <v>1</v>
      </c>
      <c r="M2537" t="s">
        <v>1332</v>
      </c>
      <c r="N2537" t="s">
        <v>8245</v>
      </c>
      <c r="O2537" s="1">
        <v>27260</v>
      </c>
      <c r="P2537" t="s">
        <v>190</v>
      </c>
      <c r="Q2537" t="s">
        <v>7961</v>
      </c>
      <c r="S2537" s="1">
        <v>45020.209027777775</v>
      </c>
      <c r="V2537">
        <v>1974</v>
      </c>
      <c r="W2537">
        <v>125.08</v>
      </c>
      <c r="X2537">
        <v>2.9</v>
      </c>
      <c r="Y2537" s="2">
        <v>19910000000000</v>
      </c>
      <c r="Z2537">
        <v>50.6</v>
      </c>
      <c r="AA2537">
        <v>100.2</v>
      </c>
      <c r="AB2537">
        <v>9.4</v>
      </c>
      <c r="AC2537">
        <v>59.2</v>
      </c>
      <c r="AD2537">
        <v>1397715000</v>
      </c>
    </row>
    <row r="2538" spans="1:30" hidden="1" x14ac:dyDescent="0.45">
      <c r="A2538">
        <v>2405</v>
      </c>
      <c r="B2538">
        <v>1100</v>
      </c>
      <c r="C2538" t="s">
        <v>45</v>
      </c>
      <c r="D2538" t="s">
        <v>7962</v>
      </c>
      <c r="E2538">
        <v>50</v>
      </c>
      <c r="F2538" t="s">
        <v>128</v>
      </c>
      <c r="G2538" t="s">
        <v>187</v>
      </c>
      <c r="H2538" t="s">
        <v>442</v>
      </c>
      <c r="I2538" t="s">
        <v>45</v>
      </c>
      <c r="J2538" t="s">
        <v>128</v>
      </c>
      <c r="L2538" t="b">
        <v>1</v>
      </c>
      <c r="M2538" t="s">
        <v>39</v>
      </c>
      <c r="N2538" t="s">
        <v>8245</v>
      </c>
      <c r="O2538" s="1">
        <v>26481</v>
      </c>
      <c r="P2538" t="s">
        <v>2217</v>
      </c>
      <c r="Q2538" t="s">
        <v>191</v>
      </c>
      <c r="S2538" s="1">
        <v>45020.209027777775</v>
      </c>
      <c r="V2538">
        <v>1972</v>
      </c>
      <c r="W2538">
        <v>125.08</v>
      </c>
      <c r="X2538">
        <v>2.9</v>
      </c>
      <c r="Y2538" s="2">
        <v>19910000000000</v>
      </c>
      <c r="Z2538">
        <v>50.6</v>
      </c>
      <c r="AA2538">
        <v>100.2</v>
      </c>
      <c r="AB2538">
        <v>9.4</v>
      </c>
      <c r="AC2538">
        <v>59.2</v>
      </c>
      <c r="AD2538">
        <v>1397715000</v>
      </c>
    </row>
    <row r="2539" spans="1:30" hidden="1" x14ac:dyDescent="0.45">
      <c r="A2539">
        <v>2405</v>
      </c>
      <c r="B2539">
        <v>1100</v>
      </c>
      <c r="C2539" t="s">
        <v>296</v>
      </c>
      <c r="D2539" t="s">
        <v>7963</v>
      </c>
      <c r="E2539">
        <v>49</v>
      </c>
      <c r="F2539" t="s">
        <v>128</v>
      </c>
      <c r="G2539" t="s">
        <v>234</v>
      </c>
      <c r="H2539" t="s">
        <v>934</v>
      </c>
      <c r="I2539" t="s">
        <v>296</v>
      </c>
      <c r="J2539" t="s">
        <v>128</v>
      </c>
      <c r="L2539" t="b">
        <v>1</v>
      </c>
      <c r="M2539" t="s">
        <v>39</v>
      </c>
      <c r="N2539" t="s">
        <v>8245</v>
      </c>
      <c r="O2539" s="1">
        <v>27030</v>
      </c>
      <c r="P2539" t="s">
        <v>2217</v>
      </c>
      <c r="Q2539" t="s">
        <v>7964</v>
      </c>
      <c r="S2539" s="1">
        <v>45020.209027777775</v>
      </c>
      <c r="V2539">
        <v>1974</v>
      </c>
      <c r="W2539">
        <v>125.08</v>
      </c>
      <c r="X2539">
        <v>2.9</v>
      </c>
      <c r="Y2539" s="2">
        <v>19910000000000</v>
      </c>
      <c r="Z2539">
        <v>50.6</v>
      </c>
      <c r="AA2539">
        <v>100.2</v>
      </c>
      <c r="AB2539">
        <v>9.4</v>
      </c>
      <c r="AC2539">
        <v>59.2</v>
      </c>
      <c r="AD2539">
        <v>1397715000</v>
      </c>
    </row>
    <row r="2540" spans="1:30" hidden="1" x14ac:dyDescent="0.45">
      <c r="A2540">
        <v>2405</v>
      </c>
      <c r="B2540">
        <v>1100</v>
      </c>
      <c r="C2540" t="s">
        <v>296</v>
      </c>
      <c r="D2540" t="s">
        <v>7965</v>
      </c>
      <c r="E2540">
        <v>57</v>
      </c>
      <c r="F2540" t="s">
        <v>228</v>
      </c>
      <c r="G2540" t="s">
        <v>228</v>
      </c>
      <c r="H2540" t="s">
        <v>7739</v>
      </c>
      <c r="I2540" t="s">
        <v>296</v>
      </c>
      <c r="J2540" t="s">
        <v>228</v>
      </c>
      <c r="L2540" t="b">
        <v>0</v>
      </c>
      <c r="M2540" t="s">
        <v>39</v>
      </c>
      <c r="N2540" t="s">
        <v>8246</v>
      </c>
      <c r="O2540" s="1">
        <v>24108</v>
      </c>
      <c r="P2540" t="s">
        <v>7966</v>
      </c>
      <c r="Q2540" t="s">
        <v>937</v>
      </c>
      <c r="S2540" s="1">
        <v>45020.209027777775</v>
      </c>
      <c r="V2540">
        <v>1966</v>
      </c>
      <c r="W2540"/>
      <c r="Y2540"/>
    </row>
    <row r="2541" spans="1:30" hidden="1" x14ac:dyDescent="0.45">
      <c r="A2541">
        <v>2540</v>
      </c>
      <c r="B2541">
        <v>1000</v>
      </c>
      <c r="C2541" t="s">
        <v>126</v>
      </c>
      <c r="D2541" t="s">
        <v>7967</v>
      </c>
      <c r="E2541">
        <v>68</v>
      </c>
      <c r="F2541" t="s">
        <v>93</v>
      </c>
      <c r="G2541" t="s">
        <v>343</v>
      </c>
      <c r="H2541" t="s">
        <v>6270</v>
      </c>
      <c r="I2541" t="s">
        <v>126</v>
      </c>
      <c r="J2541" t="s">
        <v>93</v>
      </c>
      <c r="L2541" t="b">
        <v>0</v>
      </c>
      <c r="M2541" t="s">
        <v>258</v>
      </c>
      <c r="N2541" t="s">
        <v>8245</v>
      </c>
      <c r="O2541" s="1">
        <v>20027</v>
      </c>
      <c r="P2541" t="s">
        <v>6896</v>
      </c>
      <c r="Q2541" t="s">
        <v>7968</v>
      </c>
      <c r="S2541" s="1">
        <v>45020.209027777775</v>
      </c>
      <c r="V2541">
        <v>1954</v>
      </c>
      <c r="W2541">
        <v>180.44</v>
      </c>
      <c r="X2541">
        <v>7.7</v>
      </c>
      <c r="Y2541" s="2">
        <v>2611000000000</v>
      </c>
      <c r="Z2541">
        <v>28.1</v>
      </c>
      <c r="AA2541">
        <v>113</v>
      </c>
      <c r="AB2541">
        <v>11.2</v>
      </c>
      <c r="AC2541">
        <v>49.7</v>
      </c>
      <c r="AD2541">
        <v>1366417754</v>
      </c>
    </row>
    <row r="2542" spans="1:30" hidden="1" x14ac:dyDescent="0.45">
      <c r="A2542">
        <v>2540</v>
      </c>
      <c r="B2542">
        <v>1000</v>
      </c>
      <c r="C2542" t="s">
        <v>61</v>
      </c>
      <c r="D2542" t="s">
        <v>7969</v>
      </c>
      <c r="E2542">
        <v>44</v>
      </c>
      <c r="F2542" t="s">
        <v>272</v>
      </c>
      <c r="G2542" t="s">
        <v>273</v>
      </c>
      <c r="H2542" t="s">
        <v>317</v>
      </c>
      <c r="I2542" t="s">
        <v>61</v>
      </c>
      <c r="J2542" t="s">
        <v>194</v>
      </c>
      <c r="L2542" t="b">
        <v>1</v>
      </c>
      <c r="M2542" t="s">
        <v>39</v>
      </c>
      <c r="N2542" t="s">
        <v>8245</v>
      </c>
      <c r="O2542" s="1">
        <v>28606</v>
      </c>
      <c r="P2542" t="s">
        <v>7970</v>
      </c>
      <c r="Q2542" t="s">
        <v>2490</v>
      </c>
      <c r="S2542" s="1">
        <v>45020.209027777775</v>
      </c>
      <c r="V2542">
        <v>1978</v>
      </c>
      <c r="W2542">
        <v>119.62</v>
      </c>
      <c r="X2542">
        <v>1.7</v>
      </c>
      <c r="Y2542" s="2">
        <v>2827113184696</v>
      </c>
      <c r="Z2542">
        <v>60</v>
      </c>
      <c r="AA2542">
        <v>101.2</v>
      </c>
      <c r="AB2542">
        <v>25.5</v>
      </c>
      <c r="AC2542">
        <v>30.6</v>
      </c>
      <c r="AD2542">
        <v>66834405</v>
      </c>
    </row>
    <row r="2543" spans="1:30" hidden="1" x14ac:dyDescent="0.45">
      <c r="A2543">
        <v>2540</v>
      </c>
      <c r="B2543">
        <v>1000</v>
      </c>
      <c r="C2543" t="s">
        <v>23</v>
      </c>
      <c r="D2543" t="s">
        <v>7971</v>
      </c>
      <c r="E2543">
        <v>76</v>
      </c>
      <c r="F2543" t="s">
        <v>266</v>
      </c>
      <c r="G2543" t="s">
        <v>267</v>
      </c>
      <c r="H2543" t="s">
        <v>196</v>
      </c>
      <c r="I2543" t="s">
        <v>23</v>
      </c>
      <c r="J2543" t="s">
        <v>266</v>
      </c>
      <c r="L2543" t="b">
        <v>1</v>
      </c>
      <c r="M2543" t="s">
        <v>39</v>
      </c>
      <c r="N2543" t="s">
        <v>8245</v>
      </c>
      <c r="O2543" s="1">
        <v>16950</v>
      </c>
      <c r="P2543" t="s">
        <v>5565</v>
      </c>
      <c r="Q2543" t="s">
        <v>7972</v>
      </c>
      <c r="S2543" s="1">
        <v>45020.209027777775</v>
      </c>
      <c r="V2543">
        <v>1946</v>
      </c>
      <c r="W2543">
        <v>105.48</v>
      </c>
      <c r="X2543">
        <v>0.5</v>
      </c>
      <c r="Y2543" s="2">
        <v>5081769542380</v>
      </c>
      <c r="Z2543">
        <v>63.2</v>
      </c>
      <c r="AA2543">
        <v>98.8</v>
      </c>
      <c r="AB2543">
        <v>11.9</v>
      </c>
      <c r="AC2543">
        <v>46.7</v>
      </c>
      <c r="AD2543">
        <v>126226568</v>
      </c>
    </row>
    <row r="2544" spans="1:30" hidden="1" x14ac:dyDescent="0.45">
      <c r="A2544">
        <v>2540</v>
      </c>
      <c r="B2544">
        <v>1000</v>
      </c>
      <c r="C2544" t="s">
        <v>402</v>
      </c>
      <c r="D2544" t="s">
        <v>7973</v>
      </c>
      <c r="E2544">
        <v>44</v>
      </c>
      <c r="F2544" t="s">
        <v>194</v>
      </c>
      <c r="G2544" t="s">
        <v>4499</v>
      </c>
      <c r="H2544" t="s">
        <v>4500</v>
      </c>
      <c r="I2544" t="s">
        <v>402</v>
      </c>
      <c r="J2544" t="s">
        <v>194</v>
      </c>
      <c r="L2544" t="b">
        <v>0</v>
      </c>
      <c r="M2544" t="s">
        <v>39</v>
      </c>
      <c r="N2544" t="s">
        <v>8246</v>
      </c>
      <c r="O2544" s="1">
        <v>28856</v>
      </c>
      <c r="P2544" t="s">
        <v>4501</v>
      </c>
      <c r="Q2544" t="s">
        <v>7974</v>
      </c>
      <c r="S2544" s="1">
        <v>45020.209027777775</v>
      </c>
      <c r="V2544">
        <v>1979</v>
      </c>
      <c r="W2544">
        <v>112.85</v>
      </c>
      <c r="X2544">
        <v>1.4</v>
      </c>
      <c r="Y2544" s="2">
        <v>3845630030824</v>
      </c>
      <c r="Z2544">
        <v>70.2</v>
      </c>
      <c r="AA2544">
        <v>104</v>
      </c>
      <c r="AB2544">
        <v>11.5</v>
      </c>
      <c r="AC2544">
        <v>48.8</v>
      </c>
      <c r="AD2544">
        <v>83132799</v>
      </c>
    </row>
    <row r="2545" spans="1:30" hidden="1" x14ac:dyDescent="0.45">
      <c r="A2545">
        <v>2540</v>
      </c>
      <c r="B2545">
        <v>1000</v>
      </c>
      <c r="C2545" t="s">
        <v>402</v>
      </c>
      <c r="D2545" t="s">
        <v>7975</v>
      </c>
      <c r="E2545">
        <v>43</v>
      </c>
      <c r="F2545" t="s">
        <v>194</v>
      </c>
      <c r="G2545" t="s">
        <v>4499</v>
      </c>
      <c r="H2545" t="s">
        <v>4500</v>
      </c>
      <c r="I2545" t="s">
        <v>402</v>
      </c>
      <c r="J2545" t="s">
        <v>194</v>
      </c>
      <c r="L2545" t="b">
        <v>0</v>
      </c>
      <c r="M2545" t="s">
        <v>611</v>
      </c>
      <c r="N2545" t="s">
        <v>8246</v>
      </c>
      <c r="O2545" s="1">
        <v>29221</v>
      </c>
      <c r="P2545" t="s">
        <v>4501</v>
      </c>
      <c r="Q2545" t="s">
        <v>7976</v>
      </c>
      <c r="S2545" s="1">
        <v>45020.209027777775</v>
      </c>
      <c r="V2545">
        <v>1980</v>
      </c>
      <c r="W2545">
        <v>112.85</v>
      </c>
      <c r="X2545">
        <v>1.4</v>
      </c>
      <c r="Y2545" s="2">
        <v>3845630030824</v>
      </c>
      <c r="Z2545">
        <v>70.2</v>
      </c>
      <c r="AA2545">
        <v>104</v>
      </c>
      <c r="AB2545">
        <v>11.5</v>
      </c>
      <c r="AC2545">
        <v>48.8</v>
      </c>
      <c r="AD2545">
        <v>83132799</v>
      </c>
    </row>
    <row r="2546" spans="1:30" hidden="1" x14ac:dyDescent="0.45">
      <c r="A2546">
        <v>2540</v>
      </c>
      <c r="B2546">
        <v>1000</v>
      </c>
      <c r="C2546" t="s">
        <v>402</v>
      </c>
      <c r="D2546" t="s">
        <v>7977</v>
      </c>
      <c r="E2546">
        <v>40</v>
      </c>
      <c r="F2546" t="s">
        <v>194</v>
      </c>
      <c r="G2546" t="s">
        <v>4499</v>
      </c>
      <c r="H2546" t="s">
        <v>4500</v>
      </c>
      <c r="I2546" t="s">
        <v>402</v>
      </c>
      <c r="J2546" t="s">
        <v>194</v>
      </c>
      <c r="L2546" t="b">
        <v>0</v>
      </c>
      <c r="M2546" t="s">
        <v>611</v>
      </c>
      <c r="N2546" t="s">
        <v>8245</v>
      </c>
      <c r="O2546" s="1">
        <v>30317</v>
      </c>
      <c r="P2546" t="s">
        <v>4501</v>
      </c>
      <c r="Q2546" t="s">
        <v>7978</v>
      </c>
      <c r="S2546" s="1">
        <v>45020.209027777775</v>
      </c>
      <c r="V2546">
        <v>1983</v>
      </c>
      <c r="W2546">
        <v>112.85</v>
      </c>
      <c r="X2546">
        <v>1.4</v>
      </c>
      <c r="Y2546" s="2">
        <v>3845630030824</v>
      </c>
      <c r="Z2546">
        <v>70.2</v>
      </c>
      <c r="AA2546">
        <v>104</v>
      </c>
      <c r="AB2546">
        <v>11.5</v>
      </c>
      <c r="AC2546">
        <v>48.8</v>
      </c>
      <c r="AD2546">
        <v>83132799</v>
      </c>
    </row>
    <row r="2547" spans="1:30" hidden="1" x14ac:dyDescent="0.45">
      <c r="A2547">
        <v>2540</v>
      </c>
      <c r="B2547">
        <v>1000</v>
      </c>
      <c r="C2547" t="s">
        <v>402</v>
      </c>
      <c r="D2547" t="s">
        <v>7979</v>
      </c>
      <c r="E2547">
        <v>33</v>
      </c>
      <c r="F2547" t="s">
        <v>194</v>
      </c>
      <c r="G2547" t="s">
        <v>4499</v>
      </c>
      <c r="H2547" t="s">
        <v>4500</v>
      </c>
      <c r="I2547" t="s">
        <v>402</v>
      </c>
      <c r="J2547" t="s">
        <v>194</v>
      </c>
      <c r="L2547" t="b">
        <v>0</v>
      </c>
      <c r="M2547" t="s">
        <v>39</v>
      </c>
      <c r="N2547" t="s">
        <v>8245</v>
      </c>
      <c r="O2547" s="1">
        <v>32874</v>
      </c>
      <c r="P2547" t="s">
        <v>4501</v>
      </c>
      <c r="Q2547" t="s">
        <v>7980</v>
      </c>
      <c r="S2547" s="1">
        <v>45020.209027777775</v>
      </c>
      <c r="V2547">
        <v>1990</v>
      </c>
      <c r="W2547">
        <v>112.85</v>
      </c>
      <c r="X2547">
        <v>1.4</v>
      </c>
      <c r="Y2547" s="2">
        <v>3845630030824</v>
      </c>
      <c r="Z2547">
        <v>70.2</v>
      </c>
      <c r="AA2547">
        <v>104</v>
      </c>
      <c r="AB2547">
        <v>11.5</v>
      </c>
      <c r="AC2547">
        <v>48.8</v>
      </c>
      <c r="AD2547">
        <v>83132799</v>
      </c>
    </row>
    <row r="2548" spans="1:30" hidden="1" x14ac:dyDescent="0.45">
      <c r="A2548">
        <v>2540</v>
      </c>
      <c r="B2548">
        <v>1000</v>
      </c>
      <c r="C2548" t="s">
        <v>91</v>
      </c>
      <c r="D2548" t="s">
        <v>7981</v>
      </c>
      <c r="E2548">
        <v>98</v>
      </c>
      <c r="F2548" t="s">
        <v>6463</v>
      </c>
      <c r="G2548" t="s">
        <v>6487</v>
      </c>
      <c r="H2548" t="s">
        <v>7982</v>
      </c>
      <c r="I2548" t="s">
        <v>91</v>
      </c>
      <c r="J2548" t="s">
        <v>6463</v>
      </c>
      <c r="L2548" t="b">
        <v>0</v>
      </c>
      <c r="M2548" t="s">
        <v>39</v>
      </c>
      <c r="N2548" t="s">
        <v>8246</v>
      </c>
      <c r="O2548" s="1">
        <v>8876</v>
      </c>
      <c r="P2548" t="s">
        <v>7983</v>
      </c>
      <c r="Q2548" t="s">
        <v>7984</v>
      </c>
      <c r="S2548" s="1">
        <v>45020.209027777775</v>
      </c>
      <c r="V2548">
        <v>1924</v>
      </c>
      <c r="W2548">
        <v>129.78</v>
      </c>
      <c r="X2548">
        <v>2.1</v>
      </c>
      <c r="Y2548" s="2">
        <v>226848050820</v>
      </c>
      <c r="Z2548">
        <v>70.7</v>
      </c>
      <c r="AA2548">
        <v>106.9</v>
      </c>
      <c r="AB2548">
        <v>14.3</v>
      </c>
      <c r="AC2548">
        <v>36.799999999999997</v>
      </c>
      <c r="AD2548">
        <v>32510453</v>
      </c>
    </row>
    <row r="2549" spans="1:30" hidden="1" x14ac:dyDescent="0.45">
      <c r="A2549">
        <v>2540</v>
      </c>
      <c r="B2549">
        <v>1000</v>
      </c>
      <c r="C2549" t="s">
        <v>76</v>
      </c>
      <c r="D2549" t="s">
        <v>7985</v>
      </c>
      <c r="E2549">
        <v>76</v>
      </c>
      <c r="F2549" t="s">
        <v>35</v>
      </c>
      <c r="G2549" t="s">
        <v>355</v>
      </c>
      <c r="H2549" t="s">
        <v>7986</v>
      </c>
      <c r="I2549" t="s">
        <v>76</v>
      </c>
      <c r="J2549" t="s">
        <v>35</v>
      </c>
      <c r="L2549" t="b">
        <v>1</v>
      </c>
      <c r="M2549" t="s">
        <v>258</v>
      </c>
      <c r="N2549" t="s">
        <v>8245</v>
      </c>
      <c r="O2549" s="1">
        <v>17161</v>
      </c>
      <c r="P2549" t="s">
        <v>66</v>
      </c>
      <c r="Q2549" t="s">
        <v>2287</v>
      </c>
      <c r="R2549" t="s">
        <v>6801</v>
      </c>
      <c r="S2549" s="1">
        <v>45020.209027777775</v>
      </c>
      <c r="T2549" t="s">
        <v>253</v>
      </c>
      <c r="V2549">
        <v>1946</v>
      </c>
      <c r="W2549">
        <v>117.24</v>
      </c>
      <c r="X2549">
        <v>7.5</v>
      </c>
      <c r="Y2549" s="2">
        <v>21427700000000</v>
      </c>
      <c r="Z2549">
        <v>88.2</v>
      </c>
      <c r="AA2549">
        <v>101.8</v>
      </c>
      <c r="AB2549">
        <v>9.6</v>
      </c>
      <c r="AC2549">
        <v>36.6</v>
      </c>
      <c r="AD2549">
        <v>328239523</v>
      </c>
    </row>
    <row r="2550" spans="1:30" hidden="1" x14ac:dyDescent="0.45">
      <c r="A2550">
        <v>2540</v>
      </c>
      <c r="B2550">
        <v>1000</v>
      </c>
      <c r="C2550" t="s">
        <v>239</v>
      </c>
      <c r="D2550" t="s">
        <v>7987</v>
      </c>
      <c r="E2550">
        <v>70</v>
      </c>
      <c r="F2550" t="s">
        <v>266</v>
      </c>
      <c r="G2550" t="s">
        <v>267</v>
      </c>
      <c r="H2550" t="s">
        <v>7744</v>
      </c>
      <c r="I2550" t="s">
        <v>239</v>
      </c>
      <c r="J2550" t="s">
        <v>266</v>
      </c>
      <c r="L2550" t="b">
        <v>0</v>
      </c>
      <c r="M2550" t="s">
        <v>1332</v>
      </c>
      <c r="N2550" t="s">
        <v>8245</v>
      </c>
      <c r="O2550" s="1">
        <v>19267</v>
      </c>
      <c r="P2550" t="s">
        <v>7988</v>
      </c>
      <c r="Q2550" t="s">
        <v>7989</v>
      </c>
      <c r="S2550" s="1">
        <v>45020.209027777775</v>
      </c>
      <c r="V2550">
        <v>1952</v>
      </c>
      <c r="W2550">
        <v>105.48</v>
      </c>
      <c r="X2550">
        <v>0.5</v>
      </c>
      <c r="Y2550" s="2">
        <v>5081769542380</v>
      </c>
      <c r="Z2550">
        <v>63.2</v>
      </c>
      <c r="AA2550">
        <v>98.8</v>
      </c>
      <c r="AB2550">
        <v>11.9</v>
      </c>
      <c r="AC2550">
        <v>46.7</v>
      </c>
      <c r="AD2550">
        <v>126226568</v>
      </c>
    </row>
    <row r="2551" spans="1:30" hidden="1" x14ac:dyDescent="0.45">
      <c r="A2551">
        <v>2540</v>
      </c>
      <c r="B2551">
        <v>1000</v>
      </c>
      <c r="C2551" t="s">
        <v>61</v>
      </c>
      <c r="D2551" t="s">
        <v>7990</v>
      </c>
      <c r="E2551">
        <v>75</v>
      </c>
      <c r="F2551" t="s">
        <v>25</v>
      </c>
      <c r="G2551" t="s">
        <v>26</v>
      </c>
      <c r="H2551" t="s">
        <v>7007</v>
      </c>
      <c r="I2551" t="s">
        <v>61</v>
      </c>
      <c r="J2551" t="s">
        <v>25</v>
      </c>
      <c r="L2551" t="b">
        <v>1</v>
      </c>
      <c r="M2551" t="s">
        <v>39</v>
      </c>
      <c r="N2551" t="s">
        <v>8245</v>
      </c>
      <c r="O2551" s="1">
        <v>17414</v>
      </c>
      <c r="P2551" t="s">
        <v>7991</v>
      </c>
      <c r="Q2551" t="s">
        <v>7992</v>
      </c>
      <c r="S2551" s="1">
        <v>45020.209027777775</v>
      </c>
      <c r="V2551">
        <v>1947</v>
      </c>
      <c r="W2551">
        <v>110.05</v>
      </c>
      <c r="X2551">
        <v>1.1000000000000001</v>
      </c>
      <c r="Y2551" s="2">
        <v>2715518274227</v>
      </c>
      <c r="Z2551">
        <v>65.599999999999994</v>
      </c>
      <c r="AA2551">
        <v>102.5</v>
      </c>
      <c r="AB2551">
        <v>24.2</v>
      </c>
      <c r="AC2551">
        <v>60.7</v>
      </c>
      <c r="AD2551">
        <v>67059887</v>
      </c>
    </row>
    <row r="2552" spans="1:30" hidden="1" x14ac:dyDescent="0.45">
      <c r="A2552">
        <v>2540</v>
      </c>
      <c r="B2552">
        <v>1000</v>
      </c>
      <c r="C2552" t="s">
        <v>203</v>
      </c>
      <c r="D2552" t="s">
        <v>7993</v>
      </c>
      <c r="F2552" t="s">
        <v>1259</v>
      </c>
      <c r="G2552" t="s">
        <v>1260</v>
      </c>
      <c r="H2552" t="s">
        <v>5853</v>
      </c>
      <c r="I2552" t="s">
        <v>203</v>
      </c>
      <c r="J2552" t="s">
        <v>1259</v>
      </c>
      <c r="L2552" t="b">
        <v>0</v>
      </c>
      <c r="M2552" t="s">
        <v>39</v>
      </c>
      <c r="N2552" t="s">
        <v>8245</v>
      </c>
      <c r="O2552"/>
      <c r="P2552" t="s">
        <v>2327</v>
      </c>
      <c r="Q2552" t="s">
        <v>7994</v>
      </c>
      <c r="S2552" s="1">
        <v>45020.209027777775</v>
      </c>
      <c r="W2552"/>
      <c r="Y2552"/>
    </row>
    <row r="2553" spans="1:30" hidden="1" x14ac:dyDescent="0.45">
      <c r="A2553">
        <v>2540</v>
      </c>
      <c r="B2553">
        <v>1000</v>
      </c>
      <c r="C2553" t="s">
        <v>296</v>
      </c>
      <c r="D2553" t="s">
        <v>7995</v>
      </c>
      <c r="E2553">
        <v>64</v>
      </c>
      <c r="F2553" t="s">
        <v>128</v>
      </c>
      <c r="G2553" t="s">
        <v>4441</v>
      </c>
      <c r="H2553" t="s">
        <v>296</v>
      </c>
      <c r="I2553" t="s">
        <v>296</v>
      </c>
      <c r="J2553" t="s">
        <v>128</v>
      </c>
      <c r="L2553" t="b">
        <v>1</v>
      </c>
      <c r="M2553" t="s">
        <v>39</v>
      </c>
      <c r="N2553" t="s">
        <v>8245</v>
      </c>
      <c r="O2553" s="1">
        <v>21563</v>
      </c>
      <c r="P2553" t="s">
        <v>679</v>
      </c>
      <c r="Q2553" t="s">
        <v>7996</v>
      </c>
      <c r="S2553" s="1">
        <v>45020.209027777775</v>
      </c>
      <c r="V2553">
        <v>1959</v>
      </c>
      <c r="W2553">
        <v>125.08</v>
      </c>
      <c r="X2553">
        <v>2.9</v>
      </c>
      <c r="Y2553" s="2">
        <v>19910000000000</v>
      </c>
      <c r="Z2553">
        <v>50.6</v>
      </c>
      <c r="AA2553">
        <v>100.2</v>
      </c>
      <c r="AB2553">
        <v>9.4</v>
      </c>
      <c r="AC2553">
        <v>59.2</v>
      </c>
      <c r="AD2553">
        <v>1397715000</v>
      </c>
    </row>
    <row r="2554" spans="1:30" hidden="1" x14ac:dyDescent="0.45">
      <c r="A2554">
        <v>2540</v>
      </c>
      <c r="B2554">
        <v>1000</v>
      </c>
      <c r="C2554" t="s">
        <v>76</v>
      </c>
      <c r="D2554" t="s">
        <v>7997</v>
      </c>
      <c r="E2554">
        <v>45</v>
      </c>
      <c r="F2554" t="s">
        <v>128</v>
      </c>
      <c r="G2554" t="s">
        <v>292</v>
      </c>
      <c r="H2554" t="s">
        <v>7998</v>
      </c>
      <c r="I2554" t="s">
        <v>76</v>
      </c>
      <c r="J2554" t="s">
        <v>128</v>
      </c>
      <c r="L2554" t="b">
        <v>1</v>
      </c>
      <c r="M2554" t="s">
        <v>1332</v>
      </c>
      <c r="N2554" t="s">
        <v>8245</v>
      </c>
      <c r="O2554" s="1">
        <v>28491</v>
      </c>
      <c r="P2554" t="s">
        <v>679</v>
      </c>
      <c r="Q2554" t="s">
        <v>6542</v>
      </c>
      <c r="S2554" s="1">
        <v>45020.209027777775</v>
      </c>
      <c r="V2554">
        <v>1978</v>
      </c>
      <c r="W2554">
        <v>125.08</v>
      </c>
      <c r="X2554">
        <v>2.9</v>
      </c>
      <c r="Y2554" s="2">
        <v>19910000000000</v>
      </c>
      <c r="Z2554">
        <v>50.6</v>
      </c>
      <c r="AA2554">
        <v>100.2</v>
      </c>
      <c r="AB2554">
        <v>9.4</v>
      </c>
      <c r="AC2554">
        <v>59.2</v>
      </c>
      <c r="AD2554">
        <v>1397715000</v>
      </c>
    </row>
    <row r="2555" spans="1:30" hidden="1" x14ac:dyDescent="0.45">
      <c r="A2555">
        <v>2540</v>
      </c>
      <c r="B2555">
        <v>1000</v>
      </c>
      <c r="C2555" t="s">
        <v>296</v>
      </c>
      <c r="D2555" t="s">
        <v>7999</v>
      </c>
      <c r="E2555">
        <v>59</v>
      </c>
      <c r="F2555" t="s">
        <v>128</v>
      </c>
      <c r="G2555" t="s">
        <v>6947</v>
      </c>
      <c r="H2555" t="s">
        <v>8000</v>
      </c>
      <c r="I2555" t="s">
        <v>296</v>
      </c>
      <c r="J2555" t="s">
        <v>128</v>
      </c>
      <c r="L2555" t="b">
        <v>1</v>
      </c>
      <c r="M2555" t="s">
        <v>39</v>
      </c>
      <c r="N2555" t="s">
        <v>8245</v>
      </c>
      <c r="O2555" s="1">
        <v>23346</v>
      </c>
      <c r="P2555" t="s">
        <v>679</v>
      </c>
      <c r="Q2555" t="s">
        <v>8001</v>
      </c>
      <c r="S2555" s="1">
        <v>45020.209027777775</v>
      </c>
      <c r="V2555">
        <v>1963</v>
      </c>
      <c r="W2555">
        <v>125.08</v>
      </c>
      <c r="X2555">
        <v>2.9</v>
      </c>
      <c r="Y2555" s="2">
        <v>19910000000000</v>
      </c>
      <c r="Z2555">
        <v>50.6</v>
      </c>
      <c r="AA2555">
        <v>100.2</v>
      </c>
      <c r="AB2555">
        <v>9.4</v>
      </c>
      <c r="AC2555">
        <v>59.2</v>
      </c>
      <c r="AD2555">
        <v>1397715000</v>
      </c>
    </row>
    <row r="2556" spans="1:30" hidden="1" x14ac:dyDescent="0.45">
      <c r="A2556">
        <v>2540</v>
      </c>
      <c r="B2556">
        <v>1000</v>
      </c>
      <c r="C2556" t="s">
        <v>45</v>
      </c>
      <c r="D2556" t="s">
        <v>8002</v>
      </c>
      <c r="E2556">
        <v>49</v>
      </c>
      <c r="F2556" t="s">
        <v>35</v>
      </c>
      <c r="G2556" t="s">
        <v>583</v>
      </c>
      <c r="H2556" t="s">
        <v>336</v>
      </c>
      <c r="I2556" t="s">
        <v>45</v>
      </c>
      <c r="J2556" t="s">
        <v>128</v>
      </c>
      <c r="L2556" t="b">
        <v>1</v>
      </c>
      <c r="M2556" t="s">
        <v>39</v>
      </c>
      <c r="N2556" t="s">
        <v>8245</v>
      </c>
      <c r="O2556" s="1">
        <v>26800</v>
      </c>
      <c r="P2556" t="s">
        <v>679</v>
      </c>
      <c r="Q2556" t="s">
        <v>8003</v>
      </c>
      <c r="S2556" s="1">
        <v>45020.209027777775</v>
      </c>
      <c r="T2556" t="s">
        <v>115</v>
      </c>
      <c r="U2556" t="s">
        <v>53</v>
      </c>
      <c r="V2556">
        <v>1973</v>
      </c>
      <c r="W2556">
        <v>117.24</v>
      </c>
      <c r="X2556">
        <v>7.5</v>
      </c>
      <c r="Y2556" s="2">
        <v>21427700000000</v>
      </c>
      <c r="Z2556">
        <v>88.2</v>
      </c>
      <c r="AA2556">
        <v>101.8</v>
      </c>
      <c r="AB2556">
        <v>9.6</v>
      </c>
      <c r="AC2556">
        <v>36.6</v>
      </c>
      <c r="AD2556">
        <v>328239523</v>
      </c>
    </row>
    <row r="2557" spans="1:30" hidden="1" x14ac:dyDescent="0.45">
      <c r="A2557">
        <v>2540</v>
      </c>
      <c r="B2557">
        <v>1000</v>
      </c>
      <c r="C2557" t="s">
        <v>347</v>
      </c>
      <c r="D2557" t="s">
        <v>8004</v>
      </c>
      <c r="E2557">
        <v>55</v>
      </c>
      <c r="F2557" t="s">
        <v>128</v>
      </c>
      <c r="G2557" t="s">
        <v>261</v>
      </c>
      <c r="H2557" t="s">
        <v>262</v>
      </c>
      <c r="I2557" t="s">
        <v>347</v>
      </c>
      <c r="J2557" t="s">
        <v>128</v>
      </c>
      <c r="L2557" t="b">
        <v>1</v>
      </c>
      <c r="M2557" t="s">
        <v>39</v>
      </c>
      <c r="N2557" t="s">
        <v>8245</v>
      </c>
      <c r="O2557" s="1">
        <v>24898</v>
      </c>
      <c r="P2557" t="s">
        <v>679</v>
      </c>
      <c r="Q2557" t="s">
        <v>8005</v>
      </c>
      <c r="S2557" s="1">
        <v>45020.209027777775</v>
      </c>
      <c r="V2557">
        <v>1968</v>
      </c>
      <c r="W2557">
        <v>125.08</v>
      </c>
      <c r="X2557">
        <v>2.9</v>
      </c>
      <c r="Y2557" s="2">
        <v>19910000000000</v>
      </c>
      <c r="Z2557">
        <v>50.6</v>
      </c>
      <c r="AA2557">
        <v>100.2</v>
      </c>
      <c r="AB2557">
        <v>9.4</v>
      </c>
      <c r="AC2557">
        <v>59.2</v>
      </c>
      <c r="AD2557">
        <v>1397715000</v>
      </c>
    </row>
    <row r="2558" spans="1:30" hidden="1" x14ac:dyDescent="0.45">
      <c r="A2558">
        <v>2540</v>
      </c>
      <c r="B2558">
        <v>1000</v>
      </c>
      <c r="C2558" t="s">
        <v>126</v>
      </c>
      <c r="D2558" t="s">
        <v>8006</v>
      </c>
      <c r="E2558">
        <v>65</v>
      </c>
      <c r="F2558" t="s">
        <v>228</v>
      </c>
      <c r="G2558" t="s">
        <v>228</v>
      </c>
      <c r="H2558" t="s">
        <v>3079</v>
      </c>
      <c r="I2558" t="s">
        <v>126</v>
      </c>
      <c r="J2558" t="s">
        <v>228</v>
      </c>
      <c r="L2558" t="b">
        <v>1</v>
      </c>
      <c r="M2558" t="s">
        <v>39</v>
      </c>
      <c r="N2558" t="s">
        <v>8245</v>
      </c>
      <c r="O2558" s="1">
        <v>21125</v>
      </c>
      <c r="P2558" t="s">
        <v>2082</v>
      </c>
      <c r="Q2558" t="s">
        <v>8007</v>
      </c>
      <c r="S2558" s="1">
        <v>45020.209027777775</v>
      </c>
      <c r="V2558">
        <v>1957</v>
      </c>
      <c r="W2558"/>
      <c r="Y2558"/>
    </row>
    <row r="2559" spans="1:30" hidden="1" x14ac:dyDescent="0.45">
      <c r="A2559">
        <v>2540</v>
      </c>
      <c r="B2559">
        <v>1000</v>
      </c>
      <c r="C2559" t="s">
        <v>296</v>
      </c>
      <c r="D2559" t="s">
        <v>8008</v>
      </c>
      <c r="E2559">
        <v>72</v>
      </c>
      <c r="F2559" t="s">
        <v>93</v>
      </c>
      <c r="G2559" t="s">
        <v>8009</v>
      </c>
      <c r="H2559" t="s">
        <v>8010</v>
      </c>
      <c r="I2559" t="s">
        <v>296</v>
      </c>
      <c r="J2559" t="s">
        <v>93</v>
      </c>
      <c r="L2559" t="b">
        <v>1</v>
      </c>
      <c r="M2559" t="s">
        <v>1332</v>
      </c>
      <c r="N2559" t="s">
        <v>8245</v>
      </c>
      <c r="O2559" s="1">
        <v>18624</v>
      </c>
      <c r="P2559" t="s">
        <v>8011</v>
      </c>
      <c r="Q2559" t="s">
        <v>8012</v>
      </c>
      <c r="S2559" s="1">
        <v>45020.209027777775</v>
      </c>
      <c r="V2559">
        <v>1950</v>
      </c>
      <c r="W2559">
        <v>180.44</v>
      </c>
      <c r="X2559">
        <v>7.7</v>
      </c>
      <c r="Y2559" s="2">
        <v>2611000000000</v>
      </c>
      <c r="Z2559">
        <v>28.1</v>
      </c>
      <c r="AA2559">
        <v>113</v>
      </c>
      <c r="AB2559">
        <v>11.2</v>
      </c>
      <c r="AC2559">
        <v>49.7</v>
      </c>
      <c r="AD2559">
        <v>1366417754</v>
      </c>
    </row>
    <row r="2560" spans="1:30" hidden="1" x14ac:dyDescent="0.45">
      <c r="A2560">
        <v>2540</v>
      </c>
      <c r="B2560">
        <v>1000</v>
      </c>
      <c r="C2560" t="s">
        <v>302</v>
      </c>
      <c r="D2560" t="s">
        <v>8013</v>
      </c>
      <c r="E2560">
        <v>57</v>
      </c>
      <c r="F2560" t="s">
        <v>487</v>
      </c>
      <c r="G2560" t="s">
        <v>487</v>
      </c>
      <c r="H2560" t="s">
        <v>304</v>
      </c>
      <c r="I2560" t="s">
        <v>302</v>
      </c>
      <c r="J2560" t="s">
        <v>272</v>
      </c>
      <c r="L2560" t="b">
        <v>1</v>
      </c>
      <c r="M2560" t="s">
        <v>258</v>
      </c>
      <c r="N2560" t="s">
        <v>8245</v>
      </c>
      <c r="O2560" s="1">
        <v>23886</v>
      </c>
      <c r="P2560" t="s">
        <v>8014</v>
      </c>
      <c r="Q2560" t="s">
        <v>225</v>
      </c>
      <c r="S2560" s="1">
        <v>45020.209027777775</v>
      </c>
      <c r="V2560">
        <v>1965</v>
      </c>
      <c r="W2560"/>
      <c r="Y2560" s="2">
        <v>7184844193</v>
      </c>
      <c r="AD2560">
        <v>38964</v>
      </c>
    </row>
    <row r="2561" spans="1:30" hidden="1" x14ac:dyDescent="0.45">
      <c r="A2561">
        <v>2540</v>
      </c>
      <c r="B2561">
        <v>1000</v>
      </c>
      <c r="C2561" t="s">
        <v>61</v>
      </c>
      <c r="D2561" t="s">
        <v>8015</v>
      </c>
      <c r="E2561">
        <v>64</v>
      </c>
      <c r="F2561" t="s">
        <v>228</v>
      </c>
      <c r="G2561" t="s">
        <v>228</v>
      </c>
      <c r="H2561" t="s">
        <v>8016</v>
      </c>
      <c r="I2561" t="s">
        <v>61</v>
      </c>
      <c r="J2561" t="s">
        <v>228</v>
      </c>
      <c r="L2561" t="b">
        <v>1</v>
      </c>
      <c r="M2561" t="s">
        <v>611</v>
      </c>
      <c r="N2561" t="s">
        <v>8246</v>
      </c>
      <c r="O2561" s="1">
        <v>21400</v>
      </c>
      <c r="P2561" t="s">
        <v>3656</v>
      </c>
      <c r="Q2561" t="s">
        <v>8017</v>
      </c>
      <c r="S2561" s="1">
        <v>45020.209027777775</v>
      </c>
      <c r="V2561">
        <v>1958</v>
      </c>
      <c r="W2561"/>
      <c r="Y2561"/>
    </row>
    <row r="2562" spans="1:30" hidden="1" x14ac:dyDescent="0.45">
      <c r="A2562">
        <v>2540</v>
      </c>
      <c r="B2562">
        <v>1000</v>
      </c>
      <c r="C2562" t="s">
        <v>91</v>
      </c>
      <c r="D2562" t="s">
        <v>8018</v>
      </c>
      <c r="E2562">
        <v>67</v>
      </c>
      <c r="F2562" t="s">
        <v>2037</v>
      </c>
      <c r="G2562" t="s">
        <v>2038</v>
      </c>
      <c r="H2562" t="s">
        <v>91</v>
      </c>
      <c r="I2562" t="s">
        <v>91</v>
      </c>
      <c r="J2562" t="s">
        <v>2037</v>
      </c>
      <c r="L2562" t="b">
        <v>1</v>
      </c>
      <c r="M2562" t="s">
        <v>39</v>
      </c>
      <c r="N2562" t="s">
        <v>8245</v>
      </c>
      <c r="O2562" s="1">
        <v>20515</v>
      </c>
      <c r="P2562" t="s">
        <v>8019</v>
      </c>
      <c r="Q2562" t="s">
        <v>8020</v>
      </c>
      <c r="S2562" s="1">
        <v>45020.209027777775</v>
      </c>
      <c r="V2562">
        <v>1956</v>
      </c>
      <c r="W2562">
        <v>234.44</v>
      </c>
      <c r="X2562">
        <v>15.2</v>
      </c>
      <c r="Y2562" s="2">
        <v>754411708203</v>
      </c>
      <c r="Z2562">
        <v>23.9</v>
      </c>
      <c r="AA2562">
        <v>93.2</v>
      </c>
      <c r="AB2562">
        <v>17.899999999999999</v>
      </c>
      <c r="AC2562">
        <v>42.3</v>
      </c>
      <c r="AD2562">
        <v>83429615</v>
      </c>
    </row>
    <row r="2563" spans="1:30" hidden="1" x14ac:dyDescent="0.45">
      <c r="A2563">
        <v>2540</v>
      </c>
      <c r="B2563">
        <v>1000</v>
      </c>
      <c r="C2563" t="s">
        <v>45</v>
      </c>
      <c r="D2563" t="s">
        <v>8021</v>
      </c>
      <c r="E2563">
        <v>56</v>
      </c>
      <c r="F2563" t="s">
        <v>35</v>
      </c>
      <c r="G2563" t="s">
        <v>8022</v>
      </c>
      <c r="H2563" t="s">
        <v>856</v>
      </c>
      <c r="I2563" t="s">
        <v>45</v>
      </c>
      <c r="J2563" t="s">
        <v>35</v>
      </c>
      <c r="L2563" t="b">
        <v>1</v>
      </c>
      <c r="M2563" t="s">
        <v>39</v>
      </c>
      <c r="N2563" t="s">
        <v>8245</v>
      </c>
      <c r="O2563" s="1">
        <v>24287</v>
      </c>
      <c r="P2563" t="s">
        <v>8023</v>
      </c>
      <c r="Q2563" t="s">
        <v>8024</v>
      </c>
      <c r="S2563" s="1">
        <v>45020.209027777775</v>
      </c>
      <c r="T2563" t="s">
        <v>115</v>
      </c>
      <c r="U2563" t="s">
        <v>53</v>
      </c>
      <c r="V2563">
        <v>1966</v>
      </c>
      <c r="W2563">
        <v>117.24</v>
      </c>
      <c r="X2563">
        <v>7.5</v>
      </c>
      <c r="Y2563" s="2">
        <v>21427700000000</v>
      </c>
      <c r="Z2563">
        <v>88.2</v>
      </c>
      <c r="AA2563">
        <v>101.8</v>
      </c>
      <c r="AB2563">
        <v>9.6</v>
      </c>
      <c r="AC2563">
        <v>36.6</v>
      </c>
      <c r="AD2563">
        <v>328239523</v>
      </c>
    </row>
    <row r="2564" spans="1:30" hidden="1" x14ac:dyDescent="0.45">
      <c r="A2564">
        <v>2540</v>
      </c>
      <c r="B2564">
        <v>1000</v>
      </c>
      <c r="C2564" t="s">
        <v>302</v>
      </c>
      <c r="D2564" t="s">
        <v>8025</v>
      </c>
      <c r="E2564">
        <v>63</v>
      </c>
      <c r="F2564" t="s">
        <v>487</v>
      </c>
      <c r="G2564" t="s">
        <v>487</v>
      </c>
      <c r="H2564" t="s">
        <v>8026</v>
      </c>
      <c r="I2564" t="s">
        <v>302</v>
      </c>
      <c r="J2564" t="s">
        <v>272</v>
      </c>
      <c r="L2564" t="b">
        <v>1</v>
      </c>
      <c r="M2564" t="s">
        <v>39</v>
      </c>
      <c r="N2564" t="s">
        <v>8245</v>
      </c>
      <c r="O2564" s="1">
        <v>21856</v>
      </c>
      <c r="P2564" t="s">
        <v>8027</v>
      </c>
      <c r="Q2564" t="s">
        <v>137</v>
      </c>
      <c r="S2564" s="1">
        <v>45020.209027777775</v>
      </c>
      <c r="V2564">
        <v>1959</v>
      </c>
      <c r="W2564"/>
      <c r="Y2564" s="2">
        <v>7184844193</v>
      </c>
      <c r="AD2564">
        <v>38964</v>
      </c>
    </row>
    <row r="2565" spans="1:30" hidden="1" x14ac:dyDescent="0.45">
      <c r="A2565">
        <v>2540</v>
      </c>
      <c r="B2565">
        <v>1000</v>
      </c>
      <c r="C2565" t="s">
        <v>45</v>
      </c>
      <c r="D2565" t="s">
        <v>8028</v>
      </c>
      <c r="E2565">
        <v>50</v>
      </c>
      <c r="F2565" t="s">
        <v>128</v>
      </c>
      <c r="G2565" t="s">
        <v>719</v>
      </c>
      <c r="H2565" t="s">
        <v>856</v>
      </c>
      <c r="I2565" t="s">
        <v>45</v>
      </c>
      <c r="J2565" t="s">
        <v>128</v>
      </c>
      <c r="L2565" t="b">
        <v>1</v>
      </c>
      <c r="M2565" t="s">
        <v>258</v>
      </c>
      <c r="N2565" t="s">
        <v>8245</v>
      </c>
      <c r="O2565" s="1">
        <v>26512</v>
      </c>
      <c r="P2565" t="s">
        <v>3914</v>
      </c>
      <c r="Q2565" t="s">
        <v>8029</v>
      </c>
      <c r="S2565" s="1">
        <v>45020.209027777775</v>
      </c>
      <c r="V2565">
        <v>1972</v>
      </c>
      <c r="W2565">
        <v>125.08</v>
      </c>
      <c r="X2565">
        <v>2.9</v>
      </c>
      <c r="Y2565" s="2">
        <v>19910000000000</v>
      </c>
      <c r="Z2565">
        <v>50.6</v>
      </c>
      <c r="AA2565">
        <v>100.2</v>
      </c>
      <c r="AB2565">
        <v>9.4</v>
      </c>
      <c r="AC2565">
        <v>59.2</v>
      </c>
      <c r="AD2565">
        <v>1397715000</v>
      </c>
    </row>
    <row r="2566" spans="1:30" hidden="1" x14ac:dyDescent="0.45">
      <c r="A2566">
        <v>2540</v>
      </c>
      <c r="B2566">
        <v>1000</v>
      </c>
      <c r="C2566" t="s">
        <v>402</v>
      </c>
      <c r="D2566" t="s">
        <v>8030</v>
      </c>
      <c r="E2566">
        <v>58</v>
      </c>
      <c r="F2566" t="s">
        <v>128</v>
      </c>
      <c r="G2566" t="s">
        <v>187</v>
      </c>
      <c r="H2566" t="s">
        <v>610</v>
      </c>
      <c r="I2566" t="s">
        <v>402</v>
      </c>
      <c r="J2566" t="s">
        <v>128</v>
      </c>
      <c r="L2566" t="b">
        <v>1</v>
      </c>
      <c r="M2566" t="s">
        <v>39</v>
      </c>
      <c r="N2566" t="s">
        <v>8246</v>
      </c>
      <c r="O2566" s="1">
        <v>23687</v>
      </c>
      <c r="P2566" t="s">
        <v>3445</v>
      </c>
      <c r="Q2566" t="s">
        <v>8031</v>
      </c>
      <c r="S2566" s="1">
        <v>45020.209027777775</v>
      </c>
      <c r="V2566">
        <v>1964</v>
      </c>
      <c r="W2566">
        <v>125.08</v>
      </c>
      <c r="X2566">
        <v>2.9</v>
      </c>
      <c r="Y2566" s="2">
        <v>19910000000000</v>
      </c>
      <c r="Z2566">
        <v>50.6</v>
      </c>
      <c r="AA2566">
        <v>100.2</v>
      </c>
      <c r="AB2566">
        <v>9.4</v>
      </c>
      <c r="AC2566">
        <v>59.2</v>
      </c>
      <c r="AD2566">
        <v>1397715000</v>
      </c>
    </row>
    <row r="2567" spans="1:30" hidden="1" x14ac:dyDescent="0.45">
      <c r="A2567">
        <v>2540</v>
      </c>
      <c r="B2567">
        <v>1000</v>
      </c>
      <c r="C2567" t="s">
        <v>402</v>
      </c>
      <c r="D2567" t="s">
        <v>8032</v>
      </c>
      <c r="E2567">
        <v>68</v>
      </c>
      <c r="F2567" t="s">
        <v>1385</v>
      </c>
      <c r="G2567" t="s">
        <v>8033</v>
      </c>
      <c r="H2567" t="s">
        <v>645</v>
      </c>
      <c r="I2567" t="s">
        <v>402</v>
      </c>
      <c r="J2567" t="s">
        <v>1385</v>
      </c>
      <c r="L2567" t="b">
        <v>0</v>
      </c>
      <c r="M2567" t="s">
        <v>39</v>
      </c>
      <c r="N2567" t="s">
        <v>8246</v>
      </c>
      <c r="O2567" s="1">
        <v>19988</v>
      </c>
      <c r="P2567" t="s">
        <v>8034</v>
      </c>
      <c r="Q2567" t="s">
        <v>8035</v>
      </c>
      <c r="S2567" s="1">
        <v>45020.209027777775</v>
      </c>
      <c r="V2567">
        <v>1954</v>
      </c>
      <c r="W2567">
        <v>110.35</v>
      </c>
      <c r="X2567">
        <v>0.8</v>
      </c>
      <c r="Y2567" s="2">
        <v>348078018464</v>
      </c>
      <c r="Z2567">
        <v>80.599999999999994</v>
      </c>
      <c r="AA2567">
        <v>101.3</v>
      </c>
      <c r="AB2567">
        <v>32.4</v>
      </c>
      <c r="AC2567">
        <v>23.8</v>
      </c>
      <c r="AD2567">
        <v>5818553</v>
      </c>
    </row>
    <row r="2568" spans="1:30" x14ac:dyDescent="0.45">
      <c r="A2568">
        <v>2540</v>
      </c>
      <c r="B2568" s="6">
        <v>1000</v>
      </c>
      <c r="C2568" t="s">
        <v>23</v>
      </c>
      <c r="D2568" t="s">
        <v>8036</v>
      </c>
      <c r="E2568">
        <v>66</v>
      </c>
      <c r="F2568" t="s">
        <v>35</v>
      </c>
      <c r="G2568" t="s">
        <v>991</v>
      </c>
      <c r="H2568" t="s">
        <v>4513</v>
      </c>
      <c r="I2568" t="s">
        <v>23</v>
      </c>
      <c r="J2568" t="s">
        <v>35</v>
      </c>
      <c r="K2568" t="s">
        <v>4514</v>
      </c>
      <c r="L2568" t="b">
        <v>0</v>
      </c>
      <c r="M2568" t="s">
        <v>39</v>
      </c>
      <c r="N2568" t="s">
        <v>8245</v>
      </c>
      <c r="O2568" s="10">
        <v>20911</v>
      </c>
      <c r="P2568" t="s">
        <v>1581</v>
      </c>
      <c r="Q2568" t="s">
        <v>338</v>
      </c>
      <c r="R2568" t="s">
        <v>157</v>
      </c>
      <c r="S2568" s="8">
        <v>45020.209027777775</v>
      </c>
      <c r="T2568" t="s">
        <v>115</v>
      </c>
      <c r="U2568" t="s">
        <v>53</v>
      </c>
      <c r="V2568">
        <v>1957</v>
      </c>
      <c r="W2568" s="12">
        <v>117.24</v>
      </c>
      <c r="X2568">
        <v>7.5</v>
      </c>
      <c r="Y2568" s="14">
        <v>21427700000000</v>
      </c>
      <c r="Z2568">
        <v>88.2</v>
      </c>
      <c r="AA2568">
        <v>101.8</v>
      </c>
      <c r="AB2568">
        <v>9.6</v>
      </c>
      <c r="AC2568">
        <v>36.6</v>
      </c>
      <c r="AD2568">
        <v>328239523</v>
      </c>
    </row>
    <row r="2569" spans="1:30" hidden="1" x14ac:dyDescent="0.45">
      <c r="A2569">
        <v>2540</v>
      </c>
      <c r="B2569">
        <v>1000</v>
      </c>
      <c r="C2569" t="s">
        <v>296</v>
      </c>
      <c r="D2569" t="s">
        <v>8037</v>
      </c>
      <c r="E2569">
        <v>56</v>
      </c>
      <c r="F2569" t="s">
        <v>128</v>
      </c>
      <c r="G2569" t="s">
        <v>234</v>
      </c>
      <c r="H2569" t="s">
        <v>8038</v>
      </c>
      <c r="I2569" t="s">
        <v>296</v>
      </c>
      <c r="J2569" t="s">
        <v>128</v>
      </c>
      <c r="L2569" t="b">
        <v>1</v>
      </c>
      <c r="M2569" t="s">
        <v>39</v>
      </c>
      <c r="N2569" t="s">
        <v>8245</v>
      </c>
      <c r="O2569" s="1">
        <v>24504</v>
      </c>
      <c r="P2569" t="s">
        <v>1725</v>
      </c>
      <c r="Q2569" t="s">
        <v>7364</v>
      </c>
      <c r="S2569" s="1">
        <v>45020.209027777775</v>
      </c>
      <c r="V2569">
        <v>1967</v>
      </c>
      <c r="W2569">
        <v>125.08</v>
      </c>
      <c r="X2569">
        <v>2.9</v>
      </c>
      <c r="Y2569" s="2">
        <v>19910000000000</v>
      </c>
      <c r="Z2569">
        <v>50.6</v>
      </c>
      <c r="AA2569">
        <v>100.2</v>
      </c>
      <c r="AB2569">
        <v>9.4</v>
      </c>
      <c r="AC2569">
        <v>59.2</v>
      </c>
      <c r="AD2569">
        <v>1397715000</v>
      </c>
    </row>
    <row r="2570" spans="1:30" hidden="1" x14ac:dyDescent="0.45">
      <c r="A2570">
        <v>2540</v>
      </c>
      <c r="B2570">
        <v>1000</v>
      </c>
      <c r="C2570" t="s">
        <v>302</v>
      </c>
      <c r="D2570" t="s">
        <v>8039</v>
      </c>
      <c r="E2570">
        <v>60</v>
      </c>
      <c r="F2570" t="s">
        <v>128</v>
      </c>
      <c r="G2570" t="s">
        <v>1733</v>
      </c>
      <c r="H2570" t="s">
        <v>304</v>
      </c>
      <c r="I2570" t="s">
        <v>302</v>
      </c>
      <c r="J2570" t="s">
        <v>128</v>
      </c>
      <c r="L2570" t="b">
        <v>1</v>
      </c>
      <c r="M2570" t="s">
        <v>39</v>
      </c>
      <c r="N2570" t="s">
        <v>8245</v>
      </c>
      <c r="O2570" s="1">
        <v>22890</v>
      </c>
      <c r="P2570" t="s">
        <v>8040</v>
      </c>
      <c r="Q2570" t="s">
        <v>6943</v>
      </c>
      <c r="S2570" s="1">
        <v>45020.209027777775</v>
      </c>
      <c r="V2570">
        <v>1962</v>
      </c>
      <c r="W2570">
        <v>125.08</v>
      </c>
      <c r="X2570">
        <v>2.9</v>
      </c>
      <c r="Y2570" s="2">
        <v>19910000000000</v>
      </c>
      <c r="Z2570">
        <v>50.6</v>
      </c>
      <c r="AA2570">
        <v>100.2</v>
      </c>
      <c r="AB2570">
        <v>9.4</v>
      </c>
      <c r="AC2570">
        <v>59.2</v>
      </c>
      <c r="AD2570">
        <v>1397715000</v>
      </c>
    </row>
    <row r="2571" spans="1:30" hidden="1" x14ac:dyDescent="0.45">
      <c r="A2571">
        <v>2540</v>
      </c>
      <c r="B2571">
        <v>1000</v>
      </c>
      <c r="C2571" t="s">
        <v>61</v>
      </c>
      <c r="D2571" t="s">
        <v>8041</v>
      </c>
      <c r="E2571">
        <v>79</v>
      </c>
      <c r="F2571" t="s">
        <v>577</v>
      </c>
      <c r="G2571" t="s">
        <v>578</v>
      </c>
      <c r="H2571" t="s">
        <v>2380</v>
      </c>
      <c r="I2571" t="s">
        <v>61</v>
      </c>
      <c r="J2571" t="s">
        <v>577</v>
      </c>
      <c r="L2571" t="b">
        <v>1</v>
      </c>
      <c r="M2571" t="s">
        <v>39</v>
      </c>
      <c r="N2571" t="s">
        <v>8245</v>
      </c>
      <c r="O2571" s="1">
        <v>16040</v>
      </c>
      <c r="P2571" t="s">
        <v>8042</v>
      </c>
      <c r="Q2571" t="s">
        <v>8043</v>
      </c>
      <c r="S2571" s="1">
        <v>45020.209027777775</v>
      </c>
      <c r="V2571">
        <v>1943</v>
      </c>
      <c r="W2571">
        <v>110.51</v>
      </c>
      <c r="X2571">
        <v>1.8</v>
      </c>
      <c r="Y2571" s="2">
        <v>530832908738</v>
      </c>
      <c r="Z2571">
        <v>67</v>
      </c>
      <c r="AA2571">
        <v>126.6</v>
      </c>
      <c r="AB2571">
        <v>27.9</v>
      </c>
      <c r="AC2571">
        <v>49.1</v>
      </c>
      <c r="AD2571">
        <v>10285453</v>
      </c>
    </row>
    <row r="2572" spans="1:30" hidden="1" x14ac:dyDescent="0.45">
      <c r="A2572">
        <v>2540</v>
      </c>
      <c r="B2572">
        <v>1000</v>
      </c>
      <c r="C2572" t="s">
        <v>436</v>
      </c>
      <c r="D2572" t="s">
        <v>8044</v>
      </c>
      <c r="E2572">
        <v>52</v>
      </c>
      <c r="F2572" t="s">
        <v>487</v>
      </c>
      <c r="G2572" t="s">
        <v>488</v>
      </c>
      <c r="H2572" t="s">
        <v>7727</v>
      </c>
      <c r="I2572" t="s">
        <v>436</v>
      </c>
      <c r="J2572" t="s">
        <v>686</v>
      </c>
      <c r="L2572" t="b">
        <v>0</v>
      </c>
      <c r="M2572" t="s">
        <v>1332</v>
      </c>
      <c r="N2572" t="s">
        <v>8246</v>
      </c>
      <c r="O2572" s="1">
        <v>25934</v>
      </c>
      <c r="P2572" t="s">
        <v>7728</v>
      </c>
      <c r="Q2572" t="s">
        <v>8045</v>
      </c>
      <c r="S2572" s="1">
        <v>45020.209027777775</v>
      </c>
      <c r="V2572">
        <v>1971</v>
      </c>
      <c r="W2572"/>
      <c r="Y2572" s="2">
        <v>7184844193</v>
      </c>
      <c r="AD2572">
        <v>38964</v>
      </c>
    </row>
    <row r="2573" spans="1:30" hidden="1" x14ac:dyDescent="0.45">
      <c r="A2573">
        <v>2540</v>
      </c>
      <c r="B2573">
        <v>1000</v>
      </c>
      <c r="C2573" t="s">
        <v>436</v>
      </c>
      <c r="D2573" t="s">
        <v>8046</v>
      </c>
      <c r="E2573">
        <v>56</v>
      </c>
      <c r="F2573" t="s">
        <v>487</v>
      </c>
      <c r="G2573" t="s">
        <v>488</v>
      </c>
      <c r="H2573" t="s">
        <v>7727</v>
      </c>
      <c r="I2573" t="s">
        <v>436</v>
      </c>
      <c r="J2573" t="s">
        <v>686</v>
      </c>
      <c r="L2573" t="b">
        <v>0</v>
      </c>
      <c r="M2573" t="s">
        <v>39</v>
      </c>
      <c r="N2573" t="s">
        <v>8245</v>
      </c>
      <c r="O2573" s="1">
        <v>24517</v>
      </c>
      <c r="P2573" t="s">
        <v>7728</v>
      </c>
      <c r="Q2573" t="s">
        <v>8047</v>
      </c>
      <c r="S2573" s="1">
        <v>45020.209027777775</v>
      </c>
      <c r="V2573">
        <v>1967</v>
      </c>
      <c r="W2573"/>
      <c r="Y2573" s="2">
        <v>7184844193</v>
      </c>
      <c r="AD2573">
        <v>38964</v>
      </c>
    </row>
    <row r="2574" spans="1:30" hidden="1" x14ac:dyDescent="0.45">
      <c r="A2574">
        <v>2540</v>
      </c>
      <c r="B2574">
        <v>1000</v>
      </c>
      <c r="C2574" t="s">
        <v>296</v>
      </c>
      <c r="D2574" t="s">
        <v>8048</v>
      </c>
      <c r="E2574">
        <v>55</v>
      </c>
      <c r="F2574" t="s">
        <v>128</v>
      </c>
      <c r="G2574" t="s">
        <v>2993</v>
      </c>
      <c r="H2574" t="s">
        <v>4590</v>
      </c>
      <c r="I2574" t="s">
        <v>296</v>
      </c>
      <c r="J2574" t="s">
        <v>128</v>
      </c>
      <c r="L2574" t="b">
        <v>1</v>
      </c>
      <c r="M2574" t="s">
        <v>39</v>
      </c>
      <c r="N2574" t="s">
        <v>8246</v>
      </c>
      <c r="O2574" s="1">
        <v>24838</v>
      </c>
      <c r="P2574" t="s">
        <v>647</v>
      </c>
      <c r="Q2574" t="s">
        <v>2340</v>
      </c>
      <c r="S2574" s="1">
        <v>45020.209027777775</v>
      </c>
      <c r="V2574">
        <v>1968</v>
      </c>
      <c r="W2574">
        <v>125.08</v>
      </c>
      <c r="X2574">
        <v>2.9</v>
      </c>
      <c r="Y2574" s="2">
        <v>19910000000000</v>
      </c>
      <c r="Z2574">
        <v>50.6</v>
      </c>
      <c r="AA2574">
        <v>100.2</v>
      </c>
      <c r="AB2574">
        <v>9.4</v>
      </c>
      <c r="AC2574">
        <v>59.2</v>
      </c>
      <c r="AD2574">
        <v>1397715000</v>
      </c>
    </row>
    <row r="2575" spans="1:30" hidden="1" x14ac:dyDescent="0.45">
      <c r="A2575">
        <v>2540</v>
      </c>
      <c r="B2575">
        <v>1000</v>
      </c>
      <c r="C2575" t="s">
        <v>296</v>
      </c>
      <c r="D2575" t="s">
        <v>8049</v>
      </c>
      <c r="E2575">
        <v>66</v>
      </c>
      <c r="F2575" t="s">
        <v>128</v>
      </c>
      <c r="G2575" t="s">
        <v>777</v>
      </c>
      <c r="H2575" t="s">
        <v>296</v>
      </c>
      <c r="I2575" t="s">
        <v>296</v>
      </c>
      <c r="J2575" t="s">
        <v>128</v>
      </c>
      <c r="L2575" t="b">
        <v>1</v>
      </c>
      <c r="M2575" t="s">
        <v>39</v>
      </c>
      <c r="N2575" t="s">
        <v>8245</v>
      </c>
      <c r="O2575" s="1">
        <v>20874</v>
      </c>
      <c r="P2575" t="s">
        <v>390</v>
      </c>
      <c r="Q2575" t="s">
        <v>8050</v>
      </c>
      <c r="S2575" s="1">
        <v>45020.209027777775</v>
      </c>
      <c r="V2575">
        <v>1957</v>
      </c>
      <c r="W2575">
        <v>125.08</v>
      </c>
      <c r="X2575">
        <v>2.9</v>
      </c>
      <c r="Y2575" s="2">
        <v>19910000000000</v>
      </c>
      <c r="Z2575">
        <v>50.6</v>
      </c>
      <c r="AA2575">
        <v>100.2</v>
      </c>
      <c r="AB2575">
        <v>9.4</v>
      </c>
      <c r="AC2575">
        <v>59.2</v>
      </c>
      <c r="AD2575">
        <v>1397715000</v>
      </c>
    </row>
    <row r="2576" spans="1:30" hidden="1" x14ac:dyDescent="0.45">
      <c r="A2576">
        <v>2540</v>
      </c>
      <c r="B2576">
        <v>1000</v>
      </c>
      <c r="C2576" t="s">
        <v>347</v>
      </c>
      <c r="D2576" t="s">
        <v>8051</v>
      </c>
      <c r="E2576">
        <v>79</v>
      </c>
      <c r="F2576" t="s">
        <v>349</v>
      </c>
      <c r="G2576" t="s">
        <v>350</v>
      </c>
      <c r="H2576" t="s">
        <v>351</v>
      </c>
      <c r="I2576" t="s">
        <v>347</v>
      </c>
      <c r="J2576" t="s">
        <v>349</v>
      </c>
      <c r="L2576" t="b">
        <v>0</v>
      </c>
      <c r="M2576" t="s">
        <v>258</v>
      </c>
      <c r="N2576" t="s">
        <v>8246</v>
      </c>
      <c r="O2576" s="1">
        <v>15952</v>
      </c>
      <c r="P2576" t="s">
        <v>8052</v>
      </c>
      <c r="Q2576" t="s">
        <v>8053</v>
      </c>
      <c r="S2576" s="1">
        <v>45020.209027777775</v>
      </c>
      <c r="V2576">
        <v>1943</v>
      </c>
      <c r="W2576">
        <v>151.18</v>
      </c>
      <c r="X2576">
        <v>3</v>
      </c>
      <c r="Y2576" s="2">
        <v>1119190780753</v>
      </c>
      <c r="Z2576">
        <v>36.299999999999997</v>
      </c>
      <c r="AA2576">
        <v>106.4</v>
      </c>
      <c r="AB2576">
        <v>10.199999999999999</v>
      </c>
      <c r="AC2576">
        <v>30.1</v>
      </c>
      <c r="AD2576">
        <v>270203917</v>
      </c>
    </row>
    <row r="2577" spans="1:30" hidden="1" x14ac:dyDescent="0.45">
      <c r="A2577">
        <v>2540</v>
      </c>
      <c r="B2577">
        <v>1000</v>
      </c>
      <c r="C2577" t="s">
        <v>45</v>
      </c>
      <c r="D2577" t="s">
        <v>8054</v>
      </c>
      <c r="E2577">
        <v>46</v>
      </c>
      <c r="F2577" t="s">
        <v>128</v>
      </c>
      <c r="G2577" t="s">
        <v>187</v>
      </c>
      <c r="H2577" t="s">
        <v>934</v>
      </c>
      <c r="I2577" t="s">
        <v>45</v>
      </c>
      <c r="J2577" t="s">
        <v>128</v>
      </c>
      <c r="L2577" t="b">
        <v>1</v>
      </c>
      <c r="M2577" t="s">
        <v>39</v>
      </c>
      <c r="N2577" t="s">
        <v>8245</v>
      </c>
      <c r="O2577" s="1">
        <v>28126</v>
      </c>
      <c r="P2577" t="s">
        <v>2340</v>
      </c>
      <c r="Q2577" t="s">
        <v>3445</v>
      </c>
      <c r="S2577" s="1">
        <v>45020.209027777775</v>
      </c>
      <c r="V2577">
        <v>1977</v>
      </c>
      <c r="W2577">
        <v>125.08</v>
      </c>
      <c r="X2577">
        <v>2.9</v>
      </c>
      <c r="Y2577" s="2">
        <v>19910000000000</v>
      </c>
      <c r="Z2577">
        <v>50.6</v>
      </c>
      <c r="AA2577">
        <v>100.2</v>
      </c>
      <c r="AB2577">
        <v>9.4</v>
      </c>
      <c r="AC2577">
        <v>59.2</v>
      </c>
      <c r="AD2577">
        <v>1397715000</v>
      </c>
    </row>
    <row r="2578" spans="1:30" hidden="1" x14ac:dyDescent="0.45">
      <c r="A2578">
        <v>2540</v>
      </c>
      <c r="B2578">
        <v>1000</v>
      </c>
      <c r="C2578" t="s">
        <v>23</v>
      </c>
      <c r="D2578" t="s">
        <v>8055</v>
      </c>
      <c r="E2578">
        <v>70</v>
      </c>
      <c r="F2578" t="s">
        <v>928</v>
      </c>
      <c r="G2578" t="s">
        <v>929</v>
      </c>
      <c r="H2578" t="s">
        <v>3782</v>
      </c>
      <c r="I2578" t="s">
        <v>23</v>
      </c>
      <c r="J2578" t="s">
        <v>928</v>
      </c>
      <c r="K2578" t="s">
        <v>8056</v>
      </c>
      <c r="L2578" t="b">
        <v>0</v>
      </c>
      <c r="M2578" t="s">
        <v>39</v>
      </c>
      <c r="N2578" t="s">
        <v>8245</v>
      </c>
      <c r="O2578" s="1">
        <v>19367</v>
      </c>
      <c r="P2578" t="s">
        <v>2340</v>
      </c>
      <c r="Q2578" t="s">
        <v>8057</v>
      </c>
      <c r="S2578" s="1">
        <v>45020.209027777775</v>
      </c>
      <c r="V2578">
        <v>1953</v>
      </c>
      <c r="W2578">
        <v>115.16</v>
      </c>
      <c r="X2578">
        <v>0.4</v>
      </c>
      <c r="Y2578" s="2">
        <v>2029000000000</v>
      </c>
      <c r="Z2578">
        <v>94.3</v>
      </c>
      <c r="AA2578">
        <v>98.1</v>
      </c>
      <c r="AB2578">
        <v>15.6</v>
      </c>
      <c r="AC2578">
        <v>33.200000000000003</v>
      </c>
      <c r="AD2578">
        <v>51709098</v>
      </c>
    </row>
    <row r="2579" spans="1:30" hidden="1" x14ac:dyDescent="0.45">
      <c r="A2579">
        <v>2540</v>
      </c>
      <c r="B2579">
        <v>1000</v>
      </c>
      <c r="C2579" t="s">
        <v>402</v>
      </c>
      <c r="D2579" t="s">
        <v>8058</v>
      </c>
      <c r="E2579">
        <v>59</v>
      </c>
      <c r="F2579" t="s">
        <v>128</v>
      </c>
      <c r="G2579" t="s">
        <v>292</v>
      </c>
      <c r="H2579" t="s">
        <v>8059</v>
      </c>
      <c r="I2579" t="s">
        <v>402</v>
      </c>
      <c r="J2579" t="s">
        <v>128</v>
      </c>
      <c r="L2579" t="b">
        <v>1</v>
      </c>
      <c r="M2579" t="s">
        <v>1332</v>
      </c>
      <c r="N2579" t="s">
        <v>8245</v>
      </c>
      <c r="O2579" s="1">
        <v>23385</v>
      </c>
      <c r="P2579" t="s">
        <v>2526</v>
      </c>
      <c r="Q2579" t="s">
        <v>8060</v>
      </c>
      <c r="S2579" s="1">
        <v>45020.209027777775</v>
      </c>
      <c r="V2579">
        <v>1964</v>
      </c>
      <c r="W2579">
        <v>125.08</v>
      </c>
      <c r="X2579">
        <v>2.9</v>
      </c>
      <c r="Y2579" s="2">
        <v>19910000000000</v>
      </c>
      <c r="Z2579">
        <v>50.6</v>
      </c>
      <c r="AA2579">
        <v>100.2</v>
      </c>
      <c r="AB2579">
        <v>9.4</v>
      </c>
      <c r="AC2579">
        <v>59.2</v>
      </c>
      <c r="AD2579">
        <v>1397715000</v>
      </c>
    </row>
    <row r="2580" spans="1:30" hidden="1" x14ac:dyDescent="0.45">
      <c r="A2580">
        <v>2540</v>
      </c>
      <c r="B2580">
        <v>1000</v>
      </c>
      <c r="C2580" t="s">
        <v>45</v>
      </c>
      <c r="D2580" t="s">
        <v>8061</v>
      </c>
      <c r="E2580">
        <v>45</v>
      </c>
      <c r="F2580" t="s">
        <v>214</v>
      </c>
      <c r="G2580" t="s">
        <v>2878</v>
      </c>
      <c r="H2580" t="s">
        <v>8062</v>
      </c>
      <c r="I2580" t="s">
        <v>45</v>
      </c>
      <c r="J2580" t="s">
        <v>214</v>
      </c>
      <c r="L2580" t="b">
        <v>1</v>
      </c>
      <c r="M2580" t="s">
        <v>258</v>
      </c>
      <c r="N2580" t="s">
        <v>8245</v>
      </c>
      <c r="O2580" s="1">
        <v>28582</v>
      </c>
      <c r="P2580" t="s">
        <v>8063</v>
      </c>
      <c r="Q2580" t="s">
        <v>8064</v>
      </c>
      <c r="S2580" s="1">
        <v>45020.209027777775</v>
      </c>
      <c r="V2580">
        <v>1978</v>
      </c>
      <c r="W2580">
        <v>110.62</v>
      </c>
      <c r="X2580">
        <v>0.6</v>
      </c>
      <c r="Y2580" s="2">
        <v>2001244392042</v>
      </c>
      <c r="Z2580">
        <v>61.9</v>
      </c>
      <c r="AA2580">
        <v>101.9</v>
      </c>
      <c r="AB2580">
        <v>24.3</v>
      </c>
      <c r="AC2580">
        <v>59.1</v>
      </c>
      <c r="AD2580">
        <v>60297396</v>
      </c>
    </row>
    <row r="2581" spans="1:30" hidden="1" x14ac:dyDescent="0.45">
      <c r="A2581">
        <v>2540</v>
      </c>
      <c r="B2581">
        <v>1000</v>
      </c>
      <c r="C2581" t="s">
        <v>61</v>
      </c>
      <c r="D2581" t="s">
        <v>8065</v>
      </c>
      <c r="E2581">
        <v>68</v>
      </c>
      <c r="F2581" t="s">
        <v>194</v>
      </c>
      <c r="G2581" t="s">
        <v>3122</v>
      </c>
      <c r="H2581" t="s">
        <v>317</v>
      </c>
      <c r="I2581" t="s">
        <v>61</v>
      </c>
      <c r="J2581" t="s">
        <v>194</v>
      </c>
      <c r="L2581" t="b">
        <v>1</v>
      </c>
      <c r="M2581" t="s">
        <v>39</v>
      </c>
      <c r="N2581" t="s">
        <v>8246</v>
      </c>
      <c r="O2581" s="1">
        <v>20090</v>
      </c>
      <c r="P2581" t="s">
        <v>8066</v>
      </c>
      <c r="Q2581" t="s">
        <v>8067</v>
      </c>
      <c r="S2581" s="1">
        <v>45020.209027777775</v>
      </c>
      <c r="V2581">
        <v>1955</v>
      </c>
      <c r="W2581">
        <v>112.85</v>
      </c>
      <c r="X2581">
        <v>1.4</v>
      </c>
      <c r="Y2581" s="2">
        <v>3845630030824</v>
      </c>
      <c r="Z2581">
        <v>70.2</v>
      </c>
      <c r="AA2581">
        <v>104</v>
      </c>
      <c r="AB2581">
        <v>11.5</v>
      </c>
      <c r="AC2581">
        <v>48.8</v>
      </c>
      <c r="AD2581">
        <v>83132799</v>
      </c>
    </row>
    <row r="2582" spans="1:30" hidden="1" x14ac:dyDescent="0.45">
      <c r="A2582">
        <v>2540</v>
      </c>
      <c r="B2582">
        <v>1000</v>
      </c>
      <c r="C2582" t="s">
        <v>296</v>
      </c>
      <c r="D2582" t="s">
        <v>8068</v>
      </c>
      <c r="E2582">
        <v>70</v>
      </c>
      <c r="F2582" t="s">
        <v>93</v>
      </c>
      <c r="G2582" t="s">
        <v>94</v>
      </c>
      <c r="H2582" t="s">
        <v>8069</v>
      </c>
      <c r="I2582" t="s">
        <v>296</v>
      </c>
      <c r="J2582" t="s">
        <v>93</v>
      </c>
      <c r="L2582" t="b">
        <v>1</v>
      </c>
      <c r="M2582" t="s">
        <v>258</v>
      </c>
      <c r="N2582" t="s">
        <v>8245</v>
      </c>
      <c r="O2582" s="1">
        <v>19447</v>
      </c>
      <c r="P2582" t="s">
        <v>8070</v>
      </c>
      <c r="Q2582" t="s">
        <v>8071</v>
      </c>
      <c r="S2582" s="1">
        <v>45020.209027777775</v>
      </c>
      <c r="V2582">
        <v>1953</v>
      </c>
      <c r="W2582">
        <v>180.44</v>
      </c>
      <c r="X2582">
        <v>7.7</v>
      </c>
      <c r="Y2582" s="2">
        <v>2611000000000</v>
      </c>
      <c r="Z2582">
        <v>28.1</v>
      </c>
      <c r="AA2582">
        <v>113</v>
      </c>
      <c r="AB2582">
        <v>11.2</v>
      </c>
      <c r="AC2582">
        <v>49.7</v>
      </c>
      <c r="AD2582">
        <v>1366417754</v>
      </c>
    </row>
    <row r="2583" spans="1:30" x14ac:dyDescent="0.45">
      <c r="A2583">
        <v>2540</v>
      </c>
      <c r="B2583" s="6">
        <v>1000</v>
      </c>
      <c r="C2583" t="s">
        <v>702</v>
      </c>
      <c r="D2583" t="s">
        <v>8072</v>
      </c>
      <c r="E2583">
        <v>38</v>
      </c>
      <c r="F2583" t="s">
        <v>35</v>
      </c>
      <c r="G2583" t="s">
        <v>964</v>
      </c>
      <c r="H2583" t="s">
        <v>8073</v>
      </c>
      <c r="I2583" t="s">
        <v>702</v>
      </c>
      <c r="J2583" t="s">
        <v>35</v>
      </c>
      <c r="K2583" t="s">
        <v>8074</v>
      </c>
      <c r="L2583" t="b">
        <v>1</v>
      </c>
      <c r="M2583" t="s">
        <v>258</v>
      </c>
      <c r="N2583" t="s">
        <v>8245</v>
      </c>
      <c r="O2583" s="10">
        <v>31046</v>
      </c>
      <c r="P2583" t="s">
        <v>401</v>
      </c>
      <c r="Q2583" t="s">
        <v>8075</v>
      </c>
      <c r="R2583" t="s">
        <v>3628</v>
      </c>
      <c r="S2583" s="8">
        <v>45020.209027777775</v>
      </c>
      <c r="T2583" t="s">
        <v>115</v>
      </c>
      <c r="U2583" t="s">
        <v>53</v>
      </c>
      <c r="V2583">
        <v>1984</v>
      </c>
      <c r="W2583" s="12">
        <v>117.24</v>
      </c>
      <c r="X2583">
        <v>7.5</v>
      </c>
      <c r="Y2583" s="14">
        <v>21427700000000</v>
      </c>
      <c r="Z2583">
        <v>88.2</v>
      </c>
      <c r="AA2583">
        <v>101.8</v>
      </c>
      <c r="AB2583">
        <v>9.6</v>
      </c>
      <c r="AC2583">
        <v>36.6</v>
      </c>
      <c r="AD2583">
        <v>328239523</v>
      </c>
    </row>
    <row r="2584" spans="1:30" hidden="1" x14ac:dyDescent="0.45">
      <c r="A2584">
        <v>2540</v>
      </c>
      <c r="B2584">
        <v>1000</v>
      </c>
      <c r="C2584" t="s">
        <v>23</v>
      </c>
      <c r="D2584" t="s">
        <v>8076</v>
      </c>
      <c r="E2584">
        <v>56</v>
      </c>
      <c r="F2584" t="s">
        <v>1297</v>
      </c>
      <c r="G2584" t="s">
        <v>1298</v>
      </c>
      <c r="H2584" t="s">
        <v>8077</v>
      </c>
      <c r="I2584" t="s">
        <v>23</v>
      </c>
      <c r="J2584" t="s">
        <v>1297</v>
      </c>
      <c r="L2584" t="b">
        <v>0</v>
      </c>
      <c r="M2584" t="s">
        <v>39</v>
      </c>
      <c r="N2584" t="s">
        <v>8245</v>
      </c>
      <c r="O2584" s="1">
        <v>24473</v>
      </c>
      <c r="P2584" t="s">
        <v>8078</v>
      </c>
      <c r="Q2584" t="s">
        <v>8079</v>
      </c>
      <c r="S2584" s="1">
        <v>45020.209027777775</v>
      </c>
      <c r="V2584">
        <v>1967</v>
      </c>
      <c r="W2584">
        <v>120.27</v>
      </c>
      <c r="X2584">
        <v>2.2000000000000002</v>
      </c>
      <c r="Y2584" s="2">
        <v>403336363636</v>
      </c>
      <c r="Z2584">
        <v>82</v>
      </c>
      <c r="AA2584">
        <v>100.3</v>
      </c>
      <c r="AB2584">
        <v>23.9</v>
      </c>
      <c r="AC2584">
        <v>36.200000000000003</v>
      </c>
      <c r="AD2584">
        <v>5347896</v>
      </c>
    </row>
    <row r="2585" spans="1:30" hidden="1" x14ac:dyDescent="0.45">
      <c r="A2585">
        <v>2540</v>
      </c>
      <c r="B2585">
        <v>1000</v>
      </c>
      <c r="C2585" t="s">
        <v>45</v>
      </c>
      <c r="D2585" t="s">
        <v>8080</v>
      </c>
      <c r="E2585">
        <v>93</v>
      </c>
      <c r="F2585" t="s">
        <v>490</v>
      </c>
      <c r="G2585" t="s">
        <v>8081</v>
      </c>
      <c r="H2585" t="s">
        <v>856</v>
      </c>
      <c r="I2585" t="s">
        <v>45</v>
      </c>
      <c r="J2585" t="s">
        <v>490</v>
      </c>
      <c r="L2585" t="b">
        <v>1</v>
      </c>
      <c r="M2585" t="s">
        <v>611</v>
      </c>
      <c r="N2585" t="s">
        <v>8245</v>
      </c>
      <c r="O2585" s="1">
        <v>10959</v>
      </c>
      <c r="P2585" t="s">
        <v>8082</v>
      </c>
      <c r="Q2585" t="s">
        <v>1152</v>
      </c>
      <c r="S2585" s="1">
        <v>45020.209027777775</v>
      </c>
      <c r="V2585">
        <v>1930</v>
      </c>
      <c r="W2585">
        <v>108.15</v>
      </c>
      <c r="X2585">
        <v>0.8</v>
      </c>
      <c r="Y2585" s="2">
        <v>395098666122</v>
      </c>
      <c r="Z2585">
        <v>63.4</v>
      </c>
      <c r="AA2585">
        <v>104.9</v>
      </c>
      <c r="AB2585">
        <v>23.1</v>
      </c>
      <c r="AC2585">
        <v>25.3</v>
      </c>
      <c r="AD2585">
        <v>9053300</v>
      </c>
    </row>
    <row r="2586" spans="1:30" hidden="1" x14ac:dyDescent="0.45">
      <c r="A2586">
        <v>2540</v>
      </c>
      <c r="B2586">
        <v>1000</v>
      </c>
      <c r="C2586" t="s">
        <v>296</v>
      </c>
      <c r="D2586" t="s">
        <v>8083</v>
      </c>
      <c r="E2586">
        <v>75</v>
      </c>
      <c r="F2586" t="s">
        <v>93</v>
      </c>
      <c r="G2586" t="s">
        <v>343</v>
      </c>
      <c r="H2586" t="s">
        <v>8084</v>
      </c>
      <c r="I2586" t="s">
        <v>296</v>
      </c>
      <c r="J2586" t="s">
        <v>93</v>
      </c>
      <c r="L2586" t="b">
        <v>1</v>
      </c>
      <c r="M2586" t="s">
        <v>1332</v>
      </c>
      <c r="N2586" t="s">
        <v>8245</v>
      </c>
      <c r="O2586" s="1">
        <v>17380</v>
      </c>
      <c r="P2586" t="s">
        <v>8085</v>
      </c>
      <c r="Q2586" t="s">
        <v>8086</v>
      </c>
      <c r="S2586" s="1">
        <v>45020.209027777775</v>
      </c>
      <c r="V2586">
        <v>1947</v>
      </c>
      <c r="W2586">
        <v>180.44</v>
      </c>
      <c r="X2586">
        <v>7.7</v>
      </c>
      <c r="Y2586" s="2">
        <v>2611000000000</v>
      </c>
      <c r="Z2586">
        <v>28.1</v>
      </c>
      <c r="AA2586">
        <v>113</v>
      </c>
      <c r="AB2586">
        <v>11.2</v>
      </c>
      <c r="AC2586">
        <v>49.7</v>
      </c>
      <c r="AD2586">
        <v>1366417754</v>
      </c>
    </row>
    <row r="2587" spans="1:30" hidden="1" x14ac:dyDescent="0.45">
      <c r="A2587">
        <v>2540</v>
      </c>
      <c r="B2587">
        <v>1000</v>
      </c>
      <c r="C2587" t="s">
        <v>61</v>
      </c>
      <c r="D2587" t="s">
        <v>8087</v>
      </c>
      <c r="E2587">
        <v>53</v>
      </c>
      <c r="F2587" t="s">
        <v>558</v>
      </c>
      <c r="G2587" t="s">
        <v>839</v>
      </c>
      <c r="H2587" t="s">
        <v>557</v>
      </c>
      <c r="I2587" t="s">
        <v>61</v>
      </c>
      <c r="J2587" t="s">
        <v>558</v>
      </c>
      <c r="L2587" t="b">
        <v>1</v>
      </c>
      <c r="M2587" t="s">
        <v>611</v>
      </c>
      <c r="N2587" t="s">
        <v>8245</v>
      </c>
      <c r="O2587" s="1">
        <v>25491</v>
      </c>
      <c r="P2587" t="s">
        <v>8088</v>
      </c>
      <c r="Q2587" t="s">
        <v>8089</v>
      </c>
      <c r="S2587" s="1">
        <v>45020.209027777775</v>
      </c>
      <c r="V2587">
        <v>1969</v>
      </c>
      <c r="W2587">
        <v>167.4</v>
      </c>
      <c r="X2587">
        <v>3.7</v>
      </c>
      <c r="Y2587" s="2">
        <v>1839758040766</v>
      </c>
      <c r="Z2587">
        <v>51.3</v>
      </c>
      <c r="AA2587">
        <v>115.4</v>
      </c>
      <c r="AB2587">
        <v>14.2</v>
      </c>
      <c r="AC2587">
        <v>65.099999999999994</v>
      </c>
      <c r="AD2587">
        <v>212559417</v>
      </c>
    </row>
    <row r="2588" spans="1:30" hidden="1" x14ac:dyDescent="0.45">
      <c r="A2588">
        <v>2540</v>
      </c>
      <c r="B2588">
        <v>1000</v>
      </c>
      <c r="C2588" t="s">
        <v>702</v>
      </c>
      <c r="D2588" t="s">
        <v>8090</v>
      </c>
      <c r="E2588">
        <v>79</v>
      </c>
      <c r="F2588" t="s">
        <v>35</v>
      </c>
      <c r="G2588" t="s">
        <v>3299</v>
      </c>
      <c r="H2588" t="s">
        <v>8091</v>
      </c>
      <c r="I2588" t="s">
        <v>702</v>
      </c>
      <c r="J2588" t="s">
        <v>35</v>
      </c>
      <c r="L2588" t="b">
        <v>1</v>
      </c>
      <c r="M2588" t="s">
        <v>611</v>
      </c>
      <c r="N2588" t="s">
        <v>8245</v>
      </c>
      <c r="O2588" s="1">
        <v>15951</v>
      </c>
      <c r="P2588" t="s">
        <v>8092</v>
      </c>
      <c r="Q2588" t="s">
        <v>251</v>
      </c>
      <c r="S2588" s="1">
        <v>45020.209027777775</v>
      </c>
      <c r="T2588" t="s">
        <v>2260</v>
      </c>
      <c r="U2588" t="s">
        <v>53</v>
      </c>
      <c r="V2588">
        <v>1943</v>
      </c>
      <c r="W2588">
        <v>117.24</v>
      </c>
      <c r="X2588">
        <v>7.5</v>
      </c>
      <c r="Y2588" s="2">
        <v>21427700000000</v>
      </c>
      <c r="Z2588">
        <v>88.2</v>
      </c>
      <c r="AA2588">
        <v>101.8</v>
      </c>
      <c r="AB2588">
        <v>9.6</v>
      </c>
      <c r="AC2588">
        <v>36.6</v>
      </c>
      <c r="AD2588">
        <v>328239523</v>
      </c>
    </row>
    <row r="2589" spans="1:30" hidden="1" x14ac:dyDescent="0.45">
      <c r="A2589">
        <v>2540</v>
      </c>
      <c r="B2589">
        <v>1000</v>
      </c>
      <c r="C2589" t="s">
        <v>45</v>
      </c>
      <c r="D2589" t="s">
        <v>8093</v>
      </c>
      <c r="E2589">
        <v>53</v>
      </c>
      <c r="F2589" t="s">
        <v>35</v>
      </c>
      <c r="G2589" t="s">
        <v>433</v>
      </c>
      <c r="H2589" t="s">
        <v>2171</v>
      </c>
      <c r="I2589" t="s">
        <v>45</v>
      </c>
      <c r="J2589" t="s">
        <v>35</v>
      </c>
      <c r="L2589" t="b">
        <v>1</v>
      </c>
      <c r="M2589" t="s">
        <v>258</v>
      </c>
      <c r="N2589" t="s">
        <v>8245</v>
      </c>
      <c r="O2589" s="1">
        <v>25503</v>
      </c>
      <c r="P2589" t="s">
        <v>8094</v>
      </c>
      <c r="Q2589" t="s">
        <v>2951</v>
      </c>
      <c r="S2589" s="1">
        <v>45020.209027777775</v>
      </c>
      <c r="T2589" t="s">
        <v>435</v>
      </c>
      <c r="U2589" t="s">
        <v>69</v>
      </c>
      <c r="V2589">
        <v>1969</v>
      </c>
      <c r="W2589">
        <v>117.24</v>
      </c>
      <c r="X2589">
        <v>7.5</v>
      </c>
      <c r="Y2589" s="2">
        <v>21427700000000</v>
      </c>
      <c r="Z2589">
        <v>88.2</v>
      </c>
      <c r="AA2589">
        <v>101.8</v>
      </c>
      <c r="AB2589">
        <v>9.6</v>
      </c>
      <c r="AC2589">
        <v>36.6</v>
      </c>
      <c r="AD2589">
        <v>328239523</v>
      </c>
    </row>
    <row r="2590" spans="1:30" hidden="1" x14ac:dyDescent="0.45">
      <c r="A2590">
        <v>2540</v>
      </c>
      <c r="B2590">
        <v>1000</v>
      </c>
      <c r="C2590" t="s">
        <v>347</v>
      </c>
      <c r="D2590" t="s">
        <v>8095</v>
      </c>
      <c r="E2590">
        <v>68</v>
      </c>
      <c r="F2590" t="s">
        <v>574</v>
      </c>
      <c r="G2590" t="s">
        <v>574</v>
      </c>
      <c r="H2590" t="s">
        <v>8096</v>
      </c>
      <c r="I2590" t="s">
        <v>347</v>
      </c>
      <c r="J2590" t="s">
        <v>8097</v>
      </c>
      <c r="L2590" t="b">
        <v>1</v>
      </c>
      <c r="M2590" t="s">
        <v>258</v>
      </c>
      <c r="N2590" t="s">
        <v>8245</v>
      </c>
      <c r="O2590" s="1">
        <v>20149</v>
      </c>
      <c r="P2590" t="s">
        <v>753</v>
      </c>
      <c r="Q2590" t="s">
        <v>8098</v>
      </c>
      <c r="S2590" s="1">
        <v>45020.209027777775</v>
      </c>
      <c r="V2590">
        <v>1955</v>
      </c>
      <c r="W2590">
        <v>114.41</v>
      </c>
      <c r="X2590">
        <v>0.6</v>
      </c>
      <c r="Y2590" s="2">
        <v>372062527489</v>
      </c>
      <c r="Z2590">
        <v>84.8</v>
      </c>
      <c r="AA2590">
        <v>100.6</v>
      </c>
      <c r="AB2590">
        <v>13.1</v>
      </c>
      <c r="AC2590">
        <v>21</v>
      </c>
      <c r="AD2590">
        <v>5703569</v>
      </c>
    </row>
    <row r="2591" spans="1:30" hidden="1" x14ac:dyDescent="0.45">
      <c r="A2591">
        <v>2540</v>
      </c>
      <c r="B2591">
        <v>1000</v>
      </c>
      <c r="C2591" t="s">
        <v>23</v>
      </c>
      <c r="D2591" t="s">
        <v>8099</v>
      </c>
      <c r="E2591">
        <v>48</v>
      </c>
      <c r="F2591" t="s">
        <v>928</v>
      </c>
      <c r="G2591" t="s">
        <v>929</v>
      </c>
      <c r="H2591" t="s">
        <v>3555</v>
      </c>
      <c r="I2591" t="s">
        <v>23</v>
      </c>
      <c r="J2591" t="s">
        <v>928</v>
      </c>
      <c r="L2591" t="b">
        <v>1</v>
      </c>
      <c r="M2591" t="s">
        <v>39</v>
      </c>
      <c r="N2591" t="s">
        <v>8245</v>
      </c>
      <c r="O2591" s="1">
        <v>27395</v>
      </c>
      <c r="P2591" t="s">
        <v>932</v>
      </c>
      <c r="Q2591" t="s">
        <v>8100</v>
      </c>
      <c r="S2591" s="1">
        <v>45020.209027777775</v>
      </c>
      <c r="V2591">
        <v>1975</v>
      </c>
      <c r="W2591">
        <v>115.16</v>
      </c>
      <c r="X2591">
        <v>0.4</v>
      </c>
      <c r="Y2591" s="2">
        <v>2029000000000</v>
      </c>
      <c r="Z2591">
        <v>94.3</v>
      </c>
      <c r="AA2591">
        <v>98.1</v>
      </c>
      <c r="AB2591">
        <v>15.6</v>
      </c>
      <c r="AC2591">
        <v>33.200000000000003</v>
      </c>
      <c r="AD2591">
        <v>51709098</v>
      </c>
    </row>
    <row r="2592" spans="1:30" hidden="1" x14ac:dyDescent="0.45">
      <c r="A2592">
        <v>2540</v>
      </c>
      <c r="B2592">
        <v>1000</v>
      </c>
      <c r="C2592" t="s">
        <v>91</v>
      </c>
      <c r="D2592" t="s">
        <v>8101</v>
      </c>
      <c r="E2592">
        <v>60</v>
      </c>
      <c r="F2592" t="s">
        <v>1855</v>
      </c>
      <c r="G2592" t="s">
        <v>5091</v>
      </c>
      <c r="H2592" t="s">
        <v>5414</v>
      </c>
      <c r="I2592" t="s">
        <v>91</v>
      </c>
      <c r="J2592" t="s">
        <v>490</v>
      </c>
      <c r="L2592" t="b">
        <v>1</v>
      </c>
      <c r="M2592" t="s">
        <v>611</v>
      </c>
      <c r="N2592" t="s">
        <v>8245</v>
      </c>
      <c r="O2592" s="1">
        <v>23055</v>
      </c>
      <c r="P2592" t="s">
        <v>8102</v>
      </c>
      <c r="Q2592" t="s">
        <v>8103</v>
      </c>
      <c r="S2592" s="1">
        <v>45020.209027777775</v>
      </c>
      <c r="V2592">
        <v>1963</v>
      </c>
      <c r="W2592">
        <v>281.66000000000003</v>
      </c>
      <c r="X2592">
        <v>7.9</v>
      </c>
      <c r="Y2592" s="2">
        <v>153781069118</v>
      </c>
      <c r="Z2592">
        <v>82.7</v>
      </c>
      <c r="AA2592">
        <v>99</v>
      </c>
      <c r="AB2592">
        <v>20.100000000000001</v>
      </c>
      <c r="AC2592">
        <v>45.2</v>
      </c>
      <c r="AD2592">
        <v>44385155</v>
      </c>
    </row>
    <row r="2593" spans="1:30" hidden="1" x14ac:dyDescent="0.45">
      <c r="A2593">
        <v>2540</v>
      </c>
      <c r="B2593">
        <v>1000</v>
      </c>
      <c r="C2593" t="s">
        <v>302</v>
      </c>
      <c r="D2593" t="s">
        <v>8104</v>
      </c>
      <c r="E2593">
        <v>55</v>
      </c>
      <c r="F2593" t="s">
        <v>128</v>
      </c>
      <c r="G2593" t="s">
        <v>719</v>
      </c>
      <c r="H2593" t="s">
        <v>304</v>
      </c>
      <c r="I2593" t="s">
        <v>302</v>
      </c>
      <c r="J2593" t="s">
        <v>128</v>
      </c>
      <c r="L2593" t="b">
        <v>1</v>
      </c>
      <c r="M2593" t="s">
        <v>39</v>
      </c>
      <c r="N2593" t="s">
        <v>8245</v>
      </c>
      <c r="O2593" s="1">
        <v>24838</v>
      </c>
      <c r="P2593" t="s">
        <v>4652</v>
      </c>
      <c r="Q2593" t="s">
        <v>8105</v>
      </c>
      <c r="S2593" s="1">
        <v>45020.209027777775</v>
      </c>
      <c r="V2593">
        <v>1968</v>
      </c>
      <c r="W2593">
        <v>125.08</v>
      </c>
      <c r="X2593">
        <v>2.9</v>
      </c>
      <c r="Y2593" s="2">
        <v>19910000000000</v>
      </c>
      <c r="Z2593">
        <v>50.6</v>
      </c>
      <c r="AA2593">
        <v>100.2</v>
      </c>
      <c r="AB2593">
        <v>9.4</v>
      </c>
      <c r="AC2593">
        <v>59.2</v>
      </c>
      <c r="AD2593">
        <v>1397715000</v>
      </c>
    </row>
    <row r="2594" spans="1:30" hidden="1" x14ac:dyDescent="0.45">
      <c r="A2594">
        <v>2540</v>
      </c>
      <c r="B2594">
        <v>1000</v>
      </c>
      <c r="C2594" t="s">
        <v>296</v>
      </c>
      <c r="D2594" t="s">
        <v>8106</v>
      </c>
      <c r="E2594">
        <v>74</v>
      </c>
      <c r="F2594" t="s">
        <v>928</v>
      </c>
      <c r="G2594" t="s">
        <v>929</v>
      </c>
      <c r="H2594" t="s">
        <v>1400</v>
      </c>
      <c r="I2594" t="s">
        <v>296</v>
      </c>
      <c r="J2594" t="s">
        <v>928</v>
      </c>
      <c r="K2594" t="s">
        <v>8107</v>
      </c>
      <c r="L2594" t="b">
        <v>0</v>
      </c>
      <c r="M2594" t="s">
        <v>39</v>
      </c>
      <c r="N2594" t="s">
        <v>8245</v>
      </c>
      <c r="O2594" s="1">
        <v>17983</v>
      </c>
      <c r="P2594" t="s">
        <v>2381</v>
      </c>
      <c r="Q2594" t="s">
        <v>8108</v>
      </c>
      <c r="S2594" s="1">
        <v>45020.209027777775</v>
      </c>
      <c r="V2594">
        <v>1949</v>
      </c>
      <c r="W2594">
        <v>115.16</v>
      </c>
      <c r="X2594">
        <v>0.4</v>
      </c>
      <c r="Y2594" s="2">
        <v>2029000000000</v>
      </c>
      <c r="Z2594">
        <v>94.3</v>
      </c>
      <c r="AA2594">
        <v>98.1</v>
      </c>
      <c r="AB2594">
        <v>15.6</v>
      </c>
      <c r="AC2594">
        <v>33.200000000000003</v>
      </c>
      <c r="AD2594">
        <v>51709098</v>
      </c>
    </row>
    <row r="2595" spans="1:30" hidden="1" x14ac:dyDescent="0.45">
      <c r="A2595">
        <v>2540</v>
      </c>
      <c r="B2595">
        <v>1000</v>
      </c>
      <c r="C2595" t="s">
        <v>302</v>
      </c>
      <c r="D2595" t="s">
        <v>8109</v>
      </c>
      <c r="E2595">
        <v>78</v>
      </c>
      <c r="F2595" t="s">
        <v>574</v>
      </c>
      <c r="G2595" t="s">
        <v>574</v>
      </c>
      <c r="H2595" t="s">
        <v>3015</v>
      </c>
      <c r="I2595" t="s">
        <v>302</v>
      </c>
      <c r="J2595" t="s">
        <v>574</v>
      </c>
      <c r="L2595" t="b">
        <v>1</v>
      </c>
      <c r="M2595" t="s">
        <v>258</v>
      </c>
      <c r="N2595" t="s">
        <v>8245</v>
      </c>
      <c r="O2595" s="1">
        <v>16438</v>
      </c>
      <c r="P2595" t="s">
        <v>8110</v>
      </c>
      <c r="Q2595" t="s">
        <v>81</v>
      </c>
      <c r="S2595" s="1">
        <v>45020.209027777775</v>
      </c>
      <c r="V2595">
        <v>1945</v>
      </c>
      <c r="W2595">
        <v>114.41</v>
      </c>
      <c r="X2595">
        <v>0.6</v>
      </c>
      <c r="Y2595" s="2">
        <v>372062527489</v>
      </c>
      <c r="Z2595">
        <v>84.8</v>
      </c>
      <c r="AA2595">
        <v>100.6</v>
      </c>
      <c r="AB2595">
        <v>13.1</v>
      </c>
      <c r="AC2595">
        <v>21</v>
      </c>
      <c r="AD2595">
        <v>5703569</v>
      </c>
    </row>
    <row r="2596" spans="1:30" hidden="1" x14ac:dyDescent="0.45">
      <c r="A2596">
        <v>2540</v>
      </c>
      <c r="B2596">
        <v>1000</v>
      </c>
      <c r="C2596" t="s">
        <v>302</v>
      </c>
      <c r="D2596" t="s">
        <v>8111</v>
      </c>
      <c r="E2596">
        <v>82</v>
      </c>
      <c r="F2596" t="s">
        <v>35</v>
      </c>
      <c r="G2596" t="s">
        <v>355</v>
      </c>
      <c r="H2596" t="s">
        <v>304</v>
      </c>
      <c r="I2596" t="s">
        <v>302</v>
      </c>
      <c r="J2596" t="s">
        <v>35</v>
      </c>
      <c r="L2596" t="b">
        <v>1</v>
      </c>
      <c r="M2596" t="s">
        <v>258</v>
      </c>
      <c r="N2596" t="s">
        <v>8245</v>
      </c>
      <c r="O2596" s="1">
        <v>14746</v>
      </c>
      <c r="P2596" t="s">
        <v>5639</v>
      </c>
      <c r="Q2596" t="s">
        <v>1068</v>
      </c>
      <c r="S2596" s="1">
        <v>45020.209027777775</v>
      </c>
      <c r="T2596" t="s">
        <v>253</v>
      </c>
      <c r="U2596" t="s">
        <v>44</v>
      </c>
      <c r="V2596">
        <v>1940</v>
      </c>
      <c r="W2596">
        <v>117.24</v>
      </c>
      <c r="X2596">
        <v>7.5</v>
      </c>
      <c r="Y2596" s="2">
        <v>21427700000000</v>
      </c>
      <c r="Z2596">
        <v>88.2</v>
      </c>
      <c r="AA2596">
        <v>101.8</v>
      </c>
      <c r="AB2596">
        <v>9.6</v>
      </c>
      <c r="AC2596">
        <v>36.6</v>
      </c>
      <c r="AD2596">
        <v>328239523</v>
      </c>
    </row>
    <row r="2597" spans="1:30" hidden="1" x14ac:dyDescent="0.45">
      <c r="A2597">
        <v>2540</v>
      </c>
      <c r="B2597">
        <v>1000</v>
      </c>
      <c r="C2597" t="s">
        <v>61</v>
      </c>
      <c r="D2597" t="s">
        <v>8112</v>
      </c>
      <c r="E2597">
        <v>57</v>
      </c>
      <c r="F2597" t="s">
        <v>363</v>
      </c>
      <c r="G2597" t="s">
        <v>381</v>
      </c>
      <c r="H2597" t="s">
        <v>1377</v>
      </c>
      <c r="I2597" t="s">
        <v>61</v>
      </c>
      <c r="J2597" t="s">
        <v>363</v>
      </c>
      <c r="L2597" t="b">
        <v>1</v>
      </c>
      <c r="M2597" t="s">
        <v>1332</v>
      </c>
      <c r="N2597" t="s">
        <v>8245</v>
      </c>
      <c r="O2597" s="1">
        <v>23981</v>
      </c>
      <c r="P2597" t="s">
        <v>8113</v>
      </c>
      <c r="Q2597" t="s">
        <v>8114</v>
      </c>
      <c r="S2597" s="1">
        <v>45020.209027777775</v>
      </c>
      <c r="V2597">
        <v>1965</v>
      </c>
      <c r="W2597">
        <v>180.75</v>
      </c>
      <c r="X2597">
        <v>4.5</v>
      </c>
      <c r="Y2597" s="2">
        <v>1699876578871</v>
      </c>
      <c r="Z2597">
        <v>81.900000000000006</v>
      </c>
      <c r="AA2597">
        <v>102.6</v>
      </c>
      <c r="AB2597">
        <v>11.4</v>
      </c>
      <c r="AC2597">
        <v>46.2</v>
      </c>
      <c r="AD2597">
        <v>144373535</v>
      </c>
    </row>
    <row r="2598" spans="1:30" hidden="1" x14ac:dyDescent="0.45">
      <c r="A2598">
        <v>2540</v>
      </c>
      <c r="B2598">
        <v>1000</v>
      </c>
      <c r="C2598" t="s">
        <v>61</v>
      </c>
      <c r="D2598" t="s">
        <v>8115</v>
      </c>
      <c r="E2598">
        <v>73</v>
      </c>
      <c r="F2598" t="s">
        <v>806</v>
      </c>
      <c r="G2598" t="s">
        <v>8116</v>
      </c>
      <c r="H2598" t="s">
        <v>557</v>
      </c>
      <c r="I2598" t="s">
        <v>61</v>
      </c>
      <c r="J2598" t="s">
        <v>806</v>
      </c>
      <c r="L2598" t="b">
        <v>1</v>
      </c>
      <c r="M2598" t="s">
        <v>39</v>
      </c>
      <c r="N2598" t="s">
        <v>8245</v>
      </c>
      <c r="O2598" s="1">
        <v>18038</v>
      </c>
      <c r="P2598" t="s">
        <v>8117</v>
      </c>
      <c r="Q2598" t="s">
        <v>8118</v>
      </c>
      <c r="S2598" s="1">
        <v>45020.209027777775</v>
      </c>
      <c r="V2598">
        <v>1949</v>
      </c>
      <c r="W2598">
        <v>158.93</v>
      </c>
      <c r="X2598">
        <v>4.0999999999999996</v>
      </c>
      <c r="Y2598" s="2">
        <v>351431649241</v>
      </c>
      <c r="Z2598">
        <v>22.4</v>
      </c>
      <c r="AA2598">
        <v>100.9</v>
      </c>
      <c r="AB2598">
        <v>27.5</v>
      </c>
      <c r="AC2598">
        <v>29.2</v>
      </c>
      <c r="AD2598">
        <v>58558270</v>
      </c>
    </row>
    <row r="2599" spans="1:30" hidden="1" x14ac:dyDescent="0.45">
      <c r="A2599">
        <v>2540</v>
      </c>
      <c r="B2599">
        <v>1000</v>
      </c>
      <c r="C2599" t="s">
        <v>45</v>
      </c>
      <c r="D2599" t="s">
        <v>8119</v>
      </c>
      <c r="E2599">
        <v>45</v>
      </c>
      <c r="F2599" t="s">
        <v>128</v>
      </c>
      <c r="G2599" t="s">
        <v>187</v>
      </c>
      <c r="H2599" t="s">
        <v>934</v>
      </c>
      <c r="I2599" t="s">
        <v>45</v>
      </c>
      <c r="J2599" t="s">
        <v>128</v>
      </c>
      <c r="L2599" t="b">
        <v>1</v>
      </c>
      <c r="M2599" t="s">
        <v>39</v>
      </c>
      <c r="N2599" t="s">
        <v>8245</v>
      </c>
      <c r="O2599" s="1">
        <v>28338</v>
      </c>
      <c r="P2599" t="s">
        <v>230</v>
      </c>
      <c r="Q2599" t="s">
        <v>8120</v>
      </c>
      <c r="S2599" s="1">
        <v>45020.209027777775</v>
      </c>
      <c r="V2599">
        <v>1977</v>
      </c>
      <c r="W2599">
        <v>125.08</v>
      </c>
      <c r="X2599">
        <v>2.9</v>
      </c>
      <c r="Y2599" s="2">
        <v>19910000000000</v>
      </c>
      <c r="Z2599">
        <v>50.6</v>
      </c>
      <c r="AA2599">
        <v>100.2</v>
      </c>
      <c r="AB2599">
        <v>9.4</v>
      </c>
      <c r="AC2599">
        <v>59.2</v>
      </c>
      <c r="AD2599">
        <v>1397715000</v>
      </c>
    </row>
    <row r="2600" spans="1:30" hidden="1" x14ac:dyDescent="0.45">
      <c r="A2600">
        <v>2540</v>
      </c>
      <c r="B2600">
        <v>1000</v>
      </c>
      <c r="C2600" t="s">
        <v>23</v>
      </c>
      <c r="D2600" t="s">
        <v>8121</v>
      </c>
      <c r="E2600">
        <v>69</v>
      </c>
      <c r="F2600" t="s">
        <v>128</v>
      </c>
      <c r="G2600" t="s">
        <v>2420</v>
      </c>
      <c r="H2600" t="s">
        <v>2539</v>
      </c>
      <c r="I2600" t="s">
        <v>23</v>
      </c>
      <c r="J2600" t="s">
        <v>128</v>
      </c>
      <c r="L2600" t="b">
        <v>1</v>
      </c>
      <c r="M2600" t="s">
        <v>611</v>
      </c>
      <c r="N2600" t="s">
        <v>8245</v>
      </c>
      <c r="O2600" s="1">
        <v>19511</v>
      </c>
      <c r="P2600" t="s">
        <v>779</v>
      </c>
      <c r="Q2600" t="s">
        <v>8122</v>
      </c>
      <c r="S2600" s="1">
        <v>45020.209027777775</v>
      </c>
      <c r="V2600">
        <v>1953</v>
      </c>
      <c r="W2600">
        <v>125.08</v>
      </c>
      <c r="X2600">
        <v>2.9</v>
      </c>
      <c r="Y2600" s="2">
        <v>19910000000000</v>
      </c>
      <c r="Z2600">
        <v>50.6</v>
      </c>
      <c r="AA2600">
        <v>100.2</v>
      </c>
      <c r="AB2600">
        <v>9.4</v>
      </c>
      <c r="AC2600">
        <v>59.2</v>
      </c>
      <c r="AD2600">
        <v>1397715000</v>
      </c>
    </row>
    <row r="2601" spans="1:30" hidden="1" x14ac:dyDescent="0.45">
      <c r="A2601">
        <v>2540</v>
      </c>
      <c r="B2601">
        <v>1000</v>
      </c>
      <c r="C2601" t="s">
        <v>402</v>
      </c>
      <c r="D2601" t="s">
        <v>8123</v>
      </c>
      <c r="E2601">
        <v>74</v>
      </c>
      <c r="F2601" t="s">
        <v>574</v>
      </c>
      <c r="G2601" t="s">
        <v>574</v>
      </c>
      <c r="H2601" t="s">
        <v>402</v>
      </c>
      <c r="I2601" t="s">
        <v>402</v>
      </c>
      <c r="J2601" t="s">
        <v>574</v>
      </c>
      <c r="L2601" t="b">
        <v>1</v>
      </c>
      <c r="M2601" t="s">
        <v>258</v>
      </c>
      <c r="N2601" t="s">
        <v>8245</v>
      </c>
      <c r="O2601" s="1">
        <v>17956</v>
      </c>
      <c r="P2601" t="s">
        <v>8124</v>
      </c>
      <c r="Q2601" t="s">
        <v>8125</v>
      </c>
      <c r="S2601" s="1">
        <v>45020.209027777775</v>
      </c>
      <c r="V2601">
        <v>1949</v>
      </c>
      <c r="W2601">
        <v>114.41</v>
      </c>
      <c r="X2601">
        <v>0.6</v>
      </c>
      <c r="Y2601" s="2">
        <v>372062527489</v>
      </c>
      <c r="Z2601">
        <v>84.8</v>
      </c>
      <c r="AA2601">
        <v>100.6</v>
      </c>
      <c r="AB2601">
        <v>13.1</v>
      </c>
      <c r="AC2601">
        <v>21</v>
      </c>
      <c r="AD2601">
        <v>5703569</v>
      </c>
    </row>
    <row r="2602" spans="1:30" hidden="1" x14ac:dyDescent="0.45">
      <c r="A2602">
        <v>2540</v>
      </c>
      <c r="B2602">
        <v>1000</v>
      </c>
      <c r="C2602" t="s">
        <v>45</v>
      </c>
      <c r="D2602" t="s">
        <v>8126</v>
      </c>
      <c r="E2602">
        <v>59</v>
      </c>
      <c r="F2602" t="s">
        <v>128</v>
      </c>
      <c r="G2602" t="s">
        <v>292</v>
      </c>
      <c r="H2602" t="s">
        <v>1400</v>
      </c>
      <c r="I2602" t="s">
        <v>45</v>
      </c>
      <c r="J2602" t="s">
        <v>128</v>
      </c>
      <c r="L2602" t="b">
        <v>1</v>
      </c>
      <c r="M2602" t="s">
        <v>39</v>
      </c>
      <c r="N2602" t="s">
        <v>8245</v>
      </c>
      <c r="O2602" s="1">
        <v>23218</v>
      </c>
      <c r="P2602" t="s">
        <v>721</v>
      </c>
      <c r="Q2602" t="s">
        <v>7577</v>
      </c>
      <c r="S2602" s="1">
        <v>45020.209027777775</v>
      </c>
      <c r="V2602">
        <v>1963</v>
      </c>
      <c r="W2602">
        <v>125.08</v>
      </c>
      <c r="X2602">
        <v>2.9</v>
      </c>
      <c r="Y2602" s="2">
        <v>19910000000000</v>
      </c>
      <c r="Z2602">
        <v>50.6</v>
      </c>
      <c r="AA2602">
        <v>100.2</v>
      </c>
      <c r="AB2602">
        <v>9.4</v>
      </c>
      <c r="AC2602">
        <v>59.2</v>
      </c>
      <c r="AD2602">
        <v>1397715000</v>
      </c>
    </row>
    <row r="2603" spans="1:30" hidden="1" x14ac:dyDescent="0.45">
      <c r="A2603">
        <v>2540</v>
      </c>
      <c r="B2603">
        <v>1000</v>
      </c>
      <c r="C2603" t="s">
        <v>296</v>
      </c>
      <c r="D2603" t="s">
        <v>8127</v>
      </c>
      <c r="E2603">
        <v>52</v>
      </c>
      <c r="F2603" t="s">
        <v>128</v>
      </c>
      <c r="G2603" t="s">
        <v>292</v>
      </c>
      <c r="H2603" t="s">
        <v>8128</v>
      </c>
      <c r="I2603" t="s">
        <v>296</v>
      </c>
      <c r="J2603" t="s">
        <v>128</v>
      </c>
      <c r="L2603" t="b">
        <v>1</v>
      </c>
      <c r="M2603" t="s">
        <v>39</v>
      </c>
      <c r="N2603" t="s">
        <v>8246</v>
      </c>
      <c r="O2603" s="1">
        <v>25940</v>
      </c>
      <c r="P2603" t="s">
        <v>237</v>
      </c>
      <c r="Q2603" t="s">
        <v>8129</v>
      </c>
      <c r="S2603" s="1">
        <v>45020.209027777775</v>
      </c>
      <c r="V2603">
        <v>1971</v>
      </c>
      <c r="W2603">
        <v>125.08</v>
      </c>
      <c r="X2603">
        <v>2.9</v>
      </c>
      <c r="Y2603" s="2">
        <v>19910000000000</v>
      </c>
      <c r="Z2603">
        <v>50.6</v>
      </c>
      <c r="AA2603">
        <v>100.2</v>
      </c>
      <c r="AB2603">
        <v>9.4</v>
      </c>
      <c r="AC2603">
        <v>59.2</v>
      </c>
      <c r="AD2603">
        <v>1397715000</v>
      </c>
    </row>
    <row r="2604" spans="1:30" x14ac:dyDescent="0.45">
      <c r="A2604">
        <v>2540</v>
      </c>
      <c r="B2604" s="6">
        <v>1000</v>
      </c>
      <c r="C2604" t="s">
        <v>45</v>
      </c>
      <c r="D2604" t="s">
        <v>8130</v>
      </c>
      <c r="E2604">
        <v>36</v>
      </c>
      <c r="F2604" t="s">
        <v>35</v>
      </c>
      <c r="G2604" t="s">
        <v>991</v>
      </c>
      <c r="H2604" t="s">
        <v>8131</v>
      </c>
      <c r="I2604" t="s">
        <v>45</v>
      </c>
      <c r="J2604" t="s">
        <v>164</v>
      </c>
      <c r="K2604" t="s">
        <v>8132</v>
      </c>
      <c r="L2604" t="b">
        <v>1</v>
      </c>
      <c r="M2604" t="s">
        <v>39</v>
      </c>
      <c r="N2604" t="s">
        <v>8245</v>
      </c>
      <c r="O2604" s="10">
        <v>31612</v>
      </c>
      <c r="P2604" t="s">
        <v>3448</v>
      </c>
      <c r="Q2604" t="s">
        <v>8133</v>
      </c>
      <c r="R2604" t="s">
        <v>192</v>
      </c>
      <c r="S2604" s="8">
        <v>45020.209027777775</v>
      </c>
      <c r="T2604" t="s">
        <v>115</v>
      </c>
      <c r="U2604" t="s">
        <v>53</v>
      </c>
      <c r="V2604">
        <v>1986</v>
      </c>
      <c r="W2604" s="12">
        <v>117.24</v>
      </c>
      <c r="X2604">
        <v>7.5</v>
      </c>
      <c r="Y2604" s="14">
        <v>21427700000000</v>
      </c>
      <c r="Z2604">
        <v>88.2</v>
      </c>
      <c r="AA2604">
        <v>101.8</v>
      </c>
      <c r="AB2604">
        <v>9.6</v>
      </c>
      <c r="AC2604">
        <v>36.6</v>
      </c>
      <c r="AD2604">
        <v>328239523</v>
      </c>
    </row>
    <row r="2605" spans="1:30" hidden="1" x14ac:dyDescent="0.45">
      <c r="A2605">
        <v>2540</v>
      </c>
      <c r="B2605">
        <v>1000</v>
      </c>
      <c r="C2605" t="s">
        <v>296</v>
      </c>
      <c r="D2605" t="s">
        <v>8134</v>
      </c>
      <c r="F2605" t="s">
        <v>194</v>
      </c>
      <c r="G2605" t="s">
        <v>8135</v>
      </c>
      <c r="H2605" t="s">
        <v>5085</v>
      </c>
      <c r="I2605" t="s">
        <v>296</v>
      </c>
      <c r="J2605" t="s">
        <v>194</v>
      </c>
      <c r="L2605" t="b">
        <v>0</v>
      </c>
      <c r="M2605" t="s">
        <v>39</v>
      </c>
      <c r="N2605" t="s">
        <v>8246</v>
      </c>
      <c r="O2605"/>
      <c r="P2605" t="s">
        <v>8136</v>
      </c>
      <c r="Q2605" t="s">
        <v>8137</v>
      </c>
      <c r="S2605" s="1">
        <v>45020.209027777775</v>
      </c>
      <c r="W2605">
        <v>112.85</v>
      </c>
      <c r="X2605">
        <v>1.4</v>
      </c>
      <c r="Y2605" s="2">
        <v>3845630030824</v>
      </c>
      <c r="Z2605">
        <v>70.2</v>
      </c>
      <c r="AA2605">
        <v>104</v>
      </c>
      <c r="AB2605">
        <v>11.5</v>
      </c>
      <c r="AC2605">
        <v>48.8</v>
      </c>
      <c r="AD2605">
        <v>83132799</v>
      </c>
    </row>
    <row r="2606" spans="1:30" hidden="1" x14ac:dyDescent="0.45">
      <c r="A2606">
        <v>2540</v>
      </c>
      <c r="B2606">
        <v>1000</v>
      </c>
      <c r="C2606" t="s">
        <v>296</v>
      </c>
      <c r="D2606" t="s">
        <v>8138</v>
      </c>
      <c r="E2606">
        <v>56</v>
      </c>
      <c r="F2606" t="s">
        <v>194</v>
      </c>
      <c r="G2606" t="s">
        <v>8139</v>
      </c>
      <c r="H2606" t="s">
        <v>5085</v>
      </c>
      <c r="I2606" t="s">
        <v>296</v>
      </c>
      <c r="J2606" t="s">
        <v>194</v>
      </c>
      <c r="L2606" t="b">
        <v>0</v>
      </c>
      <c r="M2606" t="s">
        <v>39</v>
      </c>
      <c r="N2606" t="s">
        <v>8246</v>
      </c>
      <c r="O2606" s="1">
        <v>24544</v>
      </c>
      <c r="P2606" t="s">
        <v>8136</v>
      </c>
      <c r="Q2606" t="s">
        <v>4019</v>
      </c>
      <c r="S2606" s="1">
        <v>45020.209027777775</v>
      </c>
      <c r="V2606">
        <v>1967</v>
      </c>
      <c r="W2606">
        <v>112.85</v>
      </c>
      <c r="X2606">
        <v>1.4</v>
      </c>
      <c r="Y2606" s="2">
        <v>3845630030824</v>
      </c>
      <c r="Z2606">
        <v>70.2</v>
      </c>
      <c r="AA2606">
        <v>104</v>
      </c>
      <c r="AB2606">
        <v>11.5</v>
      </c>
      <c r="AC2606">
        <v>48.8</v>
      </c>
      <c r="AD2606">
        <v>83132799</v>
      </c>
    </row>
    <row r="2607" spans="1:30" hidden="1" x14ac:dyDescent="0.45">
      <c r="A2607">
        <v>2540</v>
      </c>
      <c r="B2607">
        <v>1000</v>
      </c>
      <c r="C2607" t="s">
        <v>689</v>
      </c>
      <c r="D2607" t="s">
        <v>8140</v>
      </c>
      <c r="E2607">
        <v>51</v>
      </c>
      <c r="F2607" t="s">
        <v>363</v>
      </c>
      <c r="G2607" t="s">
        <v>381</v>
      </c>
      <c r="H2607" t="s">
        <v>3931</v>
      </c>
      <c r="I2607" t="s">
        <v>689</v>
      </c>
      <c r="J2607" t="s">
        <v>363</v>
      </c>
      <c r="L2607" t="b">
        <v>1</v>
      </c>
      <c r="M2607" t="s">
        <v>1332</v>
      </c>
      <c r="N2607" t="s">
        <v>8245</v>
      </c>
      <c r="O2607" s="1">
        <v>26200</v>
      </c>
      <c r="P2607" t="s">
        <v>8141</v>
      </c>
      <c r="Q2607" t="s">
        <v>926</v>
      </c>
      <c r="S2607" s="1">
        <v>45020.209027777775</v>
      </c>
      <c r="V2607">
        <v>1971</v>
      </c>
      <c r="W2607">
        <v>180.75</v>
      </c>
      <c r="X2607">
        <v>4.5</v>
      </c>
      <c r="Y2607" s="2">
        <v>1699876578871</v>
      </c>
      <c r="Z2607">
        <v>81.900000000000006</v>
      </c>
      <c r="AA2607">
        <v>102.6</v>
      </c>
      <c r="AB2607">
        <v>11.4</v>
      </c>
      <c r="AC2607">
        <v>46.2</v>
      </c>
      <c r="AD2607">
        <v>144373535</v>
      </c>
    </row>
    <row r="2608" spans="1:30" hidden="1" x14ac:dyDescent="0.45">
      <c r="A2608">
        <v>2540</v>
      </c>
      <c r="B2608">
        <v>1000</v>
      </c>
      <c r="C2608" t="s">
        <v>296</v>
      </c>
      <c r="D2608" t="s">
        <v>8142</v>
      </c>
      <c r="E2608">
        <v>78</v>
      </c>
      <c r="F2608" t="s">
        <v>214</v>
      </c>
      <c r="G2608" t="s">
        <v>8143</v>
      </c>
      <c r="H2608" t="s">
        <v>8144</v>
      </c>
      <c r="I2608" t="s">
        <v>296</v>
      </c>
      <c r="J2608" t="s">
        <v>214</v>
      </c>
      <c r="L2608" t="b">
        <v>1</v>
      </c>
      <c r="M2608" t="s">
        <v>258</v>
      </c>
      <c r="N2608" t="s">
        <v>8245</v>
      </c>
      <c r="O2608" s="1">
        <v>16367</v>
      </c>
      <c r="P2608" t="s">
        <v>8145</v>
      </c>
      <c r="Q2608" t="s">
        <v>8146</v>
      </c>
      <c r="S2608" s="1">
        <v>45020.209027777775</v>
      </c>
      <c r="V2608">
        <v>1944</v>
      </c>
      <c r="W2608">
        <v>110.62</v>
      </c>
      <c r="X2608">
        <v>0.6</v>
      </c>
      <c r="Y2608" s="2">
        <v>2001244392042</v>
      </c>
      <c r="Z2608">
        <v>61.9</v>
      </c>
      <c r="AA2608">
        <v>101.9</v>
      </c>
      <c r="AB2608">
        <v>24.3</v>
      </c>
      <c r="AC2608">
        <v>59.1</v>
      </c>
      <c r="AD2608">
        <v>60297396</v>
      </c>
    </row>
    <row r="2609" spans="1:30" hidden="1" x14ac:dyDescent="0.45">
      <c r="A2609">
        <v>2540</v>
      </c>
      <c r="B2609">
        <v>1000</v>
      </c>
      <c r="C2609" t="s">
        <v>61</v>
      </c>
      <c r="D2609" t="s">
        <v>8147</v>
      </c>
      <c r="E2609">
        <v>77</v>
      </c>
      <c r="H2609" t="s">
        <v>1839</v>
      </c>
      <c r="I2609" t="s">
        <v>61</v>
      </c>
      <c r="J2609" t="s">
        <v>8148</v>
      </c>
      <c r="L2609" t="b">
        <v>0</v>
      </c>
      <c r="M2609" t="s">
        <v>258</v>
      </c>
      <c r="N2609" t="s">
        <v>8245</v>
      </c>
      <c r="O2609" s="1">
        <v>16603</v>
      </c>
      <c r="P2609" t="s">
        <v>8149</v>
      </c>
      <c r="Q2609" t="s">
        <v>734</v>
      </c>
      <c r="S2609" s="1">
        <v>45020.209027777775</v>
      </c>
      <c r="V2609">
        <v>1945</v>
      </c>
      <c r="W2609"/>
      <c r="Y2609"/>
    </row>
    <row r="2610" spans="1:30" x14ac:dyDescent="0.45">
      <c r="A2610">
        <v>2540</v>
      </c>
      <c r="B2610" s="6">
        <v>1000</v>
      </c>
      <c r="C2610" t="s">
        <v>76</v>
      </c>
      <c r="D2610" t="s">
        <v>8150</v>
      </c>
      <c r="E2610">
        <v>53</v>
      </c>
      <c r="F2610" t="s">
        <v>35</v>
      </c>
      <c r="G2610" t="s">
        <v>1130</v>
      </c>
      <c r="H2610" t="s">
        <v>8151</v>
      </c>
      <c r="I2610" t="s">
        <v>76</v>
      </c>
      <c r="J2610" t="s">
        <v>35</v>
      </c>
      <c r="K2610" t="s">
        <v>8152</v>
      </c>
      <c r="L2610" t="b">
        <v>1</v>
      </c>
      <c r="M2610" t="s">
        <v>611</v>
      </c>
      <c r="N2610" t="s">
        <v>8245</v>
      </c>
      <c r="O2610" s="10">
        <v>25460</v>
      </c>
      <c r="P2610" t="s">
        <v>8153</v>
      </c>
      <c r="Q2610" t="s">
        <v>7571</v>
      </c>
      <c r="R2610" t="s">
        <v>157</v>
      </c>
      <c r="S2610" s="8">
        <v>45020.209027777775</v>
      </c>
      <c r="T2610" t="s">
        <v>1134</v>
      </c>
      <c r="U2610" t="s">
        <v>44</v>
      </c>
      <c r="V2610">
        <v>1969</v>
      </c>
      <c r="W2610" s="12">
        <v>117.24</v>
      </c>
      <c r="X2610">
        <v>7.5</v>
      </c>
      <c r="Y2610" s="14">
        <v>21427700000000</v>
      </c>
      <c r="Z2610">
        <v>88.2</v>
      </c>
      <c r="AA2610">
        <v>101.8</v>
      </c>
      <c r="AB2610">
        <v>9.6</v>
      </c>
      <c r="AC2610">
        <v>36.6</v>
      </c>
      <c r="AD2610">
        <v>328239523</v>
      </c>
    </row>
    <row r="2611" spans="1:30" hidden="1" x14ac:dyDescent="0.45">
      <c r="A2611">
        <v>2540</v>
      </c>
      <c r="B2611">
        <v>1000</v>
      </c>
      <c r="C2611" t="s">
        <v>23</v>
      </c>
      <c r="D2611" t="s">
        <v>8154</v>
      </c>
      <c r="F2611" t="s">
        <v>164</v>
      </c>
      <c r="G2611" t="s">
        <v>4386</v>
      </c>
      <c r="H2611" t="s">
        <v>3782</v>
      </c>
      <c r="I2611" t="s">
        <v>23</v>
      </c>
      <c r="J2611" t="s">
        <v>164</v>
      </c>
      <c r="L2611" t="b">
        <v>1</v>
      </c>
      <c r="M2611" t="s">
        <v>258</v>
      </c>
      <c r="N2611" t="s">
        <v>8245</v>
      </c>
      <c r="O2611"/>
      <c r="P2611" t="s">
        <v>8155</v>
      </c>
      <c r="Q2611" t="s">
        <v>8156</v>
      </c>
      <c r="S2611" s="1">
        <v>45020.209027777775</v>
      </c>
      <c r="W2611">
        <v>116.76</v>
      </c>
      <c r="X2611">
        <v>1.9</v>
      </c>
      <c r="Y2611" s="2">
        <v>1736425629520</v>
      </c>
      <c r="Z2611">
        <v>68.900000000000006</v>
      </c>
      <c r="AA2611">
        <v>100.9</v>
      </c>
      <c r="AB2611">
        <v>12.8</v>
      </c>
      <c r="AC2611">
        <v>24.5</v>
      </c>
      <c r="AD2611">
        <v>36991981</v>
      </c>
    </row>
    <row r="2612" spans="1:30" hidden="1" x14ac:dyDescent="0.45">
      <c r="A2612">
        <v>2540</v>
      </c>
      <c r="B2612">
        <v>1000</v>
      </c>
      <c r="C2612" t="s">
        <v>126</v>
      </c>
      <c r="D2612" t="s">
        <v>8157</v>
      </c>
      <c r="E2612">
        <v>74</v>
      </c>
      <c r="F2612" t="s">
        <v>3011</v>
      </c>
      <c r="H2612" t="s">
        <v>602</v>
      </c>
      <c r="I2612" t="s">
        <v>126</v>
      </c>
      <c r="J2612" t="s">
        <v>558</v>
      </c>
      <c r="L2612" t="b">
        <v>0</v>
      </c>
      <c r="M2612" t="s">
        <v>611</v>
      </c>
      <c r="N2612" t="s">
        <v>8246</v>
      </c>
      <c r="O2612" s="1">
        <v>17893</v>
      </c>
      <c r="P2612" t="s">
        <v>8158</v>
      </c>
      <c r="Q2612" t="s">
        <v>8159</v>
      </c>
      <c r="S2612" s="1">
        <v>45020.209027777775</v>
      </c>
      <c r="V2612">
        <v>1948</v>
      </c>
      <c r="W2612"/>
      <c r="Y2612"/>
    </row>
    <row r="2613" spans="1:30" hidden="1" x14ac:dyDescent="0.45">
      <c r="A2613">
        <v>2540</v>
      </c>
      <c r="B2613">
        <v>1000</v>
      </c>
      <c r="C2613" t="s">
        <v>347</v>
      </c>
      <c r="D2613" t="s">
        <v>8160</v>
      </c>
      <c r="E2613">
        <v>76</v>
      </c>
      <c r="F2613" t="s">
        <v>35</v>
      </c>
      <c r="G2613" t="s">
        <v>422</v>
      </c>
      <c r="H2613" t="s">
        <v>5975</v>
      </c>
      <c r="I2613" t="s">
        <v>347</v>
      </c>
      <c r="J2613" t="s">
        <v>35</v>
      </c>
      <c r="L2613" t="b">
        <v>1</v>
      </c>
      <c r="M2613" t="s">
        <v>39</v>
      </c>
      <c r="N2613" t="s">
        <v>8245</v>
      </c>
      <c r="O2613" s="1">
        <v>16956</v>
      </c>
      <c r="P2613" t="s">
        <v>8161</v>
      </c>
      <c r="Q2613" t="s">
        <v>714</v>
      </c>
      <c r="S2613" s="1">
        <v>45020.209027777775</v>
      </c>
      <c r="T2613" t="s">
        <v>427</v>
      </c>
      <c r="U2613" t="s">
        <v>82</v>
      </c>
      <c r="V2613">
        <v>1946</v>
      </c>
      <c r="W2613">
        <v>117.24</v>
      </c>
      <c r="X2613">
        <v>7.5</v>
      </c>
      <c r="Y2613" s="2">
        <v>21427700000000</v>
      </c>
      <c r="Z2613">
        <v>88.2</v>
      </c>
      <c r="AA2613">
        <v>101.8</v>
      </c>
      <c r="AB2613">
        <v>9.6</v>
      </c>
      <c r="AC2613">
        <v>36.6</v>
      </c>
      <c r="AD2613">
        <v>328239523</v>
      </c>
    </row>
    <row r="2614" spans="1:30" hidden="1" x14ac:dyDescent="0.45">
      <c r="A2614">
        <v>2540</v>
      </c>
      <c r="B2614">
        <v>1000</v>
      </c>
      <c r="C2614" t="s">
        <v>76</v>
      </c>
      <c r="D2614" t="s">
        <v>8162</v>
      </c>
      <c r="E2614">
        <v>69</v>
      </c>
      <c r="F2614" t="s">
        <v>349</v>
      </c>
      <c r="G2614" t="s">
        <v>350</v>
      </c>
      <c r="H2614" t="s">
        <v>8163</v>
      </c>
      <c r="I2614" t="s">
        <v>76</v>
      </c>
      <c r="J2614" t="s">
        <v>349</v>
      </c>
      <c r="L2614" t="b">
        <v>1</v>
      </c>
      <c r="M2614" t="s">
        <v>39</v>
      </c>
      <c r="N2614" t="s">
        <v>8245</v>
      </c>
      <c r="O2614" s="1">
        <v>19594</v>
      </c>
      <c r="P2614" t="s">
        <v>8164</v>
      </c>
      <c r="Q2614" t="s">
        <v>8165</v>
      </c>
      <c r="S2614" s="1">
        <v>45020.209027777775</v>
      </c>
      <c r="V2614">
        <v>1953</v>
      </c>
      <c r="W2614">
        <v>151.18</v>
      </c>
      <c r="X2614">
        <v>3</v>
      </c>
      <c r="Y2614" s="2">
        <v>1119190780753</v>
      </c>
      <c r="Z2614">
        <v>36.299999999999997</v>
      </c>
      <c r="AA2614">
        <v>106.4</v>
      </c>
      <c r="AB2614">
        <v>10.199999999999999</v>
      </c>
      <c r="AC2614">
        <v>30.1</v>
      </c>
      <c r="AD2614">
        <v>270203917</v>
      </c>
    </row>
    <row r="2615" spans="1:30" hidden="1" x14ac:dyDescent="0.45">
      <c r="A2615">
        <v>2540</v>
      </c>
      <c r="B2615">
        <v>1000</v>
      </c>
      <c r="C2615" t="s">
        <v>45</v>
      </c>
      <c r="D2615" t="s">
        <v>8166</v>
      </c>
      <c r="E2615">
        <v>68</v>
      </c>
      <c r="F2615" t="s">
        <v>35</v>
      </c>
      <c r="G2615" t="s">
        <v>6329</v>
      </c>
      <c r="H2615" t="s">
        <v>8167</v>
      </c>
      <c r="I2615" t="s">
        <v>45</v>
      </c>
      <c r="J2615" t="s">
        <v>35</v>
      </c>
      <c r="L2615" t="b">
        <v>1</v>
      </c>
      <c r="M2615" t="s">
        <v>611</v>
      </c>
      <c r="N2615" t="s">
        <v>8246</v>
      </c>
      <c r="O2615" s="1">
        <v>20105</v>
      </c>
      <c r="P2615" t="s">
        <v>8168</v>
      </c>
      <c r="Q2615" t="s">
        <v>8169</v>
      </c>
      <c r="S2615" s="1">
        <v>45020.209027777775</v>
      </c>
      <c r="T2615" t="s">
        <v>253</v>
      </c>
      <c r="U2615" t="s">
        <v>44</v>
      </c>
      <c r="V2615">
        <v>1955</v>
      </c>
      <c r="W2615">
        <v>117.24</v>
      </c>
      <c r="X2615">
        <v>7.5</v>
      </c>
      <c r="Y2615" s="2">
        <v>21427700000000</v>
      </c>
      <c r="Z2615">
        <v>88.2</v>
      </c>
      <c r="AA2615">
        <v>101.8</v>
      </c>
      <c r="AB2615">
        <v>9.6</v>
      </c>
      <c r="AC2615">
        <v>36.6</v>
      </c>
      <c r="AD2615">
        <v>328239523</v>
      </c>
    </row>
    <row r="2616" spans="1:30" hidden="1" x14ac:dyDescent="0.45">
      <c r="A2616">
        <v>2540</v>
      </c>
      <c r="B2616">
        <v>1000</v>
      </c>
      <c r="C2616" t="s">
        <v>45</v>
      </c>
      <c r="D2616" t="s">
        <v>8170</v>
      </c>
      <c r="E2616">
        <v>73</v>
      </c>
      <c r="F2616" t="s">
        <v>35</v>
      </c>
      <c r="G2616" t="s">
        <v>6194</v>
      </c>
      <c r="H2616" t="s">
        <v>5696</v>
      </c>
      <c r="I2616" t="s">
        <v>45</v>
      </c>
      <c r="J2616" t="s">
        <v>35</v>
      </c>
      <c r="L2616" t="b">
        <v>1</v>
      </c>
      <c r="M2616" t="s">
        <v>39</v>
      </c>
      <c r="N2616" t="s">
        <v>8245</v>
      </c>
      <c r="O2616" s="1">
        <v>18000</v>
      </c>
      <c r="P2616" t="s">
        <v>1215</v>
      </c>
      <c r="Q2616" t="s">
        <v>373</v>
      </c>
      <c r="S2616" s="1">
        <v>45020.209027777775</v>
      </c>
      <c r="T2616" t="s">
        <v>2752</v>
      </c>
      <c r="U2616" t="s">
        <v>53</v>
      </c>
      <c r="V2616">
        <v>1949</v>
      </c>
      <c r="W2616">
        <v>117.24</v>
      </c>
      <c r="X2616">
        <v>7.5</v>
      </c>
      <c r="Y2616" s="2">
        <v>21427700000000</v>
      </c>
      <c r="Z2616">
        <v>88.2</v>
      </c>
      <c r="AA2616">
        <v>101.8</v>
      </c>
      <c r="AB2616">
        <v>9.6</v>
      </c>
      <c r="AC2616">
        <v>36.6</v>
      </c>
      <c r="AD2616">
        <v>328239523</v>
      </c>
    </row>
    <row r="2617" spans="1:30" hidden="1" x14ac:dyDescent="0.45">
      <c r="A2617">
        <v>2540</v>
      </c>
      <c r="B2617">
        <v>1000</v>
      </c>
      <c r="C2617" t="s">
        <v>436</v>
      </c>
      <c r="D2617" t="s">
        <v>8171</v>
      </c>
      <c r="E2617">
        <v>60</v>
      </c>
      <c r="F2617" t="s">
        <v>1297</v>
      </c>
      <c r="G2617" t="s">
        <v>1298</v>
      </c>
      <c r="H2617" t="s">
        <v>3015</v>
      </c>
      <c r="I2617" t="s">
        <v>436</v>
      </c>
      <c r="J2617" t="s">
        <v>1297</v>
      </c>
      <c r="L2617" t="b">
        <v>1</v>
      </c>
      <c r="M2617" t="s">
        <v>39</v>
      </c>
      <c r="N2617" t="s">
        <v>8245</v>
      </c>
      <c r="O2617" s="1">
        <v>22979</v>
      </c>
      <c r="P2617" t="s">
        <v>8172</v>
      </c>
      <c r="Q2617" t="s">
        <v>8173</v>
      </c>
      <c r="S2617" s="1">
        <v>45020.209027777775</v>
      </c>
      <c r="V2617">
        <v>1962</v>
      </c>
      <c r="W2617">
        <v>120.27</v>
      </c>
      <c r="X2617">
        <v>2.2000000000000002</v>
      </c>
      <c r="Y2617" s="2">
        <v>403336363636</v>
      </c>
      <c r="Z2617">
        <v>82</v>
      </c>
      <c r="AA2617">
        <v>100.3</v>
      </c>
      <c r="AB2617">
        <v>23.9</v>
      </c>
      <c r="AC2617">
        <v>36.200000000000003</v>
      </c>
      <c r="AD2617">
        <v>5347896</v>
      </c>
    </row>
    <row r="2618" spans="1:30" hidden="1" x14ac:dyDescent="0.45">
      <c r="A2618">
        <v>2540</v>
      </c>
      <c r="B2618">
        <v>1000</v>
      </c>
      <c r="C2618" t="s">
        <v>91</v>
      </c>
      <c r="D2618" t="s">
        <v>8174</v>
      </c>
      <c r="E2618">
        <v>53</v>
      </c>
      <c r="F2618" t="s">
        <v>363</v>
      </c>
      <c r="G2618" t="s">
        <v>381</v>
      </c>
      <c r="H2618" t="s">
        <v>8175</v>
      </c>
      <c r="I2618" t="s">
        <v>91</v>
      </c>
      <c r="J2618" t="s">
        <v>363</v>
      </c>
      <c r="L2618" t="b">
        <v>1</v>
      </c>
      <c r="M2618" t="s">
        <v>258</v>
      </c>
      <c r="N2618" t="s">
        <v>8245</v>
      </c>
      <c r="O2618" s="1">
        <v>25478</v>
      </c>
      <c r="P2618" t="s">
        <v>8176</v>
      </c>
      <c r="Q2618" t="s">
        <v>1036</v>
      </c>
      <c r="S2618" s="1">
        <v>45020.209027777775</v>
      </c>
      <c r="V2618">
        <v>1969</v>
      </c>
      <c r="W2618">
        <v>180.75</v>
      </c>
      <c r="X2618">
        <v>4.5</v>
      </c>
      <c r="Y2618" s="2">
        <v>1699876578871</v>
      </c>
      <c r="Z2618">
        <v>81.900000000000006</v>
      </c>
      <c r="AA2618">
        <v>102.6</v>
      </c>
      <c r="AB2618">
        <v>11.4</v>
      </c>
      <c r="AC2618">
        <v>46.2</v>
      </c>
      <c r="AD2618">
        <v>144373535</v>
      </c>
    </row>
    <row r="2619" spans="1:30" hidden="1" x14ac:dyDescent="0.45">
      <c r="A2619">
        <v>2540</v>
      </c>
      <c r="B2619">
        <v>1000</v>
      </c>
      <c r="C2619" t="s">
        <v>61</v>
      </c>
      <c r="D2619" t="s">
        <v>8177</v>
      </c>
      <c r="E2619">
        <v>51</v>
      </c>
      <c r="F2619" t="s">
        <v>363</v>
      </c>
      <c r="G2619" t="s">
        <v>381</v>
      </c>
      <c r="H2619" t="s">
        <v>8178</v>
      </c>
      <c r="I2619" t="s">
        <v>61</v>
      </c>
      <c r="J2619" t="s">
        <v>363</v>
      </c>
      <c r="L2619" t="b">
        <v>1</v>
      </c>
      <c r="M2619" t="s">
        <v>1332</v>
      </c>
      <c r="N2619" t="s">
        <v>8245</v>
      </c>
      <c r="O2619" s="1">
        <v>26065</v>
      </c>
      <c r="P2619" t="s">
        <v>8179</v>
      </c>
      <c r="Q2619" t="s">
        <v>3423</v>
      </c>
      <c r="S2619" s="1">
        <v>45020.209027777775</v>
      </c>
      <c r="V2619">
        <v>1971</v>
      </c>
      <c r="W2619">
        <v>180.75</v>
      </c>
      <c r="X2619">
        <v>4.5</v>
      </c>
      <c r="Y2619" s="2">
        <v>1699876578871</v>
      </c>
      <c r="Z2619">
        <v>81.900000000000006</v>
      </c>
      <c r="AA2619">
        <v>102.6</v>
      </c>
      <c r="AB2619">
        <v>11.4</v>
      </c>
      <c r="AC2619">
        <v>46.2</v>
      </c>
      <c r="AD2619">
        <v>144373535</v>
      </c>
    </row>
    <row r="2620" spans="1:30" hidden="1" x14ac:dyDescent="0.45">
      <c r="A2620">
        <v>2540</v>
      </c>
      <c r="B2620">
        <v>1000</v>
      </c>
      <c r="C2620" t="s">
        <v>296</v>
      </c>
      <c r="D2620" t="s">
        <v>8180</v>
      </c>
      <c r="E2620">
        <v>70</v>
      </c>
      <c r="F2620" t="s">
        <v>349</v>
      </c>
      <c r="G2620" t="s">
        <v>5501</v>
      </c>
      <c r="H2620" t="s">
        <v>659</v>
      </c>
      <c r="I2620" t="s">
        <v>296</v>
      </c>
      <c r="J2620" t="s">
        <v>349</v>
      </c>
      <c r="L2620" t="b">
        <v>0</v>
      </c>
      <c r="M2620" t="s">
        <v>285</v>
      </c>
      <c r="N2620" t="s">
        <v>8245</v>
      </c>
      <c r="O2620" s="1">
        <v>19234</v>
      </c>
      <c r="P2620" t="s">
        <v>5508</v>
      </c>
      <c r="Q2620" t="s">
        <v>8181</v>
      </c>
      <c r="S2620" s="1">
        <v>45020.209027777775</v>
      </c>
      <c r="V2620">
        <v>1952</v>
      </c>
      <c r="W2620">
        <v>151.18</v>
      </c>
      <c r="X2620">
        <v>3</v>
      </c>
      <c r="Y2620" s="2">
        <v>1119190780753</v>
      </c>
      <c r="Z2620">
        <v>36.299999999999997</v>
      </c>
      <c r="AA2620">
        <v>106.4</v>
      </c>
      <c r="AB2620">
        <v>10.199999999999999</v>
      </c>
      <c r="AC2620">
        <v>30.1</v>
      </c>
      <c r="AD2620">
        <v>270203917</v>
      </c>
    </row>
    <row r="2621" spans="1:30" hidden="1" x14ac:dyDescent="0.45">
      <c r="A2621">
        <v>2540</v>
      </c>
      <c r="B2621">
        <v>1000</v>
      </c>
      <c r="C2621" t="s">
        <v>296</v>
      </c>
      <c r="D2621" t="s">
        <v>8182</v>
      </c>
      <c r="E2621">
        <v>59</v>
      </c>
      <c r="F2621" t="s">
        <v>349</v>
      </c>
      <c r="G2621" t="s">
        <v>350</v>
      </c>
      <c r="H2621" t="s">
        <v>296</v>
      </c>
      <c r="I2621" t="s">
        <v>296</v>
      </c>
      <c r="J2621" t="s">
        <v>349</v>
      </c>
      <c r="L2621" t="b">
        <v>0</v>
      </c>
      <c r="M2621" t="s">
        <v>258</v>
      </c>
      <c r="N2621" t="s">
        <v>8245</v>
      </c>
      <c r="O2621" s="1">
        <v>23131</v>
      </c>
      <c r="P2621" t="s">
        <v>8183</v>
      </c>
      <c r="Q2621" t="s">
        <v>8184</v>
      </c>
      <c r="S2621" s="1">
        <v>45020.209027777775</v>
      </c>
      <c r="V2621">
        <v>1963</v>
      </c>
      <c r="W2621">
        <v>151.18</v>
      </c>
      <c r="X2621">
        <v>3</v>
      </c>
      <c r="Y2621" s="2">
        <v>1119190780753</v>
      </c>
      <c r="Z2621">
        <v>36.299999999999997</v>
      </c>
      <c r="AA2621">
        <v>106.4</v>
      </c>
      <c r="AB2621">
        <v>10.199999999999999</v>
      </c>
      <c r="AC2621">
        <v>30.1</v>
      </c>
      <c r="AD2621">
        <v>270203917</v>
      </c>
    </row>
    <row r="2622" spans="1:30" hidden="1" x14ac:dyDescent="0.45">
      <c r="A2622">
        <v>2540</v>
      </c>
      <c r="B2622">
        <v>1000</v>
      </c>
      <c r="C2622" t="s">
        <v>126</v>
      </c>
      <c r="D2622" t="s">
        <v>8185</v>
      </c>
      <c r="E2622">
        <v>77</v>
      </c>
      <c r="F2622" t="s">
        <v>35</v>
      </c>
      <c r="G2622" t="s">
        <v>8186</v>
      </c>
      <c r="H2622" t="s">
        <v>8187</v>
      </c>
      <c r="I2622" t="s">
        <v>126</v>
      </c>
      <c r="J2622" t="s">
        <v>35</v>
      </c>
      <c r="L2622" t="b">
        <v>1</v>
      </c>
      <c r="M2622" t="s">
        <v>258</v>
      </c>
      <c r="N2622" t="s">
        <v>8245</v>
      </c>
      <c r="O2622" s="1">
        <v>16760</v>
      </c>
      <c r="P2622" t="s">
        <v>6561</v>
      </c>
      <c r="Q2622" t="s">
        <v>169</v>
      </c>
      <c r="S2622" s="1">
        <v>45020.209027777775</v>
      </c>
      <c r="T2622" t="s">
        <v>115</v>
      </c>
      <c r="U2622" t="s">
        <v>53</v>
      </c>
      <c r="V2622">
        <v>1945</v>
      </c>
      <c r="W2622">
        <v>117.24</v>
      </c>
      <c r="X2622">
        <v>7.5</v>
      </c>
      <c r="Y2622" s="2">
        <v>21427700000000</v>
      </c>
      <c r="Z2622">
        <v>88.2</v>
      </c>
      <c r="AA2622">
        <v>101.8</v>
      </c>
      <c r="AB2622">
        <v>9.6</v>
      </c>
      <c r="AC2622">
        <v>36.6</v>
      </c>
      <c r="AD2622">
        <v>328239523</v>
      </c>
    </row>
    <row r="2623" spans="1:30" hidden="1" x14ac:dyDescent="0.45">
      <c r="A2623">
        <v>2540</v>
      </c>
      <c r="B2623">
        <v>1000</v>
      </c>
      <c r="C2623" t="s">
        <v>76</v>
      </c>
      <c r="D2623" t="s">
        <v>8188</v>
      </c>
      <c r="E2623">
        <v>82</v>
      </c>
      <c r="F2623" t="s">
        <v>266</v>
      </c>
      <c r="G2623" t="s">
        <v>453</v>
      </c>
      <c r="H2623" t="s">
        <v>2354</v>
      </c>
      <c r="I2623" t="s">
        <v>76</v>
      </c>
      <c r="J2623" t="s">
        <v>266</v>
      </c>
      <c r="L2623" t="b">
        <v>1</v>
      </c>
      <c r="M2623" t="s">
        <v>258</v>
      </c>
      <c r="N2623" t="s">
        <v>8245</v>
      </c>
      <c r="O2623" s="1">
        <v>14960</v>
      </c>
      <c r="P2623" t="s">
        <v>8189</v>
      </c>
      <c r="Q2623" t="s">
        <v>8190</v>
      </c>
      <c r="S2623" s="1">
        <v>45020.209027777775</v>
      </c>
      <c r="V2623">
        <v>1940</v>
      </c>
      <c r="W2623">
        <v>105.48</v>
      </c>
      <c r="X2623">
        <v>0.5</v>
      </c>
      <c r="Y2623" s="2">
        <v>5081769542380</v>
      </c>
      <c r="Z2623">
        <v>63.2</v>
      </c>
      <c r="AA2623">
        <v>98.8</v>
      </c>
      <c r="AB2623">
        <v>11.9</v>
      </c>
      <c r="AC2623">
        <v>46.7</v>
      </c>
      <c r="AD2623">
        <v>126226568</v>
      </c>
    </row>
    <row r="2624" spans="1:30" hidden="1" x14ac:dyDescent="0.45">
      <c r="A2624">
        <v>2540</v>
      </c>
      <c r="B2624">
        <v>1000</v>
      </c>
      <c r="C2624" t="s">
        <v>83</v>
      </c>
      <c r="D2624" t="s">
        <v>8191</v>
      </c>
      <c r="E2624">
        <v>75</v>
      </c>
      <c r="F2624" t="s">
        <v>2037</v>
      </c>
      <c r="G2624" t="s">
        <v>2038</v>
      </c>
      <c r="H2624" t="s">
        <v>83</v>
      </c>
      <c r="I2624" t="s">
        <v>83</v>
      </c>
      <c r="J2624" t="s">
        <v>2037</v>
      </c>
      <c r="L2624" t="b">
        <v>1</v>
      </c>
      <c r="M2624" t="s">
        <v>39</v>
      </c>
      <c r="N2624" t="s">
        <v>8245</v>
      </c>
      <c r="O2624" s="1">
        <v>17485</v>
      </c>
      <c r="P2624" t="s">
        <v>8192</v>
      </c>
      <c r="Q2624" t="s">
        <v>2212</v>
      </c>
      <c r="S2624" s="1">
        <v>45020.209027777775</v>
      </c>
      <c r="V2624">
        <v>1947</v>
      </c>
      <c r="W2624">
        <v>234.44</v>
      </c>
      <c r="X2624">
        <v>15.2</v>
      </c>
      <c r="Y2624" s="2">
        <v>754411708203</v>
      </c>
      <c r="Z2624">
        <v>23.9</v>
      </c>
      <c r="AA2624">
        <v>93.2</v>
      </c>
      <c r="AB2624">
        <v>17.899999999999999</v>
      </c>
      <c r="AC2624">
        <v>42.3</v>
      </c>
      <c r="AD2624">
        <v>83429615</v>
      </c>
    </row>
    <row r="2625" spans="1:30" hidden="1" x14ac:dyDescent="0.45">
      <c r="A2625">
        <v>2540</v>
      </c>
      <c r="B2625">
        <v>1000</v>
      </c>
      <c r="C2625" t="s">
        <v>45</v>
      </c>
      <c r="D2625" t="s">
        <v>8193</v>
      </c>
      <c r="E2625">
        <v>70</v>
      </c>
      <c r="F2625" t="s">
        <v>266</v>
      </c>
      <c r="G2625" t="s">
        <v>8194</v>
      </c>
      <c r="H2625" t="s">
        <v>856</v>
      </c>
      <c r="I2625" t="s">
        <v>45</v>
      </c>
      <c r="J2625" t="s">
        <v>266</v>
      </c>
      <c r="L2625" t="b">
        <v>1</v>
      </c>
      <c r="M2625" t="s">
        <v>611</v>
      </c>
      <c r="N2625" t="s">
        <v>8245</v>
      </c>
      <c r="O2625" s="1">
        <v>19236</v>
      </c>
      <c r="P2625" t="s">
        <v>8195</v>
      </c>
      <c r="Q2625" t="s">
        <v>8196</v>
      </c>
      <c r="S2625" s="1">
        <v>45020.209027777775</v>
      </c>
      <c r="V2625">
        <v>1952</v>
      </c>
      <c r="W2625">
        <v>105.48</v>
      </c>
      <c r="X2625">
        <v>0.5</v>
      </c>
      <c r="Y2625" s="2">
        <v>5081769542380</v>
      </c>
      <c r="Z2625">
        <v>63.2</v>
      </c>
      <c r="AA2625">
        <v>98.8</v>
      </c>
      <c r="AB2625">
        <v>11.9</v>
      </c>
      <c r="AC2625">
        <v>46.7</v>
      </c>
      <c r="AD2625">
        <v>126226568</v>
      </c>
    </row>
    <row r="2626" spans="1:30" hidden="1" x14ac:dyDescent="0.45">
      <c r="A2626">
        <v>2540</v>
      </c>
      <c r="B2626">
        <v>1000</v>
      </c>
      <c r="C2626" t="s">
        <v>402</v>
      </c>
      <c r="D2626" t="s">
        <v>8197</v>
      </c>
      <c r="E2626">
        <v>54</v>
      </c>
      <c r="F2626" t="s">
        <v>128</v>
      </c>
      <c r="G2626" t="s">
        <v>234</v>
      </c>
      <c r="H2626" t="s">
        <v>1529</v>
      </c>
      <c r="I2626" t="s">
        <v>402</v>
      </c>
      <c r="J2626" t="s">
        <v>128</v>
      </c>
      <c r="L2626" t="b">
        <v>1</v>
      </c>
      <c r="M2626" t="s">
        <v>1332</v>
      </c>
      <c r="N2626" t="s">
        <v>8245</v>
      </c>
      <c r="O2626" s="1">
        <v>25204</v>
      </c>
      <c r="P2626" t="s">
        <v>7905</v>
      </c>
      <c r="Q2626" t="s">
        <v>3445</v>
      </c>
      <c r="S2626" s="1">
        <v>45020.209027777775</v>
      </c>
      <c r="V2626">
        <v>1969</v>
      </c>
      <c r="W2626">
        <v>125.08</v>
      </c>
      <c r="X2626">
        <v>2.9</v>
      </c>
      <c r="Y2626" s="2">
        <v>19910000000000</v>
      </c>
      <c r="Z2626">
        <v>50.6</v>
      </c>
      <c r="AA2626">
        <v>100.2</v>
      </c>
      <c r="AB2626">
        <v>9.4</v>
      </c>
      <c r="AC2626">
        <v>59.2</v>
      </c>
      <c r="AD2626">
        <v>1397715000</v>
      </c>
    </row>
    <row r="2627" spans="1:30" hidden="1" x14ac:dyDescent="0.45">
      <c r="A2627">
        <v>2540</v>
      </c>
      <c r="B2627">
        <v>1000</v>
      </c>
      <c r="C2627" t="s">
        <v>33</v>
      </c>
      <c r="D2627" t="s">
        <v>8198</v>
      </c>
      <c r="E2627">
        <v>53</v>
      </c>
      <c r="F2627" t="s">
        <v>128</v>
      </c>
      <c r="G2627" t="s">
        <v>960</v>
      </c>
      <c r="H2627" t="s">
        <v>752</v>
      </c>
      <c r="I2627" t="s">
        <v>33</v>
      </c>
      <c r="J2627" t="s">
        <v>128</v>
      </c>
      <c r="L2627" t="b">
        <v>1</v>
      </c>
      <c r="M2627" t="s">
        <v>39</v>
      </c>
      <c r="N2627" t="s">
        <v>8245</v>
      </c>
      <c r="O2627"/>
      <c r="P2627" t="s">
        <v>439</v>
      </c>
      <c r="Q2627" t="s">
        <v>8199</v>
      </c>
      <c r="S2627" s="1">
        <v>45020.209027777775</v>
      </c>
      <c r="W2627">
        <v>125.08</v>
      </c>
      <c r="X2627">
        <v>2.9</v>
      </c>
      <c r="Y2627" s="2">
        <v>19910000000000</v>
      </c>
      <c r="Z2627">
        <v>50.6</v>
      </c>
      <c r="AA2627">
        <v>100.2</v>
      </c>
      <c r="AB2627">
        <v>9.4</v>
      </c>
      <c r="AC2627">
        <v>59.2</v>
      </c>
      <c r="AD2627">
        <v>1397715000</v>
      </c>
    </row>
    <row r="2628" spans="1:30" hidden="1" x14ac:dyDescent="0.45">
      <c r="A2628">
        <v>2540</v>
      </c>
      <c r="B2628">
        <v>1000</v>
      </c>
      <c r="C2628" t="s">
        <v>203</v>
      </c>
      <c r="D2628" t="s">
        <v>8200</v>
      </c>
      <c r="E2628">
        <v>77</v>
      </c>
      <c r="H2628" t="s">
        <v>203</v>
      </c>
      <c r="I2628" t="s">
        <v>203</v>
      </c>
      <c r="J2628" t="s">
        <v>266</v>
      </c>
      <c r="L2628" t="b">
        <v>1</v>
      </c>
      <c r="M2628" t="s">
        <v>1332</v>
      </c>
      <c r="N2628" t="s">
        <v>8245</v>
      </c>
      <c r="O2628" s="1">
        <v>16580</v>
      </c>
      <c r="P2628" t="s">
        <v>8201</v>
      </c>
      <c r="Q2628" t="s">
        <v>8202</v>
      </c>
      <c r="S2628" s="1">
        <v>45020.209027777775</v>
      </c>
      <c r="V2628">
        <v>1945</v>
      </c>
      <c r="W2628"/>
      <c r="Y2628"/>
    </row>
    <row r="2629" spans="1:30" hidden="1" x14ac:dyDescent="0.45">
      <c r="A2629">
        <v>2540</v>
      </c>
      <c r="B2629">
        <v>1000</v>
      </c>
      <c r="C2629" t="s">
        <v>61</v>
      </c>
      <c r="D2629" t="s">
        <v>8203</v>
      </c>
      <c r="E2629">
        <v>72</v>
      </c>
      <c r="F2629" t="s">
        <v>164</v>
      </c>
      <c r="G2629" t="s">
        <v>165</v>
      </c>
      <c r="H2629" t="s">
        <v>5847</v>
      </c>
      <c r="I2629" t="s">
        <v>61</v>
      </c>
      <c r="J2629" t="s">
        <v>164</v>
      </c>
      <c r="L2629" t="b">
        <v>1</v>
      </c>
      <c r="M2629" t="s">
        <v>1332</v>
      </c>
      <c r="N2629" t="s">
        <v>8245</v>
      </c>
      <c r="O2629" s="1">
        <v>18480</v>
      </c>
      <c r="P2629" t="s">
        <v>8204</v>
      </c>
      <c r="Q2629" t="s">
        <v>8205</v>
      </c>
      <c r="S2629" s="1">
        <v>45020.209027777775</v>
      </c>
      <c r="V2629">
        <v>1950</v>
      </c>
      <c r="W2629">
        <v>116.76</v>
      </c>
      <c r="X2629">
        <v>1.9</v>
      </c>
      <c r="Y2629" s="2">
        <v>1736425629520</v>
      </c>
      <c r="Z2629">
        <v>68.900000000000006</v>
      </c>
      <c r="AA2629">
        <v>100.9</v>
      </c>
      <c r="AB2629">
        <v>12.8</v>
      </c>
      <c r="AC2629">
        <v>24.5</v>
      </c>
      <c r="AD2629">
        <v>36991981</v>
      </c>
    </row>
    <row r="2630" spans="1:30" hidden="1" x14ac:dyDescent="0.45">
      <c r="A2630">
        <v>2540</v>
      </c>
      <c r="B2630">
        <v>1000</v>
      </c>
      <c r="C2630" t="s">
        <v>126</v>
      </c>
      <c r="D2630" t="s">
        <v>8206</v>
      </c>
      <c r="E2630">
        <v>60</v>
      </c>
      <c r="F2630" t="s">
        <v>128</v>
      </c>
      <c r="G2630" t="s">
        <v>8207</v>
      </c>
      <c r="H2630" t="s">
        <v>778</v>
      </c>
      <c r="I2630" t="s">
        <v>126</v>
      </c>
      <c r="J2630" t="s">
        <v>128</v>
      </c>
      <c r="L2630" t="b">
        <v>1</v>
      </c>
      <c r="M2630" t="s">
        <v>39</v>
      </c>
      <c r="N2630" t="s">
        <v>8245</v>
      </c>
      <c r="O2630" s="1">
        <v>22927</v>
      </c>
      <c r="P2630" t="s">
        <v>3527</v>
      </c>
      <c r="Q2630" t="s">
        <v>8208</v>
      </c>
      <c r="S2630" s="1">
        <v>45020.209027777775</v>
      </c>
      <c r="V2630">
        <v>1962</v>
      </c>
      <c r="W2630">
        <v>125.08</v>
      </c>
      <c r="X2630">
        <v>2.9</v>
      </c>
      <c r="Y2630" s="2">
        <v>19910000000000</v>
      </c>
      <c r="Z2630">
        <v>50.6</v>
      </c>
      <c r="AA2630">
        <v>100.2</v>
      </c>
      <c r="AB2630">
        <v>9.4</v>
      </c>
      <c r="AC2630">
        <v>59.2</v>
      </c>
      <c r="AD2630">
        <v>1397715000</v>
      </c>
    </row>
    <row r="2631" spans="1:30" hidden="1" x14ac:dyDescent="0.45">
      <c r="A2631">
        <v>2540</v>
      </c>
      <c r="B2631">
        <v>1000</v>
      </c>
      <c r="C2631" t="s">
        <v>702</v>
      </c>
      <c r="D2631" t="s">
        <v>8209</v>
      </c>
      <c r="E2631">
        <v>51</v>
      </c>
      <c r="F2631" t="s">
        <v>487</v>
      </c>
      <c r="H2631" t="s">
        <v>702</v>
      </c>
      <c r="I2631" t="s">
        <v>702</v>
      </c>
      <c r="J2631" t="s">
        <v>255</v>
      </c>
      <c r="L2631" t="b">
        <v>1</v>
      </c>
      <c r="M2631" t="s">
        <v>258</v>
      </c>
      <c r="N2631" t="s">
        <v>8245</v>
      </c>
      <c r="O2631" s="1">
        <v>26310</v>
      </c>
      <c r="P2631" t="s">
        <v>8210</v>
      </c>
      <c r="Q2631" t="s">
        <v>8211</v>
      </c>
      <c r="S2631" s="1">
        <v>45020.209027777775</v>
      </c>
      <c r="V2631">
        <v>1972</v>
      </c>
      <c r="W2631"/>
      <c r="Y2631" s="2">
        <v>7184844193</v>
      </c>
      <c r="AD2631">
        <v>38964</v>
      </c>
    </row>
    <row r="2632" spans="1:30" hidden="1" x14ac:dyDescent="0.45">
      <c r="A2632">
        <v>2540</v>
      </c>
      <c r="B2632">
        <v>1000</v>
      </c>
      <c r="C2632" t="s">
        <v>296</v>
      </c>
      <c r="D2632" t="s">
        <v>8212</v>
      </c>
      <c r="E2632">
        <v>35</v>
      </c>
      <c r="H2632" t="s">
        <v>2012</v>
      </c>
      <c r="I2632" t="s">
        <v>296</v>
      </c>
      <c r="J2632" t="s">
        <v>194</v>
      </c>
      <c r="L2632" t="b">
        <v>0</v>
      </c>
      <c r="M2632" t="s">
        <v>39</v>
      </c>
      <c r="N2632" t="s">
        <v>8246</v>
      </c>
      <c r="O2632" s="1">
        <v>32223</v>
      </c>
      <c r="P2632" t="s">
        <v>8213</v>
      </c>
      <c r="Q2632" t="s">
        <v>8214</v>
      </c>
      <c r="S2632" s="1">
        <v>45020.209027777775</v>
      </c>
      <c r="V2632">
        <v>1988</v>
      </c>
      <c r="W2632"/>
      <c r="Y2632"/>
    </row>
    <row r="2633" spans="1:30" hidden="1" x14ac:dyDescent="0.45">
      <c r="A2633">
        <v>2540</v>
      </c>
      <c r="B2633">
        <v>1000</v>
      </c>
      <c r="C2633" t="s">
        <v>23</v>
      </c>
      <c r="D2633" t="s">
        <v>8215</v>
      </c>
      <c r="E2633">
        <v>54</v>
      </c>
      <c r="F2633" t="s">
        <v>128</v>
      </c>
      <c r="G2633" t="s">
        <v>719</v>
      </c>
      <c r="H2633" t="s">
        <v>1475</v>
      </c>
      <c r="I2633" t="s">
        <v>23</v>
      </c>
      <c r="J2633" t="s">
        <v>128</v>
      </c>
      <c r="L2633" t="b">
        <v>1</v>
      </c>
      <c r="M2633" t="s">
        <v>258</v>
      </c>
      <c r="N2633" t="s">
        <v>8245</v>
      </c>
      <c r="O2633" s="1">
        <v>25204</v>
      </c>
      <c r="P2633" t="s">
        <v>2706</v>
      </c>
      <c r="Q2633" t="s">
        <v>8216</v>
      </c>
      <c r="S2633" s="1">
        <v>45020.209027777775</v>
      </c>
      <c r="V2633">
        <v>1969</v>
      </c>
      <c r="W2633">
        <v>125.08</v>
      </c>
      <c r="X2633">
        <v>2.9</v>
      </c>
      <c r="Y2633" s="2">
        <v>19910000000000</v>
      </c>
      <c r="Z2633">
        <v>50.6</v>
      </c>
      <c r="AA2633">
        <v>100.2</v>
      </c>
      <c r="AB2633">
        <v>9.4</v>
      </c>
      <c r="AC2633">
        <v>59.2</v>
      </c>
      <c r="AD2633">
        <v>1397715000</v>
      </c>
    </row>
    <row r="2634" spans="1:30" hidden="1" x14ac:dyDescent="0.45">
      <c r="A2634">
        <v>2540</v>
      </c>
      <c r="B2634">
        <v>1000</v>
      </c>
      <c r="C2634" t="s">
        <v>296</v>
      </c>
      <c r="D2634" t="s">
        <v>8217</v>
      </c>
      <c r="E2634">
        <v>59</v>
      </c>
      <c r="F2634" t="s">
        <v>128</v>
      </c>
      <c r="G2634" t="s">
        <v>6844</v>
      </c>
      <c r="H2634" t="s">
        <v>399</v>
      </c>
      <c r="I2634" t="s">
        <v>296</v>
      </c>
      <c r="J2634" t="s">
        <v>128</v>
      </c>
      <c r="L2634" t="b">
        <v>1</v>
      </c>
      <c r="M2634" t="s">
        <v>39</v>
      </c>
      <c r="N2634" t="s">
        <v>8245</v>
      </c>
      <c r="O2634" s="1">
        <v>23118</v>
      </c>
      <c r="P2634" t="s">
        <v>646</v>
      </c>
      <c r="Q2634" t="s">
        <v>3752</v>
      </c>
      <c r="S2634" s="1">
        <v>45020.209027777775</v>
      </c>
      <c r="V2634">
        <v>1963</v>
      </c>
      <c r="W2634">
        <v>125.08</v>
      </c>
      <c r="X2634">
        <v>2.9</v>
      </c>
      <c r="Y2634" s="2">
        <v>19910000000000</v>
      </c>
      <c r="Z2634">
        <v>50.6</v>
      </c>
      <c r="AA2634">
        <v>100.2</v>
      </c>
      <c r="AB2634">
        <v>9.4</v>
      </c>
      <c r="AC2634">
        <v>59.2</v>
      </c>
      <c r="AD2634">
        <v>1397715000</v>
      </c>
    </row>
    <row r="2635" spans="1:30" hidden="1" x14ac:dyDescent="0.45">
      <c r="A2635">
        <v>2540</v>
      </c>
      <c r="B2635">
        <v>1000</v>
      </c>
      <c r="C2635" t="s">
        <v>296</v>
      </c>
      <c r="D2635" t="s">
        <v>8218</v>
      </c>
      <c r="E2635">
        <v>53</v>
      </c>
      <c r="F2635" t="s">
        <v>128</v>
      </c>
      <c r="G2635" t="s">
        <v>8219</v>
      </c>
      <c r="H2635" t="s">
        <v>296</v>
      </c>
      <c r="I2635" t="s">
        <v>296</v>
      </c>
      <c r="J2635" t="s">
        <v>128</v>
      </c>
      <c r="L2635" t="b">
        <v>1</v>
      </c>
      <c r="M2635" t="s">
        <v>39</v>
      </c>
      <c r="N2635" t="s">
        <v>8245</v>
      </c>
      <c r="O2635" s="1">
        <v>25401</v>
      </c>
      <c r="P2635" t="s">
        <v>1990</v>
      </c>
      <c r="Q2635" t="s">
        <v>8220</v>
      </c>
      <c r="S2635" s="1">
        <v>45020.209027777775</v>
      </c>
      <c r="V2635">
        <v>1969</v>
      </c>
      <c r="W2635">
        <v>125.08</v>
      </c>
      <c r="X2635">
        <v>2.9</v>
      </c>
      <c r="Y2635" s="2">
        <v>19910000000000</v>
      </c>
      <c r="Z2635">
        <v>50.6</v>
      </c>
      <c r="AA2635">
        <v>100.2</v>
      </c>
      <c r="AB2635">
        <v>9.4</v>
      </c>
      <c r="AC2635">
        <v>59.2</v>
      </c>
      <c r="AD2635">
        <v>1397715000</v>
      </c>
    </row>
    <row r="2636" spans="1:30" hidden="1" x14ac:dyDescent="0.45">
      <c r="A2636">
        <v>2540</v>
      </c>
      <c r="B2636">
        <v>1000</v>
      </c>
      <c r="C2636" t="s">
        <v>402</v>
      </c>
      <c r="D2636" t="s">
        <v>8221</v>
      </c>
      <c r="E2636">
        <v>63</v>
      </c>
      <c r="F2636" t="s">
        <v>128</v>
      </c>
      <c r="G2636" t="s">
        <v>719</v>
      </c>
      <c r="H2636" t="s">
        <v>610</v>
      </c>
      <c r="I2636" t="s">
        <v>402</v>
      </c>
      <c r="J2636" t="s">
        <v>128</v>
      </c>
      <c r="L2636" t="b">
        <v>1</v>
      </c>
      <c r="M2636" t="s">
        <v>39</v>
      </c>
      <c r="N2636" t="s">
        <v>8245</v>
      </c>
      <c r="O2636" s="1">
        <v>21671</v>
      </c>
      <c r="P2636" t="s">
        <v>3028</v>
      </c>
      <c r="Q2636" t="s">
        <v>8222</v>
      </c>
      <c r="S2636" s="1">
        <v>45020.209027777775</v>
      </c>
      <c r="V2636">
        <v>1959</v>
      </c>
      <c r="W2636">
        <v>125.08</v>
      </c>
      <c r="X2636">
        <v>2.9</v>
      </c>
      <c r="Y2636" s="2">
        <v>19910000000000</v>
      </c>
      <c r="Z2636">
        <v>50.6</v>
      </c>
      <c r="AA2636">
        <v>100.2</v>
      </c>
      <c r="AB2636">
        <v>9.4</v>
      </c>
      <c r="AC2636">
        <v>59.2</v>
      </c>
      <c r="AD2636">
        <v>1397715000</v>
      </c>
    </row>
    <row r="2637" spans="1:30" hidden="1" x14ac:dyDescent="0.45">
      <c r="A2637">
        <v>2540</v>
      </c>
      <c r="B2637">
        <v>1000</v>
      </c>
      <c r="C2637" t="s">
        <v>402</v>
      </c>
      <c r="D2637" t="s">
        <v>8223</v>
      </c>
      <c r="E2637">
        <v>51</v>
      </c>
      <c r="F2637" t="s">
        <v>128</v>
      </c>
      <c r="G2637" t="s">
        <v>292</v>
      </c>
      <c r="H2637" t="s">
        <v>8224</v>
      </c>
      <c r="I2637" t="s">
        <v>402</v>
      </c>
      <c r="J2637" t="s">
        <v>128</v>
      </c>
      <c r="L2637" t="b">
        <v>1</v>
      </c>
      <c r="M2637" t="s">
        <v>39</v>
      </c>
      <c r="N2637" t="s">
        <v>8245</v>
      </c>
      <c r="O2637" s="1">
        <v>26281</v>
      </c>
      <c r="P2637" t="s">
        <v>2314</v>
      </c>
      <c r="Q2637" t="s">
        <v>8225</v>
      </c>
      <c r="S2637" s="1">
        <v>45020.209027777775</v>
      </c>
      <c r="V2637">
        <v>1971</v>
      </c>
      <c r="W2637">
        <v>125.08</v>
      </c>
      <c r="X2637">
        <v>2.9</v>
      </c>
      <c r="Y2637" s="2">
        <v>19910000000000</v>
      </c>
      <c r="Z2637">
        <v>50.6</v>
      </c>
      <c r="AA2637">
        <v>100.2</v>
      </c>
      <c r="AB2637">
        <v>9.4</v>
      </c>
      <c r="AC2637">
        <v>59.2</v>
      </c>
      <c r="AD2637">
        <v>1397715000</v>
      </c>
    </row>
    <row r="2638" spans="1:30" hidden="1" x14ac:dyDescent="0.45">
      <c r="A2638">
        <v>2540</v>
      </c>
      <c r="B2638">
        <v>1000</v>
      </c>
      <c r="C2638" t="s">
        <v>126</v>
      </c>
      <c r="D2638" t="s">
        <v>8226</v>
      </c>
      <c r="E2638">
        <v>80</v>
      </c>
      <c r="F2638" t="s">
        <v>35</v>
      </c>
      <c r="G2638" t="s">
        <v>8227</v>
      </c>
      <c r="H2638" t="s">
        <v>602</v>
      </c>
      <c r="I2638" t="s">
        <v>126</v>
      </c>
      <c r="J2638" t="s">
        <v>35</v>
      </c>
      <c r="L2638" t="b">
        <v>0</v>
      </c>
      <c r="M2638" t="s">
        <v>611</v>
      </c>
      <c r="N2638" t="s">
        <v>8245</v>
      </c>
      <c r="O2638" s="1">
        <v>15775</v>
      </c>
      <c r="P2638" t="s">
        <v>8228</v>
      </c>
      <c r="Q2638" t="s">
        <v>1068</v>
      </c>
      <c r="S2638" s="1">
        <v>45020.209027777775</v>
      </c>
      <c r="T2638" t="s">
        <v>311</v>
      </c>
      <c r="U2638" t="s">
        <v>82</v>
      </c>
      <c r="V2638">
        <v>1943</v>
      </c>
      <c r="W2638">
        <v>117.24</v>
      </c>
      <c r="X2638">
        <v>7.5</v>
      </c>
      <c r="Y2638" s="2">
        <v>21427700000000</v>
      </c>
      <c r="Z2638">
        <v>88.2</v>
      </c>
      <c r="AA2638">
        <v>101.8</v>
      </c>
      <c r="AB2638">
        <v>9.6</v>
      </c>
      <c r="AC2638">
        <v>36.6</v>
      </c>
      <c r="AD2638">
        <v>328239523</v>
      </c>
    </row>
    <row r="2639" spans="1:30" hidden="1" x14ac:dyDescent="0.45">
      <c r="A2639">
        <v>2540</v>
      </c>
      <c r="B2639">
        <v>1000</v>
      </c>
      <c r="C2639" t="s">
        <v>296</v>
      </c>
      <c r="D2639" t="s">
        <v>8229</v>
      </c>
      <c r="E2639">
        <v>60</v>
      </c>
      <c r="F2639" t="s">
        <v>128</v>
      </c>
      <c r="G2639" t="s">
        <v>8230</v>
      </c>
      <c r="H2639" t="s">
        <v>8231</v>
      </c>
      <c r="I2639" t="s">
        <v>296</v>
      </c>
      <c r="J2639" t="s">
        <v>128</v>
      </c>
      <c r="L2639" t="b">
        <v>1</v>
      </c>
      <c r="M2639" t="s">
        <v>1332</v>
      </c>
      <c r="N2639" t="s">
        <v>8245</v>
      </c>
      <c r="O2639" s="1">
        <v>22998</v>
      </c>
      <c r="P2639" t="s">
        <v>190</v>
      </c>
      <c r="Q2639" t="s">
        <v>8232</v>
      </c>
      <c r="S2639" s="1">
        <v>45020.209027777775</v>
      </c>
      <c r="V2639">
        <v>1962</v>
      </c>
      <c r="W2639">
        <v>125.08</v>
      </c>
      <c r="X2639">
        <v>2.9</v>
      </c>
      <c r="Y2639" s="2">
        <v>19910000000000</v>
      </c>
      <c r="Z2639">
        <v>50.6</v>
      </c>
      <c r="AA2639">
        <v>100.2</v>
      </c>
      <c r="AB2639">
        <v>9.4</v>
      </c>
      <c r="AC2639">
        <v>59.2</v>
      </c>
      <c r="AD2639">
        <v>1397715000</v>
      </c>
    </row>
    <row r="2640" spans="1:30" hidden="1" x14ac:dyDescent="0.45">
      <c r="A2640">
        <v>2540</v>
      </c>
      <c r="B2640">
        <v>1000</v>
      </c>
      <c r="C2640" t="s">
        <v>302</v>
      </c>
      <c r="D2640" t="s">
        <v>8233</v>
      </c>
      <c r="E2640">
        <v>71</v>
      </c>
      <c r="F2640" t="s">
        <v>128</v>
      </c>
      <c r="G2640" t="s">
        <v>4471</v>
      </c>
      <c r="H2640" t="s">
        <v>304</v>
      </c>
      <c r="I2640" t="s">
        <v>302</v>
      </c>
      <c r="J2640" t="s">
        <v>128</v>
      </c>
      <c r="L2640" t="b">
        <v>1</v>
      </c>
      <c r="M2640" t="s">
        <v>39</v>
      </c>
      <c r="N2640" t="s">
        <v>8245</v>
      </c>
      <c r="O2640" s="1">
        <v>18861</v>
      </c>
      <c r="P2640" t="s">
        <v>190</v>
      </c>
      <c r="Q2640" t="s">
        <v>8234</v>
      </c>
      <c r="S2640" s="1">
        <v>45020.209027777775</v>
      </c>
      <c r="V2640">
        <v>1951</v>
      </c>
      <c r="W2640">
        <v>125.08</v>
      </c>
      <c r="X2640">
        <v>2.9</v>
      </c>
      <c r="Y2640" s="2">
        <v>19910000000000</v>
      </c>
      <c r="Z2640">
        <v>50.6</v>
      </c>
      <c r="AA2640">
        <v>100.2</v>
      </c>
      <c r="AB2640">
        <v>9.4</v>
      </c>
      <c r="AC2640">
        <v>59.2</v>
      </c>
      <c r="AD2640">
        <v>1397715000</v>
      </c>
    </row>
    <row r="2641" spans="1:30" hidden="1" x14ac:dyDescent="0.45">
      <c r="A2641">
        <v>2540</v>
      </c>
      <c r="B2641">
        <v>1000</v>
      </c>
      <c r="C2641" t="s">
        <v>91</v>
      </c>
      <c r="D2641" t="s">
        <v>8235</v>
      </c>
      <c r="E2641">
        <v>66</v>
      </c>
      <c r="F2641" t="s">
        <v>1111</v>
      </c>
      <c r="G2641" t="s">
        <v>8236</v>
      </c>
      <c r="H2641" t="s">
        <v>91</v>
      </c>
      <c r="I2641" t="s">
        <v>91</v>
      </c>
      <c r="J2641" t="s">
        <v>1111</v>
      </c>
      <c r="L2641" t="b">
        <v>0</v>
      </c>
      <c r="M2641" t="s">
        <v>1332</v>
      </c>
      <c r="N2641" t="s">
        <v>8245</v>
      </c>
      <c r="O2641" s="1">
        <v>20760</v>
      </c>
      <c r="P2641" t="s">
        <v>8237</v>
      </c>
      <c r="Q2641" t="s">
        <v>8238</v>
      </c>
      <c r="S2641" s="1">
        <v>45020.209027777775</v>
      </c>
      <c r="V2641">
        <v>1956</v>
      </c>
      <c r="W2641">
        <v>129.61000000000001</v>
      </c>
      <c r="X2641">
        <v>2.5</v>
      </c>
      <c r="Y2641" s="2">
        <v>376795508680</v>
      </c>
      <c r="Z2641">
        <v>35.5</v>
      </c>
      <c r="AA2641">
        <v>107.5</v>
      </c>
      <c r="AB2641">
        <v>14</v>
      </c>
      <c r="AC2641">
        <v>43.1</v>
      </c>
      <c r="AD2641">
        <v>108116615</v>
      </c>
    </row>
    <row r="2642" spans="1:30" x14ac:dyDescent="0.45">
      <c r="B2642"/>
      <c r="O2642" s="1"/>
      <c r="S2642" s="1"/>
      <c r="W2642"/>
      <c r="Y2642" s="2"/>
    </row>
    <row r="2643" spans="1:30" x14ac:dyDescent="0.45">
      <c r="A2643" s="15" t="s">
        <v>8248</v>
      </c>
      <c r="B2643" s="6">
        <f>AVERAGE(B3:B2610)</f>
        <v>4587.7300613496936</v>
      </c>
    </row>
    <row r="2644" spans="1:30" x14ac:dyDescent="0.45">
      <c r="A2644" s="15" t="s">
        <v>8249</v>
      </c>
      <c r="B2644" s="18">
        <f>AVERAGE(E3:E2610)</f>
        <v>65.151729559748432</v>
      </c>
    </row>
    <row r="2645" spans="1:30" x14ac:dyDescent="0.45">
      <c r="A2645" s="15" t="s">
        <v>8250</v>
      </c>
      <c r="B2645" s="18">
        <f>COUNT(A3:A2610)</f>
        <v>2608</v>
      </c>
    </row>
    <row r="2646" spans="1:30" x14ac:dyDescent="0.45">
      <c r="A2646" s="15" t="s">
        <v>8251</v>
      </c>
      <c r="B2646" s="6">
        <f>SUM(B3:B2610)</f>
        <v>11964800</v>
      </c>
    </row>
    <row r="2647" spans="1:30" x14ac:dyDescent="0.45">
      <c r="A2647" s="15" t="s">
        <v>8256</v>
      </c>
      <c r="B2647" s="18">
        <f>MODE(E3:E2610)</f>
        <v>60</v>
      </c>
    </row>
    <row r="2648" spans="1:30" x14ac:dyDescent="0.45">
      <c r="A2648" s="15"/>
      <c r="B2648"/>
    </row>
  </sheetData>
  <pageMargins left="0.7" right="0.7" top="0.75" bottom="0.75" header="0.3" footer="0.3"/>
  <ignoredErrors>
    <ignoredError sqref="B2643:B2647" formulaRange="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878D-ADF5-400E-A566-ECDE1FB31037}">
  <dimension ref="A1:AH7054"/>
  <sheetViews>
    <sheetView topLeftCell="A37" zoomScaleNormal="100" workbookViewId="0">
      <selection activeCell="J56" sqref="J56"/>
    </sheetView>
  </sheetViews>
  <sheetFormatPr defaultRowHeight="14.25" x14ac:dyDescent="0.45"/>
  <cols>
    <col min="1" max="1" width="20.6640625" bestFit="1" customWidth="1"/>
    <col min="2" max="2" width="15.59765625" style="20" bestFit="1" customWidth="1"/>
    <col min="3" max="3" width="10.9296875" bestFit="1" customWidth="1"/>
    <col min="4" max="4" width="9.796875" bestFit="1" customWidth="1"/>
    <col min="5" max="5" width="10.9296875" customWidth="1"/>
    <col min="6" max="6" width="10.19921875" bestFit="1" customWidth="1"/>
    <col min="7" max="7" width="15.59765625" style="20" bestFit="1" customWidth="1"/>
    <col min="9" max="9" width="10.19921875" bestFit="1" customWidth="1"/>
    <col min="10" max="10" width="15.59765625" bestFit="1" customWidth="1"/>
    <col min="11" max="11" width="13.6640625" customWidth="1"/>
    <col min="12" max="12" width="13.53125" bestFit="1" customWidth="1"/>
    <col min="13" max="13" width="15.59765625" style="20" bestFit="1" customWidth="1"/>
    <col min="15" max="15" width="18.6640625" bestFit="1" customWidth="1"/>
    <col min="16" max="16" width="15.59765625" bestFit="1" customWidth="1"/>
    <col min="17" max="17" width="4.73046875" bestFit="1" customWidth="1"/>
    <col min="18" max="18" width="13.6640625" bestFit="1" customWidth="1"/>
    <col min="19" max="19" width="15.59765625" bestFit="1" customWidth="1"/>
    <col min="21" max="21" width="11" bestFit="1" customWidth="1"/>
    <col min="22" max="22" width="15.59765625" bestFit="1" customWidth="1"/>
    <col min="23" max="23" width="9.796875" bestFit="1" customWidth="1"/>
    <col min="24" max="34" width="15.265625" customWidth="1"/>
    <col min="35" max="37" width="4.73046875" customWidth="1"/>
    <col min="38" max="38" width="4.6640625" customWidth="1"/>
    <col min="39" max="105" width="4.73046875" bestFit="1" customWidth="1"/>
    <col min="106" max="229" width="5.73046875" bestFit="1" customWidth="1"/>
    <col min="230" max="235" width="6.73046875" bestFit="1" customWidth="1"/>
    <col min="236" max="236" width="10.19921875" bestFit="1" customWidth="1"/>
    <col min="237" max="238" width="6.73046875" bestFit="1" customWidth="1"/>
    <col min="239" max="239" width="10.19921875" bestFit="1" customWidth="1"/>
    <col min="240" max="2653" width="37.19921875" bestFit="1" customWidth="1"/>
    <col min="2654" max="2655" width="10.19921875" bestFit="1" customWidth="1"/>
  </cols>
  <sheetData>
    <row r="1" spans="1:34" x14ac:dyDescent="0.45">
      <c r="A1" s="16" t="s">
        <v>8258</v>
      </c>
      <c r="B1" s="26" t="s">
        <v>8252</v>
      </c>
      <c r="F1" s="16" t="s">
        <v>8259</v>
      </c>
      <c r="G1" s="20" t="s">
        <v>8252</v>
      </c>
      <c r="I1" s="16" t="s">
        <v>8260</v>
      </c>
      <c r="J1" t="s">
        <v>8252</v>
      </c>
      <c r="L1" s="16" t="s">
        <v>8261</v>
      </c>
      <c r="M1" s="20" t="s">
        <v>8252</v>
      </c>
      <c r="O1" s="16" t="s">
        <v>8262</v>
      </c>
      <c r="P1" s="20" t="s">
        <v>8252</v>
      </c>
      <c r="R1" s="16" t="s">
        <v>8263</v>
      </c>
      <c r="S1" s="20" t="s">
        <v>8252</v>
      </c>
      <c r="U1" s="16" t="s">
        <v>8264</v>
      </c>
      <c r="V1" s="20" t="s">
        <v>8252</v>
      </c>
    </row>
    <row r="2" spans="1:34" x14ac:dyDescent="0.45">
      <c r="A2" s="17" t="s">
        <v>99</v>
      </c>
      <c r="B2" s="25">
        <v>80700</v>
      </c>
      <c r="E2" s="20"/>
      <c r="F2" s="17" t="s">
        <v>8265</v>
      </c>
      <c r="G2" s="25">
        <v>12206800</v>
      </c>
      <c r="I2" s="17" t="s">
        <v>8246</v>
      </c>
      <c r="J2" s="25">
        <v>1540200</v>
      </c>
      <c r="L2" s="17" t="s">
        <v>164</v>
      </c>
      <c r="M2" s="25">
        <v>173900</v>
      </c>
      <c r="O2" s="17" t="s">
        <v>347</v>
      </c>
      <c r="P2" s="25">
        <v>453500</v>
      </c>
      <c r="R2" s="17" t="s">
        <v>37</v>
      </c>
      <c r="S2" s="25">
        <v>180000</v>
      </c>
      <c r="U2" s="17" t="s">
        <v>8267</v>
      </c>
      <c r="V2" s="25">
        <v>4115500</v>
      </c>
      <c r="X2" s="20"/>
      <c r="Y2" s="20"/>
      <c r="AB2" s="20"/>
      <c r="AC2" s="20"/>
      <c r="AD2" s="20"/>
      <c r="AE2" s="20"/>
      <c r="AF2" s="20"/>
      <c r="AG2" s="20"/>
      <c r="AH2" s="20"/>
    </row>
    <row r="3" spans="1:34" x14ac:dyDescent="0.45">
      <c r="A3" s="17" t="s">
        <v>92</v>
      </c>
      <c r="B3" s="25">
        <v>83400</v>
      </c>
      <c r="E3" s="20"/>
      <c r="F3" s="23">
        <v>74</v>
      </c>
      <c r="G3" s="25">
        <v>532500</v>
      </c>
      <c r="I3" s="17" t="s">
        <v>8245</v>
      </c>
      <c r="J3" s="25">
        <v>10666600</v>
      </c>
      <c r="L3" s="17" t="s">
        <v>228</v>
      </c>
      <c r="M3" s="25">
        <v>321500</v>
      </c>
      <c r="O3" s="17" t="s">
        <v>33</v>
      </c>
      <c r="P3" s="25">
        <v>525300</v>
      </c>
      <c r="R3" s="17" t="s">
        <v>111</v>
      </c>
      <c r="S3" s="25">
        <v>189000</v>
      </c>
      <c r="U3" s="17" t="s">
        <v>8257</v>
      </c>
      <c r="V3" s="25">
        <v>8091300</v>
      </c>
      <c r="X3" s="20"/>
      <c r="Y3" s="20"/>
      <c r="AB3" s="20"/>
      <c r="AC3" s="20"/>
      <c r="AD3" s="20"/>
      <c r="AE3" s="20"/>
      <c r="AF3" s="20"/>
      <c r="AG3" s="20"/>
      <c r="AH3" s="20"/>
    </row>
    <row r="4" spans="1:34" x14ac:dyDescent="0.45">
      <c r="A4" s="17" t="s">
        <v>84</v>
      </c>
      <c r="B4" s="25">
        <v>93000</v>
      </c>
      <c r="E4" s="20"/>
      <c r="F4" s="23">
        <v>67</v>
      </c>
      <c r="G4" s="25">
        <v>469500</v>
      </c>
      <c r="I4" s="17" t="s">
        <v>8255</v>
      </c>
      <c r="J4" s="25">
        <v>12206800</v>
      </c>
      <c r="L4" s="17" t="s">
        <v>363</v>
      </c>
      <c r="M4" s="25">
        <v>351000</v>
      </c>
      <c r="O4" s="17" t="s">
        <v>402</v>
      </c>
      <c r="P4" s="25">
        <v>643200</v>
      </c>
      <c r="R4" s="17" t="s">
        <v>71</v>
      </c>
      <c r="S4" s="25">
        <v>196400</v>
      </c>
      <c r="U4" s="17" t="s">
        <v>8255</v>
      </c>
      <c r="V4" s="25">
        <v>12206800</v>
      </c>
      <c r="X4" s="20"/>
      <c r="Y4" s="20"/>
      <c r="AB4" s="20"/>
      <c r="AC4" s="20"/>
      <c r="AD4" s="20"/>
      <c r="AE4" s="20"/>
      <c r="AF4" s="20"/>
      <c r="AG4" s="20"/>
      <c r="AH4" s="20"/>
    </row>
    <row r="5" spans="1:34" x14ac:dyDescent="0.45">
      <c r="A5" s="17" t="s">
        <v>77</v>
      </c>
      <c r="B5" s="25">
        <v>94500</v>
      </c>
      <c r="E5" s="20"/>
      <c r="F5" s="23">
        <v>65</v>
      </c>
      <c r="G5" s="25">
        <v>418200</v>
      </c>
      <c r="L5" s="17" t="s">
        <v>272</v>
      </c>
      <c r="M5" s="25">
        <v>370700</v>
      </c>
      <c r="O5" s="17" t="s">
        <v>302</v>
      </c>
      <c r="P5" s="25">
        <v>657400</v>
      </c>
      <c r="R5" s="17" t="s">
        <v>27</v>
      </c>
      <c r="S5" s="25">
        <v>211000</v>
      </c>
    </row>
    <row r="6" spans="1:34" x14ac:dyDescent="0.45">
      <c r="A6" s="17" t="s">
        <v>70</v>
      </c>
      <c r="B6" s="25">
        <v>104000</v>
      </c>
      <c r="E6" s="20"/>
      <c r="F6" s="23">
        <v>59</v>
      </c>
      <c r="G6" s="25">
        <v>413000</v>
      </c>
      <c r="L6" s="17" t="s">
        <v>205</v>
      </c>
      <c r="M6" s="25">
        <v>409900</v>
      </c>
      <c r="O6" s="17" t="s">
        <v>91</v>
      </c>
      <c r="P6" s="25">
        <v>905200</v>
      </c>
      <c r="R6" s="17" t="s">
        <v>150</v>
      </c>
      <c r="S6" s="25">
        <v>220900</v>
      </c>
    </row>
    <row r="7" spans="1:34" x14ac:dyDescent="0.45">
      <c r="A7" s="17" t="s">
        <v>62</v>
      </c>
      <c r="B7" s="25">
        <v>106000</v>
      </c>
      <c r="E7" s="20"/>
      <c r="F7" s="23">
        <v>58</v>
      </c>
      <c r="G7" s="25">
        <v>387800</v>
      </c>
      <c r="L7" s="17" t="s">
        <v>194</v>
      </c>
      <c r="M7" s="25">
        <v>462100</v>
      </c>
      <c r="O7" s="17" t="s">
        <v>126</v>
      </c>
      <c r="P7" s="25">
        <v>957200</v>
      </c>
      <c r="R7" s="17" t="s">
        <v>610</v>
      </c>
      <c r="S7" s="25">
        <v>254300</v>
      </c>
    </row>
    <row r="8" spans="1:34" x14ac:dyDescent="0.45">
      <c r="A8" s="17" t="s">
        <v>54</v>
      </c>
      <c r="B8" s="25">
        <v>107000</v>
      </c>
      <c r="E8" s="20"/>
      <c r="F8" s="23">
        <v>78</v>
      </c>
      <c r="G8" s="25">
        <v>385600</v>
      </c>
      <c r="L8" s="17" t="s">
        <v>25</v>
      </c>
      <c r="M8" s="25">
        <v>499500</v>
      </c>
      <c r="O8" s="17" t="s">
        <v>296</v>
      </c>
      <c r="P8" s="25">
        <v>1019000</v>
      </c>
      <c r="R8" s="17" t="s">
        <v>248</v>
      </c>
      <c r="S8" s="25">
        <v>271300</v>
      </c>
    </row>
    <row r="9" spans="1:34" x14ac:dyDescent="0.45">
      <c r="A9" s="17" t="s">
        <v>46</v>
      </c>
      <c r="B9" s="25">
        <v>114000</v>
      </c>
      <c r="E9" s="20"/>
      <c r="F9" s="23">
        <v>60</v>
      </c>
      <c r="G9" s="25">
        <v>383100</v>
      </c>
      <c r="L9" s="17" t="s">
        <v>93</v>
      </c>
      <c r="M9" s="25">
        <v>628700</v>
      </c>
      <c r="O9" s="17" t="s">
        <v>61</v>
      </c>
      <c r="P9" s="25">
        <v>1605100</v>
      </c>
      <c r="R9" s="17" t="s">
        <v>317</v>
      </c>
      <c r="S9" s="25">
        <v>345000</v>
      </c>
    </row>
    <row r="10" spans="1:34" x14ac:dyDescent="0.45">
      <c r="A10" s="17" t="s">
        <v>34</v>
      </c>
      <c r="B10" s="25">
        <v>180000</v>
      </c>
      <c r="E10" s="20"/>
      <c r="F10" s="23">
        <v>51</v>
      </c>
      <c r="G10" s="25">
        <v>361800</v>
      </c>
      <c r="L10" s="17" t="s">
        <v>128</v>
      </c>
      <c r="M10" s="25">
        <v>1805500</v>
      </c>
      <c r="O10" s="17" t="s">
        <v>23</v>
      </c>
      <c r="P10" s="25">
        <v>1698800</v>
      </c>
      <c r="R10" s="17" t="s">
        <v>91</v>
      </c>
      <c r="S10" s="25">
        <v>395100</v>
      </c>
    </row>
    <row r="11" spans="1:34" x14ac:dyDescent="0.45">
      <c r="A11" s="17" t="s">
        <v>24</v>
      </c>
      <c r="B11" s="25">
        <v>211000</v>
      </c>
      <c r="E11" s="20"/>
      <c r="F11" s="23">
        <v>83</v>
      </c>
      <c r="G11" s="25">
        <v>333100</v>
      </c>
      <c r="L11" s="17" t="s">
        <v>35</v>
      </c>
      <c r="M11" s="25">
        <v>4575100</v>
      </c>
      <c r="O11" s="17" t="s">
        <v>45</v>
      </c>
      <c r="P11" s="25">
        <v>1877900</v>
      </c>
      <c r="R11" s="17" t="s">
        <v>304</v>
      </c>
      <c r="S11" s="25">
        <v>549300</v>
      </c>
    </row>
    <row r="12" spans="1:34" x14ac:dyDescent="0.45">
      <c r="A12" s="17" t="s">
        <v>8255</v>
      </c>
      <c r="B12" s="25">
        <v>1173600</v>
      </c>
      <c r="E12" s="20"/>
      <c r="F12" s="23">
        <v>72</v>
      </c>
      <c r="G12" s="25">
        <v>332400</v>
      </c>
      <c r="L12" s="17" t="s">
        <v>8255</v>
      </c>
      <c r="M12" s="25">
        <v>9597900</v>
      </c>
      <c r="O12" s="17" t="s">
        <v>8255</v>
      </c>
      <c r="P12" s="25">
        <v>10342600</v>
      </c>
      <c r="R12" s="17" t="s">
        <v>8255</v>
      </c>
      <c r="S12" s="25">
        <v>2812300</v>
      </c>
    </row>
    <row r="13" spans="1:34" x14ac:dyDescent="0.45">
      <c r="B13"/>
      <c r="F13" s="23">
        <v>69</v>
      </c>
      <c r="G13" s="25">
        <v>323900</v>
      </c>
    </row>
    <row r="14" spans="1:34" x14ac:dyDescent="0.45">
      <c r="B14"/>
      <c r="F14" s="23">
        <v>68</v>
      </c>
      <c r="G14" s="25">
        <v>306700</v>
      </c>
    </row>
    <row r="15" spans="1:34" x14ac:dyDescent="0.45">
      <c r="B15"/>
      <c r="F15" s="23">
        <v>73</v>
      </c>
      <c r="G15" s="25">
        <v>305100</v>
      </c>
    </row>
    <row r="16" spans="1:34" x14ac:dyDescent="0.45">
      <c r="B16"/>
      <c r="F16" s="23">
        <v>77</v>
      </c>
      <c r="G16" s="25">
        <v>287000</v>
      </c>
    </row>
    <row r="17" spans="2:28" x14ac:dyDescent="0.45">
      <c r="B17"/>
      <c r="F17" s="23">
        <v>87</v>
      </c>
      <c r="G17" s="25">
        <v>284500</v>
      </c>
    </row>
    <row r="18" spans="2:28" x14ac:dyDescent="0.45">
      <c r="B18"/>
      <c r="F18" s="23">
        <v>81</v>
      </c>
      <c r="G18" s="25">
        <v>282500</v>
      </c>
    </row>
    <row r="19" spans="2:28" x14ac:dyDescent="0.45">
      <c r="B19"/>
      <c r="F19" s="23">
        <v>55</v>
      </c>
      <c r="G19" s="25">
        <v>279900</v>
      </c>
    </row>
    <row r="20" spans="2:28" x14ac:dyDescent="0.45">
      <c r="B20"/>
      <c r="F20" s="23">
        <v>57</v>
      </c>
      <c r="G20" s="25">
        <v>271300</v>
      </c>
    </row>
    <row r="21" spans="2:28" x14ac:dyDescent="0.45">
      <c r="B21"/>
      <c r="F21" s="23">
        <v>61</v>
      </c>
      <c r="G21" s="25">
        <v>261600</v>
      </c>
    </row>
    <row r="22" spans="2:28" x14ac:dyDescent="0.45">
      <c r="B22"/>
      <c r="F22" s="23">
        <v>66</v>
      </c>
      <c r="G22" s="25">
        <v>260300</v>
      </c>
    </row>
    <row r="23" spans="2:28" x14ac:dyDescent="0.45">
      <c r="B23"/>
      <c r="F23" s="23">
        <v>71</v>
      </c>
      <c r="G23" s="25">
        <v>238400</v>
      </c>
      <c r="AB23" t="s">
        <v>8266</v>
      </c>
    </row>
    <row r="24" spans="2:28" x14ac:dyDescent="0.45">
      <c r="B24"/>
      <c r="F24" s="23">
        <v>54</v>
      </c>
      <c r="G24" s="25">
        <v>235500</v>
      </c>
    </row>
    <row r="25" spans="2:28" x14ac:dyDescent="0.45">
      <c r="B25"/>
      <c r="F25" s="23">
        <v>70</v>
      </c>
      <c r="G25" s="25">
        <v>233000</v>
      </c>
    </row>
    <row r="26" spans="2:28" x14ac:dyDescent="0.45">
      <c r="B26"/>
      <c r="F26" s="23">
        <v>56</v>
      </c>
      <c r="G26" s="25">
        <v>216600</v>
      </c>
      <c r="I26" t="s">
        <v>8269</v>
      </c>
    </row>
    <row r="27" spans="2:28" x14ac:dyDescent="0.45">
      <c r="B27"/>
      <c r="F27" s="23">
        <v>85</v>
      </c>
      <c r="G27" s="25">
        <v>214400</v>
      </c>
    </row>
    <row r="28" spans="2:28" x14ac:dyDescent="0.45">
      <c r="B28"/>
      <c r="F28" s="23">
        <v>64</v>
      </c>
      <c r="G28" s="25">
        <v>213500</v>
      </c>
      <c r="I28" s="20" t="s">
        <v>8268</v>
      </c>
    </row>
    <row r="29" spans="2:28" x14ac:dyDescent="0.45">
      <c r="B29"/>
      <c r="F29" s="23">
        <v>75</v>
      </c>
      <c r="G29" s="25">
        <v>210000</v>
      </c>
      <c r="I29" s="20">
        <v>2540</v>
      </c>
      <c r="J29" s="18">
        <f>GETPIVOTDATA("Rank",$I$28)</f>
        <v>2540</v>
      </c>
    </row>
    <row r="30" spans="2:28" x14ac:dyDescent="0.45">
      <c r="B30"/>
      <c r="F30" s="23">
        <v>80</v>
      </c>
      <c r="G30" s="25">
        <v>209700</v>
      </c>
    </row>
    <row r="31" spans="2:28" x14ac:dyDescent="0.45">
      <c r="B31"/>
      <c r="F31" s="23">
        <v>52</v>
      </c>
      <c r="G31" s="25">
        <v>207000</v>
      </c>
    </row>
    <row r="32" spans="2:28" x14ac:dyDescent="0.45">
      <c r="B32"/>
      <c r="F32" s="23">
        <v>50</v>
      </c>
      <c r="G32" s="25">
        <v>204900</v>
      </c>
    </row>
    <row r="33" spans="2:10" x14ac:dyDescent="0.45">
      <c r="B33"/>
      <c r="F33" s="23">
        <v>76</v>
      </c>
      <c r="G33" s="25">
        <v>201100</v>
      </c>
      <c r="I33" s="15" t="s">
        <v>8270</v>
      </c>
    </row>
    <row r="34" spans="2:10" x14ac:dyDescent="0.45">
      <c r="B34"/>
      <c r="F34" s="23">
        <v>62</v>
      </c>
      <c r="G34" s="25">
        <v>193300</v>
      </c>
    </row>
    <row r="35" spans="2:10" x14ac:dyDescent="0.45">
      <c r="B35"/>
      <c r="F35" s="23">
        <v>82</v>
      </c>
      <c r="G35" s="25">
        <v>182800</v>
      </c>
    </row>
    <row r="36" spans="2:10" x14ac:dyDescent="0.45">
      <c r="B36"/>
      <c r="F36" s="23">
        <v>63</v>
      </c>
      <c r="G36" s="25">
        <v>179600</v>
      </c>
      <c r="I36" s="20" t="s">
        <v>8276</v>
      </c>
    </row>
    <row r="37" spans="2:10" x14ac:dyDescent="0.45">
      <c r="B37"/>
      <c r="F37" s="23">
        <v>53</v>
      </c>
      <c r="G37" s="25">
        <v>162400</v>
      </c>
      <c r="I37" s="20">
        <v>0</v>
      </c>
    </row>
    <row r="38" spans="2:10" x14ac:dyDescent="0.45">
      <c r="B38"/>
      <c r="F38" s="23">
        <v>49</v>
      </c>
      <c r="G38" s="25">
        <v>159800</v>
      </c>
    </row>
    <row r="39" spans="2:10" x14ac:dyDescent="0.45">
      <c r="B39"/>
      <c r="F39" s="23">
        <v>79</v>
      </c>
      <c r="G39" s="25">
        <v>158200</v>
      </c>
    </row>
    <row r="40" spans="2:10" x14ac:dyDescent="0.45">
      <c r="B40"/>
      <c r="F40" s="23" t="s">
        <v>8254</v>
      </c>
      <c r="G40" s="25">
        <v>157700</v>
      </c>
    </row>
    <row r="41" spans="2:10" x14ac:dyDescent="0.45">
      <c r="B41"/>
      <c r="F41" s="23">
        <v>92</v>
      </c>
      <c r="G41" s="25">
        <v>143900</v>
      </c>
      <c r="I41" s="15" t="s">
        <v>8271</v>
      </c>
    </row>
    <row r="42" spans="2:10" x14ac:dyDescent="0.45">
      <c r="B42"/>
      <c r="F42" s="23">
        <v>84</v>
      </c>
      <c r="G42" s="25">
        <v>101800</v>
      </c>
    </row>
    <row r="43" spans="2:10" x14ac:dyDescent="0.45">
      <c r="B43"/>
      <c r="F43" s="23">
        <v>86</v>
      </c>
      <c r="G43" s="25">
        <v>100500</v>
      </c>
      <c r="I43" s="20" t="s">
        <v>8252</v>
      </c>
    </row>
    <row r="44" spans="2:10" x14ac:dyDescent="0.45">
      <c r="B44"/>
      <c r="F44" s="23">
        <v>94</v>
      </c>
      <c r="G44" s="25">
        <v>98400</v>
      </c>
      <c r="I44" s="20">
        <v>12206800</v>
      </c>
      <c r="J44" s="25">
        <f>GETPIVOTDATA("Net Worth",$I$43)</f>
        <v>12206800</v>
      </c>
    </row>
    <row r="45" spans="2:10" x14ac:dyDescent="0.45">
      <c r="B45"/>
      <c r="F45" s="23">
        <v>47</v>
      </c>
      <c r="G45" s="25">
        <v>97700</v>
      </c>
    </row>
    <row r="46" spans="2:10" x14ac:dyDescent="0.45">
      <c r="B46"/>
      <c r="F46" s="23">
        <v>90</v>
      </c>
      <c r="G46" s="25">
        <v>97500</v>
      </c>
    </row>
    <row r="47" spans="2:10" x14ac:dyDescent="0.45">
      <c r="B47"/>
      <c r="F47" s="23">
        <v>38</v>
      </c>
      <c r="G47" s="25">
        <v>96200</v>
      </c>
    </row>
    <row r="48" spans="2:10" x14ac:dyDescent="0.45">
      <c r="B48"/>
      <c r="F48" s="23">
        <v>43</v>
      </c>
      <c r="G48" s="25">
        <v>91600</v>
      </c>
      <c r="I48" s="15" t="s">
        <v>8272</v>
      </c>
    </row>
    <row r="49" spans="2:10" x14ac:dyDescent="0.45">
      <c r="B49"/>
      <c r="F49" s="23">
        <v>88</v>
      </c>
      <c r="G49" s="25">
        <v>83500</v>
      </c>
    </row>
    <row r="50" spans="2:10" x14ac:dyDescent="0.45">
      <c r="B50"/>
      <c r="F50" s="23">
        <v>41</v>
      </c>
      <c r="G50" s="25">
        <v>80800</v>
      </c>
      <c r="I50" s="20" t="s">
        <v>8273</v>
      </c>
    </row>
    <row r="51" spans="2:10" x14ac:dyDescent="0.45">
      <c r="B51"/>
      <c r="F51" s="23">
        <v>39</v>
      </c>
      <c r="G51" s="25">
        <v>80600</v>
      </c>
      <c r="I51" s="20">
        <v>4623.787878787879</v>
      </c>
      <c r="J51" s="25">
        <f>GETPIVOTDATA("Net Worth",$I$50)</f>
        <v>4623.787878787879</v>
      </c>
    </row>
    <row r="52" spans="2:10" x14ac:dyDescent="0.45">
      <c r="B52"/>
      <c r="F52" s="23">
        <v>45</v>
      </c>
      <c r="G52" s="25">
        <v>62200</v>
      </c>
    </row>
    <row r="53" spans="2:10" x14ac:dyDescent="0.45">
      <c r="B53"/>
      <c r="F53" s="23">
        <v>95</v>
      </c>
      <c r="G53" s="25">
        <v>59700</v>
      </c>
    </row>
    <row r="54" spans="2:10" x14ac:dyDescent="0.45">
      <c r="B54"/>
      <c r="F54" s="23">
        <v>46</v>
      </c>
      <c r="G54" s="25">
        <v>59400</v>
      </c>
      <c r="I54" s="15" t="s">
        <v>8274</v>
      </c>
    </row>
    <row r="55" spans="2:10" x14ac:dyDescent="0.45">
      <c r="B55"/>
      <c r="F55" s="23">
        <v>93</v>
      </c>
      <c r="G55" s="25">
        <v>58800</v>
      </c>
      <c r="I55" s="20" t="s">
        <v>8275</v>
      </c>
    </row>
    <row r="56" spans="2:10" x14ac:dyDescent="0.45">
      <c r="B56"/>
      <c r="F56" s="23">
        <v>91</v>
      </c>
      <c r="G56" s="25">
        <v>43600</v>
      </c>
      <c r="I56" s="20">
        <v>65.140194174757283</v>
      </c>
      <c r="J56" s="18">
        <f>GETPIVOTDATA("age",$I$55)</f>
        <v>65.140194174757283</v>
      </c>
    </row>
    <row r="57" spans="2:10" x14ac:dyDescent="0.45">
      <c r="B57"/>
      <c r="F57" s="23">
        <v>89</v>
      </c>
      <c r="G57" s="25">
        <v>40500</v>
      </c>
    </row>
    <row r="58" spans="2:10" x14ac:dyDescent="0.45">
      <c r="B58"/>
      <c r="F58" s="23">
        <v>48</v>
      </c>
      <c r="G58" s="25">
        <v>40400</v>
      </c>
    </row>
    <row r="59" spans="2:10" x14ac:dyDescent="0.45">
      <c r="B59"/>
      <c r="F59" s="23">
        <v>30</v>
      </c>
      <c r="G59" s="25">
        <v>39600</v>
      </c>
    </row>
    <row r="60" spans="2:10" x14ac:dyDescent="0.45">
      <c r="B60"/>
      <c r="F60" s="23">
        <v>44</v>
      </c>
      <c r="G60" s="25">
        <v>38600</v>
      </c>
    </row>
    <row r="61" spans="2:10" x14ac:dyDescent="0.45">
      <c r="B61"/>
      <c r="F61" s="23">
        <v>40</v>
      </c>
      <c r="G61" s="25">
        <v>37400</v>
      </c>
    </row>
    <row r="62" spans="2:10" x14ac:dyDescent="0.45">
      <c r="B62"/>
      <c r="F62" s="23">
        <v>36</v>
      </c>
      <c r="G62" s="25">
        <v>31900</v>
      </c>
    </row>
    <row r="63" spans="2:10" x14ac:dyDescent="0.45">
      <c r="B63"/>
      <c r="F63" s="23">
        <v>42</v>
      </c>
      <c r="G63" s="25">
        <v>29800</v>
      </c>
    </row>
    <row r="64" spans="2:10" x14ac:dyDescent="0.45">
      <c r="B64"/>
      <c r="F64" s="23">
        <v>37</v>
      </c>
      <c r="G64" s="25">
        <v>26300</v>
      </c>
    </row>
    <row r="65" spans="2:7" x14ac:dyDescent="0.45">
      <c r="B65"/>
      <c r="F65" s="23">
        <v>99</v>
      </c>
      <c r="G65" s="25">
        <v>17500</v>
      </c>
    </row>
    <row r="66" spans="2:7" x14ac:dyDescent="0.45">
      <c r="B66"/>
      <c r="F66" s="23">
        <v>34</v>
      </c>
      <c r="G66" s="25">
        <v>13700</v>
      </c>
    </row>
    <row r="67" spans="2:7" x14ac:dyDescent="0.45">
      <c r="B67"/>
      <c r="F67" s="23">
        <v>96</v>
      </c>
      <c r="G67" s="25">
        <v>13100</v>
      </c>
    </row>
    <row r="68" spans="2:7" x14ac:dyDescent="0.45">
      <c r="B68"/>
      <c r="F68" s="23">
        <v>35</v>
      </c>
      <c r="G68" s="25">
        <v>12000</v>
      </c>
    </row>
    <row r="69" spans="2:7" x14ac:dyDescent="0.45">
      <c r="B69"/>
      <c r="F69" s="23">
        <v>32</v>
      </c>
      <c r="G69" s="25">
        <v>8200</v>
      </c>
    </row>
    <row r="70" spans="2:7" x14ac:dyDescent="0.45">
      <c r="B70"/>
      <c r="F70" s="23">
        <v>33</v>
      </c>
      <c r="G70" s="25">
        <v>6300</v>
      </c>
    </row>
    <row r="71" spans="2:7" x14ac:dyDescent="0.45">
      <c r="B71"/>
      <c r="F71" s="23">
        <v>97</v>
      </c>
      <c r="G71" s="25">
        <v>5700</v>
      </c>
    </row>
    <row r="72" spans="2:7" x14ac:dyDescent="0.45">
      <c r="B72"/>
      <c r="F72" s="23">
        <v>21</v>
      </c>
      <c r="G72" s="25">
        <v>5200</v>
      </c>
    </row>
    <row r="73" spans="2:7" x14ac:dyDescent="0.45">
      <c r="B73"/>
      <c r="F73" s="23">
        <v>27</v>
      </c>
      <c r="G73" s="25">
        <v>5000</v>
      </c>
    </row>
    <row r="74" spans="2:7" x14ac:dyDescent="0.45">
      <c r="B74"/>
      <c r="F74" s="23">
        <v>98</v>
      </c>
      <c r="G74" s="25">
        <v>3500</v>
      </c>
    </row>
    <row r="75" spans="2:7" x14ac:dyDescent="0.45">
      <c r="B75"/>
      <c r="F75" s="23">
        <v>18</v>
      </c>
      <c r="G75" s="25">
        <v>3500</v>
      </c>
    </row>
    <row r="76" spans="2:7" x14ac:dyDescent="0.45">
      <c r="B76"/>
      <c r="F76" s="23">
        <v>26</v>
      </c>
      <c r="G76" s="25">
        <v>2900</v>
      </c>
    </row>
    <row r="77" spans="2:7" x14ac:dyDescent="0.45">
      <c r="B77"/>
      <c r="F77" s="23">
        <v>31</v>
      </c>
      <c r="G77" s="25">
        <v>2700</v>
      </c>
    </row>
    <row r="78" spans="2:7" x14ac:dyDescent="0.45">
      <c r="B78"/>
      <c r="F78" s="23">
        <v>29</v>
      </c>
      <c r="G78" s="25">
        <v>2700</v>
      </c>
    </row>
    <row r="79" spans="2:7" x14ac:dyDescent="0.45">
      <c r="B79"/>
      <c r="F79" s="23">
        <v>20</v>
      </c>
      <c r="G79" s="25">
        <v>2300</v>
      </c>
    </row>
    <row r="80" spans="2:7" x14ac:dyDescent="0.45">
      <c r="B80"/>
      <c r="F80" s="23">
        <v>19</v>
      </c>
      <c r="G80" s="25">
        <v>1700</v>
      </c>
    </row>
    <row r="81" spans="2:7" x14ac:dyDescent="0.45">
      <c r="B81"/>
      <c r="F81" s="23">
        <v>101</v>
      </c>
      <c r="G81" s="25">
        <v>1300</v>
      </c>
    </row>
    <row r="82" spans="2:7" x14ac:dyDescent="0.45">
      <c r="B82"/>
      <c r="F82" s="23">
        <v>28</v>
      </c>
      <c r="G82" s="25">
        <v>1100</v>
      </c>
    </row>
    <row r="83" spans="2:7" x14ac:dyDescent="0.45">
      <c r="B83"/>
      <c r="F83" s="17" t="s">
        <v>8255</v>
      </c>
      <c r="G83" s="25">
        <v>12206800</v>
      </c>
    </row>
    <row r="84" spans="2:7" x14ac:dyDescent="0.45">
      <c r="B84"/>
      <c r="G84"/>
    </row>
    <row r="85" spans="2:7" x14ac:dyDescent="0.45">
      <c r="B85"/>
      <c r="G85"/>
    </row>
    <row r="86" spans="2:7" x14ac:dyDescent="0.45">
      <c r="B86"/>
      <c r="G86"/>
    </row>
    <row r="87" spans="2:7" x14ac:dyDescent="0.45">
      <c r="B87"/>
      <c r="G87"/>
    </row>
    <row r="88" spans="2:7" x14ac:dyDescent="0.45">
      <c r="B88"/>
      <c r="G88"/>
    </row>
    <row r="89" spans="2:7" x14ac:dyDescent="0.45">
      <c r="B89"/>
      <c r="G89"/>
    </row>
    <row r="90" spans="2:7" x14ac:dyDescent="0.45">
      <c r="B90"/>
      <c r="G90"/>
    </row>
    <row r="91" spans="2:7" x14ac:dyDescent="0.45">
      <c r="B91"/>
      <c r="G91"/>
    </row>
    <row r="92" spans="2:7" x14ac:dyDescent="0.45">
      <c r="B92"/>
      <c r="G92"/>
    </row>
    <row r="93" spans="2:7" x14ac:dyDescent="0.45">
      <c r="B93"/>
      <c r="G93"/>
    </row>
    <row r="94" spans="2:7" x14ac:dyDescent="0.45">
      <c r="B94"/>
      <c r="G94"/>
    </row>
    <row r="95" spans="2:7" x14ac:dyDescent="0.45">
      <c r="B95"/>
      <c r="G95"/>
    </row>
    <row r="96" spans="2:7" x14ac:dyDescent="0.45">
      <c r="B96"/>
      <c r="G96"/>
    </row>
    <row r="97" spans="2:7" x14ac:dyDescent="0.45">
      <c r="B97"/>
      <c r="G97"/>
    </row>
    <row r="98" spans="2:7" x14ac:dyDescent="0.45">
      <c r="B98"/>
      <c r="G98"/>
    </row>
    <row r="99" spans="2:7" x14ac:dyDescent="0.45">
      <c r="B99"/>
      <c r="G99"/>
    </row>
    <row r="100" spans="2:7" x14ac:dyDescent="0.45">
      <c r="B100"/>
      <c r="G100"/>
    </row>
    <row r="101" spans="2:7" x14ac:dyDescent="0.45">
      <c r="B101"/>
      <c r="G101"/>
    </row>
    <row r="102" spans="2:7" x14ac:dyDescent="0.45">
      <c r="B102"/>
      <c r="G102"/>
    </row>
    <row r="103" spans="2:7" x14ac:dyDescent="0.45">
      <c r="B103"/>
      <c r="G103"/>
    </row>
    <row r="104" spans="2:7" x14ac:dyDescent="0.45">
      <c r="B104"/>
      <c r="G104"/>
    </row>
    <row r="105" spans="2:7" x14ac:dyDescent="0.45">
      <c r="B105"/>
      <c r="G105"/>
    </row>
    <row r="106" spans="2:7" x14ac:dyDescent="0.45">
      <c r="B106"/>
      <c r="G106"/>
    </row>
    <row r="107" spans="2:7" x14ac:dyDescent="0.45">
      <c r="B107"/>
      <c r="G107"/>
    </row>
    <row r="108" spans="2:7" x14ac:dyDescent="0.45">
      <c r="B108"/>
      <c r="G108"/>
    </row>
    <row r="109" spans="2:7" x14ac:dyDescent="0.45">
      <c r="B109"/>
      <c r="G109"/>
    </row>
    <row r="110" spans="2:7" x14ac:dyDescent="0.45">
      <c r="B110"/>
      <c r="G110"/>
    </row>
    <row r="111" spans="2:7" x14ac:dyDescent="0.45">
      <c r="B111"/>
      <c r="G111"/>
    </row>
    <row r="112" spans="2:7" x14ac:dyDescent="0.45">
      <c r="B112"/>
      <c r="G112"/>
    </row>
    <row r="113" spans="2:7" x14ac:dyDescent="0.45">
      <c r="B113"/>
      <c r="G113"/>
    </row>
    <row r="114" spans="2:7" x14ac:dyDescent="0.45">
      <c r="B114"/>
      <c r="G114"/>
    </row>
    <row r="115" spans="2:7" x14ac:dyDescent="0.45">
      <c r="B115"/>
      <c r="G115"/>
    </row>
    <row r="116" spans="2:7" x14ac:dyDescent="0.45">
      <c r="B116"/>
      <c r="G116"/>
    </row>
    <row r="117" spans="2:7" x14ac:dyDescent="0.45">
      <c r="B117"/>
      <c r="G117"/>
    </row>
    <row r="118" spans="2:7" x14ac:dyDescent="0.45">
      <c r="B118"/>
      <c r="G118"/>
    </row>
    <row r="119" spans="2:7" x14ac:dyDescent="0.45">
      <c r="B119"/>
      <c r="G119"/>
    </row>
    <row r="120" spans="2:7" x14ac:dyDescent="0.45">
      <c r="B120"/>
      <c r="G120"/>
    </row>
    <row r="121" spans="2:7" x14ac:dyDescent="0.45">
      <c r="B121"/>
      <c r="G121"/>
    </row>
    <row r="122" spans="2:7" x14ac:dyDescent="0.45">
      <c r="B122"/>
      <c r="G122"/>
    </row>
    <row r="123" spans="2:7" x14ac:dyDescent="0.45">
      <c r="B123"/>
      <c r="G123"/>
    </row>
    <row r="124" spans="2:7" x14ac:dyDescent="0.45">
      <c r="B124"/>
      <c r="G124"/>
    </row>
    <row r="125" spans="2:7" x14ac:dyDescent="0.45">
      <c r="B125"/>
      <c r="G125"/>
    </row>
    <row r="126" spans="2:7" x14ac:dyDescent="0.45">
      <c r="B126"/>
      <c r="G126"/>
    </row>
    <row r="127" spans="2:7" x14ac:dyDescent="0.45">
      <c r="B127"/>
      <c r="G127"/>
    </row>
    <row r="128" spans="2:7" x14ac:dyDescent="0.45">
      <c r="B128"/>
      <c r="G128"/>
    </row>
    <row r="129" spans="2:7" x14ac:dyDescent="0.45">
      <c r="B129"/>
      <c r="G129"/>
    </row>
    <row r="130" spans="2:7" x14ac:dyDescent="0.45">
      <c r="B130"/>
      <c r="G130"/>
    </row>
    <row r="131" spans="2:7" x14ac:dyDescent="0.45">
      <c r="B131"/>
      <c r="G131"/>
    </row>
    <row r="132" spans="2:7" x14ac:dyDescent="0.45">
      <c r="B132"/>
      <c r="G132"/>
    </row>
    <row r="133" spans="2:7" x14ac:dyDescent="0.45">
      <c r="B133"/>
      <c r="G133"/>
    </row>
    <row r="134" spans="2:7" x14ac:dyDescent="0.45">
      <c r="B134"/>
      <c r="G134"/>
    </row>
    <row r="135" spans="2:7" x14ac:dyDescent="0.45">
      <c r="B135"/>
      <c r="G135"/>
    </row>
    <row r="136" spans="2:7" x14ac:dyDescent="0.45">
      <c r="B136"/>
      <c r="G136"/>
    </row>
    <row r="137" spans="2:7" x14ac:dyDescent="0.45">
      <c r="B137"/>
      <c r="G137"/>
    </row>
    <row r="138" spans="2:7" x14ac:dyDescent="0.45">
      <c r="B138"/>
      <c r="G138"/>
    </row>
    <row r="139" spans="2:7" x14ac:dyDescent="0.45">
      <c r="B139"/>
      <c r="G139"/>
    </row>
    <row r="140" spans="2:7" x14ac:dyDescent="0.45">
      <c r="B140"/>
      <c r="G140"/>
    </row>
    <row r="141" spans="2:7" x14ac:dyDescent="0.45">
      <c r="B141"/>
      <c r="G141"/>
    </row>
    <row r="142" spans="2:7" x14ac:dyDescent="0.45">
      <c r="B142"/>
      <c r="G142"/>
    </row>
    <row r="143" spans="2:7" x14ac:dyDescent="0.45">
      <c r="B143"/>
      <c r="G143"/>
    </row>
    <row r="144" spans="2:7" x14ac:dyDescent="0.45">
      <c r="B144"/>
      <c r="G144"/>
    </row>
    <row r="145" spans="2:7" x14ac:dyDescent="0.45">
      <c r="B145"/>
      <c r="G145"/>
    </row>
    <row r="146" spans="2:7" x14ac:dyDescent="0.45">
      <c r="B146"/>
      <c r="G146"/>
    </row>
    <row r="147" spans="2:7" x14ac:dyDescent="0.45">
      <c r="B147"/>
      <c r="G147"/>
    </row>
    <row r="148" spans="2:7" x14ac:dyDescent="0.45">
      <c r="B148"/>
      <c r="G148"/>
    </row>
    <row r="149" spans="2:7" x14ac:dyDescent="0.45">
      <c r="B149"/>
      <c r="G149"/>
    </row>
    <row r="150" spans="2:7" x14ac:dyDescent="0.45">
      <c r="B150"/>
      <c r="G150"/>
    </row>
    <row r="151" spans="2:7" x14ac:dyDescent="0.45">
      <c r="B151"/>
      <c r="G151"/>
    </row>
    <row r="152" spans="2:7" x14ac:dyDescent="0.45">
      <c r="B152"/>
      <c r="G152"/>
    </row>
    <row r="153" spans="2:7" x14ac:dyDescent="0.45">
      <c r="B153"/>
      <c r="G153"/>
    </row>
    <row r="154" spans="2:7" x14ac:dyDescent="0.45">
      <c r="B154"/>
      <c r="G154"/>
    </row>
    <row r="155" spans="2:7" x14ac:dyDescent="0.45">
      <c r="B155"/>
      <c r="G155"/>
    </row>
    <row r="156" spans="2:7" x14ac:dyDescent="0.45">
      <c r="B156"/>
      <c r="G156"/>
    </row>
    <row r="157" spans="2:7" x14ac:dyDescent="0.45">
      <c r="B157"/>
      <c r="G157"/>
    </row>
    <row r="158" spans="2:7" x14ac:dyDescent="0.45">
      <c r="B158"/>
      <c r="G158"/>
    </row>
    <row r="159" spans="2:7" x14ac:dyDescent="0.45">
      <c r="B159"/>
      <c r="G159"/>
    </row>
    <row r="160" spans="2:7" x14ac:dyDescent="0.45">
      <c r="B160"/>
      <c r="G160"/>
    </row>
    <row r="161" spans="2:7" x14ac:dyDescent="0.45">
      <c r="B161"/>
      <c r="G161"/>
    </row>
    <row r="162" spans="2:7" x14ac:dyDescent="0.45">
      <c r="B162"/>
      <c r="G162"/>
    </row>
    <row r="163" spans="2:7" x14ac:dyDescent="0.45">
      <c r="B163"/>
      <c r="G163"/>
    </row>
    <row r="164" spans="2:7" x14ac:dyDescent="0.45">
      <c r="B164"/>
      <c r="G164"/>
    </row>
    <row r="165" spans="2:7" x14ac:dyDescent="0.45">
      <c r="B165"/>
      <c r="G165"/>
    </row>
    <row r="166" spans="2:7" x14ac:dyDescent="0.45">
      <c r="B166"/>
      <c r="G166"/>
    </row>
    <row r="167" spans="2:7" x14ac:dyDescent="0.45">
      <c r="B167"/>
      <c r="G167"/>
    </row>
    <row r="168" spans="2:7" x14ac:dyDescent="0.45">
      <c r="B168"/>
      <c r="G168"/>
    </row>
    <row r="169" spans="2:7" x14ac:dyDescent="0.45">
      <c r="B169"/>
      <c r="G169"/>
    </row>
    <row r="170" spans="2:7" x14ac:dyDescent="0.45">
      <c r="B170"/>
      <c r="G170"/>
    </row>
    <row r="171" spans="2:7" x14ac:dyDescent="0.45">
      <c r="B171"/>
      <c r="G171"/>
    </row>
    <row r="172" spans="2:7" x14ac:dyDescent="0.45">
      <c r="B172"/>
      <c r="G172"/>
    </row>
    <row r="173" spans="2:7" x14ac:dyDescent="0.45">
      <c r="B173"/>
      <c r="G173"/>
    </row>
    <row r="174" spans="2:7" x14ac:dyDescent="0.45">
      <c r="B174"/>
      <c r="G174"/>
    </row>
    <row r="175" spans="2:7" x14ac:dyDescent="0.45">
      <c r="B175"/>
      <c r="G175"/>
    </row>
    <row r="176" spans="2:7" x14ac:dyDescent="0.45">
      <c r="B176"/>
      <c r="G176"/>
    </row>
    <row r="177" spans="2:7" x14ac:dyDescent="0.45">
      <c r="B177"/>
      <c r="G177"/>
    </row>
    <row r="178" spans="2:7" x14ac:dyDescent="0.45">
      <c r="B178"/>
      <c r="G178"/>
    </row>
    <row r="179" spans="2:7" x14ac:dyDescent="0.45">
      <c r="B179"/>
      <c r="G179"/>
    </row>
    <row r="180" spans="2:7" x14ac:dyDescent="0.45">
      <c r="B180"/>
      <c r="G180"/>
    </row>
    <row r="181" spans="2:7" x14ac:dyDescent="0.45">
      <c r="B181"/>
      <c r="G181"/>
    </row>
    <row r="182" spans="2:7" x14ac:dyDescent="0.45">
      <c r="B182"/>
      <c r="G182"/>
    </row>
    <row r="183" spans="2:7" x14ac:dyDescent="0.45">
      <c r="B183"/>
      <c r="G183"/>
    </row>
    <row r="184" spans="2:7" x14ac:dyDescent="0.45">
      <c r="B184"/>
      <c r="G184"/>
    </row>
    <row r="185" spans="2:7" x14ac:dyDescent="0.45">
      <c r="B185"/>
      <c r="G185"/>
    </row>
    <row r="186" spans="2:7" x14ac:dyDescent="0.45">
      <c r="B186"/>
      <c r="G186"/>
    </row>
    <row r="187" spans="2:7" x14ac:dyDescent="0.45">
      <c r="B187"/>
      <c r="G187"/>
    </row>
    <row r="188" spans="2:7" x14ac:dyDescent="0.45">
      <c r="B188"/>
      <c r="G188"/>
    </row>
    <row r="189" spans="2:7" x14ac:dyDescent="0.45">
      <c r="B189"/>
      <c r="G189"/>
    </row>
    <row r="190" spans="2:7" x14ac:dyDescent="0.45">
      <c r="B190"/>
      <c r="G190"/>
    </row>
    <row r="191" spans="2:7" x14ac:dyDescent="0.45">
      <c r="B191"/>
      <c r="G191"/>
    </row>
    <row r="192" spans="2:7" x14ac:dyDescent="0.45">
      <c r="B192"/>
      <c r="G192"/>
    </row>
    <row r="193" spans="2:7" x14ac:dyDescent="0.45">
      <c r="B193"/>
      <c r="G193"/>
    </row>
    <row r="194" spans="2:7" x14ac:dyDescent="0.45">
      <c r="B194"/>
      <c r="G194"/>
    </row>
    <row r="195" spans="2:7" x14ac:dyDescent="0.45">
      <c r="B195"/>
      <c r="G195"/>
    </row>
    <row r="196" spans="2:7" x14ac:dyDescent="0.45">
      <c r="B196"/>
      <c r="G196"/>
    </row>
    <row r="197" spans="2:7" x14ac:dyDescent="0.45">
      <c r="B197"/>
      <c r="G197"/>
    </row>
    <row r="198" spans="2:7" x14ac:dyDescent="0.45">
      <c r="B198"/>
      <c r="G198"/>
    </row>
    <row r="199" spans="2:7" x14ac:dyDescent="0.45">
      <c r="B199"/>
      <c r="G199"/>
    </row>
    <row r="200" spans="2:7" x14ac:dyDescent="0.45">
      <c r="B200"/>
      <c r="G200"/>
    </row>
    <row r="201" spans="2:7" x14ac:dyDescent="0.45">
      <c r="B201"/>
      <c r="G201"/>
    </row>
    <row r="202" spans="2:7" x14ac:dyDescent="0.45">
      <c r="B202"/>
      <c r="G202"/>
    </row>
    <row r="203" spans="2:7" x14ac:dyDescent="0.45">
      <c r="B203"/>
      <c r="G203"/>
    </row>
    <row r="204" spans="2:7" x14ac:dyDescent="0.45">
      <c r="B204"/>
      <c r="G204"/>
    </row>
    <row r="205" spans="2:7" x14ac:dyDescent="0.45">
      <c r="B205"/>
      <c r="G205"/>
    </row>
    <row r="206" spans="2:7" x14ac:dyDescent="0.45">
      <c r="B206"/>
      <c r="G206"/>
    </row>
    <row r="207" spans="2:7" x14ac:dyDescent="0.45">
      <c r="B207"/>
      <c r="G207"/>
    </row>
    <row r="208" spans="2:7" x14ac:dyDescent="0.45">
      <c r="B208"/>
      <c r="G208"/>
    </row>
    <row r="209" spans="2:7" x14ac:dyDescent="0.45">
      <c r="B209"/>
      <c r="G209"/>
    </row>
    <row r="210" spans="2:7" x14ac:dyDescent="0.45">
      <c r="B210"/>
      <c r="G210"/>
    </row>
    <row r="211" spans="2:7" x14ac:dyDescent="0.45">
      <c r="B211"/>
      <c r="G211"/>
    </row>
    <row r="212" spans="2:7" x14ac:dyDescent="0.45">
      <c r="B212"/>
      <c r="G212"/>
    </row>
    <row r="213" spans="2:7" x14ac:dyDescent="0.45">
      <c r="B213"/>
      <c r="G213"/>
    </row>
    <row r="214" spans="2:7" x14ac:dyDescent="0.45">
      <c r="B214"/>
      <c r="G214"/>
    </row>
    <row r="215" spans="2:7" x14ac:dyDescent="0.45">
      <c r="B215"/>
      <c r="G215"/>
    </row>
    <row r="216" spans="2:7" x14ac:dyDescent="0.45">
      <c r="B216"/>
      <c r="G216"/>
    </row>
    <row r="217" spans="2:7" x14ac:dyDescent="0.45">
      <c r="B217"/>
      <c r="G217"/>
    </row>
    <row r="218" spans="2:7" x14ac:dyDescent="0.45">
      <c r="B218"/>
      <c r="G218"/>
    </row>
    <row r="219" spans="2:7" x14ac:dyDescent="0.45">
      <c r="B219"/>
      <c r="G219"/>
    </row>
    <row r="220" spans="2:7" x14ac:dyDescent="0.45">
      <c r="B220"/>
      <c r="G220"/>
    </row>
    <row r="221" spans="2:7" x14ac:dyDescent="0.45">
      <c r="B221"/>
      <c r="G221"/>
    </row>
    <row r="222" spans="2:7" x14ac:dyDescent="0.45">
      <c r="B222"/>
      <c r="G222"/>
    </row>
    <row r="223" spans="2:7" x14ac:dyDescent="0.45">
      <c r="B223"/>
      <c r="G223"/>
    </row>
    <row r="224" spans="2:7" x14ac:dyDescent="0.45">
      <c r="B224"/>
      <c r="G224"/>
    </row>
    <row r="225" spans="2:7" x14ac:dyDescent="0.45">
      <c r="B225"/>
      <c r="G225"/>
    </row>
    <row r="226" spans="2:7" x14ac:dyDescent="0.45">
      <c r="B226"/>
      <c r="G226"/>
    </row>
    <row r="227" spans="2:7" x14ac:dyDescent="0.45">
      <c r="B227"/>
      <c r="G227"/>
    </row>
    <row r="228" spans="2:7" x14ac:dyDescent="0.45">
      <c r="B228"/>
      <c r="G228"/>
    </row>
    <row r="229" spans="2:7" x14ac:dyDescent="0.45">
      <c r="B229"/>
      <c r="G229"/>
    </row>
    <row r="230" spans="2:7" x14ac:dyDescent="0.45">
      <c r="B230"/>
      <c r="G230"/>
    </row>
    <row r="231" spans="2:7" x14ac:dyDescent="0.45">
      <c r="B231"/>
      <c r="G231"/>
    </row>
    <row r="232" spans="2:7" x14ac:dyDescent="0.45">
      <c r="B232"/>
      <c r="G232"/>
    </row>
    <row r="233" spans="2:7" x14ac:dyDescent="0.45">
      <c r="B233"/>
      <c r="G233"/>
    </row>
    <row r="234" spans="2:7" x14ac:dyDescent="0.45">
      <c r="B234"/>
      <c r="G234"/>
    </row>
    <row r="235" spans="2:7" x14ac:dyDescent="0.45">
      <c r="B235"/>
      <c r="G235"/>
    </row>
    <row r="236" spans="2:7" x14ac:dyDescent="0.45">
      <c r="B236"/>
      <c r="G236"/>
    </row>
    <row r="237" spans="2:7" x14ac:dyDescent="0.45">
      <c r="B237"/>
      <c r="G237"/>
    </row>
    <row r="238" spans="2:7" x14ac:dyDescent="0.45">
      <c r="B238"/>
      <c r="G238"/>
    </row>
    <row r="239" spans="2:7" x14ac:dyDescent="0.45">
      <c r="B239"/>
      <c r="G239"/>
    </row>
    <row r="240" spans="2:7" x14ac:dyDescent="0.45">
      <c r="B240"/>
      <c r="G240"/>
    </row>
    <row r="241" spans="2:7" x14ac:dyDescent="0.45">
      <c r="B241"/>
      <c r="G241"/>
    </row>
    <row r="242" spans="2:7" x14ac:dyDescent="0.45">
      <c r="B242"/>
      <c r="G242"/>
    </row>
    <row r="243" spans="2:7" x14ac:dyDescent="0.45">
      <c r="B243"/>
      <c r="G243"/>
    </row>
    <row r="244" spans="2:7" x14ac:dyDescent="0.45">
      <c r="B244"/>
      <c r="G244"/>
    </row>
    <row r="245" spans="2:7" x14ac:dyDescent="0.45">
      <c r="B245"/>
      <c r="G245"/>
    </row>
    <row r="246" spans="2:7" x14ac:dyDescent="0.45">
      <c r="B246"/>
      <c r="G246"/>
    </row>
    <row r="247" spans="2:7" x14ac:dyDescent="0.45">
      <c r="B247"/>
      <c r="G247"/>
    </row>
    <row r="248" spans="2:7" x14ac:dyDescent="0.45">
      <c r="B248"/>
      <c r="G248"/>
    </row>
    <row r="249" spans="2:7" x14ac:dyDescent="0.45">
      <c r="B249"/>
      <c r="G249"/>
    </row>
    <row r="250" spans="2:7" x14ac:dyDescent="0.45">
      <c r="B250"/>
      <c r="G250"/>
    </row>
    <row r="251" spans="2:7" x14ac:dyDescent="0.45">
      <c r="B251"/>
      <c r="G251"/>
    </row>
    <row r="252" spans="2:7" x14ac:dyDescent="0.45">
      <c r="B252"/>
      <c r="G252"/>
    </row>
    <row r="253" spans="2:7" x14ac:dyDescent="0.45">
      <c r="B253"/>
      <c r="G253"/>
    </row>
    <row r="254" spans="2:7" x14ac:dyDescent="0.45">
      <c r="B254"/>
      <c r="G254"/>
    </row>
    <row r="255" spans="2:7" x14ac:dyDescent="0.45">
      <c r="B255"/>
      <c r="G255"/>
    </row>
    <row r="256" spans="2:7" x14ac:dyDescent="0.45">
      <c r="B256"/>
      <c r="G256"/>
    </row>
    <row r="257" spans="2:7" x14ac:dyDescent="0.45">
      <c r="B257"/>
      <c r="G257"/>
    </row>
    <row r="258" spans="2:7" x14ac:dyDescent="0.45">
      <c r="B258"/>
      <c r="G258"/>
    </row>
    <row r="259" spans="2:7" x14ac:dyDescent="0.45">
      <c r="B259"/>
      <c r="G259"/>
    </row>
    <row r="260" spans="2:7" x14ac:dyDescent="0.45">
      <c r="B260"/>
      <c r="G260"/>
    </row>
    <row r="261" spans="2:7" x14ac:dyDescent="0.45">
      <c r="B261"/>
      <c r="G261"/>
    </row>
    <row r="262" spans="2:7" x14ac:dyDescent="0.45">
      <c r="B262"/>
      <c r="G262"/>
    </row>
    <row r="263" spans="2:7" x14ac:dyDescent="0.45">
      <c r="B263"/>
      <c r="G263"/>
    </row>
    <row r="264" spans="2:7" x14ac:dyDescent="0.45">
      <c r="B264"/>
      <c r="G264"/>
    </row>
    <row r="265" spans="2:7" x14ac:dyDescent="0.45">
      <c r="B265"/>
      <c r="G265"/>
    </row>
    <row r="266" spans="2:7" x14ac:dyDescent="0.45">
      <c r="B266"/>
      <c r="G266"/>
    </row>
    <row r="267" spans="2:7" x14ac:dyDescent="0.45">
      <c r="B267"/>
      <c r="G267"/>
    </row>
    <row r="268" spans="2:7" x14ac:dyDescent="0.45">
      <c r="B268"/>
      <c r="G268"/>
    </row>
    <row r="269" spans="2:7" x14ac:dyDescent="0.45">
      <c r="B269"/>
      <c r="G269"/>
    </row>
    <row r="270" spans="2:7" x14ac:dyDescent="0.45">
      <c r="B270"/>
      <c r="G270"/>
    </row>
    <row r="271" spans="2:7" x14ac:dyDescent="0.45">
      <c r="B271"/>
      <c r="G271"/>
    </row>
    <row r="272" spans="2:7" x14ac:dyDescent="0.45">
      <c r="B272"/>
      <c r="G272"/>
    </row>
    <row r="273" spans="2:7" x14ac:dyDescent="0.45">
      <c r="B273"/>
      <c r="G273"/>
    </row>
    <row r="274" spans="2:7" x14ac:dyDescent="0.45">
      <c r="B274"/>
      <c r="G274"/>
    </row>
    <row r="275" spans="2:7" x14ac:dyDescent="0.45">
      <c r="B275"/>
      <c r="G275"/>
    </row>
    <row r="276" spans="2:7" x14ac:dyDescent="0.45">
      <c r="B276"/>
      <c r="G276"/>
    </row>
    <row r="277" spans="2:7" x14ac:dyDescent="0.45">
      <c r="B277"/>
      <c r="G277"/>
    </row>
    <row r="278" spans="2:7" x14ac:dyDescent="0.45">
      <c r="B278"/>
      <c r="G278"/>
    </row>
    <row r="279" spans="2:7" x14ac:dyDescent="0.45">
      <c r="B279"/>
      <c r="G279"/>
    </row>
    <row r="280" spans="2:7" x14ac:dyDescent="0.45">
      <c r="B280"/>
      <c r="G280"/>
    </row>
    <row r="281" spans="2:7" x14ac:dyDescent="0.45">
      <c r="B281"/>
      <c r="G281"/>
    </row>
    <row r="282" spans="2:7" x14ac:dyDescent="0.45">
      <c r="B282"/>
      <c r="G282"/>
    </row>
    <row r="283" spans="2:7" x14ac:dyDescent="0.45">
      <c r="B283"/>
      <c r="G283"/>
    </row>
    <row r="284" spans="2:7" x14ac:dyDescent="0.45">
      <c r="B284"/>
      <c r="G284"/>
    </row>
    <row r="285" spans="2:7" x14ac:dyDescent="0.45">
      <c r="B285"/>
      <c r="G285"/>
    </row>
    <row r="286" spans="2:7" x14ac:dyDescent="0.45">
      <c r="B286"/>
      <c r="G286"/>
    </row>
    <row r="287" spans="2:7" x14ac:dyDescent="0.45">
      <c r="B287"/>
      <c r="G287"/>
    </row>
    <row r="288" spans="2:7" x14ac:dyDescent="0.45">
      <c r="B288"/>
      <c r="G288"/>
    </row>
    <row r="289" spans="2:7" x14ac:dyDescent="0.45">
      <c r="B289"/>
      <c r="G289"/>
    </row>
    <row r="290" spans="2:7" x14ac:dyDescent="0.45">
      <c r="B290"/>
      <c r="G290"/>
    </row>
    <row r="291" spans="2:7" x14ac:dyDescent="0.45">
      <c r="B291"/>
      <c r="G291"/>
    </row>
    <row r="292" spans="2:7" x14ac:dyDescent="0.45">
      <c r="B292"/>
      <c r="G292"/>
    </row>
    <row r="293" spans="2:7" x14ac:dyDescent="0.45">
      <c r="B293"/>
      <c r="G293"/>
    </row>
    <row r="294" spans="2:7" x14ac:dyDescent="0.45">
      <c r="B294"/>
      <c r="G294"/>
    </row>
    <row r="295" spans="2:7" x14ac:dyDescent="0.45">
      <c r="B295"/>
      <c r="G295"/>
    </row>
    <row r="296" spans="2:7" x14ac:dyDescent="0.45">
      <c r="B296"/>
      <c r="G296"/>
    </row>
    <row r="297" spans="2:7" x14ac:dyDescent="0.45">
      <c r="B297"/>
      <c r="G297"/>
    </row>
    <row r="298" spans="2:7" x14ac:dyDescent="0.45">
      <c r="B298"/>
      <c r="G298"/>
    </row>
    <row r="299" spans="2:7" x14ac:dyDescent="0.45">
      <c r="B299"/>
      <c r="G299"/>
    </row>
    <row r="300" spans="2:7" x14ac:dyDescent="0.45">
      <c r="B300"/>
      <c r="G300"/>
    </row>
    <row r="301" spans="2:7" x14ac:dyDescent="0.45">
      <c r="B301"/>
      <c r="G301"/>
    </row>
    <row r="302" spans="2:7" x14ac:dyDescent="0.45">
      <c r="B302"/>
      <c r="G302"/>
    </row>
    <row r="303" spans="2:7" x14ac:dyDescent="0.45">
      <c r="B303"/>
      <c r="G303"/>
    </row>
    <row r="304" spans="2:7" x14ac:dyDescent="0.45">
      <c r="B304"/>
      <c r="G304"/>
    </row>
    <row r="305" spans="2:7" x14ac:dyDescent="0.45">
      <c r="B305"/>
      <c r="G305"/>
    </row>
    <row r="306" spans="2:7" x14ac:dyDescent="0.45">
      <c r="B306"/>
      <c r="G306"/>
    </row>
    <row r="307" spans="2:7" x14ac:dyDescent="0.45">
      <c r="B307"/>
      <c r="G307"/>
    </row>
    <row r="308" spans="2:7" x14ac:dyDescent="0.45">
      <c r="B308"/>
      <c r="G308"/>
    </row>
    <row r="309" spans="2:7" x14ac:dyDescent="0.45">
      <c r="B309"/>
      <c r="G309"/>
    </row>
    <row r="310" spans="2:7" x14ac:dyDescent="0.45">
      <c r="B310"/>
      <c r="G310"/>
    </row>
    <row r="311" spans="2:7" x14ac:dyDescent="0.45">
      <c r="B311"/>
      <c r="G311"/>
    </row>
    <row r="312" spans="2:7" x14ac:dyDescent="0.45">
      <c r="B312"/>
      <c r="G312"/>
    </row>
    <row r="313" spans="2:7" x14ac:dyDescent="0.45">
      <c r="B313"/>
      <c r="G313"/>
    </row>
    <row r="314" spans="2:7" x14ac:dyDescent="0.45">
      <c r="B314"/>
      <c r="G314"/>
    </row>
    <row r="315" spans="2:7" x14ac:dyDescent="0.45">
      <c r="B315"/>
      <c r="G315"/>
    </row>
    <row r="316" spans="2:7" x14ac:dyDescent="0.45">
      <c r="B316"/>
      <c r="G316"/>
    </row>
    <row r="317" spans="2:7" x14ac:dyDescent="0.45">
      <c r="B317"/>
      <c r="G317"/>
    </row>
    <row r="318" spans="2:7" x14ac:dyDescent="0.45">
      <c r="B318"/>
      <c r="G318"/>
    </row>
    <row r="319" spans="2:7" x14ac:dyDescent="0.45">
      <c r="B319"/>
      <c r="G319"/>
    </row>
    <row r="320" spans="2:7" x14ac:dyDescent="0.45">
      <c r="B320"/>
      <c r="G320"/>
    </row>
    <row r="321" spans="2:7" x14ac:dyDescent="0.45">
      <c r="B321"/>
      <c r="G321"/>
    </row>
    <row r="322" spans="2:7" x14ac:dyDescent="0.45">
      <c r="B322"/>
      <c r="G322"/>
    </row>
    <row r="323" spans="2:7" x14ac:dyDescent="0.45">
      <c r="B323"/>
      <c r="G323"/>
    </row>
    <row r="324" spans="2:7" x14ac:dyDescent="0.45">
      <c r="B324"/>
      <c r="G324"/>
    </row>
    <row r="325" spans="2:7" x14ac:dyDescent="0.45">
      <c r="B325"/>
      <c r="G325"/>
    </row>
    <row r="326" spans="2:7" x14ac:dyDescent="0.45">
      <c r="B326"/>
      <c r="G326"/>
    </row>
    <row r="327" spans="2:7" x14ac:dyDescent="0.45">
      <c r="B327"/>
      <c r="G327"/>
    </row>
    <row r="328" spans="2:7" x14ac:dyDescent="0.45">
      <c r="B328"/>
      <c r="G328"/>
    </row>
    <row r="329" spans="2:7" x14ac:dyDescent="0.45">
      <c r="B329"/>
      <c r="G329"/>
    </row>
    <row r="330" spans="2:7" x14ac:dyDescent="0.45">
      <c r="B330"/>
      <c r="G330"/>
    </row>
    <row r="331" spans="2:7" x14ac:dyDescent="0.45">
      <c r="B331"/>
      <c r="G331"/>
    </row>
    <row r="332" spans="2:7" x14ac:dyDescent="0.45">
      <c r="B332"/>
      <c r="G332"/>
    </row>
    <row r="333" spans="2:7" x14ac:dyDescent="0.45">
      <c r="B333"/>
      <c r="G333"/>
    </row>
    <row r="334" spans="2:7" x14ac:dyDescent="0.45">
      <c r="B334"/>
      <c r="G334"/>
    </row>
    <row r="335" spans="2:7" x14ac:dyDescent="0.45">
      <c r="B335"/>
      <c r="G335"/>
    </row>
    <row r="336" spans="2:7" x14ac:dyDescent="0.45">
      <c r="B336"/>
      <c r="G336"/>
    </row>
    <row r="337" spans="2:7" x14ac:dyDescent="0.45">
      <c r="B337"/>
      <c r="G337"/>
    </row>
    <row r="338" spans="2:7" x14ac:dyDescent="0.45">
      <c r="B338"/>
      <c r="G338"/>
    </row>
    <row r="339" spans="2:7" x14ac:dyDescent="0.45">
      <c r="B339"/>
      <c r="G339"/>
    </row>
    <row r="340" spans="2:7" x14ac:dyDescent="0.45">
      <c r="B340"/>
      <c r="G340"/>
    </row>
    <row r="341" spans="2:7" x14ac:dyDescent="0.45">
      <c r="B341"/>
      <c r="G341"/>
    </row>
    <row r="342" spans="2:7" x14ac:dyDescent="0.45">
      <c r="B342"/>
      <c r="G342"/>
    </row>
    <row r="343" spans="2:7" x14ac:dyDescent="0.45">
      <c r="B343"/>
      <c r="G343"/>
    </row>
    <row r="344" spans="2:7" x14ac:dyDescent="0.45">
      <c r="B344"/>
      <c r="G344"/>
    </row>
    <row r="345" spans="2:7" x14ac:dyDescent="0.45">
      <c r="B345"/>
      <c r="G345"/>
    </row>
    <row r="346" spans="2:7" x14ac:dyDescent="0.45">
      <c r="B346"/>
      <c r="G346"/>
    </row>
    <row r="347" spans="2:7" x14ac:dyDescent="0.45">
      <c r="B347"/>
      <c r="G347"/>
    </row>
    <row r="348" spans="2:7" x14ac:dyDescent="0.45">
      <c r="B348"/>
      <c r="G348"/>
    </row>
    <row r="349" spans="2:7" x14ac:dyDescent="0.45">
      <c r="B349"/>
      <c r="G349"/>
    </row>
    <row r="350" spans="2:7" x14ac:dyDescent="0.45">
      <c r="B350"/>
      <c r="G350"/>
    </row>
    <row r="351" spans="2:7" x14ac:dyDescent="0.45">
      <c r="B351"/>
      <c r="G351"/>
    </row>
    <row r="352" spans="2:7" x14ac:dyDescent="0.45">
      <c r="B352"/>
      <c r="G352"/>
    </row>
    <row r="353" spans="2:7" x14ac:dyDescent="0.45">
      <c r="B353"/>
      <c r="G353"/>
    </row>
    <row r="354" spans="2:7" x14ac:dyDescent="0.45">
      <c r="B354"/>
      <c r="G354"/>
    </row>
    <row r="355" spans="2:7" x14ac:dyDescent="0.45">
      <c r="B355"/>
      <c r="G355"/>
    </row>
    <row r="356" spans="2:7" x14ac:dyDescent="0.45">
      <c r="B356"/>
      <c r="G356"/>
    </row>
    <row r="357" spans="2:7" x14ac:dyDescent="0.45">
      <c r="B357"/>
      <c r="G357"/>
    </row>
    <row r="358" spans="2:7" x14ac:dyDescent="0.45">
      <c r="B358"/>
      <c r="G358"/>
    </row>
    <row r="359" spans="2:7" x14ac:dyDescent="0.45">
      <c r="B359"/>
      <c r="G359"/>
    </row>
    <row r="360" spans="2:7" x14ac:dyDescent="0.45">
      <c r="B360"/>
      <c r="G360"/>
    </row>
    <row r="361" spans="2:7" x14ac:dyDescent="0.45">
      <c r="B361"/>
      <c r="G361"/>
    </row>
    <row r="362" spans="2:7" x14ac:dyDescent="0.45">
      <c r="B362"/>
      <c r="G362"/>
    </row>
    <row r="363" spans="2:7" x14ac:dyDescent="0.45">
      <c r="B363"/>
      <c r="G363"/>
    </row>
    <row r="364" spans="2:7" x14ac:dyDescent="0.45">
      <c r="B364"/>
      <c r="G364"/>
    </row>
    <row r="365" spans="2:7" x14ac:dyDescent="0.45">
      <c r="B365"/>
      <c r="G365"/>
    </row>
    <row r="366" spans="2:7" x14ac:dyDescent="0.45">
      <c r="B366"/>
      <c r="G366"/>
    </row>
    <row r="367" spans="2:7" x14ac:dyDescent="0.45">
      <c r="B367"/>
      <c r="G367"/>
    </row>
    <row r="368" spans="2:7" x14ac:dyDescent="0.45">
      <c r="B368"/>
      <c r="G368"/>
    </row>
    <row r="369" spans="2:7" x14ac:dyDescent="0.45">
      <c r="B369"/>
      <c r="G369"/>
    </row>
    <row r="370" spans="2:7" x14ac:dyDescent="0.45">
      <c r="B370"/>
      <c r="G370"/>
    </row>
    <row r="371" spans="2:7" x14ac:dyDescent="0.45">
      <c r="B371"/>
      <c r="G371"/>
    </row>
    <row r="372" spans="2:7" x14ac:dyDescent="0.45">
      <c r="B372"/>
      <c r="G372"/>
    </row>
    <row r="373" spans="2:7" x14ac:dyDescent="0.45">
      <c r="B373"/>
      <c r="G373"/>
    </row>
    <row r="374" spans="2:7" x14ac:dyDescent="0.45">
      <c r="B374"/>
      <c r="G374"/>
    </row>
    <row r="375" spans="2:7" x14ac:dyDescent="0.45">
      <c r="B375"/>
      <c r="G375"/>
    </row>
    <row r="376" spans="2:7" x14ac:dyDescent="0.45">
      <c r="B376"/>
      <c r="G376"/>
    </row>
    <row r="377" spans="2:7" x14ac:dyDescent="0.45">
      <c r="B377"/>
      <c r="G377"/>
    </row>
    <row r="378" spans="2:7" x14ac:dyDescent="0.45">
      <c r="B378"/>
      <c r="G378"/>
    </row>
    <row r="379" spans="2:7" x14ac:dyDescent="0.45">
      <c r="B379"/>
      <c r="G379"/>
    </row>
    <row r="380" spans="2:7" x14ac:dyDescent="0.45">
      <c r="B380"/>
      <c r="G380"/>
    </row>
    <row r="381" spans="2:7" x14ac:dyDescent="0.45">
      <c r="B381"/>
      <c r="G381"/>
    </row>
    <row r="382" spans="2:7" x14ac:dyDescent="0.45">
      <c r="B382"/>
      <c r="G382"/>
    </row>
    <row r="383" spans="2:7" x14ac:dyDescent="0.45">
      <c r="B383"/>
      <c r="G383"/>
    </row>
    <row r="384" spans="2:7" x14ac:dyDescent="0.45">
      <c r="B384"/>
      <c r="G384"/>
    </row>
    <row r="385" spans="2:7" x14ac:dyDescent="0.45">
      <c r="B385"/>
      <c r="G385"/>
    </row>
    <row r="386" spans="2:7" x14ac:dyDescent="0.45">
      <c r="B386"/>
      <c r="G386"/>
    </row>
    <row r="387" spans="2:7" x14ac:dyDescent="0.45">
      <c r="B387"/>
      <c r="G387"/>
    </row>
    <row r="388" spans="2:7" x14ac:dyDescent="0.45">
      <c r="B388"/>
      <c r="G388"/>
    </row>
    <row r="389" spans="2:7" x14ac:dyDescent="0.45">
      <c r="B389"/>
      <c r="G389"/>
    </row>
    <row r="390" spans="2:7" x14ac:dyDescent="0.45">
      <c r="B390"/>
      <c r="G390"/>
    </row>
    <row r="391" spans="2:7" x14ac:dyDescent="0.45">
      <c r="B391"/>
      <c r="G391"/>
    </row>
    <row r="392" spans="2:7" x14ac:dyDescent="0.45">
      <c r="B392"/>
      <c r="G392"/>
    </row>
    <row r="393" spans="2:7" x14ac:dyDescent="0.45">
      <c r="B393"/>
      <c r="G393"/>
    </row>
    <row r="394" spans="2:7" x14ac:dyDescent="0.45">
      <c r="B394"/>
      <c r="G394"/>
    </row>
    <row r="395" spans="2:7" x14ac:dyDescent="0.45">
      <c r="B395"/>
      <c r="G395"/>
    </row>
    <row r="396" spans="2:7" x14ac:dyDescent="0.45">
      <c r="B396"/>
      <c r="G396"/>
    </row>
    <row r="397" spans="2:7" x14ac:dyDescent="0.45">
      <c r="B397"/>
      <c r="G397"/>
    </row>
    <row r="398" spans="2:7" x14ac:dyDescent="0.45">
      <c r="B398"/>
      <c r="G398"/>
    </row>
    <row r="399" spans="2:7" x14ac:dyDescent="0.45">
      <c r="B399"/>
      <c r="G399"/>
    </row>
    <row r="400" spans="2:7" x14ac:dyDescent="0.45">
      <c r="B400"/>
      <c r="G400"/>
    </row>
    <row r="401" spans="2:7" x14ac:dyDescent="0.45">
      <c r="B401"/>
      <c r="G401"/>
    </row>
    <row r="402" spans="2:7" x14ac:dyDescent="0.45">
      <c r="B402"/>
      <c r="G402"/>
    </row>
    <row r="403" spans="2:7" x14ac:dyDescent="0.45">
      <c r="B403"/>
      <c r="G403"/>
    </row>
    <row r="404" spans="2:7" x14ac:dyDescent="0.45">
      <c r="B404"/>
      <c r="G404"/>
    </row>
    <row r="405" spans="2:7" x14ac:dyDescent="0.45">
      <c r="B405"/>
      <c r="G405"/>
    </row>
    <row r="406" spans="2:7" x14ac:dyDescent="0.45">
      <c r="B406"/>
      <c r="G406"/>
    </row>
    <row r="407" spans="2:7" x14ac:dyDescent="0.45">
      <c r="B407"/>
      <c r="G407"/>
    </row>
    <row r="408" spans="2:7" x14ac:dyDescent="0.45">
      <c r="B408"/>
      <c r="G408"/>
    </row>
    <row r="409" spans="2:7" x14ac:dyDescent="0.45">
      <c r="B409"/>
      <c r="G409"/>
    </row>
    <row r="410" spans="2:7" x14ac:dyDescent="0.45">
      <c r="B410"/>
      <c r="G410"/>
    </row>
    <row r="411" spans="2:7" x14ac:dyDescent="0.45">
      <c r="B411"/>
      <c r="G411"/>
    </row>
    <row r="412" spans="2:7" x14ac:dyDescent="0.45">
      <c r="B412"/>
      <c r="G412"/>
    </row>
    <row r="413" spans="2:7" x14ac:dyDescent="0.45">
      <c r="B413"/>
      <c r="G413"/>
    </row>
    <row r="414" spans="2:7" x14ac:dyDescent="0.45">
      <c r="B414"/>
      <c r="G414"/>
    </row>
    <row r="415" spans="2:7" x14ac:dyDescent="0.45">
      <c r="B415"/>
      <c r="G415"/>
    </row>
    <row r="416" spans="2:7" x14ac:dyDescent="0.45">
      <c r="B416"/>
      <c r="G416"/>
    </row>
    <row r="417" spans="2:7" x14ac:dyDescent="0.45">
      <c r="B417"/>
      <c r="G417"/>
    </row>
    <row r="418" spans="2:7" x14ac:dyDescent="0.45">
      <c r="B418"/>
      <c r="G418"/>
    </row>
    <row r="419" spans="2:7" x14ac:dyDescent="0.45">
      <c r="B419"/>
      <c r="G419"/>
    </row>
    <row r="420" spans="2:7" x14ac:dyDescent="0.45">
      <c r="B420"/>
      <c r="G420"/>
    </row>
    <row r="421" spans="2:7" x14ac:dyDescent="0.45">
      <c r="B421"/>
      <c r="G421"/>
    </row>
    <row r="422" spans="2:7" x14ac:dyDescent="0.45">
      <c r="B422"/>
      <c r="G422"/>
    </row>
    <row r="423" spans="2:7" x14ac:dyDescent="0.45">
      <c r="B423"/>
      <c r="G423"/>
    </row>
    <row r="424" spans="2:7" x14ac:dyDescent="0.45">
      <c r="B424"/>
      <c r="G424"/>
    </row>
    <row r="425" spans="2:7" x14ac:dyDescent="0.45">
      <c r="B425"/>
      <c r="G425"/>
    </row>
    <row r="426" spans="2:7" x14ac:dyDescent="0.45">
      <c r="B426"/>
      <c r="G426"/>
    </row>
    <row r="427" spans="2:7" x14ac:dyDescent="0.45">
      <c r="B427"/>
      <c r="G427"/>
    </row>
    <row r="428" spans="2:7" x14ac:dyDescent="0.45">
      <c r="B428"/>
      <c r="G428"/>
    </row>
    <row r="429" spans="2:7" x14ac:dyDescent="0.45">
      <c r="B429"/>
      <c r="G429"/>
    </row>
    <row r="430" spans="2:7" x14ac:dyDescent="0.45">
      <c r="B430"/>
      <c r="G430"/>
    </row>
    <row r="431" spans="2:7" x14ac:dyDescent="0.45">
      <c r="B431"/>
      <c r="G431"/>
    </row>
    <row r="432" spans="2:7" x14ac:dyDescent="0.45">
      <c r="B432"/>
      <c r="G432"/>
    </row>
    <row r="433" spans="2:7" x14ac:dyDescent="0.45">
      <c r="B433"/>
      <c r="G433"/>
    </row>
    <row r="434" spans="2:7" x14ac:dyDescent="0.45">
      <c r="B434"/>
      <c r="G434"/>
    </row>
    <row r="435" spans="2:7" x14ac:dyDescent="0.45">
      <c r="B435"/>
      <c r="G435"/>
    </row>
    <row r="436" spans="2:7" x14ac:dyDescent="0.45">
      <c r="B436"/>
      <c r="G436"/>
    </row>
    <row r="437" spans="2:7" x14ac:dyDescent="0.45">
      <c r="B437"/>
      <c r="G437"/>
    </row>
    <row r="438" spans="2:7" x14ac:dyDescent="0.45">
      <c r="B438"/>
      <c r="G438"/>
    </row>
    <row r="439" spans="2:7" x14ac:dyDescent="0.45">
      <c r="B439"/>
      <c r="G439"/>
    </row>
    <row r="440" spans="2:7" x14ac:dyDescent="0.45">
      <c r="B440"/>
      <c r="G440"/>
    </row>
    <row r="441" spans="2:7" x14ac:dyDescent="0.45">
      <c r="B441"/>
      <c r="G441"/>
    </row>
    <row r="442" spans="2:7" x14ac:dyDescent="0.45">
      <c r="B442"/>
      <c r="G442"/>
    </row>
    <row r="443" spans="2:7" x14ac:dyDescent="0.45">
      <c r="B443"/>
      <c r="G443"/>
    </row>
    <row r="444" spans="2:7" x14ac:dyDescent="0.45">
      <c r="B444"/>
      <c r="G444"/>
    </row>
    <row r="445" spans="2:7" x14ac:dyDescent="0.45">
      <c r="B445"/>
      <c r="G445"/>
    </row>
    <row r="446" spans="2:7" x14ac:dyDescent="0.45">
      <c r="B446"/>
      <c r="G446"/>
    </row>
    <row r="447" spans="2:7" x14ac:dyDescent="0.45">
      <c r="B447"/>
      <c r="G447"/>
    </row>
    <row r="448" spans="2:7" x14ac:dyDescent="0.45">
      <c r="B448"/>
      <c r="G448"/>
    </row>
    <row r="449" spans="2:7" x14ac:dyDescent="0.45">
      <c r="B449"/>
      <c r="G449"/>
    </row>
    <row r="450" spans="2:7" x14ac:dyDescent="0.45">
      <c r="B450"/>
      <c r="G450"/>
    </row>
    <row r="451" spans="2:7" x14ac:dyDescent="0.45">
      <c r="B451"/>
      <c r="G451"/>
    </row>
    <row r="452" spans="2:7" x14ac:dyDescent="0.45">
      <c r="B452"/>
      <c r="G452"/>
    </row>
    <row r="453" spans="2:7" x14ac:dyDescent="0.45">
      <c r="B453"/>
      <c r="G453"/>
    </row>
    <row r="454" spans="2:7" x14ac:dyDescent="0.45">
      <c r="B454"/>
      <c r="G454"/>
    </row>
    <row r="455" spans="2:7" x14ac:dyDescent="0.45">
      <c r="B455"/>
      <c r="G455"/>
    </row>
    <row r="456" spans="2:7" x14ac:dyDescent="0.45">
      <c r="B456"/>
      <c r="G456"/>
    </row>
    <row r="457" spans="2:7" x14ac:dyDescent="0.45">
      <c r="B457"/>
      <c r="G457"/>
    </row>
    <row r="458" spans="2:7" x14ac:dyDescent="0.45">
      <c r="B458"/>
      <c r="G458"/>
    </row>
    <row r="459" spans="2:7" x14ac:dyDescent="0.45">
      <c r="B459"/>
      <c r="G459"/>
    </row>
    <row r="460" spans="2:7" x14ac:dyDescent="0.45">
      <c r="B460"/>
      <c r="G460"/>
    </row>
    <row r="461" spans="2:7" x14ac:dyDescent="0.45">
      <c r="B461"/>
      <c r="G461"/>
    </row>
    <row r="462" spans="2:7" x14ac:dyDescent="0.45">
      <c r="B462"/>
      <c r="G462"/>
    </row>
    <row r="463" spans="2:7" x14ac:dyDescent="0.45">
      <c r="B463"/>
      <c r="G463"/>
    </row>
    <row r="464" spans="2:7" x14ac:dyDescent="0.45">
      <c r="B464"/>
      <c r="G464"/>
    </row>
    <row r="465" spans="2:7" x14ac:dyDescent="0.45">
      <c r="B465"/>
      <c r="G465"/>
    </row>
    <row r="466" spans="2:7" x14ac:dyDescent="0.45">
      <c r="B466"/>
      <c r="G466"/>
    </row>
    <row r="467" spans="2:7" x14ac:dyDescent="0.45">
      <c r="B467"/>
      <c r="G467"/>
    </row>
    <row r="468" spans="2:7" x14ac:dyDescent="0.45">
      <c r="B468"/>
      <c r="G468"/>
    </row>
    <row r="469" spans="2:7" x14ac:dyDescent="0.45">
      <c r="B469"/>
      <c r="G469"/>
    </row>
    <row r="470" spans="2:7" x14ac:dyDescent="0.45">
      <c r="B470"/>
      <c r="G470"/>
    </row>
    <row r="471" spans="2:7" x14ac:dyDescent="0.45">
      <c r="B471"/>
      <c r="G471"/>
    </row>
    <row r="472" spans="2:7" x14ac:dyDescent="0.45">
      <c r="B472"/>
      <c r="G472"/>
    </row>
    <row r="473" spans="2:7" x14ac:dyDescent="0.45">
      <c r="B473"/>
      <c r="G473"/>
    </row>
    <row r="474" spans="2:7" x14ac:dyDescent="0.45">
      <c r="B474"/>
      <c r="G474"/>
    </row>
    <row r="475" spans="2:7" x14ac:dyDescent="0.45">
      <c r="B475"/>
      <c r="G475"/>
    </row>
    <row r="476" spans="2:7" x14ac:dyDescent="0.45">
      <c r="B476"/>
      <c r="G476"/>
    </row>
    <row r="477" spans="2:7" x14ac:dyDescent="0.45">
      <c r="B477"/>
      <c r="G477"/>
    </row>
    <row r="478" spans="2:7" x14ac:dyDescent="0.45">
      <c r="B478"/>
      <c r="G478"/>
    </row>
    <row r="479" spans="2:7" x14ac:dyDescent="0.45">
      <c r="B479"/>
      <c r="G479"/>
    </row>
    <row r="480" spans="2:7" x14ac:dyDescent="0.45">
      <c r="B480"/>
      <c r="G480"/>
    </row>
    <row r="481" spans="2:7" x14ac:dyDescent="0.45">
      <c r="B481"/>
      <c r="G481"/>
    </row>
    <row r="482" spans="2:7" x14ac:dyDescent="0.45">
      <c r="B482"/>
      <c r="G482"/>
    </row>
    <row r="483" spans="2:7" x14ac:dyDescent="0.45">
      <c r="B483"/>
      <c r="G483"/>
    </row>
    <row r="484" spans="2:7" x14ac:dyDescent="0.45">
      <c r="B484"/>
      <c r="G484"/>
    </row>
    <row r="485" spans="2:7" x14ac:dyDescent="0.45">
      <c r="B485"/>
      <c r="G485"/>
    </row>
    <row r="486" spans="2:7" x14ac:dyDescent="0.45">
      <c r="B486"/>
      <c r="G486"/>
    </row>
    <row r="487" spans="2:7" x14ac:dyDescent="0.45">
      <c r="B487"/>
      <c r="G487"/>
    </row>
    <row r="488" spans="2:7" x14ac:dyDescent="0.45">
      <c r="B488"/>
      <c r="G488"/>
    </row>
    <row r="489" spans="2:7" x14ac:dyDescent="0.45">
      <c r="B489"/>
      <c r="G489"/>
    </row>
    <row r="490" spans="2:7" x14ac:dyDescent="0.45">
      <c r="B490"/>
      <c r="G490"/>
    </row>
    <row r="491" spans="2:7" x14ac:dyDescent="0.45">
      <c r="B491"/>
      <c r="G491"/>
    </row>
    <row r="492" spans="2:7" x14ac:dyDescent="0.45">
      <c r="B492"/>
      <c r="G492"/>
    </row>
    <row r="493" spans="2:7" x14ac:dyDescent="0.45">
      <c r="B493"/>
      <c r="G493"/>
    </row>
    <row r="494" spans="2:7" x14ac:dyDescent="0.45">
      <c r="B494"/>
      <c r="G494"/>
    </row>
    <row r="495" spans="2:7" x14ac:dyDescent="0.45">
      <c r="B495"/>
      <c r="G495"/>
    </row>
    <row r="496" spans="2:7" x14ac:dyDescent="0.45">
      <c r="B496"/>
      <c r="G496"/>
    </row>
    <row r="497" spans="2:7" x14ac:dyDescent="0.45">
      <c r="B497"/>
      <c r="G497"/>
    </row>
    <row r="498" spans="2:7" x14ac:dyDescent="0.45">
      <c r="B498"/>
      <c r="G498"/>
    </row>
    <row r="499" spans="2:7" x14ac:dyDescent="0.45">
      <c r="B499"/>
      <c r="G499"/>
    </row>
    <row r="500" spans="2:7" x14ac:dyDescent="0.45">
      <c r="B500"/>
      <c r="G500"/>
    </row>
    <row r="501" spans="2:7" x14ac:dyDescent="0.45">
      <c r="B501"/>
      <c r="G501"/>
    </row>
    <row r="502" spans="2:7" x14ac:dyDescent="0.45">
      <c r="B502"/>
      <c r="G502"/>
    </row>
    <row r="503" spans="2:7" x14ac:dyDescent="0.45">
      <c r="B503"/>
      <c r="G503"/>
    </row>
    <row r="504" spans="2:7" x14ac:dyDescent="0.45">
      <c r="B504"/>
      <c r="G504"/>
    </row>
    <row r="505" spans="2:7" x14ac:dyDescent="0.45">
      <c r="B505"/>
      <c r="G505"/>
    </row>
    <row r="506" spans="2:7" x14ac:dyDescent="0.45">
      <c r="B506"/>
      <c r="G506"/>
    </row>
    <row r="507" spans="2:7" x14ac:dyDescent="0.45">
      <c r="B507"/>
      <c r="G507"/>
    </row>
    <row r="508" spans="2:7" x14ac:dyDescent="0.45">
      <c r="B508"/>
      <c r="G508"/>
    </row>
    <row r="509" spans="2:7" x14ac:dyDescent="0.45">
      <c r="B509"/>
      <c r="G509"/>
    </row>
    <row r="510" spans="2:7" x14ac:dyDescent="0.45">
      <c r="B510"/>
      <c r="G510"/>
    </row>
    <row r="511" spans="2:7" x14ac:dyDescent="0.45">
      <c r="B511"/>
      <c r="G511"/>
    </row>
    <row r="512" spans="2:7" x14ac:dyDescent="0.45">
      <c r="B512"/>
      <c r="G512"/>
    </row>
    <row r="513" spans="2:7" x14ac:dyDescent="0.45">
      <c r="B513"/>
      <c r="G513"/>
    </row>
    <row r="514" spans="2:7" x14ac:dyDescent="0.45">
      <c r="B514"/>
      <c r="G514"/>
    </row>
    <row r="515" spans="2:7" x14ac:dyDescent="0.45">
      <c r="B515"/>
      <c r="G515"/>
    </row>
    <row r="516" spans="2:7" x14ac:dyDescent="0.45">
      <c r="B516"/>
      <c r="G516"/>
    </row>
    <row r="517" spans="2:7" x14ac:dyDescent="0.45">
      <c r="B517"/>
      <c r="G517"/>
    </row>
    <row r="518" spans="2:7" x14ac:dyDescent="0.45">
      <c r="B518"/>
      <c r="G518"/>
    </row>
    <row r="519" spans="2:7" x14ac:dyDescent="0.45">
      <c r="B519"/>
      <c r="G519"/>
    </row>
    <row r="520" spans="2:7" x14ac:dyDescent="0.45">
      <c r="B520"/>
      <c r="G520"/>
    </row>
    <row r="521" spans="2:7" x14ac:dyDescent="0.45">
      <c r="B521"/>
      <c r="G521"/>
    </row>
    <row r="522" spans="2:7" x14ac:dyDescent="0.45">
      <c r="B522"/>
      <c r="G522"/>
    </row>
    <row r="523" spans="2:7" x14ac:dyDescent="0.45">
      <c r="B523"/>
      <c r="G523"/>
    </row>
    <row r="524" spans="2:7" x14ac:dyDescent="0.45">
      <c r="B524"/>
      <c r="G524"/>
    </row>
    <row r="525" spans="2:7" x14ac:dyDescent="0.45">
      <c r="B525"/>
      <c r="G525"/>
    </row>
    <row r="526" spans="2:7" x14ac:dyDescent="0.45">
      <c r="B526"/>
      <c r="G526"/>
    </row>
    <row r="527" spans="2:7" x14ac:dyDescent="0.45">
      <c r="B527"/>
      <c r="G527"/>
    </row>
    <row r="528" spans="2:7" x14ac:dyDescent="0.45">
      <c r="B528"/>
      <c r="G528"/>
    </row>
    <row r="529" spans="2:7" x14ac:dyDescent="0.45">
      <c r="B529"/>
      <c r="G529"/>
    </row>
    <row r="530" spans="2:7" x14ac:dyDescent="0.45">
      <c r="B530"/>
      <c r="G530"/>
    </row>
    <row r="531" spans="2:7" x14ac:dyDescent="0.45">
      <c r="B531"/>
      <c r="G531"/>
    </row>
    <row r="532" spans="2:7" x14ac:dyDescent="0.45">
      <c r="B532"/>
      <c r="G532"/>
    </row>
    <row r="533" spans="2:7" x14ac:dyDescent="0.45">
      <c r="B533"/>
      <c r="G533"/>
    </row>
    <row r="534" spans="2:7" x14ac:dyDescent="0.45">
      <c r="B534"/>
      <c r="G534"/>
    </row>
    <row r="535" spans="2:7" x14ac:dyDescent="0.45">
      <c r="B535"/>
      <c r="G535"/>
    </row>
    <row r="536" spans="2:7" x14ac:dyDescent="0.45">
      <c r="B536"/>
      <c r="G536"/>
    </row>
    <row r="537" spans="2:7" x14ac:dyDescent="0.45">
      <c r="B537"/>
      <c r="G537"/>
    </row>
    <row r="538" spans="2:7" x14ac:dyDescent="0.45">
      <c r="B538"/>
      <c r="G538"/>
    </row>
    <row r="539" spans="2:7" x14ac:dyDescent="0.45">
      <c r="B539"/>
      <c r="G539"/>
    </row>
    <row r="540" spans="2:7" x14ac:dyDescent="0.45">
      <c r="B540"/>
      <c r="G540"/>
    </row>
    <row r="541" spans="2:7" x14ac:dyDescent="0.45">
      <c r="B541"/>
      <c r="G541"/>
    </row>
    <row r="542" spans="2:7" x14ac:dyDescent="0.45">
      <c r="B542"/>
      <c r="G542"/>
    </row>
    <row r="543" spans="2:7" x14ac:dyDescent="0.45">
      <c r="B543"/>
      <c r="G543"/>
    </row>
    <row r="544" spans="2:7" x14ac:dyDescent="0.45">
      <c r="B544"/>
      <c r="G544"/>
    </row>
    <row r="545" spans="2:7" x14ac:dyDescent="0.45">
      <c r="B545"/>
      <c r="G545"/>
    </row>
    <row r="546" spans="2:7" x14ac:dyDescent="0.45">
      <c r="B546"/>
      <c r="G546"/>
    </row>
    <row r="547" spans="2:7" x14ac:dyDescent="0.45">
      <c r="B547"/>
      <c r="G547"/>
    </row>
    <row r="548" spans="2:7" x14ac:dyDescent="0.45">
      <c r="B548"/>
      <c r="G548"/>
    </row>
    <row r="549" spans="2:7" x14ac:dyDescent="0.45">
      <c r="B549"/>
      <c r="G549"/>
    </row>
    <row r="550" spans="2:7" x14ac:dyDescent="0.45">
      <c r="B550"/>
      <c r="G550"/>
    </row>
    <row r="551" spans="2:7" x14ac:dyDescent="0.45">
      <c r="B551"/>
      <c r="G551"/>
    </row>
    <row r="552" spans="2:7" x14ac:dyDescent="0.45">
      <c r="B552"/>
      <c r="G552"/>
    </row>
    <row r="553" spans="2:7" x14ac:dyDescent="0.45">
      <c r="B553"/>
      <c r="G553"/>
    </row>
    <row r="554" spans="2:7" x14ac:dyDescent="0.45">
      <c r="B554"/>
      <c r="G554"/>
    </row>
    <row r="555" spans="2:7" x14ac:dyDescent="0.45">
      <c r="B555"/>
      <c r="G555"/>
    </row>
    <row r="556" spans="2:7" x14ac:dyDescent="0.45">
      <c r="B556"/>
      <c r="G556"/>
    </row>
    <row r="557" spans="2:7" x14ac:dyDescent="0.45">
      <c r="B557"/>
      <c r="G557"/>
    </row>
    <row r="558" spans="2:7" x14ac:dyDescent="0.45">
      <c r="B558"/>
      <c r="G558"/>
    </row>
    <row r="559" spans="2:7" x14ac:dyDescent="0.45">
      <c r="B559"/>
      <c r="G559"/>
    </row>
    <row r="560" spans="2:7" x14ac:dyDescent="0.45">
      <c r="B560"/>
      <c r="G560"/>
    </row>
    <row r="561" spans="2:7" x14ac:dyDescent="0.45">
      <c r="B561"/>
      <c r="G561"/>
    </row>
    <row r="562" spans="2:7" x14ac:dyDescent="0.45">
      <c r="B562"/>
      <c r="G562"/>
    </row>
    <row r="563" spans="2:7" x14ac:dyDescent="0.45">
      <c r="B563"/>
      <c r="G563"/>
    </row>
    <row r="564" spans="2:7" x14ac:dyDescent="0.45">
      <c r="B564"/>
      <c r="G564"/>
    </row>
    <row r="565" spans="2:7" x14ac:dyDescent="0.45">
      <c r="B565"/>
      <c r="G565"/>
    </row>
    <row r="566" spans="2:7" x14ac:dyDescent="0.45">
      <c r="B566"/>
      <c r="G566"/>
    </row>
    <row r="567" spans="2:7" x14ac:dyDescent="0.45">
      <c r="B567"/>
      <c r="G567"/>
    </row>
    <row r="568" spans="2:7" x14ac:dyDescent="0.45">
      <c r="B568"/>
      <c r="G568"/>
    </row>
    <row r="569" spans="2:7" x14ac:dyDescent="0.45">
      <c r="B569"/>
      <c r="G569"/>
    </row>
    <row r="570" spans="2:7" x14ac:dyDescent="0.45">
      <c r="B570"/>
      <c r="G570"/>
    </row>
    <row r="571" spans="2:7" x14ac:dyDescent="0.45">
      <c r="B571"/>
      <c r="G571"/>
    </row>
    <row r="572" spans="2:7" x14ac:dyDescent="0.45">
      <c r="B572"/>
      <c r="G572"/>
    </row>
    <row r="573" spans="2:7" x14ac:dyDescent="0.45">
      <c r="B573"/>
      <c r="G573"/>
    </row>
    <row r="574" spans="2:7" x14ac:dyDescent="0.45">
      <c r="B574"/>
      <c r="G574"/>
    </row>
    <row r="575" spans="2:7" x14ac:dyDescent="0.45">
      <c r="B575"/>
      <c r="G575"/>
    </row>
    <row r="576" spans="2:7" x14ac:dyDescent="0.45">
      <c r="B576"/>
      <c r="G576"/>
    </row>
    <row r="577" spans="2:7" x14ac:dyDescent="0.45">
      <c r="B577"/>
      <c r="G577"/>
    </row>
    <row r="578" spans="2:7" x14ac:dyDescent="0.45">
      <c r="B578"/>
      <c r="G578"/>
    </row>
    <row r="579" spans="2:7" x14ac:dyDescent="0.45">
      <c r="B579"/>
      <c r="G579"/>
    </row>
    <row r="580" spans="2:7" x14ac:dyDescent="0.45">
      <c r="B580"/>
      <c r="G580"/>
    </row>
    <row r="581" spans="2:7" x14ac:dyDescent="0.45">
      <c r="B581"/>
      <c r="G581"/>
    </row>
    <row r="582" spans="2:7" x14ac:dyDescent="0.45">
      <c r="B582"/>
      <c r="G582"/>
    </row>
    <row r="583" spans="2:7" x14ac:dyDescent="0.45">
      <c r="B583"/>
      <c r="G583"/>
    </row>
    <row r="584" spans="2:7" x14ac:dyDescent="0.45">
      <c r="B584"/>
      <c r="G584"/>
    </row>
    <row r="585" spans="2:7" x14ac:dyDescent="0.45">
      <c r="B585"/>
      <c r="G585"/>
    </row>
    <row r="586" spans="2:7" x14ac:dyDescent="0.45">
      <c r="B586"/>
      <c r="G586"/>
    </row>
    <row r="587" spans="2:7" x14ac:dyDescent="0.45">
      <c r="B587"/>
      <c r="G587"/>
    </row>
    <row r="588" spans="2:7" x14ac:dyDescent="0.45">
      <c r="B588"/>
      <c r="G588"/>
    </row>
    <row r="589" spans="2:7" x14ac:dyDescent="0.45">
      <c r="B589"/>
      <c r="G589"/>
    </row>
    <row r="590" spans="2:7" x14ac:dyDescent="0.45">
      <c r="B590"/>
      <c r="G590"/>
    </row>
    <row r="591" spans="2:7" x14ac:dyDescent="0.45">
      <c r="B591"/>
      <c r="G591"/>
    </row>
    <row r="592" spans="2:7" x14ac:dyDescent="0.45">
      <c r="B592"/>
      <c r="G592"/>
    </row>
    <row r="593" spans="2:7" x14ac:dyDescent="0.45">
      <c r="B593"/>
      <c r="G593"/>
    </row>
    <row r="594" spans="2:7" x14ac:dyDescent="0.45">
      <c r="B594"/>
      <c r="G594"/>
    </row>
    <row r="595" spans="2:7" x14ac:dyDescent="0.45">
      <c r="B595"/>
      <c r="G595"/>
    </row>
    <row r="596" spans="2:7" x14ac:dyDescent="0.45">
      <c r="B596"/>
      <c r="G596"/>
    </row>
    <row r="597" spans="2:7" x14ac:dyDescent="0.45">
      <c r="B597"/>
      <c r="G597"/>
    </row>
    <row r="598" spans="2:7" x14ac:dyDescent="0.45">
      <c r="B598"/>
      <c r="G598"/>
    </row>
    <row r="599" spans="2:7" x14ac:dyDescent="0.45">
      <c r="B599"/>
      <c r="G599"/>
    </row>
    <row r="600" spans="2:7" x14ac:dyDescent="0.45">
      <c r="B600"/>
      <c r="G600"/>
    </row>
    <row r="601" spans="2:7" x14ac:dyDescent="0.45">
      <c r="B601"/>
      <c r="G601"/>
    </row>
    <row r="602" spans="2:7" x14ac:dyDescent="0.45">
      <c r="B602"/>
      <c r="G602"/>
    </row>
    <row r="603" spans="2:7" x14ac:dyDescent="0.45">
      <c r="B603"/>
      <c r="G603"/>
    </row>
    <row r="604" spans="2:7" x14ac:dyDescent="0.45">
      <c r="B604"/>
      <c r="G604"/>
    </row>
    <row r="605" spans="2:7" x14ac:dyDescent="0.45">
      <c r="B605"/>
      <c r="G605"/>
    </row>
    <row r="606" spans="2:7" x14ac:dyDescent="0.45">
      <c r="B606"/>
      <c r="G606"/>
    </row>
    <row r="607" spans="2:7" x14ac:dyDescent="0.45">
      <c r="B607"/>
      <c r="G607"/>
    </row>
    <row r="608" spans="2:7" x14ac:dyDescent="0.45">
      <c r="B608"/>
      <c r="G608"/>
    </row>
    <row r="609" spans="2:7" x14ac:dyDescent="0.45">
      <c r="B609"/>
      <c r="G609"/>
    </row>
    <row r="610" spans="2:7" x14ac:dyDescent="0.45">
      <c r="B610"/>
      <c r="G610"/>
    </row>
    <row r="611" spans="2:7" x14ac:dyDescent="0.45">
      <c r="B611"/>
      <c r="G611"/>
    </row>
    <row r="612" spans="2:7" x14ac:dyDescent="0.45">
      <c r="B612"/>
      <c r="G612"/>
    </row>
    <row r="613" spans="2:7" x14ac:dyDescent="0.45">
      <c r="B613"/>
      <c r="G613"/>
    </row>
    <row r="614" spans="2:7" x14ac:dyDescent="0.45">
      <c r="B614"/>
      <c r="G614"/>
    </row>
    <row r="615" spans="2:7" x14ac:dyDescent="0.45">
      <c r="B615"/>
      <c r="G615"/>
    </row>
    <row r="616" spans="2:7" x14ac:dyDescent="0.45">
      <c r="B616"/>
      <c r="G616"/>
    </row>
    <row r="617" spans="2:7" x14ac:dyDescent="0.45">
      <c r="B617"/>
      <c r="G617"/>
    </row>
    <row r="618" spans="2:7" x14ac:dyDescent="0.45">
      <c r="B618"/>
      <c r="G618"/>
    </row>
    <row r="619" spans="2:7" x14ac:dyDescent="0.45">
      <c r="B619"/>
      <c r="G619"/>
    </row>
    <row r="620" spans="2:7" x14ac:dyDescent="0.45">
      <c r="B620"/>
      <c r="G620"/>
    </row>
    <row r="621" spans="2:7" x14ac:dyDescent="0.45">
      <c r="B621"/>
      <c r="G621"/>
    </row>
    <row r="622" spans="2:7" x14ac:dyDescent="0.45">
      <c r="B622"/>
      <c r="G622"/>
    </row>
    <row r="623" spans="2:7" x14ac:dyDescent="0.45">
      <c r="B623"/>
      <c r="G623"/>
    </row>
    <row r="624" spans="2:7" x14ac:dyDescent="0.45">
      <c r="B624"/>
      <c r="G624"/>
    </row>
    <row r="625" spans="2:7" x14ac:dyDescent="0.45">
      <c r="B625"/>
      <c r="G625"/>
    </row>
    <row r="626" spans="2:7" x14ac:dyDescent="0.45">
      <c r="B626"/>
      <c r="G626"/>
    </row>
    <row r="627" spans="2:7" x14ac:dyDescent="0.45">
      <c r="B627"/>
      <c r="G627"/>
    </row>
    <row r="628" spans="2:7" x14ac:dyDescent="0.45">
      <c r="B628"/>
      <c r="G628"/>
    </row>
    <row r="629" spans="2:7" x14ac:dyDescent="0.45">
      <c r="B629"/>
      <c r="G629"/>
    </row>
    <row r="630" spans="2:7" x14ac:dyDescent="0.45">
      <c r="B630"/>
      <c r="G630"/>
    </row>
    <row r="631" spans="2:7" x14ac:dyDescent="0.45">
      <c r="B631"/>
      <c r="G631"/>
    </row>
    <row r="632" spans="2:7" x14ac:dyDescent="0.45">
      <c r="B632"/>
      <c r="G632"/>
    </row>
    <row r="633" spans="2:7" x14ac:dyDescent="0.45">
      <c r="B633"/>
      <c r="G633"/>
    </row>
    <row r="634" spans="2:7" x14ac:dyDescent="0.45">
      <c r="B634"/>
      <c r="G634"/>
    </row>
    <row r="635" spans="2:7" x14ac:dyDescent="0.45">
      <c r="B635"/>
      <c r="G635"/>
    </row>
    <row r="636" spans="2:7" x14ac:dyDescent="0.45">
      <c r="B636"/>
      <c r="G636"/>
    </row>
    <row r="637" spans="2:7" x14ac:dyDescent="0.45">
      <c r="B637"/>
      <c r="G637"/>
    </row>
    <row r="638" spans="2:7" x14ac:dyDescent="0.45">
      <c r="B638"/>
      <c r="G638"/>
    </row>
    <row r="639" spans="2:7" x14ac:dyDescent="0.45">
      <c r="B639"/>
      <c r="G639"/>
    </row>
    <row r="640" spans="2:7" x14ac:dyDescent="0.45">
      <c r="B640"/>
      <c r="G640"/>
    </row>
    <row r="641" spans="2:7" x14ac:dyDescent="0.45">
      <c r="B641"/>
      <c r="G641"/>
    </row>
    <row r="642" spans="2:7" x14ac:dyDescent="0.45">
      <c r="B642"/>
      <c r="G642"/>
    </row>
    <row r="643" spans="2:7" x14ac:dyDescent="0.45">
      <c r="B643"/>
      <c r="G643"/>
    </row>
    <row r="644" spans="2:7" x14ac:dyDescent="0.45">
      <c r="B644"/>
      <c r="G644"/>
    </row>
    <row r="645" spans="2:7" x14ac:dyDescent="0.45">
      <c r="B645"/>
      <c r="G645"/>
    </row>
    <row r="646" spans="2:7" x14ac:dyDescent="0.45">
      <c r="B646"/>
      <c r="G646"/>
    </row>
    <row r="647" spans="2:7" x14ac:dyDescent="0.45">
      <c r="B647"/>
      <c r="G647"/>
    </row>
    <row r="648" spans="2:7" x14ac:dyDescent="0.45">
      <c r="B648"/>
      <c r="G648"/>
    </row>
    <row r="649" spans="2:7" x14ac:dyDescent="0.45">
      <c r="B649"/>
      <c r="G649"/>
    </row>
    <row r="650" spans="2:7" x14ac:dyDescent="0.45">
      <c r="B650"/>
      <c r="G650"/>
    </row>
    <row r="651" spans="2:7" x14ac:dyDescent="0.45">
      <c r="B651"/>
      <c r="G651"/>
    </row>
    <row r="652" spans="2:7" x14ac:dyDescent="0.45">
      <c r="B652"/>
      <c r="G652"/>
    </row>
    <row r="653" spans="2:7" x14ac:dyDescent="0.45">
      <c r="B653"/>
      <c r="G653"/>
    </row>
    <row r="654" spans="2:7" x14ac:dyDescent="0.45">
      <c r="B654"/>
      <c r="G654"/>
    </row>
    <row r="655" spans="2:7" x14ac:dyDescent="0.45">
      <c r="B655"/>
      <c r="G655"/>
    </row>
    <row r="656" spans="2:7" x14ac:dyDescent="0.45">
      <c r="B656"/>
      <c r="G656"/>
    </row>
    <row r="657" spans="2:7" x14ac:dyDescent="0.45">
      <c r="B657"/>
      <c r="G657"/>
    </row>
    <row r="658" spans="2:7" x14ac:dyDescent="0.45">
      <c r="B658"/>
      <c r="G658"/>
    </row>
    <row r="659" spans="2:7" x14ac:dyDescent="0.45">
      <c r="B659"/>
      <c r="G659"/>
    </row>
    <row r="660" spans="2:7" x14ac:dyDescent="0.45">
      <c r="B660"/>
      <c r="G660"/>
    </row>
    <row r="661" spans="2:7" x14ac:dyDescent="0.45">
      <c r="B661"/>
      <c r="G661"/>
    </row>
    <row r="662" spans="2:7" x14ac:dyDescent="0.45">
      <c r="B662"/>
      <c r="G662"/>
    </row>
    <row r="663" spans="2:7" x14ac:dyDescent="0.45">
      <c r="B663"/>
      <c r="G663"/>
    </row>
    <row r="664" spans="2:7" x14ac:dyDescent="0.45">
      <c r="B664"/>
      <c r="G664"/>
    </row>
    <row r="665" spans="2:7" x14ac:dyDescent="0.45">
      <c r="B665"/>
      <c r="G665"/>
    </row>
    <row r="666" spans="2:7" x14ac:dyDescent="0.45">
      <c r="B666"/>
      <c r="G666"/>
    </row>
    <row r="667" spans="2:7" x14ac:dyDescent="0.45">
      <c r="B667"/>
      <c r="G667"/>
    </row>
    <row r="668" spans="2:7" x14ac:dyDescent="0.45">
      <c r="B668"/>
      <c r="G668"/>
    </row>
    <row r="669" spans="2:7" x14ac:dyDescent="0.45">
      <c r="B669"/>
      <c r="G669"/>
    </row>
    <row r="670" spans="2:7" x14ac:dyDescent="0.45">
      <c r="B670"/>
      <c r="G670"/>
    </row>
    <row r="671" spans="2:7" x14ac:dyDescent="0.45">
      <c r="B671"/>
      <c r="G671"/>
    </row>
    <row r="672" spans="2:7" x14ac:dyDescent="0.45">
      <c r="B672"/>
      <c r="G672"/>
    </row>
    <row r="673" spans="2:7" x14ac:dyDescent="0.45">
      <c r="B673"/>
      <c r="G673"/>
    </row>
    <row r="674" spans="2:7" x14ac:dyDescent="0.45">
      <c r="B674"/>
      <c r="G674"/>
    </row>
    <row r="675" spans="2:7" x14ac:dyDescent="0.45">
      <c r="B675"/>
      <c r="G675"/>
    </row>
    <row r="676" spans="2:7" x14ac:dyDescent="0.45">
      <c r="B676"/>
      <c r="G676"/>
    </row>
    <row r="677" spans="2:7" x14ac:dyDescent="0.45">
      <c r="B677"/>
      <c r="G677"/>
    </row>
    <row r="678" spans="2:7" x14ac:dyDescent="0.45">
      <c r="B678"/>
      <c r="G678"/>
    </row>
    <row r="679" spans="2:7" x14ac:dyDescent="0.45">
      <c r="B679"/>
      <c r="G679"/>
    </row>
    <row r="680" spans="2:7" x14ac:dyDescent="0.45">
      <c r="B680"/>
      <c r="G680"/>
    </row>
    <row r="681" spans="2:7" x14ac:dyDescent="0.45">
      <c r="B681"/>
      <c r="G681"/>
    </row>
    <row r="682" spans="2:7" x14ac:dyDescent="0.45">
      <c r="B682"/>
      <c r="G682"/>
    </row>
    <row r="683" spans="2:7" x14ac:dyDescent="0.45">
      <c r="B683"/>
      <c r="G683"/>
    </row>
    <row r="684" spans="2:7" x14ac:dyDescent="0.45">
      <c r="B684"/>
      <c r="G684"/>
    </row>
    <row r="685" spans="2:7" x14ac:dyDescent="0.45">
      <c r="B685"/>
      <c r="G685"/>
    </row>
    <row r="686" spans="2:7" x14ac:dyDescent="0.45">
      <c r="B686"/>
      <c r="G686"/>
    </row>
    <row r="687" spans="2:7" x14ac:dyDescent="0.45">
      <c r="B687"/>
      <c r="G687"/>
    </row>
    <row r="688" spans="2:7" x14ac:dyDescent="0.45">
      <c r="B688"/>
      <c r="G688"/>
    </row>
    <row r="689" spans="2:7" x14ac:dyDescent="0.45">
      <c r="B689"/>
      <c r="G689"/>
    </row>
    <row r="690" spans="2:7" x14ac:dyDescent="0.45">
      <c r="B690"/>
      <c r="G690"/>
    </row>
    <row r="691" spans="2:7" x14ac:dyDescent="0.45">
      <c r="B691"/>
      <c r="G691"/>
    </row>
    <row r="692" spans="2:7" x14ac:dyDescent="0.45">
      <c r="B692"/>
      <c r="G692"/>
    </row>
    <row r="693" spans="2:7" x14ac:dyDescent="0.45">
      <c r="B693"/>
      <c r="G693"/>
    </row>
    <row r="694" spans="2:7" x14ac:dyDescent="0.45">
      <c r="B694"/>
      <c r="G694"/>
    </row>
    <row r="695" spans="2:7" x14ac:dyDescent="0.45">
      <c r="B695"/>
      <c r="G695"/>
    </row>
    <row r="696" spans="2:7" x14ac:dyDescent="0.45">
      <c r="B696"/>
      <c r="G696"/>
    </row>
    <row r="697" spans="2:7" x14ac:dyDescent="0.45">
      <c r="B697"/>
      <c r="G697"/>
    </row>
    <row r="698" spans="2:7" x14ac:dyDescent="0.45">
      <c r="B698"/>
      <c r="G698"/>
    </row>
    <row r="699" spans="2:7" x14ac:dyDescent="0.45">
      <c r="B699"/>
      <c r="G699"/>
    </row>
    <row r="700" spans="2:7" x14ac:dyDescent="0.45">
      <c r="B700"/>
      <c r="G700"/>
    </row>
    <row r="701" spans="2:7" x14ac:dyDescent="0.45">
      <c r="B701"/>
      <c r="G701"/>
    </row>
    <row r="702" spans="2:7" x14ac:dyDescent="0.45">
      <c r="B702"/>
      <c r="G702"/>
    </row>
    <row r="703" spans="2:7" x14ac:dyDescent="0.45">
      <c r="B703"/>
      <c r="G703"/>
    </row>
    <row r="704" spans="2:7" x14ac:dyDescent="0.45">
      <c r="B704"/>
      <c r="G704"/>
    </row>
    <row r="705" spans="2:7" x14ac:dyDescent="0.45">
      <c r="B705"/>
      <c r="G705"/>
    </row>
    <row r="706" spans="2:7" x14ac:dyDescent="0.45">
      <c r="B706"/>
      <c r="G706"/>
    </row>
    <row r="707" spans="2:7" x14ac:dyDescent="0.45">
      <c r="B707"/>
      <c r="G707"/>
    </row>
    <row r="708" spans="2:7" x14ac:dyDescent="0.45">
      <c r="B708"/>
      <c r="G708"/>
    </row>
    <row r="709" spans="2:7" x14ac:dyDescent="0.45">
      <c r="B709"/>
      <c r="G709"/>
    </row>
    <row r="710" spans="2:7" x14ac:dyDescent="0.45">
      <c r="B710"/>
      <c r="G710"/>
    </row>
    <row r="711" spans="2:7" x14ac:dyDescent="0.45">
      <c r="B711"/>
      <c r="G711"/>
    </row>
    <row r="712" spans="2:7" x14ac:dyDescent="0.45">
      <c r="B712"/>
      <c r="G712"/>
    </row>
    <row r="713" spans="2:7" x14ac:dyDescent="0.45">
      <c r="B713"/>
      <c r="G713"/>
    </row>
    <row r="714" spans="2:7" x14ac:dyDescent="0.45">
      <c r="B714"/>
      <c r="G714"/>
    </row>
    <row r="715" spans="2:7" x14ac:dyDescent="0.45">
      <c r="B715"/>
      <c r="G715"/>
    </row>
    <row r="716" spans="2:7" x14ac:dyDescent="0.45">
      <c r="B716"/>
      <c r="G716"/>
    </row>
    <row r="717" spans="2:7" x14ac:dyDescent="0.45">
      <c r="B717"/>
      <c r="G717"/>
    </row>
    <row r="718" spans="2:7" x14ac:dyDescent="0.45">
      <c r="B718"/>
      <c r="G718"/>
    </row>
    <row r="719" spans="2:7" x14ac:dyDescent="0.45">
      <c r="B719"/>
      <c r="G719"/>
    </row>
    <row r="720" spans="2:7" x14ac:dyDescent="0.45">
      <c r="B720"/>
      <c r="G720"/>
    </row>
    <row r="721" spans="2:7" x14ac:dyDescent="0.45">
      <c r="B721"/>
      <c r="G721"/>
    </row>
    <row r="722" spans="2:7" x14ac:dyDescent="0.45">
      <c r="B722"/>
      <c r="G722"/>
    </row>
    <row r="723" spans="2:7" x14ac:dyDescent="0.45">
      <c r="B723"/>
      <c r="G723"/>
    </row>
    <row r="724" spans="2:7" x14ac:dyDescent="0.45">
      <c r="B724"/>
      <c r="G724"/>
    </row>
    <row r="725" spans="2:7" x14ac:dyDescent="0.45">
      <c r="B725"/>
      <c r="G725"/>
    </row>
    <row r="726" spans="2:7" x14ac:dyDescent="0.45">
      <c r="B726"/>
      <c r="G726"/>
    </row>
    <row r="727" spans="2:7" x14ac:dyDescent="0.45">
      <c r="B727"/>
      <c r="G727"/>
    </row>
    <row r="728" spans="2:7" x14ac:dyDescent="0.45">
      <c r="B728"/>
      <c r="G728"/>
    </row>
    <row r="729" spans="2:7" x14ac:dyDescent="0.45">
      <c r="B729"/>
      <c r="G729"/>
    </row>
    <row r="730" spans="2:7" x14ac:dyDescent="0.45">
      <c r="B730"/>
      <c r="G730"/>
    </row>
    <row r="731" spans="2:7" x14ac:dyDescent="0.45">
      <c r="B731"/>
      <c r="G731"/>
    </row>
    <row r="732" spans="2:7" x14ac:dyDescent="0.45">
      <c r="B732"/>
      <c r="G732"/>
    </row>
    <row r="733" spans="2:7" x14ac:dyDescent="0.45">
      <c r="B733"/>
      <c r="G733"/>
    </row>
    <row r="734" spans="2:7" x14ac:dyDescent="0.45">
      <c r="B734"/>
      <c r="G734"/>
    </row>
    <row r="735" spans="2:7" x14ac:dyDescent="0.45">
      <c r="B735"/>
      <c r="G735"/>
    </row>
    <row r="736" spans="2:7" x14ac:dyDescent="0.45">
      <c r="B736"/>
      <c r="G736"/>
    </row>
    <row r="737" spans="2:7" x14ac:dyDescent="0.45">
      <c r="B737"/>
      <c r="G737"/>
    </row>
    <row r="738" spans="2:7" x14ac:dyDescent="0.45">
      <c r="B738"/>
      <c r="G738"/>
    </row>
    <row r="739" spans="2:7" x14ac:dyDescent="0.45">
      <c r="B739"/>
      <c r="G739"/>
    </row>
    <row r="740" spans="2:7" x14ac:dyDescent="0.45">
      <c r="B740"/>
      <c r="G740"/>
    </row>
    <row r="741" spans="2:7" x14ac:dyDescent="0.45">
      <c r="B741"/>
      <c r="G741"/>
    </row>
    <row r="742" spans="2:7" x14ac:dyDescent="0.45">
      <c r="B742"/>
      <c r="G742"/>
    </row>
    <row r="743" spans="2:7" x14ac:dyDescent="0.45">
      <c r="B743"/>
      <c r="G743"/>
    </row>
    <row r="744" spans="2:7" x14ac:dyDescent="0.45">
      <c r="B744"/>
      <c r="G744"/>
    </row>
    <row r="745" spans="2:7" x14ac:dyDescent="0.45">
      <c r="B745"/>
      <c r="G745"/>
    </row>
    <row r="746" spans="2:7" x14ac:dyDescent="0.45">
      <c r="B746"/>
      <c r="G746"/>
    </row>
    <row r="747" spans="2:7" x14ac:dyDescent="0.45">
      <c r="B747"/>
      <c r="G747"/>
    </row>
    <row r="748" spans="2:7" x14ac:dyDescent="0.45">
      <c r="B748"/>
      <c r="G748"/>
    </row>
    <row r="749" spans="2:7" x14ac:dyDescent="0.45">
      <c r="B749"/>
      <c r="G749"/>
    </row>
    <row r="750" spans="2:7" x14ac:dyDescent="0.45">
      <c r="B750"/>
      <c r="G750"/>
    </row>
    <row r="751" spans="2:7" x14ac:dyDescent="0.45">
      <c r="B751"/>
      <c r="G751"/>
    </row>
    <row r="752" spans="2:7" x14ac:dyDescent="0.45">
      <c r="B752"/>
      <c r="G752"/>
    </row>
    <row r="753" spans="2:7" x14ac:dyDescent="0.45">
      <c r="B753"/>
      <c r="G753"/>
    </row>
    <row r="754" spans="2:7" x14ac:dyDescent="0.45">
      <c r="B754"/>
      <c r="G754"/>
    </row>
    <row r="755" spans="2:7" x14ac:dyDescent="0.45">
      <c r="B755"/>
      <c r="G755"/>
    </row>
    <row r="756" spans="2:7" x14ac:dyDescent="0.45">
      <c r="B756"/>
      <c r="G756"/>
    </row>
    <row r="757" spans="2:7" x14ac:dyDescent="0.45">
      <c r="B757"/>
      <c r="G757"/>
    </row>
    <row r="758" spans="2:7" x14ac:dyDescent="0.45">
      <c r="B758"/>
      <c r="G758"/>
    </row>
    <row r="759" spans="2:7" x14ac:dyDescent="0.45">
      <c r="B759"/>
      <c r="G759"/>
    </row>
    <row r="760" spans="2:7" x14ac:dyDescent="0.45">
      <c r="B760"/>
      <c r="G760"/>
    </row>
    <row r="761" spans="2:7" x14ac:dyDescent="0.45">
      <c r="B761"/>
      <c r="G761"/>
    </row>
    <row r="762" spans="2:7" x14ac:dyDescent="0.45">
      <c r="B762"/>
      <c r="G762"/>
    </row>
    <row r="763" spans="2:7" x14ac:dyDescent="0.45">
      <c r="B763"/>
      <c r="G763"/>
    </row>
    <row r="764" spans="2:7" x14ac:dyDescent="0.45">
      <c r="B764"/>
      <c r="G764"/>
    </row>
    <row r="765" spans="2:7" x14ac:dyDescent="0.45">
      <c r="B765"/>
      <c r="G765"/>
    </row>
    <row r="766" spans="2:7" x14ac:dyDescent="0.45">
      <c r="B766"/>
      <c r="G766"/>
    </row>
    <row r="767" spans="2:7" x14ac:dyDescent="0.45">
      <c r="B767"/>
      <c r="G767"/>
    </row>
    <row r="768" spans="2:7" x14ac:dyDescent="0.45">
      <c r="B768"/>
      <c r="G768"/>
    </row>
    <row r="769" spans="2:7" x14ac:dyDescent="0.45">
      <c r="B769"/>
      <c r="G769"/>
    </row>
    <row r="770" spans="2:7" x14ac:dyDescent="0.45">
      <c r="B770"/>
      <c r="G770"/>
    </row>
    <row r="771" spans="2:7" x14ac:dyDescent="0.45">
      <c r="B771"/>
      <c r="G771"/>
    </row>
    <row r="772" spans="2:7" x14ac:dyDescent="0.45">
      <c r="B772"/>
      <c r="G772"/>
    </row>
    <row r="773" spans="2:7" x14ac:dyDescent="0.45">
      <c r="B773"/>
      <c r="G773"/>
    </row>
    <row r="774" spans="2:7" x14ac:dyDescent="0.45">
      <c r="B774"/>
      <c r="G774"/>
    </row>
    <row r="775" spans="2:7" x14ac:dyDescent="0.45">
      <c r="B775"/>
      <c r="G775"/>
    </row>
    <row r="776" spans="2:7" x14ac:dyDescent="0.45">
      <c r="B776"/>
      <c r="G776"/>
    </row>
    <row r="777" spans="2:7" x14ac:dyDescent="0.45">
      <c r="B777"/>
      <c r="G777"/>
    </row>
    <row r="778" spans="2:7" x14ac:dyDescent="0.45">
      <c r="B778"/>
      <c r="G778"/>
    </row>
    <row r="779" spans="2:7" x14ac:dyDescent="0.45">
      <c r="B779"/>
      <c r="G779"/>
    </row>
    <row r="780" spans="2:7" x14ac:dyDescent="0.45">
      <c r="B780"/>
      <c r="G780"/>
    </row>
    <row r="781" spans="2:7" x14ac:dyDescent="0.45">
      <c r="B781"/>
      <c r="G781"/>
    </row>
    <row r="782" spans="2:7" x14ac:dyDescent="0.45">
      <c r="B782"/>
      <c r="G782"/>
    </row>
    <row r="783" spans="2:7" x14ac:dyDescent="0.45">
      <c r="B783"/>
      <c r="G783"/>
    </row>
    <row r="784" spans="2:7" x14ac:dyDescent="0.45">
      <c r="B784"/>
      <c r="G784"/>
    </row>
    <row r="785" spans="2:7" x14ac:dyDescent="0.45">
      <c r="B785"/>
      <c r="G785"/>
    </row>
    <row r="786" spans="2:7" x14ac:dyDescent="0.45">
      <c r="B786"/>
      <c r="G786"/>
    </row>
    <row r="787" spans="2:7" x14ac:dyDescent="0.45">
      <c r="B787"/>
      <c r="G787"/>
    </row>
    <row r="788" spans="2:7" x14ac:dyDescent="0.45">
      <c r="B788"/>
      <c r="G788"/>
    </row>
    <row r="789" spans="2:7" x14ac:dyDescent="0.45">
      <c r="B789"/>
      <c r="G789"/>
    </row>
    <row r="790" spans="2:7" x14ac:dyDescent="0.45">
      <c r="B790"/>
      <c r="G790"/>
    </row>
    <row r="791" spans="2:7" x14ac:dyDescent="0.45">
      <c r="B791"/>
      <c r="G791"/>
    </row>
    <row r="792" spans="2:7" x14ac:dyDescent="0.45">
      <c r="B792"/>
      <c r="G792"/>
    </row>
    <row r="793" spans="2:7" x14ac:dyDescent="0.45">
      <c r="B793"/>
      <c r="G793"/>
    </row>
    <row r="794" spans="2:7" x14ac:dyDescent="0.45">
      <c r="B794"/>
      <c r="G794"/>
    </row>
    <row r="795" spans="2:7" x14ac:dyDescent="0.45">
      <c r="B795"/>
      <c r="G795"/>
    </row>
    <row r="796" spans="2:7" x14ac:dyDescent="0.45">
      <c r="B796"/>
      <c r="G796"/>
    </row>
    <row r="797" spans="2:7" x14ac:dyDescent="0.45">
      <c r="B797"/>
      <c r="G797"/>
    </row>
    <row r="798" spans="2:7" x14ac:dyDescent="0.45">
      <c r="B798"/>
      <c r="G798"/>
    </row>
    <row r="799" spans="2:7" x14ac:dyDescent="0.45">
      <c r="B799"/>
      <c r="G799"/>
    </row>
    <row r="800" spans="2:7" x14ac:dyDescent="0.45">
      <c r="B800"/>
      <c r="G800"/>
    </row>
    <row r="801" spans="2:7" x14ac:dyDescent="0.45">
      <c r="B801"/>
      <c r="G801"/>
    </row>
    <row r="802" spans="2:7" x14ac:dyDescent="0.45">
      <c r="B802"/>
      <c r="G802"/>
    </row>
    <row r="803" spans="2:7" x14ac:dyDescent="0.45">
      <c r="B803"/>
      <c r="G803"/>
    </row>
    <row r="804" spans="2:7" x14ac:dyDescent="0.45">
      <c r="B804"/>
      <c r="G804"/>
    </row>
    <row r="805" spans="2:7" x14ac:dyDescent="0.45">
      <c r="B805"/>
      <c r="G805"/>
    </row>
    <row r="806" spans="2:7" x14ac:dyDescent="0.45">
      <c r="B806"/>
      <c r="G806"/>
    </row>
    <row r="807" spans="2:7" x14ac:dyDescent="0.45">
      <c r="B807"/>
      <c r="G807"/>
    </row>
    <row r="808" spans="2:7" x14ac:dyDescent="0.45">
      <c r="B808"/>
      <c r="G808"/>
    </row>
    <row r="809" spans="2:7" x14ac:dyDescent="0.45">
      <c r="B809"/>
      <c r="G809"/>
    </row>
    <row r="810" spans="2:7" x14ac:dyDescent="0.45">
      <c r="B810"/>
      <c r="G810"/>
    </row>
    <row r="811" spans="2:7" x14ac:dyDescent="0.45">
      <c r="B811"/>
      <c r="G811"/>
    </row>
    <row r="812" spans="2:7" x14ac:dyDescent="0.45">
      <c r="B812"/>
      <c r="G812"/>
    </row>
    <row r="813" spans="2:7" x14ac:dyDescent="0.45">
      <c r="B813"/>
      <c r="G813"/>
    </row>
    <row r="814" spans="2:7" x14ac:dyDescent="0.45">
      <c r="B814"/>
      <c r="G814"/>
    </row>
    <row r="815" spans="2:7" x14ac:dyDescent="0.45">
      <c r="B815"/>
      <c r="G815"/>
    </row>
    <row r="816" spans="2:7" x14ac:dyDescent="0.45">
      <c r="B816"/>
      <c r="G816"/>
    </row>
    <row r="817" spans="2:7" x14ac:dyDescent="0.45">
      <c r="B817"/>
      <c r="G817"/>
    </row>
    <row r="818" spans="2:7" x14ac:dyDescent="0.45">
      <c r="B818"/>
      <c r="G818"/>
    </row>
    <row r="819" spans="2:7" x14ac:dyDescent="0.45">
      <c r="B819"/>
      <c r="G819"/>
    </row>
    <row r="820" spans="2:7" x14ac:dyDescent="0.45">
      <c r="B820"/>
      <c r="G820"/>
    </row>
    <row r="821" spans="2:7" x14ac:dyDescent="0.45">
      <c r="B821"/>
      <c r="G821"/>
    </row>
    <row r="822" spans="2:7" x14ac:dyDescent="0.45">
      <c r="B822"/>
      <c r="G822"/>
    </row>
    <row r="823" spans="2:7" x14ac:dyDescent="0.45">
      <c r="B823"/>
      <c r="G823"/>
    </row>
    <row r="824" spans="2:7" x14ac:dyDescent="0.45">
      <c r="B824"/>
      <c r="G824"/>
    </row>
    <row r="825" spans="2:7" x14ac:dyDescent="0.45">
      <c r="B825"/>
      <c r="G825"/>
    </row>
    <row r="826" spans="2:7" x14ac:dyDescent="0.45">
      <c r="B826"/>
      <c r="G826"/>
    </row>
    <row r="827" spans="2:7" x14ac:dyDescent="0.45">
      <c r="B827"/>
      <c r="G827"/>
    </row>
    <row r="828" spans="2:7" x14ac:dyDescent="0.45">
      <c r="B828"/>
      <c r="G828"/>
    </row>
    <row r="829" spans="2:7" x14ac:dyDescent="0.45">
      <c r="B829"/>
      <c r="G829"/>
    </row>
    <row r="830" spans="2:7" x14ac:dyDescent="0.45">
      <c r="B830"/>
      <c r="G830"/>
    </row>
    <row r="831" spans="2:7" x14ac:dyDescent="0.45">
      <c r="B831"/>
      <c r="G831"/>
    </row>
    <row r="832" spans="2:7" x14ac:dyDescent="0.45">
      <c r="B832"/>
      <c r="G832"/>
    </row>
    <row r="833" spans="2:7" x14ac:dyDescent="0.45">
      <c r="B833"/>
      <c r="G833"/>
    </row>
    <row r="834" spans="2:7" x14ac:dyDescent="0.45">
      <c r="B834"/>
      <c r="G834"/>
    </row>
    <row r="835" spans="2:7" x14ac:dyDescent="0.45">
      <c r="B835"/>
      <c r="G835"/>
    </row>
    <row r="836" spans="2:7" x14ac:dyDescent="0.45">
      <c r="B836"/>
      <c r="G836"/>
    </row>
    <row r="837" spans="2:7" x14ac:dyDescent="0.45">
      <c r="B837"/>
      <c r="G837"/>
    </row>
    <row r="838" spans="2:7" x14ac:dyDescent="0.45">
      <c r="B838"/>
      <c r="G838"/>
    </row>
    <row r="839" spans="2:7" x14ac:dyDescent="0.45">
      <c r="B839"/>
      <c r="G839"/>
    </row>
    <row r="840" spans="2:7" x14ac:dyDescent="0.45">
      <c r="B840"/>
      <c r="G840"/>
    </row>
    <row r="841" spans="2:7" x14ac:dyDescent="0.45">
      <c r="B841"/>
      <c r="G841"/>
    </row>
    <row r="842" spans="2:7" x14ac:dyDescent="0.45">
      <c r="B842"/>
      <c r="G842"/>
    </row>
    <row r="843" spans="2:7" x14ac:dyDescent="0.45">
      <c r="B843"/>
      <c r="G843"/>
    </row>
    <row r="844" spans="2:7" x14ac:dyDescent="0.45">
      <c r="B844"/>
      <c r="G844"/>
    </row>
    <row r="845" spans="2:7" x14ac:dyDescent="0.45">
      <c r="B845"/>
      <c r="G845"/>
    </row>
    <row r="846" spans="2:7" x14ac:dyDescent="0.45">
      <c r="B846"/>
      <c r="G846"/>
    </row>
    <row r="847" spans="2:7" x14ac:dyDescent="0.45">
      <c r="B847"/>
      <c r="G847"/>
    </row>
    <row r="848" spans="2:7" x14ac:dyDescent="0.45">
      <c r="B848"/>
      <c r="G848"/>
    </row>
    <row r="849" spans="2:7" x14ac:dyDescent="0.45">
      <c r="B849"/>
      <c r="G849"/>
    </row>
    <row r="850" spans="2:7" x14ac:dyDescent="0.45">
      <c r="B850"/>
      <c r="G850"/>
    </row>
    <row r="851" spans="2:7" x14ac:dyDescent="0.45">
      <c r="B851"/>
      <c r="G851"/>
    </row>
    <row r="852" spans="2:7" x14ac:dyDescent="0.45">
      <c r="B852"/>
      <c r="G852"/>
    </row>
    <row r="853" spans="2:7" x14ac:dyDescent="0.45">
      <c r="B853"/>
      <c r="G853"/>
    </row>
    <row r="854" spans="2:7" x14ac:dyDescent="0.45">
      <c r="B854"/>
      <c r="G854"/>
    </row>
    <row r="855" spans="2:7" x14ac:dyDescent="0.45">
      <c r="B855"/>
      <c r="G855"/>
    </row>
    <row r="856" spans="2:7" x14ac:dyDescent="0.45">
      <c r="B856"/>
      <c r="G856"/>
    </row>
    <row r="857" spans="2:7" x14ac:dyDescent="0.45">
      <c r="B857"/>
      <c r="G857"/>
    </row>
    <row r="858" spans="2:7" x14ac:dyDescent="0.45">
      <c r="B858"/>
      <c r="G858"/>
    </row>
    <row r="859" spans="2:7" x14ac:dyDescent="0.45">
      <c r="B859"/>
      <c r="G859"/>
    </row>
    <row r="860" spans="2:7" x14ac:dyDescent="0.45">
      <c r="B860"/>
      <c r="G860"/>
    </row>
    <row r="861" spans="2:7" x14ac:dyDescent="0.45">
      <c r="B861"/>
      <c r="G861"/>
    </row>
    <row r="862" spans="2:7" x14ac:dyDescent="0.45">
      <c r="B862"/>
      <c r="G862"/>
    </row>
    <row r="863" spans="2:7" x14ac:dyDescent="0.45">
      <c r="B863"/>
      <c r="G863"/>
    </row>
    <row r="864" spans="2:7" x14ac:dyDescent="0.45">
      <c r="B864"/>
      <c r="G864"/>
    </row>
    <row r="865" spans="2:7" x14ac:dyDescent="0.45">
      <c r="B865"/>
      <c r="G865"/>
    </row>
    <row r="866" spans="2:7" x14ac:dyDescent="0.45">
      <c r="B866"/>
      <c r="G866"/>
    </row>
    <row r="867" spans="2:7" x14ac:dyDescent="0.45">
      <c r="B867"/>
      <c r="G867"/>
    </row>
    <row r="868" spans="2:7" x14ac:dyDescent="0.45">
      <c r="B868"/>
      <c r="G868"/>
    </row>
    <row r="869" spans="2:7" x14ac:dyDescent="0.45">
      <c r="B869"/>
      <c r="G869"/>
    </row>
    <row r="870" spans="2:7" x14ac:dyDescent="0.45">
      <c r="B870"/>
      <c r="G870"/>
    </row>
    <row r="871" spans="2:7" x14ac:dyDescent="0.45">
      <c r="B871"/>
      <c r="G871"/>
    </row>
    <row r="872" spans="2:7" x14ac:dyDescent="0.45">
      <c r="B872"/>
      <c r="G872"/>
    </row>
    <row r="873" spans="2:7" x14ac:dyDescent="0.45">
      <c r="B873"/>
      <c r="G873"/>
    </row>
    <row r="874" spans="2:7" x14ac:dyDescent="0.45">
      <c r="B874"/>
      <c r="G874"/>
    </row>
    <row r="875" spans="2:7" x14ac:dyDescent="0.45">
      <c r="B875"/>
      <c r="G875"/>
    </row>
    <row r="876" spans="2:7" x14ac:dyDescent="0.45">
      <c r="B876"/>
      <c r="G876"/>
    </row>
    <row r="877" spans="2:7" x14ac:dyDescent="0.45">
      <c r="B877"/>
      <c r="G877"/>
    </row>
    <row r="878" spans="2:7" x14ac:dyDescent="0.45">
      <c r="B878"/>
      <c r="G878"/>
    </row>
    <row r="879" spans="2:7" x14ac:dyDescent="0.45">
      <c r="B879"/>
      <c r="G879"/>
    </row>
    <row r="880" spans="2:7" x14ac:dyDescent="0.45">
      <c r="B880"/>
      <c r="G880"/>
    </row>
    <row r="881" spans="2:7" x14ac:dyDescent="0.45">
      <c r="B881"/>
      <c r="G881"/>
    </row>
    <row r="882" spans="2:7" x14ac:dyDescent="0.45">
      <c r="B882"/>
      <c r="G882"/>
    </row>
    <row r="883" spans="2:7" x14ac:dyDescent="0.45">
      <c r="B883"/>
      <c r="G883"/>
    </row>
    <row r="884" spans="2:7" x14ac:dyDescent="0.45">
      <c r="B884"/>
      <c r="G884"/>
    </row>
    <row r="885" spans="2:7" x14ac:dyDescent="0.45">
      <c r="B885"/>
      <c r="G885"/>
    </row>
    <row r="886" spans="2:7" x14ac:dyDescent="0.45">
      <c r="B886"/>
      <c r="G886"/>
    </row>
    <row r="887" spans="2:7" x14ac:dyDescent="0.45">
      <c r="B887"/>
      <c r="G887"/>
    </row>
    <row r="888" spans="2:7" x14ac:dyDescent="0.45">
      <c r="B888"/>
      <c r="G888"/>
    </row>
    <row r="889" spans="2:7" x14ac:dyDescent="0.45">
      <c r="B889"/>
      <c r="G889"/>
    </row>
    <row r="890" spans="2:7" x14ac:dyDescent="0.45">
      <c r="B890"/>
      <c r="G890"/>
    </row>
    <row r="891" spans="2:7" x14ac:dyDescent="0.45">
      <c r="B891"/>
      <c r="G891"/>
    </row>
    <row r="892" spans="2:7" x14ac:dyDescent="0.45">
      <c r="B892"/>
      <c r="G892"/>
    </row>
    <row r="893" spans="2:7" x14ac:dyDescent="0.45">
      <c r="B893"/>
      <c r="G893"/>
    </row>
    <row r="894" spans="2:7" x14ac:dyDescent="0.45">
      <c r="B894"/>
      <c r="G894"/>
    </row>
    <row r="895" spans="2:7" x14ac:dyDescent="0.45">
      <c r="B895"/>
      <c r="G895"/>
    </row>
    <row r="896" spans="2:7" x14ac:dyDescent="0.45">
      <c r="B896"/>
      <c r="G896"/>
    </row>
    <row r="897" spans="2:7" x14ac:dyDescent="0.45">
      <c r="B897"/>
      <c r="G897"/>
    </row>
    <row r="898" spans="2:7" x14ac:dyDescent="0.45">
      <c r="B898"/>
      <c r="G898"/>
    </row>
    <row r="899" spans="2:7" x14ac:dyDescent="0.45">
      <c r="B899"/>
      <c r="G899"/>
    </row>
    <row r="900" spans="2:7" x14ac:dyDescent="0.45">
      <c r="B900"/>
      <c r="G900"/>
    </row>
    <row r="901" spans="2:7" x14ac:dyDescent="0.45">
      <c r="B901"/>
      <c r="G901"/>
    </row>
    <row r="902" spans="2:7" x14ac:dyDescent="0.45">
      <c r="B902"/>
      <c r="G902"/>
    </row>
    <row r="903" spans="2:7" x14ac:dyDescent="0.45">
      <c r="B903"/>
      <c r="G903"/>
    </row>
    <row r="904" spans="2:7" x14ac:dyDescent="0.45">
      <c r="B904"/>
      <c r="G904"/>
    </row>
    <row r="905" spans="2:7" x14ac:dyDescent="0.45">
      <c r="B905"/>
      <c r="G905"/>
    </row>
    <row r="906" spans="2:7" x14ac:dyDescent="0.45">
      <c r="B906"/>
      <c r="G906"/>
    </row>
    <row r="907" spans="2:7" x14ac:dyDescent="0.45">
      <c r="B907"/>
      <c r="G907"/>
    </row>
    <row r="908" spans="2:7" x14ac:dyDescent="0.45">
      <c r="B908"/>
      <c r="G908"/>
    </row>
    <row r="909" spans="2:7" x14ac:dyDescent="0.45">
      <c r="B909"/>
      <c r="G909"/>
    </row>
    <row r="910" spans="2:7" x14ac:dyDescent="0.45">
      <c r="B910"/>
      <c r="G910"/>
    </row>
    <row r="911" spans="2:7" x14ac:dyDescent="0.45">
      <c r="B911"/>
      <c r="G911"/>
    </row>
    <row r="912" spans="2:7" x14ac:dyDescent="0.45">
      <c r="B912"/>
      <c r="G912"/>
    </row>
    <row r="913" spans="2:7" x14ac:dyDescent="0.45">
      <c r="B913"/>
      <c r="G913"/>
    </row>
    <row r="914" spans="2:7" x14ac:dyDescent="0.45">
      <c r="B914"/>
      <c r="G914"/>
    </row>
    <row r="915" spans="2:7" x14ac:dyDescent="0.45">
      <c r="B915"/>
      <c r="G915"/>
    </row>
    <row r="916" spans="2:7" x14ac:dyDescent="0.45">
      <c r="B916"/>
      <c r="G916"/>
    </row>
    <row r="917" spans="2:7" x14ac:dyDescent="0.45">
      <c r="B917"/>
      <c r="G917"/>
    </row>
    <row r="918" spans="2:7" x14ac:dyDescent="0.45">
      <c r="B918"/>
      <c r="G918"/>
    </row>
    <row r="919" spans="2:7" x14ac:dyDescent="0.45">
      <c r="B919"/>
      <c r="G919"/>
    </row>
    <row r="920" spans="2:7" x14ac:dyDescent="0.45">
      <c r="B920"/>
      <c r="G920"/>
    </row>
    <row r="921" spans="2:7" x14ac:dyDescent="0.45">
      <c r="B921"/>
      <c r="G921"/>
    </row>
    <row r="922" spans="2:7" x14ac:dyDescent="0.45">
      <c r="B922"/>
      <c r="G922"/>
    </row>
    <row r="923" spans="2:7" x14ac:dyDescent="0.45">
      <c r="B923"/>
      <c r="G923"/>
    </row>
    <row r="924" spans="2:7" x14ac:dyDescent="0.45">
      <c r="B924"/>
      <c r="G924"/>
    </row>
    <row r="925" spans="2:7" x14ac:dyDescent="0.45">
      <c r="B925"/>
      <c r="G925"/>
    </row>
    <row r="926" spans="2:7" x14ac:dyDescent="0.45">
      <c r="B926"/>
      <c r="G926"/>
    </row>
    <row r="927" spans="2:7" x14ac:dyDescent="0.45">
      <c r="B927"/>
      <c r="G927"/>
    </row>
    <row r="928" spans="2:7" x14ac:dyDescent="0.45">
      <c r="B928"/>
      <c r="G928"/>
    </row>
    <row r="929" spans="2:7" x14ac:dyDescent="0.45">
      <c r="B929"/>
      <c r="G929"/>
    </row>
    <row r="930" spans="2:7" x14ac:dyDescent="0.45">
      <c r="B930"/>
      <c r="G930"/>
    </row>
    <row r="931" spans="2:7" x14ac:dyDescent="0.45">
      <c r="B931"/>
      <c r="G931"/>
    </row>
    <row r="932" spans="2:7" x14ac:dyDescent="0.45">
      <c r="B932"/>
      <c r="G932"/>
    </row>
    <row r="933" spans="2:7" x14ac:dyDescent="0.45">
      <c r="B933"/>
      <c r="G933"/>
    </row>
    <row r="934" spans="2:7" x14ac:dyDescent="0.45">
      <c r="B934"/>
      <c r="G934"/>
    </row>
    <row r="935" spans="2:7" x14ac:dyDescent="0.45">
      <c r="B935"/>
      <c r="G935"/>
    </row>
    <row r="936" spans="2:7" x14ac:dyDescent="0.45">
      <c r="B936"/>
      <c r="G936"/>
    </row>
    <row r="937" spans="2:7" x14ac:dyDescent="0.45">
      <c r="B937"/>
      <c r="G937"/>
    </row>
    <row r="938" spans="2:7" x14ac:dyDescent="0.45">
      <c r="B938"/>
      <c r="G938"/>
    </row>
    <row r="939" spans="2:7" x14ac:dyDescent="0.45">
      <c r="B939"/>
      <c r="G939"/>
    </row>
    <row r="940" spans="2:7" x14ac:dyDescent="0.45">
      <c r="B940"/>
      <c r="G940"/>
    </row>
    <row r="941" spans="2:7" x14ac:dyDescent="0.45">
      <c r="B941"/>
      <c r="G941"/>
    </row>
    <row r="942" spans="2:7" x14ac:dyDescent="0.45">
      <c r="B942"/>
      <c r="G942"/>
    </row>
    <row r="943" spans="2:7" x14ac:dyDescent="0.45">
      <c r="B943"/>
      <c r="G943"/>
    </row>
    <row r="944" spans="2:7" x14ac:dyDescent="0.45">
      <c r="B944"/>
      <c r="G944"/>
    </row>
    <row r="945" spans="2:7" x14ac:dyDescent="0.45">
      <c r="B945"/>
      <c r="G945"/>
    </row>
    <row r="946" spans="2:7" x14ac:dyDescent="0.45">
      <c r="B946"/>
      <c r="G946"/>
    </row>
    <row r="947" spans="2:7" x14ac:dyDescent="0.45">
      <c r="B947"/>
      <c r="G947"/>
    </row>
    <row r="948" spans="2:7" x14ac:dyDescent="0.45">
      <c r="B948"/>
      <c r="G948"/>
    </row>
    <row r="949" spans="2:7" x14ac:dyDescent="0.45">
      <c r="B949"/>
      <c r="G949"/>
    </row>
    <row r="950" spans="2:7" x14ac:dyDescent="0.45">
      <c r="B950"/>
      <c r="G950"/>
    </row>
    <row r="951" spans="2:7" x14ac:dyDescent="0.45">
      <c r="B951"/>
      <c r="G951"/>
    </row>
    <row r="952" spans="2:7" x14ac:dyDescent="0.45">
      <c r="B952"/>
      <c r="G952"/>
    </row>
    <row r="953" spans="2:7" x14ac:dyDescent="0.45">
      <c r="B953"/>
      <c r="G953"/>
    </row>
    <row r="954" spans="2:7" x14ac:dyDescent="0.45">
      <c r="B954"/>
      <c r="G954"/>
    </row>
    <row r="955" spans="2:7" x14ac:dyDescent="0.45">
      <c r="B955"/>
      <c r="G955"/>
    </row>
    <row r="956" spans="2:7" x14ac:dyDescent="0.45">
      <c r="B956"/>
      <c r="G956"/>
    </row>
    <row r="957" spans="2:7" x14ac:dyDescent="0.45">
      <c r="B957"/>
      <c r="G957"/>
    </row>
    <row r="958" spans="2:7" x14ac:dyDescent="0.45">
      <c r="B958"/>
      <c r="G958"/>
    </row>
    <row r="959" spans="2:7" x14ac:dyDescent="0.45">
      <c r="B959"/>
      <c r="G959"/>
    </row>
    <row r="960" spans="2:7" x14ac:dyDescent="0.45">
      <c r="B960"/>
      <c r="G960"/>
    </row>
    <row r="961" spans="2:7" x14ac:dyDescent="0.45">
      <c r="B961"/>
      <c r="G961"/>
    </row>
    <row r="962" spans="2:7" x14ac:dyDescent="0.45">
      <c r="B962"/>
      <c r="G962"/>
    </row>
    <row r="963" spans="2:7" x14ac:dyDescent="0.45">
      <c r="B963"/>
      <c r="G963"/>
    </row>
    <row r="964" spans="2:7" x14ac:dyDescent="0.45">
      <c r="B964"/>
      <c r="G964"/>
    </row>
    <row r="965" spans="2:7" x14ac:dyDescent="0.45">
      <c r="B965"/>
      <c r="G965"/>
    </row>
    <row r="966" spans="2:7" x14ac:dyDescent="0.45">
      <c r="B966"/>
      <c r="G966"/>
    </row>
    <row r="967" spans="2:7" x14ac:dyDescent="0.45">
      <c r="B967"/>
      <c r="G967"/>
    </row>
    <row r="968" spans="2:7" x14ac:dyDescent="0.45">
      <c r="B968"/>
      <c r="G968"/>
    </row>
    <row r="969" spans="2:7" x14ac:dyDescent="0.45">
      <c r="B969"/>
      <c r="G969"/>
    </row>
    <row r="970" spans="2:7" x14ac:dyDescent="0.45">
      <c r="B970"/>
      <c r="G970"/>
    </row>
    <row r="971" spans="2:7" x14ac:dyDescent="0.45">
      <c r="B971"/>
      <c r="G971"/>
    </row>
    <row r="972" spans="2:7" x14ac:dyDescent="0.45">
      <c r="B972"/>
      <c r="G972"/>
    </row>
    <row r="973" spans="2:7" x14ac:dyDescent="0.45">
      <c r="B973"/>
      <c r="G973"/>
    </row>
    <row r="974" spans="2:7" x14ac:dyDescent="0.45">
      <c r="B974"/>
      <c r="G974"/>
    </row>
    <row r="975" spans="2:7" x14ac:dyDescent="0.45">
      <c r="B975"/>
      <c r="G975"/>
    </row>
    <row r="976" spans="2:7" x14ac:dyDescent="0.45">
      <c r="B976"/>
      <c r="G976"/>
    </row>
    <row r="977" spans="2:7" x14ac:dyDescent="0.45">
      <c r="B977"/>
      <c r="G977"/>
    </row>
    <row r="978" spans="2:7" x14ac:dyDescent="0.45">
      <c r="B978"/>
      <c r="G978"/>
    </row>
    <row r="979" spans="2:7" x14ac:dyDescent="0.45">
      <c r="B979"/>
      <c r="G979"/>
    </row>
    <row r="980" spans="2:7" x14ac:dyDescent="0.45">
      <c r="B980"/>
      <c r="G980"/>
    </row>
    <row r="981" spans="2:7" x14ac:dyDescent="0.45">
      <c r="B981"/>
      <c r="G981"/>
    </row>
    <row r="982" spans="2:7" x14ac:dyDescent="0.45">
      <c r="B982"/>
      <c r="G982"/>
    </row>
    <row r="983" spans="2:7" x14ac:dyDescent="0.45">
      <c r="B983"/>
      <c r="G983"/>
    </row>
    <row r="984" spans="2:7" x14ac:dyDescent="0.45">
      <c r="B984"/>
      <c r="G984"/>
    </row>
    <row r="985" spans="2:7" x14ac:dyDescent="0.45">
      <c r="B985"/>
      <c r="G985"/>
    </row>
    <row r="986" spans="2:7" x14ac:dyDescent="0.45">
      <c r="B986"/>
      <c r="G986"/>
    </row>
    <row r="987" spans="2:7" x14ac:dyDescent="0.45">
      <c r="B987"/>
      <c r="G987"/>
    </row>
    <row r="988" spans="2:7" x14ac:dyDescent="0.45">
      <c r="B988"/>
      <c r="G988"/>
    </row>
    <row r="989" spans="2:7" x14ac:dyDescent="0.45">
      <c r="B989"/>
      <c r="G989"/>
    </row>
    <row r="990" spans="2:7" x14ac:dyDescent="0.45">
      <c r="B990"/>
      <c r="G990"/>
    </row>
    <row r="991" spans="2:7" x14ac:dyDescent="0.45">
      <c r="B991"/>
      <c r="G991"/>
    </row>
    <row r="992" spans="2:7" x14ac:dyDescent="0.45">
      <c r="B992"/>
      <c r="G992"/>
    </row>
    <row r="993" spans="2:7" x14ac:dyDescent="0.45">
      <c r="B993"/>
      <c r="G993"/>
    </row>
    <row r="994" spans="2:7" x14ac:dyDescent="0.45">
      <c r="B994"/>
      <c r="G994"/>
    </row>
    <row r="995" spans="2:7" x14ac:dyDescent="0.45">
      <c r="B995"/>
      <c r="G995"/>
    </row>
    <row r="996" spans="2:7" x14ac:dyDescent="0.45">
      <c r="B996"/>
      <c r="G996"/>
    </row>
    <row r="997" spans="2:7" x14ac:dyDescent="0.45">
      <c r="B997"/>
      <c r="G997"/>
    </row>
    <row r="998" spans="2:7" x14ac:dyDescent="0.45">
      <c r="B998"/>
      <c r="G998"/>
    </row>
    <row r="999" spans="2:7" x14ac:dyDescent="0.45">
      <c r="B999"/>
      <c r="G999"/>
    </row>
    <row r="1000" spans="2:7" x14ac:dyDescent="0.45">
      <c r="B1000"/>
      <c r="G1000"/>
    </row>
    <row r="1001" spans="2:7" x14ac:dyDescent="0.45">
      <c r="B1001"/>
      <c r="G1001"/>
    </row>
    <row r="1002" spans="2:7" x14ac:dyDescent="0.45">
      <c r="B1002"/>
      <c r="G1002"/>
    </row>
    <row r="1003" spans="2:7" x14ac:dyDescent="0.45">
      <c r="B1003"/>
      <c r="G1003"/>
    </row>
    <row r="1004" spans="2:7" x14ac:dyDescent="0.45">
      <c r="B1004"/>
      <c r="G1004"/>
    </row>
    <row r="1005" spans="2:7" x14ac:dyDescent="0.45">
      <c r="B1005"/>
      <c r="G1005"/>
    </row>
    <row r="1006" spans="2:7" x14ac:dyDescent="0.45">
      <c r="B1006"/>
      <c r="G1006"/>
    </row>
    <row r="1007" spans="2:7" x14ac:dyDescent="0.45">
      <c r="B1007"/>
      <c r="G1007"/>
    </row>
    <row r="1008" spans="2:7" x14ac:dyDescent="0.45">
      <c r="B1008"/>
      <c r="G1008"/>
    </row>
    <row r="1009" spans="2:7" x14ac:dyDescent="0.45">
      <c r="B1009"/>
      <c r="G1009"/>
    </row>
    <row r="1010" spans="2:7" x14ac:dyDescent="0.45">
      <c r="B1010"/>
      <c r="G1010"/>
    </row>
    <row r="1011" spans="2:7" x14ac:dyDescent="0.45">
      <c r="B1011"/>
      <c r="G1011"/>
    </row>
    <row r="1012" spans="2:7" x14ac:dyDescent="0.45">
      <c r="B1012"/>
      <c r="G1012"/>
    </row>
    <row r="1013" spans="2:7" x14ac:dyDescent="0.45">
      <c r="B1013"/>
      <c r="G1013"/>
    </row>
    <row r="1014" spans="2:7" x14ac:dyDescent="0.45">
      <c r="B1014"/>
      <c r="G1014"/>
    </row>
    <row r="1015" spans="2:7" x14ac:dyDescent="0.45">
      <c r="B1015"/>
      <c r="G1015"/>
    </row>
    <row r="1016" spans="2:7" x14ac:dyDescent="0.45">
      <c r="B1016"/>
      <c r="G1016"/>
    </row>
    <row r="1017" spans="2:7" x14ac:dyDescent="0.45">
      <c r="B1017"/>
      <c r="G1017"/>
    </row>
    <row r="1018" spans="2:7" x14ac:dyDescent="0.45">
      <c r="B1018"/>
      <c r="G1018"/>
    </row>
    <row r="1019" spans="2:7" x14ac:dyDescent="0.45">
      <c r="B1019"/>
      <c r="G1019"/>
    </row>
    <row r="1020" spans="2:7" x14ac:dyDescent="0.45">
      <c r="B1020"/>
      <c r="G1020"/>
    </row>
    <row r="1021" spans="2:7" x14ac:dyDescent="0.45">
      <c r="B1021"/>
      <c r="G1021"/>
    </row>
    <row r="1022" spans="2:7" x14ac:dyDescent="0.45">
      <c r="B1022"/>
      <c r="G1022"/>
    </row>
    <row r="1023" spans="2:7" x14ac:dyDescent="0.45">
      <c r="B1023"/>
      <c r="G1023"/>
    </row>
    <row r="1024" spans="2:7" x14ac:dyDescent="0.45">
      <c r="B1024"/>
      <c r="G1024"/>
    </row>
    <row r="1025" spans="2:7" x14ac:dyDescent="0.45">
      <c r="B1025"/>
      <c r="G1025"/>
    </row>
    <row r="1026" spans="2:7" x14ac:dyDescent="0.45">
      <c r="B1026"/>
      <c r="G1026"/>
    </row>
    <row r="1027" spans="2:7" x14ac:dyDescent="0.45">
      <c r="B1027"/>
      <c r="G1027"/>
    </row>
    <row r="1028" spans="2:7" x14ac:dyDescent="0.45">
      <c r="B1028"/>
      <c r="G1028"/>
    </row>
    <row r="1029" spans="2:7" x14ac:dyDescent="0.45">
      <c r="B1029"/>
      <c r="G1029"/>
    </row>
    <row r="1030" spans="2:7" x14ac:dyDescent="0.45">
      <c r="B1030"/>
      <c r="G1030"/>
    </row>
    <row r="1031" spans="2:7" x14ac:dyDescent="0.45">
      <c r="B1031"/>
      <c r="G1031"/>
    </row>
    <row r="1032" spans="2:7" x14ac:dyDescent="0.45">
      <c r="B1032"/>
      <c r="G1032"/>
    </row>
    <row r="1033" spans="2:7" x14ac:dyDescent="0.45">
      <c r="B1033"/>
      <c r="G1033"/>
    </row>
    <row r="1034" spans="2:7" x14ac:dyDescent="0.45">
      <c r="B1034"/>
      <c r="G1034"/>
    </row>
    <row r="1035" spans="2:7" x14ac:dyDescent="0.45">
      <c r="B1035"/>
      <c r="G1035"/>
    </row>
    <row r="1036" spans="2:7" x14ac:dyDescent="0.45">
      <c r="B1036"/>
      <c r="G1036"/>
    </row>
    <row r="1037" spans="2:7" x14ac:dyDescent="0.45">
      <c r="B1037"/>
      <c r="G1037"/>
    </row>
    <row r="1038" spans="2:7" x14ac:dyDescent="0.45">
      <c r="B1038"/>
      <c r="G1038"/>
    </row>
    <row r="1039" spans="2:7" x14ac:dyDescent="0.45">
      <c r="B1039"/>
      <c r="G1039"/>
    </row>
    <row r="1040" spans="2:7" x14ac:dyDescent="0.45">
      <c r="B1040"/>
      <c r="G1040"/>
    </row>
    <row r="1041" spans="2:7" x14ac:dyDescent="0.45">
      <c r="B1041"/>
      <c r="G1041"/>
    </row>
    <row r="1042" spans="2:7" x14ac:dyDescent="0.45">
      <c r="B1042"/>
      <c r="G1042"/>
    </row>
    <row r="1043" spans="2:7" x14ac:dyDescent="0.45">
      <c r="B1043"/>
      <c r="G1043"/>
    </row>
    <row r="1044" spans="2:7" x14ac:dyDescent="0.45">
      <c r="B1044"/>
      <c r="G1044"/>
    </row>
    <row r="1045" spans="2:7" x14ac:dyDescent="0.45">
      <c r="B1045"/>
      <c r="G1045"/>
    </row>
    <row r="1046" spans="2:7" x14ac:dyDescent="0.45">
      <c r="B1046"/>
      <c r="G1046"/>
    </row>
    <row r="1047" spans="2:7" x14ac:dyDescent="0.45">
      <c r="B1047"/>
      <c r="G1047"/>
    </row>
    <row r="1048" spans="2:7" x14ac:dyDescent="0.45">
      <c r="B1048"/>
      <c r="G1048"/>
    </row>
    <row r="1049" spans="2:7" x14ac:dyDescent="0.45">
      <c r="B1049"/>
      <c r="G1049"/>
    </row>
    <row r="1050" spans="2:7" x14ac:dyDescent="0.45">
      <c r="B1050"/>
      <c r="G1050"/>
    </row>
    <row r="1051" spans="2:7" x14ac:dyDescent="0.45">
      <c r="B1051"/>
      <c r="G1051"/>
    </row>
    <row r="1052" spans="2:7" x14ac:dyDescent="0.45">
      <c r="B1052"/>
      <c r="G1052"/>
    </row>
    <row r="1053" spans="2:7" x14ac:dyDescent="0.45">
      <c r="B1053"/>
      <c r="G1053"/>
    </row>
    <row r="1054" spans="2:7" x14ac:dyDescent="0.45">
      <c r="B1054"/>
      <c r="G1054"/>
    </row>
    <row r="1055" spans="2:7" x14ac:dyDescent="0.45">
      <c r="B1055"/>
      <c r="G1055"/>
    </row>
    <row r="1056" spans="2:7" x14ac:dyDescent="0.45">
      <c r="B1056"/>
      <c r="G1056"/>
    </row>
    <row r="1057" spans="2:7" x14ac:dyDescent="0.45">
      <c r="B1057"/>
      <c r="G1057"/>
    </row>
    <row r="1058" spans="2:7" x14ac:dyDescent="0.45">
      <c r="B1058"/>
      <c r="G1058"/>
    </row>
    <row r="1059" spans="2:7" x14ac:dyDescent="0.45">
      <c r="B1059"/>
      <c r="G1059"/>
    </row>
    <row r="1060" spans="2:7" x14ac:dyDescent="0.45">
      <c r="B1060"/>
      <c r="G1060"/>
    </row>
    <row r="1061" spans="2:7" x14ac:dyDescent="0.45">
      <c r="B1061"/>
      <c r="G1061"/>
    </row>
    <row r="1062" spans="2:7" x14ac:dyDescent="0.45">
      <c r="B1062"/>
      <c r="G1062"/>
    </row>
    <row r="1063" spans="2:7" x14ac:dyDescent="0.45">
      <c r="B1063"/>
      <c r="G1063"/>
    </row>
    <row r="1064" spans="2:7" x14ac:dyDescent="0.45">
      <c r="B1064"/>
      <c r="G1064"/>
    </row>
    <row r="1065" spans="2:7" x14ac:dyDescent="0.45">
      <c r="B1065"/>
      <c r="G1065"/>
    </row>
    <row r="1066" spans="2:7" x14ac:dyDescent="0.45">
      <c r="B1066"/>
      <c r="G1066"/>
    </row>
    <row r="1067" spans="2:7" x14ac:dyDescent="0.45">
      <c r="B1067"/>
      <c r="G1067"/>
    </row>
    <row r="1068" spans="2:7" x14ac:dyDescent="0.45">
      <c r="B1068"/>
      <c r="G1068"/>
    </row>
    <row r="1069" spans="2:7" x14ac:dyDescent="0.45">
      <c r="B1069"/>
      <c r="G1069"/>
    </row>
    <row r="1070" spans="2:7" x14ac:dyDescent="0.45">
      <c r="B1070"/>
      <c r="G1070"/>
    </row>
    <row r="1071" spans="2:7" x14ac:dyDescent="0.45">
      <c r="B1071"/>
      <c r="G1071"/>
    </row>
    <row r="1072" spans="2:7" x14ac:dyDescent="0.45">
      <c r="B1072"/>
      <c r="G1072"/>
    </row>
    <row r="1073" spans="2:7" x14ac:dyDescent="0.45">
      <c r="B1073"/>
      <c r="G1073"/>
    </row>
    <row r="1074" spans="2:7" x14ac:dyDescent="0.45">
      <c r="B1074"/>
      <c r="G1074"/>
    </row>
    <row r="1075" spans="2:7" x14ac:dyDescent="0.45">
      <c r="B1075"/>
      <c r="G1075"/>
    </row>
    <row r="1076" spans="2:7" x14ac:dyDescent="0.45">
      <c r="B1076"/>
      <c r="G1076"/>
    </row>
    <row r="1077" spans="2:7" x14ac:dyDescent="0.45">
      <c r="B1077"/>
      <c r="G1077"/>
    </row>
    <row r="1078" spans="2:7" x14ac:dyDescent="0.45">
      <c r="B1078"/>
      <c r="G1078"/>
    </row>
    <row r="1079" spans="2:7" x14ac:dyDescent="0.45">
      <c r="B1079"/>
      <c r="G1079"/>
    </row>
    <row r="1080" spans="2:7" x14ac:dyDescent="0.45">
      <c r="B1080"/>
      <c r="G1080"/>
    </row>
    <row r="1081" spans="2:7" x14ac:dyDescent="0.45">
      <c r="B1081"/>
      <c r="G1081"/>
    </row>
    <row r="1082" spans="2:7" x14ac:dyDescent="0.45">
      <c r="B1082"/>
      <c r="G1082"/>
    </row>
    <row r="1083" spans="2:7" x14ac:dyDescent="0.45">
      <c r="B1083"/>
      <c r="G1083"/>
    </row>
    <row r="1084" spans="2:7" x14ac:dyDescent="0.45">
      <c r="B1084"/>
      <c r="G1084"/>
    </row>
    <row r="1085" spans="2:7" x14ac:dyDescent="0.45">
      <c r="B1085"/>
      <c r="G1085"/>
    </row>
    <row r="1086" spans="2:7" x14ac:dyDescent="0.45">
      <c r="B1086"/>
      <c r="G1086"/>
    </row>
    <row r="1087" spans="2:7" x14ac:dyDescent="0.45">
      <c r="B1087"/>
      <c r="G1087"/>
    </row>
    <row r="1088" spans="2:7" x14ac:dyDescent="0.45">
      <c r="B1088"/>
      <c r="G1088"/>
    </row>
    <row r="1089" spans="2:7" x14ac:dyDescent="0.45">
      <c r="B1089"/>
      <c r="G1089"/>
    </row>
    <row r="1090" spans="2:7" x14ac:dyDescent="0.45">
      <c r="B1090"/>
      <c r="G1090"/>
    </row>
    <row r="1091" spans="2:7" x14ac:dyDescent="0.45">
      <c r="B1091"/>
      <c r="G1091"/>
    </row>
    <row r="1092" spans="2:7" x14ac:dyDescent="0.45">
      <c r="B1092"/>
      <c r="G1092"/>
    </row>
    <row r="1093" spans="2:7" x14ac:dyDescent="0.45">
      <c r="B1093"/>
      <c r="G1093"/>
    </row>
    <row r="1094" spans="2:7" x14ac:dyDescent="0.45">
      <c r="B1094"/>
      <c r="G1094"/>
    </row>
    <row r="1095" spans="2:7" x14ac:dyDescent="0.45">
      <c r="B1095"/>
      <c r="G1095"/>
    </row>
    <row r="1096" spans="2:7" x14ac:dyDescent="0.45">
      <c r="B1096"/>
      <c r="G1096"/>
    </row>
    <row r="1097" spans="2:7" x14ac:dyDescent="0.45">
      <c r="B1097"/>
      <c r="G1097"/>
    </row>
    <row r="1098" spans="2:7" x14ac:dyDescent="0.45">
      <c r="B1098"/>
      <c r="G1098"/>
    </row>
    <row r="1099" spans="2:7" x14ac:dyDescent="0.45">
      <c r="B1099"/>
      <c r="G1099"/>
    </row>
    <row r="1100" spans="2:7" x14ac:dyDescent="0.45">
      <c r="B1100"/>
      <c r="G1100"/>
    </row>
    <row r="1101" spans="2:7" x14ac:dyDescent="0.45">
      <c r="B1101"/>
      <c r="G1101"/>
    </row>
    <row r="1102" spans="2:7" x14ac:dyDescent="0.45">
      <c r="B1102"/>
      <c r="G1102"/>
    </row>
    <row r="1103" spans="2:7" x14ac:dyDescent="0.45">
      <c r="B1103"/>
      <c r="G1103"/>
    </row>
    <row r="1104" spans="2:7" x14ac:dyDescent="0.45">
      <c r="B1104"/>
      <c r="G1104"/>
    </row>
    <row r="1105" spans="2:7" x14ac:dyDescent="0.45">
      <c r="B1105"/>
      <c r="G1105"/>
    </row>
    <row r="1106" spans="2:7" x14ac:dyDescent="0.45">
      <c r="B1106"/>
      <c r="G1106"/>
    </row>
    <row r="1107" spans="2:7" x14ac:dyDescent="0.45">
      <c r="B1107"/>
      <c r="G1107"/>
    </row>
    <row r="1108" spans="2:7" x14ac:dyDescent="0.45">
      <c r="B1108"/>
      <c r="G1108"/>
    </row>
    <row r="1109" spans="2:7" x14ac:dyDescent="0.45">
      <c r="B1109"/>
      <c r="G1109"/>
    </row>
    <row r="1110" spans="2:7" x14ac:dyDescent="0.45">
      <c r="B1110"/>
      <c r="G1110"/>
    </row>
    <row r="1111" spans="2:7" x14ac:dyDescent="0.45">
      <c r="B1111"/>
      <c r="G1111"/>
    </row>
    <row r="1112" spans="2:7" x14ac:dyDescent="0.45">
      <c r="B1112"/>
      <c r="G1112"/>
    </row>
    <row r="1113" spans="2:7" x14ac:dyDescent="0.45">
      <c r="B1113"/>
      <c r="G1113"/>
    </row>
    <row r="1114" spans="2:7" x14ac:dyDescent="0.45">
      <c r="B1114"/>
      <c r="G1114"/>
    </row>
    <row r="1115" spans="2:7" x14ac:dyDescent="0.45">
      <c r="B1115"/>
      <c r="G1115"/>
    </row>
    <row r="1116" spans="2:7" x14ac:dyDescent="0.45">
      <c r="B1116"/>
      <c r="G1116"/>
    </row>
    <row r="1117" spans="2:7" x14ac:dyDescent="0.45">
      <c r="B1117"/>
      <c r="G1117"/>
    </row>
    <row r="1118" spans="2:7" x14ac:dyDescent="0.45">
      <c r="B1118"/>
      <c r="G1118"/>
    </row>
    <row r="1119" spans="2:7" x14ac:dyDescent="0.45">
      <c r="B1119"/>
      <c r="G1119"/>
    </row>
    <row r="1120" spans="2:7" x14ac:dyDescent="0.45">
      <c r="B1120"/>
      <c r="G1120"/>
    </row>
    <row r="1121" spans="2:7" x14ac:dyDescent="0.45">
      <c r="B1121"/>
      <c r="G1121"/>
    </row>
    <row r="1122" spans="2:7" x14ac:dyDescent="0.45">
      <c r="B1122"/>
      <c r="G1122"/>
    </row>
    <row r="1123" spans="2:7" x14ac:dyDescent="0.45">
      <c r="B1123"/>
      <c r="G1123"/>
    </row>
    <row r="1124" spans="2:7" x14ac:dyDescent="0.45">
      <c r="B1124"/>
      <c r="G1124"/>
    </row>
    <row r="1125" spans="2:7" x14ac:dyDescent="0.45">
      <c r="B1125"/>
      <c r="G1125"/>
    </row>
    <row r="1126" spans="2:7" x14ac:dyDescent="0.45">
      <c r="B1126"/>
      <c r="G1126"/>
    </row>
    <row r="1127" spans="2:7" x14ac:dyDescent="0.45">
      <c r="B1127"/>
      <c r="G1127"/>
    </row>
    <row r="1128" spans="2:7" x14ac:dyDescent="0.45">
      <c r="B1128"/>
      <c r="G1128"/>
    </row>
    <row r="1129" spans="2:7" x14ac:dyDescent="0.45">
      <c r="B1129"/>
      <c r="G1129"/>
    </row>
    <row r="1130" spans="2:7" x14ac:dyDescent="0.45">
      <c r="B1130"/>
      <c r="G1130"/>
    </row>
    <row r="1131" spans="2:7" x14ac:dyDescent="0.45">
      <c r="B1131"/>
      <c r="G1131"/>
    </row>
    <row r="1132" spans="2:7" x14ac:dyDescent="0.45">
      <c r="B1132"/>
      <c r="G1132"/>
    </row>
    <row r="1133" spans="2:7" x14ac:dyDescent="0.45">
      <c r="B1133"/>
      <c r="G1133"/>
    </row>
    <row r="1134" spans="2:7" x14ac:dyDescent="0.45">
      <c r="B1134"/>
      <c r="G1134"/>
    </row>
    <row r="1135" spans="2:7" x14ac:dyDescent="0.45">
      <c r="B1135"/>
      <c r="G1135"/>
    </row>
    <row r="1136" spans="2:7" x14ac:dyDescent="0.45">
      <c r="B1136"/>
      <c r="G1136"/>
    </row>
    <row r="1137" spans="2:7" x14ac:dyDescent="0.45">
      <c r="B1137"/>
      <c r="G1137"/>
    </row>
    <row r="1138" spans="2:7" x14ac:dyDescent="0.45">
      <c r="B1138"/>
      <c r="G1138"/>
    </row>
    <row r="1139" spans="2:7" x14ac:dyDescent="0.45">
      <c r="B1139"/>
      <c r="G1139"/>
    </row>
    <row r="1140" spans="2:7" x14ac:dyDescent="0.45">
      <c r="B1140"/>
      <c r="G1140"/>
    </row>
    <row r="1141" spans="2:7" x14ac:dyDescent="0.45">
      <c r="B1141"/>
      <c r="G1141"/>
    </row>
    <row r="1142" spans="2:7" x14ac:dyDescent="0.45">
      <c r="B1142"/>
      <c r="G1142"/>
    </row>
    <row r="1143" spans="2:7" x14ac:dyDescent="0.45">
      <c r="B1143"/>
      <c r="G1143"/>
    </row>
    <row r="1144" spans="2:7" x14ac:dyDescent="0.45">
      <c r="B1144"/>
      <c r="G1144"/>
    </row>
    <row r="1145" spans="2:7" x14ac:dyDescent="0.45">
      <c r="B1145"/>
      <c r="G1145"/>
    </row>
    <row r="1146" spans="2:7" x14ac:dyDescent="0.45">
      <c r="B1146"/>
      <c r="G1146"/>
    </row>
    <row r="1147" spans="2:7" x14ac:dyDescent="0.45">
      <c r="B1147"/>
      <c r="G1147"/>
    </row>
    <row r="1148" spans="2:7" x14ac:dyDescent="0.45">
      <c r="B1148"/>
      <c r="G1148"/>
    </row>
    <row r="1149" spans="2:7" x14ac:dyDescent="0.45">
      <c r="B1149"/>
      <c r="G1149"/>
    </row>
    <row r="1150" spans="2:7" x14ac:dyDescent="0.45">
      <c r="B1150"/>
      <c r="G1150"/>
    </row>
    <row r="1151" spans="2:7" x14ac:dyDescent="0.45">
      <c r="B1151"/>
      <c r="G1151"/>
    </row>
    <row r="1152" spans="2:7" x14ac:dyDescent="0.45">
      <c r="B1152"/>
      <c r="G1152"/>
    </row>
    <row r="1153" spans="2:7" x14ac:dyDescent="0.45">
      <c r="B1153"/>
      <c r="G1153"/>
    </row>
    <row r="1154" spans="2:7" x14ac:dyDescent="0.45">
      <c r="B1154"/>
      <c r="G1154"/>
    </row>
    <row r="1155" spans="2:7" x14ac:dyDescent="0.45">
      <c r="B1155"/>
      <c r="G1155"/>
    </row>
    <row r="1156" spans="2:7" x14ac:dyDescent="0.45">
      <c r="B1156"/>
      <c r="G1156"/>
    </row>
    <row r="1157" spans="2:7" x14ac:dyDescent="0.45">
      <c r="B1157"/>
      <c r="G1157"/>
    </row>
    <row r="1158" spans="2:7" x14ac:dyDescent="0.45">
      <c r="B1158"/>
      <c r="G1158"/>
    </row>
    <row r="1159" spans="2:7" x14ac:dyDescent="0.45">
      <c r="B1159"/>
      <c r="G1159"/>
    </row>
    <row r="1160" spans="2:7" x14ac:dyDescent="0.45">
      <c r="B1160"/>
      <c r="G1160"/>
    </row>
    <row r="1161" spans="2:7" x14ac:dyDescent="0.45">
      <c r="B1161"/>
      <c r="G1161"/>
    </row>
    <row r="1162" spans="2:7" x14ac:dyDescent="0.45">
      <c r="B1162"/>
      <c r="G1162"/>
    </row>
    <row r="1163" spans="2:7" x14ac:dyDescent="0.45">
      <c r="B1163"/>
      <c r="G1163"/>
    </row>
    <row r="1164" spans="2:7" x14ac:dyDescent="0.45">
      <c r="B1164"/>
      <c r="G1164"/>
    </row>
    <row r="1165" spans="2:7" x14ac:dyDescent="0.45">
      <c r="B1165"/>
      <c r="G1165"/>
    </row>
    <row r="1166" spans="2:7" x14ac:dyDescent="0.45">
      <c r="B1166"/>
      <c r="G1166"/>
    </row>
    <row r="1167" spans="2:7" x14ac:dyDescent="0.45">
      <c r="B1167"/>
      <c r="G1167"/>
    </row>
    <row r="1168" spans="2:7" x14ac:dyDescent="0.45">
      <c r="B1168"/>
      <c r="G1168"/>
    </row>
    <row r="1169" spans="2:7" x14ac:dyDescent="0.45">
      <c r="B1169"/>
      <c r="G1169"/>
    </row>
    <row r="1170" spans="2:7" x14ac:dyDescent="0.45">
      <c r="B1170"/>
      <c r="G1170"/>
    </row>
    <row r="1171" spans="2:7" x14ac:dyDescent="0.45">
      <c r="B1171"/>
      <c r="G1171"/>
    </row>
    <row r="1172" spans="2:7" x14ac:dyDescent="0.45">
      <c r="B1172"/>
      <c r="G1172"/>
    </row>
    <row r="1173" spans="2:7" x14ac:dyDescent="0.45">
      <c r="B1173"/>
      <c r="G1173"/>
    </row>
    <row r="1174" spans="2:7" x14ac:dyDescent="0.45">
      <c r="B1174"/>
      <c r="G1174"/>
    </row>
    <row r="1175" spans="2:7" x14ac:dyDescent="0.45">
      <c r="B1175"/>
      <c r="G1175"/>
    </row>
    <row r="1176" spans="2:7" x14ac:dyDescent="0.45">
      <c r="B1176"/>
      <c r="G1176"/>
    </row>
    <row r="1177" spans="2:7" x14ac:dyDescent="0.45">
      <c r="B1177"/>
      <c r="G1177"/>
    </row>
    <row r="1178" spans="2:7" x14ac:dyDescent="0.45">
      <c r="B1178"/>
      <c r="G1178"/>
    </row>
    <row r="1179" spans="2:7" x14ac:dyDescent="0.45">
      <c r="B1179"/>
      <c r="G1179"/>
    </row>
    <row r="1180" spans="2:7" x14ac:dyDescent="0.45">
      <c r="B1180"/>
      <c r="G1180"/>
    </row>
    <row r="1181" spans="2:7" x14ac:dyDescent="0.45">
      <c r="B1181"/>
      <c r="G1181"/>
    </row>
    <row r="1182" spans="2:7" x14ac:dyDescent="0.45">
      <c r="B1182"/>
      <c r="G1182"/>
    </row>
    <row r="1183" spans="2:7" x14ac:dyDescent="0.45">
      <c r="B1183"/>
      <c r="G1183"/>
    </row>
    <row r="1184" spans="2:7" x14ac:dyDescent="0.45">
      <c r="B1184"/>
      <c r="G1184"/>
    </row>
    <row r="1185" spans="2:7" x14ac:dyDescent="0.45">
      <c r="B1185"/>
      <c r="G1185"/>
    </row>
    <row r="1186" spans="2:7" x14ac:dyDescent="0.45">
      <c r="B1186"/>
      <c r="G1186"/>
    </row>
    <row r="1187" spans="2:7" x14ac:dyDescent="0.45">
      <c r="B1187"/>
      <c r="G1187"/>
    </row>
    <row r="1188" spans="2:7" x14ac:dyDescent="0.45">
      <c r="B1188"/>
      <c r="G1188"/>
    </row>
    <row r="1189" spans="2:7" x14ac:dyDescent="0.45">
      <c r="B1189"/>
      <c r="G1189"/>
    </row>
    <row r="1190" spans="2:7" x14ac:dyDescent="0.45">
      <c r="B1190"/>
      <c r="G1190"/>
    </row>
    <row r="1191" spans="2:7" x14ac:dyDescent="0.45">
      <c r="B1191"/>
      <c r="G1191"/>
    </row>
    <row r="1192" spans="2:7" x14ac:dyDescent="0.45">
      <c r="B1192"/>
      <c r="G1192"/>
    </row>
    <row r="1193" spans="2:7" x14ac:dyDescent="0.45">
      <c r="B1193"/>
      <c r="G1193"/>
    </row>
    <row r="1194" spans="2:7" x14ac:dyDescent="0.45">
      <c r="B1194"/>
      <c r="G1194"/>
    </row>
    <row r="1195" spans="2:7" x14ac:dyDescent="0.45">
      <c r="B1195"/>
      <c r="G1195"/>
    </row>
    <row r="1196" spans="2:7" x14ac:dyDescent="0.45">
      <c r="B1196"/>
      <c r="G1196"/>
    </row>
    <row r="1197" spans="2:7" x14ac:dyDescent="0.45">
      <c r="B1197"/>
      <c r="G1197"/>
    </row>
    <row r="1198" spans="2:7" x14ac:dyDescent="0.45">
      <c r="B1198"/>
      <c r="G1198"/>
    </row>
    <row r="1199" spans="2:7" x14ac:dyDescent="0.45">
      <c r="B1199"/>
      <c r="G1199"/>
    </row>
    <row r="1200" spans="2:7" x14ac:dyDescent="0.45">
      <c r="B1200"/>
      <c r="G1200"/>
    </row>
    <row r="1201" spans="2:7" x14ac:dyDescent="0.45">
      <c r="B1201"/>
      <c r="G1201"/>
    </row>
    <row r="1202" spans="2:7" x14ac:dyDescent="0.45">
      <c r="B1202"/>
      <c r="G1202"/>
    </row>
    <row r="1203" spans="2:7" x14ac:dyDescent="0.45">
      <c r="B1203"/>
      <c r="G1203"/>
    </row>
    <row r="1204" spans="2:7" x14ac:dyDescent="0.45">
      <c r="B1204"/>
      <c r="G1204"/>
    </row>
    <row r="1205" spans="2:7" x14ac:dyDescent="0.45">
      <c r="B1205"/>
      <c r="G1205"/>
    </row>
    <row r="1206" spans="2:7" x14ac:dyDescent="0.45">
      <c r="B1206"/>
      <c r="G1206"/>
    </row>
    <row r="1207" spans="2:7" x14ac:dyDescent="0.45">
      <c r="B1207"/>
      <c r="G1207"/>
    </row>
    <row r="1208" spans="2:7" x14ac:dyDescent="0.45">
      <c r="B1208"/>
      <c r="G1208"/>
    </row>
    <row r="1209" spans="2:7" x14ac:dyDescent="0.45">
      <c r="B1209"/>
      <c r="G1209"/>
    </row>
    <row r="1210" spans="2:7" x14ac:dyDescent="0.45">
      <c r="B1210"/>
      <c r="G1210"/>
    </row>
    <row r="1211" spans="2:7" x14ac:dyDescent="0.45">
      <c r="B1211"/>
      <c r="G1211"/>
    </row>
    <row r="1212" spans="2:7" x14ac:dyDescent="0.45">
      <c r="B1212"/>
      <c r="G1212"/>
    </row>
    <row r="1213" spans="2:7" x14ac:dyDescent="0.45">
      <c r="B1213"/>
      <c r="G1213"/>
    </row>
    <row r="1214" spans="2:7" x14ac:dyDescent="0.45">
      <c r="B1214"/>
      <c r="G1214"/>
    </row>
    <row r="1215" spans="2:7" x14ac:dyDescent="0.45">
      <c r="B1215"/>
      <c r="G1215"/>
    </row>
    <row r="1216" spans="2:7" x14ac:dyDescent="0.45">
      <c r="B1216"/>
      <c r="G1216"/>
    </row>
    <row r="1217" spans="2:7" x14ac:dyDescent="0.45">
      <c r="B1217"/>
      <c r="G1217"/>
    </row>
    <row r="1218" spans="2:7" x14ac:dyDescent="0.45">
      <c r="B1218"/>
      <c r="G1218"/>
    </row>
    <row r="1219" spans="2:7" x14ac:dyDescent="0.45">
      <c r="B1219"/>
      <c r="G1219"/>
    </row>
    <row r="1220" spans="2:7" x14ac:dyDescent="0.45">
      <c r="B1220"/>
      <c r="G1220"/>
    </row>
    <row r="1221" spans="2:7" x14ac:dyDescent="0.45">
      <c r="B1221"/>
      <c r="G1221"/>
    </row>
    <row r="1222" spans="2:7" x14ac:dyDescent="0.45">
      <c r="B1222"/>
      <c r="G1222"/>
    </row>
    <row r="1223" spans="2:7" x14ac:dyDescent="0.45">
      <c r="B1223"/>
      <c r="G1223"/>
    </row>
    <row r="1224" spans="2:7" x14ac:dyDescent="0.45">
      <c r="B1224"/>
      <c r="G1224"/>
    </row>
    <row r="1225" spans="2:7" x14ac:dyDescent="0.45">
      <c r="B1225"/>
      <c r="G1225"/>
    </row>
    <row r="1226" spans="2:7" x14ac:dyDescent="0.45">
      <c r="B1226"/>
      <c r="G1226"/>
    </row>
    <row r="1227" spans="2:7" x14ac:dyDescent="0.45">
      <c r="B1227"/>
      <c r="G1227"/>
    </row>
    <row r="1228" spans="2:7" x14ac:dyDescent="0.45">
      <c r="B1228"/>
      <c r="G1228"/>
    </row>
    <row r="1229" spans="2:7" x14ac:dyDescent="0.45">
      <c r="B1229"/>
      <c r="G1229"/>
    </row>
    <row r="1230" spans="2:7" x14ac:dyDescent="0.45">
      <c r="B1230"/>
      <c r="G1230"/>
    </row>
    <row r="1231" spans="2:7" x14ac:dyDescent="0.45">
      <c r="B1231"/>
      <c r="G1231"/>
    </row>
    <row r="1232" spans="2:7" x14ac:dyDescent="0.45">
      <c r="B1232"/>
      <c r="G1232"/>
    </row>
    <row r="1233" spans="2:7" x14ac:dyDescent="0.45">
      <c r="B1233"/>
      <c r="G1233"/>
    </row>
    <row r="1234" spans="2:7" x14ac:dyDescent="0.45">
      <c r="B1234"/>
      <c r="G1234"/>
    </row>
    <row r="1235" spans="2:7" x14ac:dyDescent="0.45">
      <c r="B1235"/>
      <c r="G1235"/>
    </row>
    <row r="1236" spans="2:7" x14ac:dyDescent="0.45">
      <c r="B1236"/>
      <c r="G1236"/>
    </row>
    <row r="1237" spans="2:7" x14ac:dyDescent="0.45">
      <c r="B1237"/>
      <c r="G1237"/>
    </row>
    <row r="1238" spans="2:7" x14ac:dyDescent="0.45">
      <c r="B1238"/>
      <c r="G1238"/>
    </row>
    <row r="1239" spans="2:7" x14ac:dyDescent="0.45">
      <c r="B1239"/>
      <c r="G1239"/>
    </row>
    <row r="1240" spans="2:7" x14ac:dyDescent="0.45">
      <c r="B1240"/>
      <c r="G1240"/>
    </row>
    <row r="1241" spans="2:7" x14ac:dyDescent="0.45">
      <c r="B1241"/>
      <c r="G1241"/>
    </row>
    <row r="1242" spans="2:7" x14ac:dyDescent="0.45">
      <c r="B1242"/>
      <c r="G1242"/>
    </row>
    <row r="1243" spans="2:7" x14ac:dyDescent="0.45">
      <c r="B1243"/>
      <c r="G1243"/>
    </row>
    <row r="1244" spans="2:7" x14ac:dyDescent="0.45">
      <c r="B1244"/>
      <c r="G1244"/>
    </row>
    <row r="1245" spans="2:7" x14ac:dyDescent="0.45">
      <c r="B1245"/>
      <c r="G1245"/>
    </row>
    <row r="1246" spans="2:7" x14ac:dyDescent="0.45">
      <c r="B1246"/>
      <c r="G1246"/>
    </row>
    <row r="1247" spans="2:7" x14ac:dyDescent="0.45">
      <c r="B1247"/>
      <c r="G1247"/>
    </row>
    <row r="1248" spans="2:7" x14ac:dyDescent="0.45">
      <c r="B1248"/>
      <c r="G1248"/>
    </row>
    <row r="1249" spans="2:7" x14ac:dyDescent="0.45">
      <c r="B1249"/>
      <c r="G1249"/>
    </row>
    <row r="1250" spans="2:7" x14ac:dyDescent="0.45">
      <c r="B1250"/>
      <c r="G1250"/>
    </row>
    <row r="1251" spans="2:7" x14ac:dyDescent="0.45">
      <c r="B1251"/>
      <c r="G1251"/>
    </row>
    <row r="1252" spans="2:7" x14ac:dyDescent="0.45">
      <c r="B1252"/>
      <c r="G1252"/>
    </row>
    <row r="1253" spans="2:7" x14ac:dyDescent="0.45">
      <c r="B1253"/>
      <c r="G1253"/>
    </row>
    <row r="1254" spans="2:7" x14ac:dyDescent="0.45">
      <c r="B1254"/>
      <c r="G1254"/>
    </row>
    <row r="1255" spans="2:7" x14ac:dyDescent="0.45">
      <c r="B1255"/>
      <c r="G1255"/>
    </row>
    <row r="1256" spans="2:7" x14ac:dyDescent="0.45">
      <c r="B1256"/>
      <c r="G1256"/>
    </row>
    <row r="1257" spans="2:7" x14ac:dyDescent="0.45">
      <c r="B1257"/>
      <c r="G1257"/>
    </row>
    <row r="1258" spans="2:7" x14ac:dyDescent="0.45">
      <c r="B1258"/>
      <c r="G1258"/>
    </row>
    <row r="1259" spans="2:7" x14ac:dyDescent="0.45">
      <c r="B1259"/>
      <c r="G1259"/>
    </row>
    <row r="1260" spans="2:7" x14ac:dyDescent="0.45">
      <c r="B1260"/>
      <c r="G1260"/>
    </row>
    <row r="1261" spans="2:7" x14ac:dyDescent="0.45">
      <c r="B1261"/>
      <c r="G1261"/>
    </row>
    <row r="1262" spans="2:7" x14ac:dyDescent="0.45">
      <c r="B1262"/>
      <c r="G1262"/>
    </row>
    <row r="1263" spans="2:7" x14ac:dyDescent="0.45">
      <c r="B1263"/>
      <c r="G1263"/>
    </row>
    <row r="1264" spans="2:7" x14ac:dyDescent="0.45">
      <c r="B1264"/>
      <c r="G1264"/>
    </row>
    <row r="1265" spans="2:7" x14ac:dyDescent="0.45">
      <c r="B1265"/>
      <c r="G1265"/>
    </row>
    <row r="1266" spans="2:7" x14ac:dyDescent="0.45">
      <c r="B1266"/>
      <c r="G1266"/>
    </row>
    <row r="1267" spans="2:7" x14ac:dyDescent="0.45">
      <c r="B1267"/>
      <c r="G1267"/>
    </row>
    <row r="1268" spans="2:7" x14ac:dyDescent="0.45">
      <c r="B1268"/>
      <c r="G1268"/>
    </row>
    <row r="1269" spans="2:7" x14ac:dyDescent="0.45">
      <c r="B1269"/>
      <c r="G1269"/>
    </row>
    <row r="1270" spans="2:7" x14ac:dyDescent="0.45">
      <c r="B1270"/>
      <c r="G1270"/>
    </row>
    <row r="1271" spans="2:7" x14ac:dyDescent="0.45">
      <c r="B1271"/>
      <c r="G1271"/>
    </row>
    <row r="1272" spans="2:7" x14ac:dyDescent="0.45">
      <c r="B1272"/>
      <c r="G1272"/>
    </row>
    <row r="1273" spans="2:7" x14ac:dyDescent="0.45">
      <c r="B1273"/>
      <c r="G1273"/>
    </row>
    <row r="1274" spans="2:7" x14ac:dyDescent="0.45">
      <c r="B1274"/>
      <c r="G1274"/>
    </row>
    <row r="1275" spans="2:7" x14ac:dyDescent="0.45">
      <c r="B1275"/>
      <c r="G1275"/>
    </row>
    <row r="1276" spans="2:7" x14ac:dyDescent="0.45">
      <c r="B1276"/>
      <c r="G1276"/>
    </row>
    <row r="1277" spans="2:7" x14ac:dyDescent="0.45">
      <c r="B1277"/>
      <c r="G1277"/>
    </row>
    <row r="1278" spans="2:7" x14ac:dyDescent="0.45">
      <c r="B1278"/>
      <c r="G1278"/>
    </row>
    <row r="1279" spans="2:7" x14ac:dyDescent="0.45">
      <c r="B1279"/>
      <c r="G1279"/>
    </row>
    <row r="1280" spans="2:7" x14ac:dyDescent="0.45">
      <c r="B1280"/>
      <c r="G1280"/>
    </row>
    <row r="1281" spans="2:7" x14ac:dyDescent="0.45">
      <c r="B1281"/>
      <c r="G1281"/>
    </row>
    <row r="1282" spans="2:7" x14ac:dyDescent="0.45">
      <c r="B1282"/>
      <c r="G1282"/>
    </row>
    <row r="1283" spans="2:7" x14ac:dyDescent="0.45">
      <c r="B1283"/>
      <c r="G1283"/>
    </row>
    <row r="1284" spans="2:7" x14ac:dyDescent="0.45">
      <c r="B1284"/>
      <c r="G1284"/>
    </row>
    <row r="1285" spans="2:7" x14ac:dyDescent="0.45">
      <c r="B1285"/>
      <c r="G1285"/>
    </row>
    <row r="1286" spans="2:7" x14ac:dyDescent="0.45">
      <c r="B1286"/>
      <c r="G1286"/>
    </row>
    <row r="1287" spans="2:7" x14ac:dyDescent="0.45">
      <c r="B1287"/>
      <c r="G1287"/>
    </row>
    <row r="1288" spans="2:7" x14ac:dyDescent="0.45">
      <c r="B1288"/>
      <c r="G1288"/>
    </row>
    <row r="1289" spans="2:7" x14ac:dyDescent="0.45">
      <c r="B1289"/>
      <c r="G1289"/>
    </row>
    <row r="1290" spans="2:7" x14ac:dyDescent="0.45">
      <c r="B1290"/>
      <c r="G1290"/>
    </row>
    <row r="1291" spans="2:7" x14ac:dyDescent="0.45">
      <c r="B1291"/>
      <c r="G1291"/>
    </row>
    <row r="1292" spans="2:7" x14ac:dyDescent="0.45">
      <c r="B1292"/>
      <c r="G1292"/>
    </row>
    <row r="1293" spans="2:7" x14ac:dyDescent="0.45">
      <c r="B1293"/>
      <c r="G1293"/>
    </row>
    <row r="1294" spans="2:7" x14ac:dyDescent="0.45">
      <c r="B1294"/>
      <c r="G1294"/>
    </row>
    <row r="1295" spans="2:7" x14ac:dyDescent="0.45">
      <c r="B1295"/>
      <c r="G1295"/>
    </row>
    <row r="1296" spans="2:7" x14ac:dyDescent="0.45">
      <c r="B1296"/>
      <c r="G1296"/>
    </row>
    <row r="1297" spans="2:7" x14ac:dyDescent="0.45">
      <c r="B1297"/>
      <c r="G1297"/>
    </row>
    <row r="1298" spans="2:7" x14ac:dyDescent="0.45">
      <c r="B1298"/>
      <c r="G1298"/>
    </row>
    <row r="1299" spans="2:7" x14ac:dyDescent="0.45">
      <c r="B1299"/>
      <c r="G1299"/>
    </row>
    <row r="1300" spans="2:7" x14ac:dyDescent="0.45">
      <c r="B1300"/>
      <c r="G1300"/>
    </row>
    <row r="1301" spans="2:7" x14ac:dyDescent="0.45">
      <c r="B1301"/>
      <c r="G1301"/>
    </row>
    <row r="1302" spans="2:7" x14ac:dyDescent="0.45">
      <c r="B1302"/>
      <c r="G1302"/>
    </row>
    <row r="1303" spans="2:7" x14ac:dyDescent="0.45">
      <c r="B1303"/>
      <c r="G1303"/>
    </row>
    <row r="1304" spans="2:7" x14ac:dyDescent="0.45">
      <c r="B1304"/>
      <c r="G1304"/>
    </row>
    <row r="1305" spans="2:7" x14ac:dyDescent="0.45">
      <c r="B1305"/>
      <c r="G1305"/>
    </row>
    <row r="1306" spans="2:7" x14ac:dyDescent="0.45">
      <c r="B1306"/>
      <c r="G1306"/>
    </row>
    <row r="1307" spans="2:7" x14ac:dyDescent="0.45">
      <c r="B1307"/>
      <c r="G1307"/>
    </row>
    <row r="1308" spans="2:7" x14ac:dyDescent="0.45">
      <c r="B1308"/>
      <c r="G1308"/>
    </row>
    <row r="1309" spans="2:7" x14ac:dyDescent="0.45">
      <c r="B1309"/>
      <c r="G1309"/>
    </row>
    <row r="1310" spans="2:7" x14ac:dyDescent="0.45">
      <c r="B1310"/>
      <c r="G1310"/>
    </row>
    <row r="1311" spans="2:7" x14ac:dyDescent="0.45">
      <c r="B1311"/>
      <c r="G1311"/>
    </row>
    <row r="1312" spans="2:7" x14ac:dyDescent="0.45">
      <c r="B1312"/>
      <c r="G1312"/>
    </row>
    <row r="1313" spans="2:7" x14ac:dyDescent="0.45">
      <c r="B1313"/>
      <c r="G1313"/>
    </row>
    <row r="1314" spans="2:7" x14ac:dyDescent="0.45">
      <c r="B1314"/>
      <c r="G1314"/>
    </row>
    <row r="1315" spans="2:7" x14ac:dyDescent="0.45">
      <c r="B1315"/>
      <c r="G1315"/>
    </row>
    <row r="1316" spans="2:7" x14ac:dyDescent="0.45">
      <c r="B1316"/>
      <c r="G1316"/>
    </row>
    <row r="1317" spans="2:7" x14ac:dyDescent="0.45">
      <c r="B1317"/>
      <c r="G1317"/>
    </row>
    <row r="1318" spans="2:7" x14ac:dyDescent="0.45">
      <c r="B1318"/>
      <c r="G1318"/>
    </row>
    <row r="1319" spans="2:7" x14ac:dyDescent="0.45">
      <c r="B1319"/>
      <c r="G1319"/>
    </row>
    <row r="1320" spans="2:7" x14ac:dyDescent="0.45">
      <c r="B1320"/>
      <c r="G1320"/>
    </row>
    <row r="1321" spans="2:7" x14ac:dyDescent="0.45">
      <c r="B1321"/>
      <c r="G1321"/>
    </row>
    <row r="1322" spans="2:7" x14ac:dyDescent="0.45">
      <c r="B1322"/>
      <c r="G1322"/>
    </row>
    <row r="1323" spans="2:7" x14ac:dyDescent="0.45">
      <c r="B1323"/>
      <c r="G1323"/>
    </row>
    <row r="1324" spans="2:7" x14ac:dyDescent="0.45">
      <c r="B1324"/>
      <c r="G1324"/>
    </row>
    <row r="1325" spans="2:7" x14ac:dyDescent="0.45">
      <c r="B1325"/>
      <c r="G1325"/>
    </row>
    <row r="1326" spans="2:7" x14ac:dyDescent="0.45">
      <c r="B1326"/>
      <c r="G1326"/>
    </row>
    <row r="1327" spans="2:7" x14ac:dyDescent="0.45">
      <c r="B1327"/>
      <c r="G1327"/>
    </row>
    <row r="1328" spans="2:7" x14ac:dyDescent="0.45">
      <c r="B1328"/>
      <c r="G1328"/>
    </row>
    <row r="1329" spans="2:7" x14ac:dyDescent="0.45">
      <c r="B1329"/>
      <c r="G1329"/>
    </row>
    <row r="1330" spans="2:7" x14ac:dyDescent="0.45">
      <c r="B1330"/>
      <c r="G1330"/>
    </row>
    <row r="1331" spans="2:7" x14ac:dyDescent="0.45">
      <c r="B1331"/>
      <c r="G1331"/>
    </row>
    <row r="1332" spans="2:7" x14ac:dyDescent="0.45">
      <c r="B1332"/>
      <c r="G1332"/>
    </row>
    <row r="1333" spans="2:7" x14ac:dyDescent="0.45">
      <c r="B1333"/>
      <c r="G1333"/>
    </row>
    <row r="1334" spans="2:7" x14ac:dyDescent="0.45">
      <c r="B1334"/>
      <c r="G1334"/>
    </row>
    <row r="1335" spans="2:7" x14ac:dyDescent="0.45">
      <c r="B1335"/>
      <c r="G1335"/>
    </row>
    <row r="1336" spans="2:7" x14ac:dyDescent="0.45">
      <c r="B1336"/>
      <c r="G1336"/>
    </row>
    <row r="1337" spans="2:7" x14ac:dyDescent="0.45">
      <c r="B1337"/>
      <c r="G1337"/>
    </row>
    <row r="1338" spans="2:7" x14ac:dyDescent="0.45">
      <c r="B1338"/>
      <c r="G1338"/>
    </row>
    <row r="1339" spans="2:7" x14ac:dyDescent="0.45">
      <c r="B1339"/>
      <c r="G1339"/>
    </row>
    <row r="1340" spans="2:7" x14ac:dyDescent="0.45">
      <c r="B1340"/>
      <c r="G1340"/>
    </row>
    <row r="1341" spans="2:7" x14ac:dyDescent="0.45">
      <c r="B1341"/>
      <c r="G1341"/>
    </row>
    <row r="1342" spans="2:7" x14ac:dyDescent="0.45">
      <c r="B1342"/>
      <c r="G1342"/>
    </row>
    <row r="1343" spans="2:7" x14ac:dyDescent="0.45">
      <c r="B1343"/>
      <c r="G1343"/>
    </row>
    <row r="1344" spans="2:7" x14ac:dyDescent="0.45">
      <c r="B1344"/>
      <c r="G1344"/>
    </row>
    <row r="1345" spans="2:7" x14ac:dyDescent="0.45">
      <c r="B1345"/>
      <c r="G1345"/>
    </row>
    <row r="1346" spans="2:7" x14ac:dyDescent="0.45">
      <c r="B1346"/>
      <c r="G1346"/>
    </row>
    <row r="1347" spans="2:7" x14ac:dyDescent="0.45">
      <c r="B1347"/>
      <c r="G1347"/>
    </row>
    <row r="1348" spans="2:7" x14ac:dyDescent="0.45">
      <c r="B1348"/>
      <c r="G1348"/>
    </row>
    <row r="1349" spans="2:7" x14ac:dyDescent="0.45">
      <c r="B1349"/>
      <c r="G1349"/>
    </row>
    <row r="1350" spans="2:7" x14ac:dyDescent="0.45">
      <c r="B1350"/>
      <c r="G1350"/>
    </row>
    <row r="1351" spans="2:7" x14ac:dyDescent="0.45">
      <c r="B1351"/>
      <c r="G1351"/>
    </row>
    <row r="1352" spans="2:7" x14ac:dyDescent="0.45">
      <c r="B1352"/>
      <c r="G1352"/>
    </row>
    <row r="1353" spans="2:7" x14ac:dyDescent="0.45">
      <c r="B1353"/>
      <c r="G1353"/>
    </row>
    <row r="1354" spans="2:7" x14ac:dyDescent="0.45">
      <c r="B1354"/>
      <c r="G1354"/>
    </row>
    <row r="1355" spans="2:7" x14ac:dyDescent="0.45">
      <c r="B1355"/>
      <c r="G1355"/>
    </row>
    <row r="1356" spans="2:7" x14ac:dyDescent="0.45">
      <c r="B1356"/>
      <c r="G1356"/>
    </row>
    <row r="1357" spans="2:7" x14ac:dyDescent="0.45">
      <c r="B1357"/>
      <c r="G1357"/>
    </row>
    <row r="1358" spans="2:7" x14ac:dyDescent="0.45">
      <c r="B1358"/>
      <c r="G1358"/>
    </row>
    <row r="1359" spans="2:7" x14ac:dyDescent="0.45">
      <c r="B1359"/>
      <c r="G1359"/>
    </row>
    <row r="1360" spans="2:7" x14ac:dyDescent="0.45">
      <c r="B1360"/>
      <c r="G1360"/>
    </row>
    <row r="1361" spans="2:7" x14ac:dyDescent="0.45">
      <c r="B1361"/>
      <c r="G1361"/>
    </row>
    <row r="1362" spans="2:7" x14ac:dyDescent="0.45">
      <c r="B1362"/>
      <c r="G1362"/>
    </row>
    <row r="1363" spans="2:7" x14ac:dyDescent="0.45">
      <c r="B1363"/>
      <c r="G1363"/>
    </row>
    <row r="1364" spans="2:7" x14ac:dyDescent="0.45">
      <c r="B1364"/>
      <c r="G1364"/>
    </row>
    <row r="1365" spans="2:7" x14ac:dyDescent="0.45">
      <c r="B1365"/>
      <c r="G1365"/>
    </row>
    <row r="1366" spans="2:7" x14ac:dyDescent="0.45">
      <c r="B1366"/>
      <c r="G1366"/>
    </row>
    <row r="1367" spans="2:7" x14ac:dyDescent="0.45">
      <c r="B1367"/>
      <c r="G1367"/>
    </row>
    <row r="1368" spans="2:7" x14ac:dyDescent="0.45">
      <c r="B1368"/>
      <c r="G1368"/>
    </row>
    <row r="1369" spans="2:7" x14ac:dyDescent="0.45">
      <c r="B1369"/>
      <c r="G1369"/>
    </row>
    <row r="1370" spans="2:7" x14ac:dyDescent="0.45">
      <c r="B1370"/>
      <c r="G1370"/>
    </row>
    <row r="1371" spans="2:7" x14ac:dyDescent="0.45">
      <c r="B1371"/>
      <c r="G1371"/>
    </row>
    <row r="1372" spans="2:7" x14ac:dyDescent="0.45">
      <c r="B1372"/>
      <c r="G1372"/>
    </row>
    <row r="1373" spans="2:7" x14ac:dyDescent="0.45">
      <c r="B1373"/>
      <c r="G1373"/>
    </row>
    <row r="1374" spans="2:7" x14ac:dyDescent="0.45">
      <c r="B1374"/>
      <c r="G1374"/>
    </row>
    <row r="1375" spans="2:7" x14ac:dyDescent="0.45">
      <c r="B1375"/>
      <c r="G1375"/>
    </row>
    <row r="1376" spans="2:7" x14ac:dyDescent="0.45">
      <c r="B1376"/>
      <c r="G1376"/>
    </row>
    <row r="1377" spans="2:7" x14ac:dyDescent="0.45">
      <c r="B1377"/>
      <c r="G1377"/>
    </row>
    <row r="1378" spans="2:7" x14ac:dyDescent="0.45">
      <c r="B1378"/>
      <c r="G1378"/>
    </row>
    <row r="1379" spans="2:7" x14ac:dyDescent="0.45">
      <c r="B1379"/>
      <c r="G1379"/>
    </row>
    <row r="1380" spans="2:7" x14ac:dyDescent="0.45">
      <c r="B1380"/>
      <c r="G1380"/>
    </row>
    <row r="1381" spans="2:7" x14ac:dyDescent="0.45">
      <c r="B1381"/>
      <c r="G1381"/>
    </row>
    <row r="1382" spans="2:7" x14ac:dyDescent="0.45">
      <c r="B1382"/>
      <c r="G1382"/>
    </row>
    <row r="1383" spans="2:7" x14ac:dyDescent="0.45">
      <c r="B1383"/>
      <c r="G1383"/>
    </row>
    <row r="1384" spans="2:7" x14ac:dyDescent="0.45">
      <c r="B1384"/>
      <c r="G1384"/>
    </row>
    <row r="1385" spans="2:7" x14ac:dyDescent="0.45">
      <c r="B1385"/>
      <c r="G1385"/>
    </row>
    <row r="1386" spans="2:7" x14ac:dyDescent="0.45">
      <c r="B1386"/>
      <c r="G1386"/>
    </row>
    <row r="1387" spans="2:7" x14ac:dyDescent="0.45">
      <c r="B1387"/>
      <c r="G1387"/>
    </row>
    <row r="1388" spans="2:7" x14ac:dyDescent="0.45">
      <c r="B1388"/>
      <c r="G1388"/>
    </row>
    <row r="1389" spans="2:7" x14ac:dyDescent="0.45">
      <c r="B1389"/>
      <c r="G1389"/>
    </row>
    <row r="1390" spans="2:7" x14ac:dyDescent="0.45">
      <c r="B1390"/>
      <c r="G1390"/>
    </row>
    <row r="1391" spans="2:7" x14ac:dyDescent="0.45">
      <c r="B1391"/>
      <c r="G1391"/>
    </row>
    <row r="1392" spans="2:7" x14ac:dyDescent="0.45">
      <c r="B1392"/>
      <c r="G1392"/>
    </row>
    <row r="1393" spans="2:7" x14ac:dyDescent="0.45">
      <c r="B1393"/>
      <c r="G1393"/>
    </row>
    <row r="1394" spans="2:7" x14ac:dyDescent="0.45">
      <c r="B1394"/>
      <c r="G1394"/>
    </row>
    <row r="1395" spans="2:7" x14ac:dyDescent="0.45">
      <c r="B1395"/>
      <c r="G1395"/>
    </row>
    <row r="1396" spans="2:7" x14ac:dyDescent="0.45">
      <c r="B1396"/>
      <c r="G1396"/>
    </row>
    <row r="1397" spans="2:7" x14ac:dyDescent="0.45">
      <c r="B1397"/>
      <c r="G1397"/>
    </row>
    <row r="1398" spans="2:7" x14ac:dyDescent="0.45">
      <c r="B1398"/>
      <c r="G1398"/>
    </row>
    <row r="1399" spans="2:7" x14ac:dyDescent="0.45">
      <c r="B1399"/>
      <c r="G1399"/>
    </row>
    <row r="1400" spans="2:7" x14ac:dyDescent="0.45">
      <c r="B1400"/>
      <c r="G1400"/>
    </row>
    <row r="1401" spans="2:7" x14ac:dyDescent="0.45">
      <c r="B1401"/>
      <c r="G1401"/>
    </row>
    <row r="1402" spans="2:7" x14ac:dyDescent="0.45">
      <c r="B1402"/>
      <c r="G1402"/>
    </row>
    <row r="1403" spans="2:7" x14ac:dyDescent="0.45">
      <c r="B1403"/>
      <c r="G1403"/>
    </row>
    <row r="1404" spans="2:7" x14ac:dyDescent="0.45">
      <c r="B1404"/>
      <c r="G1404"/>
    </row>
    <row r="1405" spans="2:7" x14ac:dyDescent="0.45">
      <c r="B1405"/>
      <c r="G1405"/>
    </row>
    <row r="1406" spans="2:7" x14ac:dyDescent="0.45">
      <c r="B1406"/>
      <c r="G1406"/>
    </row>
    <row r="1407" spans="2:7" x14ac:dyDescent="0.45">
      <c r="B1407"/>
      <c r="G1407"/>
    </row>
    <row r="1408" spans="2:7" x14ac:dyDescent="0.45">
      <c r="B1408"/>
      <c r="G1408"/>
    </row>
    <row r="1409" spans="2:7" x14ac:dyDescent="0.45">
      <c r="B1409"/>
      <c r="G1409"/>
    </row>
    <row r="1410" spans="2:7" x14ac:dyDescent="0.45">
      <c r="B1410"/>
      <c r="G1410"/>
    </row>
    <row r="1411" spans="2:7" x14ac:dyDescent="0.45">
      <c r="B1411"/>
      <c r="G1411"/>
    </row>
    <row r="1412" spans="2:7" x14ac:dyDescent="0.45">
      <c r="B1412"/>
      <c r="G1412"/>
    </row>
    <row r="1413" spans="2:7" x14ac:dyDescent="0.45">
      <c r="B1413"/>
      <c r="G1413"/>
    </row>
    <row r="1414" spans="2:7" x14ac:dyDescent="0.45">
      <c r="B1414"/>
      <c r="G1414"/>
    </row>
    <row r="1415" spans="2:7" x14ac:dyDescent="0.45">
      <c r="B1415"/>
      <c r="G1415"/>
    </row>
    <row r="1416" spans="2:7" x14ac:dyDescent="0.45">
      <c r="B1416"/>
      <c r="G1416"/>
    </row>
    <row r="1417" spans="2:7" x14ac:dyDescent="0.45">
      <c r="B1417"/>
      <c r="G1417"/>
    </row>
    <row r="1418" spans="2:7" x14ac:dyDescent="0.45">
      <c r="B1418"/>
      <c r="G1418"/>
    </row>
    <row r="1419" spans="2:7" x14ac:dyDescent="0.45">
      <c r="B1419"/>
      <c r="G1419"/>
    </row>
    <row r="1420" spans="2:7" x14ac:dyDescent="0.45">
      <c r="B1420"/>
      <c r="G1420"/>
    </row>
    <row r="1421" spans="2:7" x14ac:dyDescent="0.45">
      <c r="B1421"/>
      <c r="G1421"/>
    </row>
    <row r="1422" spans="2:7" x14ac:dyDescent="0.45">
      <c r="B1422"/>
      <c r="G1422"/>
    </row>
    <row r="1423" spans="2:7" x14ac:dyDescent="0.45">
      <c r="B1423"/>
      <c r="G1423"/>
    </row>
    <row r="1424" spans="2:7" x14ac:dyDescent="0.45">
      <c r="B1424"/>
      <c r="G1424"/>
    </row>
    <row r="1425" spans="2:7" x14ac:dyDescent="0.45">
      <c r="B1425"/>
      <c r="G1425"/>
    </row>
    <row r="1426" spans="2:7" x14ac:dyDescent="0.45">
      <c r="B1426"/>
      <c r="G1426"/>
    </row>
    <row r="1427" spans="2:7" x14ac:dyDescent="0.45">
      <c r="B1427"/>
      <c r="G1427"/>
    </row>
    <row r="1428" spans="2:7" x14ac:dyDescent="0.45">
      <c r="B1428"/>
      <c r="G1428"/>
    </row>
    <row r="1429" spans="2:7" x14ac:dyDescent="0.45">
      <c r="B1429"/>
      <c r="G1429"/>
    </row>
    <row r="1430" spans="2:7" x14ac:dyDescent="0.45">
      <c r="B1430"/>
      <c r="G1430"/>
    </row>
    <row r="1431" spans="2:7" x14ac:dyDescent="0.45">
      <c r="B1431"/>
      <c r="G1431"/>
    </row>
    <row r="1432" spans="2:7" x14ac:dyDescent="0.45">
      <c r="B1432"/>
      <c r="G1432"/>
    </row>
    <row r="1433" spans="2:7" x14ac:dyDescent="0.45">
      <c r="B1433"/>
      <c r="G1433"/>
    </row>
    <row r="1434" spans="2:7" x14ac:dyDescent="0.45">
      <c r="B1434"/>
      <c r="G1434"/>
    </row>
    <row r="1435" spans="2:7" x14ac:dyDescent="0.45">
      <c r="B1435"/>
      <c r="G1435"/>
    </row>
    <row r="1436" spans="2:7" x14ac:dyDescent="0.45">
      <c r="B1436"/>
      <c r="G1436"/>
    </row>
    <row r="1437" spans="2:7" x14ac:dyDescent="0.45">
      <c r="B1437"/>
      <c r="G1437"/>
    </row>
    <row r="1438" spans="2:7" x14ac:dyDescent="0.45">
      <c r="B1438"/>
      <c r="G1438"/>
    </row>
    <row r="1439" spans="2:7" x14ac:dyDescent="0.45">
      <c r="B1439"/>
      <c r="G1439"/>
    </row>
    <row r="1440" spans="2:7" x14ac:dyDescent="0.45">
      <c r="B1440"/>
      <c r="G1440"/>
    </row>
    <row r="1441" spans="2:7" x14ac:dyDescent="0.45">
      <c r="B1441"/>
      <c r="G1441"/>
    </row>
    <row r="1442" spans="2:7" x14ac:dyDescent="0.45">
      <c r="B1442"/>
      <c r="G1442"/>
    </row>
    <row r="1443" spans="2:7" x14ac:dyDescent="0.45">
      <c r="B1443"/>
      <c r="G1443"/>
    </row>
    <row r="1444" spans="2:7" x14ac:dyDescent="0.45">
      <c r="B1444"/>
      <c r="G1444"/>
    </row>
    <row r="1445" spans="2:7" x14ac:dyDescent="0.45">
      <c r="B1445"/>
      <c r="G1445"/>
    </row>
    <row r="1446" spans="2:7" x14ac:dyDescent="0.45">
      <c r="B1446"/>
      <c r="G1446"/>
    </row>
    <row r="1447" spans="2:7" x14ac:dyDescent="0.45">
      <c r="B1447"/>
      <c r="G1447"/>
    </row>
    <row r="1448" spans="2:7" x14ac:dyDescent="0.45">
      <c r="B1448"/>
      <c r="G1448"/>
    </row>
    <row r="1449" spans="2:7" x14ac:dyDescent="0.45">
      <c r="B1449"/>
      <c r="G1449"/>
    </row>
    <row r="1450" spans="2:7" x14ac:dyDescent="0.45">
      <c r="B1450"/>
      <c r="G1450"/>
    </row>
    <row r="1451" spans="2:7" x14ac:dyDescent="0.45">
      <c r="B1451"/>
      <c r="G1451"/>
    </row>
    <row r="1452" spans="2:7" x14ac:dyDescent="0.45">
      <c r="B1452"/>
      <c r="G1452"/>
    </row>
    <row r="1453" spans="2:7" x14ac:dyDescent="0.45">
      <c r="B1453"/>
      <c r="G1453"/>
    </row>
    <row r="1454" spans="2:7" x14ac:dyDescent="0.45">
      <c r="B1454"/>
      <c r="G1454"/>
    </row>
    <row r="1455" spans="2:7" x14ac:dyDescent="0.45">
      <c r="B1455"/>
      <c r="G1455"/>
    </row>
    <row r="1456" spans="2:7" x14ac:dyDescent="0.45">
      <c r="B1456"/>
      <c r="G1456"/>
    </row>
    <row r="1457" spans="2:7" x14ac:dyDescent="0.45">
      <c r="B1457"/>
      <c r="G1457"/>
    </row>
    <row r="1458" spans="2:7" x14ac:dyDescent="0.45">
      <c r="B1458"/>
      <c r="G1458"/>
    </row>
    <row r="1459" spans="2:7" x14ac:dyDescent="0.45">
      <c r="B1459"/>
      <c r="G1459"/>
    </row>
    <row r="1460" spans="2:7" x14ac:dyDescent="0.45">
      <c r="B1460"/>
      <c r="G1460"/>
    </row>
    <row r="1461" spans="2:7" x14ac:dyDescent="0.45">
      <c r="B1461"/>
      <c r="G1461"/>
    </row>
    <row r="1462" spans="2:7" x14ac:dyDescent="0.45">
      <c r="B1462"/>
      <c r="G1462"/>
    </row>
    <row r="1463" spans="2:7" x14ac:dyDescent="0.45">
      <c r="B1463"/>
      <c r="G1463"/>
    </row>
    <row r="1464" spans="2:7" x14ac:dyDescent="0.45">
      <c r="B1464"/>
      <c r="G1464"/>
    </row>
    <row r="1465" spans="2:7" x14ac:dyDescent="0.45">
      <c r="B1465"/>
      <c r="G1465"/>
    </row>
    <row r="1466" spans="2:7" x14ac:dyDescent="0.45">
      <c r="B1466"/>
      <c r="G1466"/>
    </row>
    <row r="1467" spans="2:7" x14ac:dyDescent="0.45">
      <c r="B1467"/>
      <c r="G1467"/>
    </row>
    <row r="1468" spans="2:7" x14ac:dyDescent="0.45">
      <c r="B1468"/>
      <c r="G1468"/>
    </row>
    <row r="1469" spans="2:7" x14ac:dyDescent="0.45">
      <c r="B1469"/>
      <c r="G1469"/>
    </row>
    <row r="1470" spans="2:7" x14ac:dyDescent="0.45">
      <c r="B1470"/>
      <c r="G1470"/>
    </row>
    <row r="1471" spans="2:7" x14ac:dyDescent="0.45">
      <c r="B1471"/>
      <c r="G1471"/>
    </row>
    <row r="1472" spans="2:7" x14ac:dyDescent="0.45">
      <c r="B1472"/>
      <c r="G1472"/>
    </row>
    <row r="1473" spans="2:7" x14ac:dyDescent="0.45">
      <c r="B1473"/>
      <c r="G1473"/>
    </row>
    <row r="1474" spans="2:7" x14ac:dyDescent="0.45">
      <c r="B1474"/>
      <c r="G1474"/>
    </row>
    <row r="1475" spans="2:7" x14ac:dyDescent="0.45">
      <c r="B1475"/>
      <c r="G1475"/>
    </row>
    <row r="1476" spans="2:7" x14ac:dyDescent="0.45">
      <c r="B1476"/>
      <c r="G1476"/>
    </row>
    <row r="1477" spans="2:7" x14ac:dyDescent="0.45">
      <c r="B1477"/>
      <c r="G1477"/>
    </row>
    <row r="1478" spans="2:7" x14ac:dyDescent="0.45">
      <c r="B1478"/>
      <c r="G1478"/>
    </row>
    <row r="1479" spans="2:7" x14ac:dyDescent="0.45">
      <c r="B1479"/>
      <c r="G1479"/>
    </row>
    <row r="1480" spans="2:7" x14ac:dyDescent="0.45">
      <c r="B1480"/>
      <c r="G1480"/>
    </row>
    <row r="1481" spans="2:7" x14ac:dyDescent="0.45">
      <c r="B1481"/>
      <c r="G1481"/>
    </row>
    <row r="1482" spans="2:7" x14ac:dyDescent="0.45">
      <c r="B1482"/>
      <c r="G1482"/>
    </row>
    <row r="1483" spans="2:7" x14ac:dyDescent="0.45">
      <c r="B1483"/>
      <c r="G1483"/>
    </row>
    <row r="1484" spans="2:7" x14ac:dyDescent="0.45">
      <c r="B1484"/>
      <c r="G1484"/>
    </row>
    <row r="1485" spans="2:7" x14ac:dyDescent="0.45">
      <c r="B1485"/>
      <c r="G1485"/>
    </row>
    <row r="1486" spans="2:7" x14ac:dyDescent="0.45">
      <c r="B1486"/>
      <c r="G1486"/>
    </row>
    <row r="1487" spans="2:7" x14ac:dyDescent="0.45">
      <c r="B1487"/>
      <c r="G1487"/>
    </row>
    <row r="1488" spans="2:7" x14ac:dyDescent="0.45">
      <c r="B1488"/>
      <c r="G1488"/>
    </row>
    <row r="1489" spans="2:7" x14ac:dyDescent="0.45">
      <c r="B1489"/>
      <c r="G1489"/>
    </row>
    <row r="1490" spans="2:7" x14ac:dyDescent="0.45">
      <c r="B1490"/>
      <c r="G1490"/>
    </row>
    <row r="1491" spans="2:7" x14ac:dyDescent="0.45">
      <c r="B1491"/>
      <c r="G1491"/>
    </row>
    <row r="1492" spans="2:7" x14ac:dyDescent="0.45">
      <c r="B1492"/>
      <c r="G1492"/>
    </row>
    <row r="1493" spans="2:7" x14ac:dyDescent="0.45">
      <c r="B1493"/>
      <c r="G1493"/>
    </row>
    <row r="1494" spans="2:7" x14ac:dyDescent="0.45">
      <c r="B1494"/>
      <c r="G1494"/>
    </row>
    <row r="1495" spans="2:7" x14ac:dyDescent="0.45">
      <c r="B1495"/>
      <c r="G1495"/>
    </row>
    <row r="1496" spans="2:7" x14ac:dyDescent="0.45">
      <c r="B1496"/>
      <c r="G1496"/>
    </row>
    <row r="1497" spans="2:7" x14ac:dyDescent="0.45">
      <c r="B1497"/>
      <c r="G1497"/>
    </row>
    <row r="1498" spans="2:7" x14ac:dyDescent="0.45">
      <c r="B1498"/>
      <c r="G1498"/>
    </row>
    <row r="1499" spans="2:7" x14ac:dyDescent="0.45">
      <c r="B1499"/>
      <c r="G1499"/>
    </row>
    <row r="1500" spans="2:7" x14ac:dyDescent="0.45">
      <c r="B1500"/>
      <c r="G1500"/>
    </row>
    <row r="1501" spans="2:7" x14ac:dyDescent="0.45">
      <c r="B1501"/>
      <c r="G1501"/>
    </row>
    <row r="1502" spans="2:7" x14ac:dyDescent="0.45">
      <c r="B1502"/>
      <c r="G1502"/>
    </row>
    <row r="1503" spans="2:7" x14ac:dyDescent="0.45">
      <c r="B1503"/>
      <c r="G1503"/>
    </row>
    <row r="1504" spans="2:7" x14ac:dyDescent="0.45">
      <c r="B1504"/>
      <c r="G1504"/>
    </row>
    <row r="1505" spans="2:7" x14ac:dyDescent="0.45">
      <c r="B1505"/>
      <c r="G1505"/>
    </row>
    <row r="1506" spans="2:7" x14ac:dyDescent="0.45">
      <c r="B1506"/>
      <c r="G1506"/>
    </row>
    <row r="1507" spans="2:7" x14ac:dyDescent="0.45">
      <c r="B1507"/>
      <c r="G1507"/>
    </row>
    <row r="1508" spans="2:7" x14ac:dyDescent="0.45">
      <c r="B1508"/>
      <c r="G1508"/>
    </row>
    <row r="1509" spans="2:7" x14ac:dyDescent="0.45">
      <c r="B1509"/>
      <c r="G1509"/>
    </row>
    <row r="1510" spans="2:7" x14ac:dyDescent="0.45">
      <c r="B1510"/>
      <c r="G1510"/>
    </row>
    <row r="1511" spans="2:7" x14ac:dyDescent="0.45">
      <c r="B1511"/>
      <c r="G1511"/>
    </row>
    <row r="1512" spans="2:7" x14ac:dyDescent="0.45">
      <c r="B1512"/>
      <c r="G1512"/>
    </row>
    <row r="1513" spans="2:7" x14ac:dyDescent="0.45">
      <c r="B1513"/>
      <c r="G1513"/>
    </row>
    <row r="1514" spans="2:7" x14ac:dyDescent="0.45">
      <c r="B1514"/>
      <c r="G1514"/>
    </row>
    <row r="1515" spans="2:7" x14ac:dyDescent="0.45">
      <c r="B1515"/>
      <c r="G1515"/>
    </row>
    <row r="1516" spans="2:7" x14ac:dyDescent="0.45">
      <c r="B1516"/>
      <c r="G1516"/>
    </row>
    <row r="1517" spans="2:7" x14ac:dyDescent="0.45">
      <c r="B1517"/>
      <c r="G1517"/>
    </row>
    <row r="1518" spans="2:7" x14ac:dyDescent="0.45">
      <c r="B1518"/>
      <c r="G1518"/>
    </row>
    <row r="1519" spans="2:7" x14ac:dyDescent="0.45">
      <c r="B1519"/>
      <c r="G1519"/>
    </row>
    <row r="1520" spans="2:7" x14ac:dyDescent="0.45">
      <c r="B1520"/>
      <c r="G1520"/>
    </row>
    <row r="1521" spans="2:7" x14ac:dyDescent="0.45">
      <c r="B1521"/>
      <c r="G1521"/>
    </row>
    <row r="1522" spans="2:7" x14ac:dyDescent="0.45">
      <c r="B1522"/>
      <c r="G1522"/>
    </row>
    <row r="1523" spans="2:7" x14ac:dyDescent="0.45">
      <c r="B1523"/>
      <c r="G1523"/>
    </row>
    <row r="1524" spans="2:7" x14ac:dyDescent="0.45">
      <c r="B1524"/>
      <c r="G1524"/>
    </row>
    <row r="1525" spans="2:7" x14ac:dyDescent="0.45">
      <c r="B1525"/>
      <c r="G1525"/>
    </row>
    <row r="1526" spans="2:7" x14ac:dyDescent="0.45">
      <c r="B1526"/>
      <c r="G1526"/>
    </row>
    <row r="1527" spans="2:7" x14ac:dyDescent="0.45">
      <c r="B1527"/>
      <c r="G1527"/>
    </row>
    <row r="1528" spans="2:7" x14ac:dyDescent="0.45">
      <c r="B1528"/>
      <c r="G1528"/>
    </row>
    <row r="1529" spans="2:7" x14ac:dyDescent="0.45">
      <c r="B1529"/>
      <c r="G1529"/>
    </row>
    <row r="1530" spans="2:7" x14ac:dyDescent="0.45">
      <c r="B1530"/>
      <c r="G1530"/>
    </row>
    <row r="1531" spans="2:7" x14ac:dyDescent="0.45">
      <c r="B1531"/>
      <c r="G1531"/>
    </row>
    <row r="1532" spans="2:7" x14ac:dyDescent="0.45">
      <c r="B1532"/>
      <c r="G1532"/>
    </row>
    <row r="1533" spans="2:7" x14ac:dyDescent="0.45">
      <c r="B1533"/>
      <c r="G1533"/>
    </row>
    <row r="1534" spans="2:7" x14ac:dyDescent="0.45">
      <c r="B1534"/>
      <c r="G1534"/>
    </row>
    <row r="1535" spans="2:7" x14ac:dyDescent="0.45">
      <c r="B1535"/>
      <c r="G1535"/>
    </row>
    <row r="1536" spans="2:7" x14ac:dyDescent="0.45">
      <c r="B1536"/>
      <c r="G1536"/>
    </row>
    <row r="1537" spans="2:7" x14ac:dyDescent="0.45">
      <c r="B1537"/>
      <c r="G1537"/>
    </row>
    <row r="1538" spans="2:7" x14ac:dyDescent="0.45">
      <c r="B1538"/>
      <c r="G1538"/>
    </row>
    <row r="1539" spans="2:7" x14ac:dyDescent="0.45">
      <c r="B1539"/>
      <c r="G1539"/>
    </row>
    <row r="1540" spans="2:7" x14ac:dyDescent="0.45">
      <c r="B1540"/>
      <c r="G1540"/>
    </row>
    <row r="1541" spans="2:7" x14ac:dyDescent="0.45">
      <c r="B1541"/>
      <c r="G1541"/>
    </row>
    <row r="1542" spans="2:7" x14ac:dyDescent="0.45">
      <c r="B1542"/>
      <c r="G1542"/>
    </row>
    <row r="1543" spans="2:7" x14ac:dyDescent="0.45">
      <c r="B1543"/>
      <c r="G1543"/>
    </row>
    <row r="1544" spans="2:7" x14ac:dyDescent="0.45">
      <c r="B1544"/>
      <c r="G1544"/>
    </row>
    <row r="1545" spans="2:7" x14ac:dyDescent="0.45">
      <c r="B1545"/>
      <c r="G1545"/>
    </row>
    <row r="1546" spans="2:7" x14ac:dyDescent="0.45">
      <c r="B1546"/>
      <c r="G1546"/>
    </row>
    <row r="1547" spans="2:7" x14ac:dyDescent="0.45">
      <c r="B1547"/>
      <c r="G1547"/>
    </row>
    <row r="1548" spans="2:7" x14ac:dyDescent="0.45">
      <c r="B1548"/>
      <c r="G1548"/>
    </row>
    <row r="1549" spans="2:7" x14ac:dyDescent="0.45">
      <c r="B1549"/>
      <c r="G1549"/>
    </row>
    <row r="1550" spans="2:7" x14ac:dyDescent="0.45">
      <c r="B1550"/>
      <c r="G1550"/>
    </row>
    <row r="1551" spans="2:7" x14ac:dyDescent="0.45">
      <c r="B1551"/>
      <c r="G1551"/>
    </row>
    <row r="1552" spans="2:7" x14ac:dyDescent="0.45">
      <c r="B1552"/>
      <c r="G1552"/>
    </row>
    <row r="1553" spans="2:7" x14ac:dyDescent="0.45">
      <c r="B1553"/>
      <c r="G1553"/>
    </row>
    <row r="1554" spans="2:7" x14ac:dyDescent="0.45">
      <c r="B1554"/>
      <c r="G1554"/>
    </row>
    <row r="1555" spans="2:7" x14ac:dyDescent="0.45">
      <c r="B1555"/>
      <c r="G1555"/>
    </row>
    <row r="1556" spans="2:7" x14ac:dyDescent="0.45">
      <c r="B1556"/>
      <c r="G1556"/>
    </row>
    <row r="1557" spans="2:7" x14ac:dyDescent="0.45">
      <c r="B1557"/>
      <c r="G1557"/>
    </row>
    <row r="1558" spans="2:7" x14ac:dyDescent="0.45">
      <c r="B1558"/>
      <c r="G1558"/>
    </row>
    <row r="1559" spans="2:7" x14ac:dyDescent="0.45">
      <c r="B1559"/>
      <c r="G1559"/>
    </row>
    <row r="1560" spans="2:7" x14ac:dyDescent="0.45">
      <c r="B1560"/>
      <c r="G1560"/>
    </row>
    <row r="1561" spans="2:7" x14ac:dyDescent="0.45">
      <c r="B1561"/>
      <c r="G1561"/>
    </row>
    <row r="1562" spans="2:7" x14ac:dyDescent="0.45">
      <c r="B1562"/>
      <c r="G1562"/>
    </row>
    <row r="1563" spans="2:7" x14ac:dyDescent="0.45">
      <c r="B1563"/>
      <c r="G1563"/>
    </row>
    <row r="1564" spans="2:7" x14ac:dyDescent="0.45">
      <c r="B1564"/>
      <c r="G1564"/>
    </row>
    <row r="1565" spans="2:7" x14ac:dyDescent="0.45">
      <c r="B1565"/>
      <c r="G1565"/>
    </row>
    <row r="1566" spans="2:7" x14ac:dyDescent="0.45">
      <c r="B1566"/>
      <c r="G1566"/>
    </row>
    <row r="1567" spans="2:7" x14ac:dyDescent="0.45">
      <c r="B1567"/>
      <c r="G1567"/>
    </row>
    <row r="1568" spans="2:7" x14ac:dyDescent="0.45">
      <c r="B1568"/>
      <c r="G1568"/>
    </row>
    <row r="1569" spans="2:7" x14ac:dyDescent="0.45">
      <c r="B1569"/>
      <c r="G1569"/>
    </row>
    <row r="1570" spans="2:7" x14ac:dyDescent="0.45">
      <c r="B1570"/>
      <c r="G1570"/>
    </row>
    <row r="1571" spans="2:7" x14ac:dyDescent="0.45">
      <c r="B1571"/>
      <c r="G1571"/>
    </row>
    <row r="1572" spans="2:7" x14ac:dyDescent="0.45">
      <c r="B1572"/>
      <c r="G1572"/>
    </row>
    <row r="1573" spans="2:7" x14ac:dyDescent="0.45">
      <c r="B1573"/>
      <c r="G1573"/>
    </row>
    <row r="1574" spans="2:7" x14ac:dyDescent="0.45">
      <c r="B1574"/>
      <c r="G1574"/>
    </row>
    <row r="1575" spans="2:7" x14ac:dyDescent="0.45">
      <c r="B1575"/>
      <c r="G1575"/>
    </row>
    <row r="1576" spans="2:7" x14ac:dyDescent="0.45">
      <c r="B1576"/>
      <c r="G1576"/>
    </row>
    <row r="1577" spans="2:7" x14ac:dyDescent="0.45">
      <c r="B1577"/>
      <c r="G1577"/>
    </row>
    <row r="1578" spans="2:7" x14ac:dyDescent="0.45">
      <c r="B1578"/>
      <c r="G1578"/>
    </row>
    <row r="1579" spans="2:7" x14ac:dyDescent="0.45">
      <c r="B1579"/>
      <c r="G1579"/>
    </row>
    <row r="1580" spans="2:7" x14ac:dyDescent="0.45">
      <c r="B1580"/>
      <c r="G1580"/>
    </row>
    <row r="1581" spans="2:7" x14ac:dyDescent="0.45">
      <c r="B1581"/>
      <c r="G1581"/>
    </row>
    <row r="1582" spans="2:7" x14ac:dyDescent="0.45">
      <c r="B1582"/>
      <c r="G1582"/>
    </row>
    <row r="1583" spans="2:7" x14ac:dyDescent="0.45">
      <c r="B1583"/>
      <c r="G1583"/>
    </row>
    <row r="1584" spans="2:7" x14ac:dyDescent="0.45">
      <c r="B1584"/>
      <c r="G1584"/>
    </row>
    <row r="1585" spans="2:7" x14ac:dyDescent="0.45">
      <c r="B1585"/>
      <c r="G1585"/>
    </row>
    <row r="1586" spans="2:7" x14ac:dyDescent="0.45">
      <c r="B1586"/>
      <c r="G1586"/>
    </row>
    <row r="1587" spans="2:7" x14ac:dyDescent="0.45">
      <c r="B1587"/>
      <c r="G1587"/>
    </row>
    <row r="1588" spans="2:7" x14ac:dyDescent="0.45">
      <c r="B1588"/>
      <c r="G1588"/>
    </row>
    <row r="1589" spans="2:7" x14ac:dyDescent="0.45">
      <c r="B1589"/>
      <c r="G1589"/>
    </row>
    <row r="1590" spans="2:7" x14ac:dyDescent="0.45">
      <c r="B1590"/>
      <c r="G1590"/>
    </row>
    <row r="1591" spans="2:7" x14ac:dyDescent="0.45">
      <c r="B1591"/>
      <c r="G1591"/>
    </row>
    <row r="1592" spans="2:7" x14ac:dyDescent="0.45">
      <c r="B1592"/>
      <c r="G1592"/>
    </row>
    <row r="1593" spans="2:7" x14ac:dyDescent="0.45">
      <c r="B1593"/>
      <c r="G1593"/>
    </row>
    <row r="1594" spans="2:7" x14ac:dyDescent="0.45">
      <c r="B1594"/>
      <c r="G1594"/>
    </row>
    <row r="1595" spans="2:7" x14ac:dyDescent="0.45">
      <c r="B1595"/>
      <c r="G1595"/>
    </row>
    <row r="1596" spans="2:7" x14ac:dyDescent="0.45">
      <c r="B1596"/>
      <c r="G1596"/>
    </row>
    <row r="1597" spans="2:7" x14ac:dyDescent="0.45">
      <c r="B1597"/>
      <c r="G1597"/>
    </row>
    <row r="1598" spans="2:7" x14ac:dyDescent="0.45">
      <c r="B1598"/>
      <c r="G1598"/>
    </row>
    <row r="1599" spans="2:7" x14ac:dyDescent="0.45">
      <c r="B1599"/>
      <c r="G1599"/>
    </row>
    <row r="1600" spans="2:7" x14ac:dyDescent="0.45">
      <c r="B1600"/>
      <c r="G1600"/>
    </row>
    <row r="1601" spans="2:7" x14ac:dyDescent="0.45">
      <c r="B1601"/>
      <c r="G1601"/>
    </row>
    <row r="1602" spans="2:7" x14ac:dyDescent="0.45">
      <c r="B1602"/>
      <c r="G1602"/>
    </row>
    <row r="1603" spans="2:7" x14ac:dyDescent="0.45">
      <c r="B1603"/>
      <c r="G1603"/>
    </row>
    <row r="1604" spans="2:7" x14ac:dyDescent="0.45">
      <c r="B1604"/>
      <c r="G1604"/>
    </row>
    <row r="1605" spans="2:7" x14ac:dyDescent="0.45">
      <c r="B1605"/>
      <c r="G1605"/>
    </row>
    <row r="1606" spans="2:7" x14ac:dyDescent="0.45">
      <c r="B1606"/>
      <c r="G1606"/>
    </row>
    <row r="1607" spans="2:7" x14ac:dyDescent="0.45">
      <c r="B1607"/>
      <c r="G1607"/>
    </row>
    <row r="1608" spans="2:7" x14ac:dyDescent="0.45">
      <c r="B1608"/>
      <c r="G1608"/>
    </row>
    <row r="1609" spans="2:7" x14ac:dyDescent="0.45">
      <c r="B1609"/>
      <c r="G1609"/>
    </row>
    <row r="1610" spans="2:7" x14ac:dyDescent="0.45">
      <c r="B1610"/>
      <c r="G1610"/>
    </row>
    <row r="1611" spans="2:7" x14ac:dyDescent="0.45">
      <c r="B1611"/>
      <c r="G1611"/>
    </row>
    <row r="1612" spans="2:7" x14ac:dyDescent="0.45">
      <c r="B1612"/>
      <c r="G1612"/>
    </row>
    <row r="1613" spans="2:7" x14ac:dyDescent="0.45">
      <c r="B1613"/>
      <c r="G1613"/>
    </row>
    <row r="1614" spans="2:7" x14ac:dyDescent="0.45">
      <c r="B1614"/>
      <c r="G1614"/>
    </row>
    <row r="1615" spans="2:7" x14ac:dyDescent="0.45">
      <c r="B1615"/>
      <c r="G1615"/>
    </row>
    <row r="1616" spans="2:7" x14ac:dyDescent="0.45">
      <c r="B1616"/>
      <c r="G1616"/>
    </row>
    <row r="1617" spans="2:7" x14ac:dyDescent="0.45">
      <c r="B1617"/>
      <c r="G1617"/>
    </row>
    <row r="1618" spans="2:7" x14ac:dyDescent="0.45">
      <c r="B1618"/>
      <c r="G1618"/>
    </row>
    <row r="1619" spans="2:7" x14ac:dyDescent="0.45">
      <c r="B1619"/>
      <c r="G1619"/>
    </row>
    <row r="1620" spans="2:7" x14ac:dyDescent="0.45">
      <c r="B1620"/>
      <c r="G1620"/>
    </row>
    <row r="1621" spans="2:7" x14ac:dyDescent="0.45">
      <c r="B1621"/>
      <c r="G1621"/>
    </row>
    <row r="1622" spans="2:7" x14ac:dyDescent="0.45">
      <c r="B1622"/>
      <c r="G1622"/>
    </row>
    <row r="1623" spans="2:7" x14ac:dyDescent="0.45">
      <c r="B1623"/>
      <c r="G1623"/>
    </row>
    <row r="1624" spans="2:7" x14ac:dyDescent="0.45">
      <c r="B1624"/>
      <c r="G1624"/>
    </row>
    <row r="1625" spans="2:7" x14ac:dyDescent="0.45">
      <c r="B1625"/>
      <c r="G1625"/>
    </row>
    <row r="1626" spans="2:7" x14ac:dyDescent="0.45">
      <c r="B1626"/>
      <c r="G1626"/>
    </row>
    <row r="1627" spans="2:7" x14ac:dyDescent="0.45">
      <c r="B1627"/>
      <c r="G1627"/>
    </row>
    <row r="1628" spans="2:7" x14ac:dyDescent="0.45">
      <c r="B1628"/>
      <c r="G1628"/>
    </row>
    <row r="1629" spans="2:7" x14ac:dyDescent="0.45">
      <c r="B1629"/>
      <c r="G1629"/>
    </row>
    <row r="1630" spans="2:7" x14ac:dyDescent="0.45">
      <c r="B1630"/>
      <c r="G1630"/>
    </row>
    <row r="1631" spans="2:7" x14ac:dyDescent="0.45">
      <c r="B1631"/>
      <c r="G1631"/>
    </row>
    <row r="1632" spans="2:7" x14ac:dyDescent="0.45">
      <c r="B1632"/>
      <c r="G1632"/>
    </row>
    <row r="1633" spans="2:7" x14ac:dyDescent="0.45">
      <c r="B1633"/>
      <c r="G1633"/>
    </row>
    <row r="1634" spans="2:7" x14ac:dyDescent="0.45">
      <c r="B1634"/>
      <c r="G1634"/>
    </row>
    <row r="1635" spans="2:7" x14ac:dyDescent="0.45">
      <c r="B1635"/>
      <c r="G1635"/>
    </row>
    <row r="1636" spans="2:7" x14ac:dyDescent="0.45">
      <c r="B1636"/>
      <c r="G1636"/>
    </row>
    <row r="1637" spans="2:7" x14ac:dyDescent="0.45">
      <c r="B1637"/>
      <c r="G1637"/>
    </row>
    <row r="1638" spans="2:7" x14ac:dyDescent="0.45">
      <c r="B1638"/>
      <c r="G1638"/>
    </row>
    <row r="1639" spans="2:7" x14ac:dyDescent="0.45">
      <c r="B1639"/>
      <c r="G1639"/>
    </row>
    <row r="1640" spans="2:7" x14ac:dyDescent="0.45">
      <c r="B1640"/>
      <c r="G1640"/>
    </row>
    <row r="1641" spans="2:7" x14ac:dyDescent="0.45">
      <c r="B1641"/>
      <c r="G1641"/>
    </row>
    <row r="1642" spans="2:7" x14ac:dyDescent="0.45">
      <c r="B1642"/>
      <c r="G1642"/>
    </row>
    <row r="1643" spans="2:7" x14ac:dyDescent="0.45">
      <c r="B1643"/>
      <c r="G1643"/>
    </row>
    <row r="1644" spans="2:7" x14ac:dyDescent="0.45">
      <c r="B1644"/>
      <c r="G1644"/>
    </row>
    <row r="1645" spans="2:7" x14ac:dyDescent="0.45">
      <c r="B1645"/>
      <c r="G1645"/>
    </row>
    <row r="1646" spans="2:7" x14ac:dyDescent="0.45">
      <c r="B1646"/>
      <c r="G1646"/>
    </row>
    <row r="1647" spans="2:7" x14ac:dyDescent="0.45">
      <c r="B1647"/>
      <c r="G1647"/>
    </row>
    <row r="1648" spans="2:7" x14ac:dyDescent="0.45">
      <c r="B1648"/>
      <c r="G1648"/>
    </row>
    <row r="1649" spans="2:7" x14ac:dyDescent="0.45">
      <c r="B1649"/>
      <c r="G1649"/>
    </row>
    <row r="1650" spans="2:7" x14ac:dyDescent="0.45">
      <c r="B1650"/>
      <c r="G1650"/>
    </row>
    <row r="1651" spans="2:7" x14ac:dyDescent="0.45">
      <c r="B1651"/>
      <c r="G1651"/>
    </row>
    <row r="1652" spans="2:7" x14ac:dyDescent="0.45">
      <c r="B1652"/>
      <c r="G1652"/>
    </row>
    <row r="1653" spans="2:7" x14ac:dyDescent="0.45">
      <c r="B1653"/>
      <c r="G1653"/>
    </row>
    <row r="1654" spans="2:7" x14ac:dyDescent="0.45">
      <c r="B1654"/>
      <c r="G1654"/>
    </row>
    <row r="1655" spans="2:7" x14ac:dyDescent="0.45">
      <c r="B1655"/>
      <c r="G1655"/>
    </row>
    <row r="1656" spans="2:7" x14ac:dyDescent="0.45">
      <c r="B1656"/>
      <c r="G1656"/>
    </row>
    <row r="1657" spans="2:7" x14ac:dyDescent="0.45">
      <c r="B1657"/>
      <c r="G1657"/>
    </row>
    <row r="1658" spans="2:7" x14ac:dyDescent="0.45">
      <c r="B1658"/>
      <c r="G1658"/>
    </row>
    <row r="1659" spans="2:7" x14ac:dyDescent="0.45">
      <c r="B1659"/>
      <c r="G1659"/>
    </row>
    <row r="1660" spans="2:7" x14ac:dyDescent="0.45">
      <c r="B1660"/>
      <c r="G1660"/>
    </row>
    <row r="1661" spans="2:7" x14ac:dyDescent="0.45">
      <c r="B1661"/>
      <c r="G1661"/>
    </row>
    <row r="1662" spans="2:7" x14ac:dyDescent="0.45">
      <c r="B1662"/>
      <c r="G1662"/>
    </row>
    <row r="1663" spans="2:7" x14ac:dyDescent="0.45">
      <c r="B1663"/>
      <c r="G1663"/>
    </row>
    <row r="1664" spans="2:7" x14ac:dyDescent="0.45">
      <c r="B1664"/>
      <c r="G1664"/>
    </row>
    <row r="1665" spans="2:7" x14ac:dyDescent="0.45">
      <c r="B1665"/>
      <c r="G1665"/>
    </row>
    <row r="1666" spans="2:7" x14ac:dyDescent="0.45">
      <c r="B1666"/>
      <c r="G1666"/>
    </row>
    <row r="1667" spans="2:7" x14ac:dyDescent="0.45">
      <c r="B1667"/>
      <c r="G1667"/>
    </row>
    <row r="1668" spans="2:7" x14ac:dyDescent="0.45">
      <c r="B1668"/>
      <c r="G1668"/>
    </row>
    <row r="1669" spans="2:7" x14ac:dyDescent="0.45">
      <c r="B1669"/>
      <c r="G1669"/>
    </row>
    <row r="1670" spans="2:7" x14ac:dyDescent="0.45">
      <c r="B1670"/>
      <c r="G1670"/>
    </row>
    <row r="1671" spans="2:7" x14ac:dyDescent="0.45">
      <c r="B1671"/>
      <c r="G1671"/>
    </row>
    <row r="1672" spans="2:7" x14ac:dyDescent="0.45">
      <c r="B1672"/>
      <c r="G1672"/>
    </row>
    <row r="1673" spans="2:7" x14ac:dyDescent="0.45">
      <c r="B1673"/>
      <c r="G1673"/>
    </row>
    <row r="1674" spans="2:7" x14ac:dyDescent="0.45">
      <c r="B1674"/>
      <c r="G1674"/>
    </row>
    <row r="1675" spans="2:7" x14ac:dyDescent="0.45">
      <c r="B1675"/>
      <c r="G1675"/>
    </row>
    <row r="1676" spans="2:7" x14ac:dyDescent="0.45">
      <c r="B1676"/>
      <c r="G1676"/>
    </row>
    <row r="1677" spans="2:7" x14ac:dyDescent="0.45">
      <c r="B1677"/>
      <c r="G1677"/>
    </row>
    <row r="1678" spans="2:7" x14ac:dyDescent="0.45">
      <c r="B1678"/>
      <c r="G1678"/>
    </row>
    <row r="1679" spans="2:7" x14ac:dyDescent="0.45">
      <c r="B1679"/>
      <c r="G1679"/>
    </row>
    <row r="1680" spans="2:7" x14ac:dyDescent="0.45">
      <c r="B1680"/>
      <c r="G1680"/>
    </row>
    <row r="1681" spans="2:7" x14ac:dyDescent="0.45">
      <c r="B1681"/>
      <c r="G1681"/>
    </row>
    <row r="1682" spans="2:7" x14ac:dyDescent="0.45">
      <c r="B1682"/>
      <c r="G1682"/>
    </row>
    <row r="1683" spans="2:7" x14ac:dyDescent="0.45">
      <c r="B1683"/>
      <c r="G1683"/>
    </row>
    <row r="1684" spans="2:7" x14ac:dyDescent="0.45">
      <c r="B1684"/>
      <c r="G1684"/>
    </row>
    <row r="1685" spans="2:7" x14ac:dyDescent="0.45">
      <c r="B1685"/>
      <c r="G1685"/>
    </row>
    <row r="1686" spans="2:7" x14ac:dyDescent="0.45">
      <c r="B1686"/>
      <c r="G1686"/>
    </row>
    <row r="1687" spans="2:7" x14ac:dyDescent="0.45">
      <c r="B1687"/>
      <c r="G1687"/>
    </row>
    <row r="1688" spans="2:7" x14ac:dyDescent="0.45">
      <c r="B1688"/>
      <c r="G1688"/>
    </row>
    <row r="1689" spans="2:7" x14ac:dyDescent="0.45">
      <c r="B1689"/>
      <c r="G1689"/>
    </row>
    <row r="1690" spans="2:7" x14ac:dyDescent="0.45">
      <c r="B1690"/>
      <c r="G1690"/>
    </row>
    <row r="1691" spans="2:7" x14ac:dyDescent="0.45">
      <c r="B1691"/>
      <c r="G1691"/>
    </row>
    <row r="1692" spans="2:7" x14ac:dyDescent="0.45">
      <c r="B1692"/>
      <c r="G1692"/>
    </row>
    <row r="1693" spans="2:7" x14ac:dyDescent="0.45">
      <c r="B1693"/>
      <c r="G1693"/>
    </row>
    <row r="1694" spans="2:7" x14ac:dyDescent="0.45">
      <c r="B1694"/>
      <c r="G1694"/>
    </row>
    <row r="1695" spans="2:7" x14ac:dyDescent="0.45">
      <c r="B1695"/>
      <c r="G1695"/>
    </row>
    <row r="1696" spans="2:7" x14ac:dyDescent="0.45">
      <c r="B1696"/>
      <c r="G1696"/>
    </row>
    <row r="1697" spans="2:7" x14ac:dyDescent="0.45">
      <c r="B1697"/>
      <c r="G1697"/>
    </row>
    <row r="1698" spans="2:7" x14ac:dyDescent="0.45">
      <c r="B1698"/>
      <c r="G1698"/>
    </row>
    <row r="1699" spans="2:7" x14ac:dyDescent="0.45">
      <c r="B1699"/>
      <c r="G1699"/>
    </row>
    <row r="1700" spans="2:7" x14ac:dyDescent="0.45">
      <c r="B1700"/>
      <c r="G1700"/>
    </row>
    <row r="1701" spans="2:7" x14ac:dyDescent="0.45">
      <c r="B1701"/>
      <c r="G1701"/>
    </row>
    <row r="1702" spans="2:7" x14ac:dyDescent="0.45">
      <c r="B1702"/>
      <c r="G1702"/>
    </row>
    <row r="1703" spans="2:7" x14ac:dyDescent="0.45">
      <c r="B1703"/>
      <c r="G1703"/>
    </row>
    <row r="1704" spans="2:7" x14ac:dyDescent="0.45">
      <c r="B1704"/>
      <c r="G1704"/>
    </row>
    <row r="1705" spans="2:7" x14ac:dyDescent="0.45">
      <c r="B1705"/>
      <c r="G1705"/>
    </row>
    <row r="1706" spans="2:7" x14ac:dyDescent="0.45">
      <c r="B1706"/>
      <c r="G1706"/>
    </row>
    <row r="1707" spans="2:7" x14ac:dyDescent="0.45">
      <c r="B1707"/>
      <c r="G1707"/>
    </row>
    <row r="1708" spans="2:7" x14ac:dyDescent="0.45">
      <c r="B1708"/>
      <c r="G1708"/>
    </row>
    <row r="1709" spans="2:7" x14ac:dyDescent="0.45">
      <c r="B1709"/>
      <c r="G1709"/>
    </row>
    <row r="1710" spans="2:7" x14ac:dyDescent="0.45">
      <c r="B1710"/>
      <c r="G1710"/>
    </row>
    <row r="1711" spans="2:7" x14ac:dyDescent="0.45">
      <c r="B1711"/>
      <c r="G1711"/>
    </row>
    <row r="1712" spans="2:7" x14ac:dyDescent="0.45">
      <c r="B1712"/>
      <c r="G1712"/>
    </row>
    <row r="1713" spans="2:7" x14ac:dyDescent="0.45">
      <c r="B1713"/>
      <c r="G1713"/>
    </row>
    <row r="1714" spans="2:7" x14ac:dyDescent="0.45">
      <c r="B1714"/>
      <c r="G1714"/>
    </row>
    <row r="1715" spans="2:7" x14ac:dyDescent="0.45">
      <c r="B1715"/>
      <c r="G1715"/>
    </row>
    <row r="1716" spans="2:7" x14ac:dyDescent="0.45">
      <c r="B1716"/>
      <c r="G1716"/>
    </row>
    <row r="1717" spans="2:7" x14ac:dyDescent="0.45">
      <c r="B1717"/>
      <c r="G1717"/>
    </row>
    <row r="1718" spans="2:7" x14ac:dyDescent="0.45">
      <c r="B1718"/>
      <c r="G1718"/>
    </row>
    <row r="1719" spans="2:7" x14ac:dyDescent="0.45">
      <c r="B1719"/>
      <c r="G1719"/>
    </row>
    <row r="1720" spans="2:7" x14ac:dyDescent="0.45">
      <c r="B1720"/>
      <c r="G1720"/>
    </row>
    <row r="1721" spans="2:7" x14ac:dyDescent="0.45">
      <c r="B1721"/>
      <c r="G1721"/>
    </row>
    <row r="1722" spans="2:7" x14ac:dyDescent="0.45">
      <c r="B1722"/>
      <c r="G1722"/>
    </row>
    <row r="1723" spans="2:7" x14ac:dyDescent="0.45">
      <c r="B1723"/>
      <c r="G1723"/>
    </row>
    <row r="1724" spans="2:7" x14ac:dyDescent="0.45">
      <c r="B1724"/>
      <c r="G1724"/>
    </row>
    <row r="1725" spans="2:7" x14ac:dyDescent="0.45">
      <c r="B1725"/>
      <c r="G1725"/>
    </row>
    <row r="1726" spans="2:7" x14ac:dyDescent="0.45">
      <c r="B1726"/>
      <c r="G1726"/>
    </row>
    <row r="1727" spans="2:7" x14ac:dyDescent="0.45">
      <c r="B1727"/>
      <c r="G1727"/>
    </row>
    <row r="1728" spans="2:7" x14ac:dyDescent="0.45">
      <c r="B1728"/>
      <c r="G1728"/>
    </row>
    <row r="1729" spans="2:7" x14ac:dyDescent="0.45">
      <c r="B1729"/>
      <c r="G1729"/>
    </row>
    <row r="1730" spans="2:7" x14ac:dyDescent="0.45">
      <c r="B1730"/>
      <c r="G1730"/>
    </row>
    <row r="1731" spans="2:7" x14ac:dyDescent="0.45">
      <c r="B1731"/>
      <c r="G1731"/>
    </row>
    <row r="1732" spans="2:7" x14ac:dyDescent="0.45">
      <c r="B1732"/>
      <c r="G1732"/>
    </row>
    <row r="1733" spans="2:7" x14ac:dyDescent="0.45">
      <c r="B1733"/>
      <c r="G1733"/>
    </row>
    <row r="1734" spans="2:7" x14ac:dyDescent="0.45">
      <c r="B1734"/>
      <c r="G1734"/>
    </row>
    <row r="1735" spans="2:7" x14ac:dyDescent="0.45">
      <c r="B1735"/>
      <c r="G1735"/>
    </row>
    <row r="1736" spans="2:7" x14ac:dyDescent="0.45">
      <c r="B1736"/>
      <c r="G1736"/>
    </row>
    <row r="1737" spans="2:7" x14ac:dyDescent="0.45">
      <c r="B1737"/>
      <c r="G1737"/>
    </row>
    <row r="1738" spans="2:7" x14ac:dyDescent="0.45">
      <c r="B1738"/>
      <c r="G1738"/>
    </row>
    <row r="1739" spans="2:7" x14ac:dyDescent="0.45">
      <c r="B1739"/>
      <c r="G1739"/>
    </row>
    <row r="1740" spans="2:7" x14ac:dyDescent="0.45">
      <c r="B1740"/>
      <c r="G1740"/>
    </row>
    <row r="1741" spans="2:7" x14ac:dyDescent="0.45">
      <c r="B1741"/>
      <c r="G1741"/>
    </row>
    <row r="1742" spans="2:7" x14ac:dyDescent="0.45">
      <c r="B1742"/>
      <c r="G1742"/>
    </row>
    <row r="1743" spans="2:7" x14ac:dyDescent="0.45">
      <c r="B1743"/>
      <c r="G1743"/>
    </row>
    <row r="1744" spans="2:7" x14ac:dyDescent="0.45">
      <c r="B1744"/>
      <c r="G1744"/>
    </row>
    <row r="1745" spans="2:7" x14ac:dyDescent="0.45">
      <c r="B1745"/>
      <c r="G1745"/>
    </row>
    <row r="1746" spans="2:7" x14ac:dyDescent="0.45">
      <c r="B1746"/>
      <c r="G1746"/>
    </row>
    <row r="1747" spans="2:7" x14ac:dyDescent="0.45">
      <c r="B1747"/>
      <c r="G1747"/>
    </row>
    <row r="1748" spans="2:7" x14ac:dyDescent="0.45">
      <c r="B1748"/>
      <c r="G1748"/>
    </row>
    <row r="1749" spans="2:7" x14ac:dyDescent="0.45">
      <c r="B1749"/>
      <c r="G1749"/>
    </row>
    <row r="1750" spans="2:7" x14ac:dyDescent="0.45">
      <c r="B1750"/>
      <c r="G1750"/>
    </row>
    <row r="1751" spans="2:7" x14ac:dyDescent="0.45">
      <c r="B1751"/>
      <c r="G1751"/>
    </row>
    <row r="1752" spans="2:7" x14ac:dyDescent="0.45">
      <c r="B1752"/>
      <c r="G1752"/>
    </row>
    <row r="1753" spans="2:7" x14ac:dyDescent="0.45">
      <c r="B1753"/>
      <c r="G1753"/>
    </row>
    <row r="1754" spans="2:7" x14ac:dyDescent="0.45">
      <c r="B1754"/>
      <c r="G1754"/>
    </row>
    <row r="1755" spans="2:7" x14ac:dyDescent="0.45">
      <c r="B1755"/>
      <c r="G1755"/>
    </row>
    <row r="1756" spans="2:7" x14ac:dyDescent="0.45">
      <c r="B1756"/>
      <c r="G1756"/>
    </row>
    <row r="1757" spans="2:7" x14ac:dyDescent="0.45">
      <c r="B1757"/>
      <c r="G1757"/>
    </row>
    <row r="1758" spans="2:7" x14ac:dyDescent="0.45">
      <c r="B1758"/>
      <c r="G1758"/>
    </row>
    <row r="1759" spans="2:7" x14ac:dyDescent="0.45">
      <c r="B1759"/>
      <c r="G1759"/>
    </row>
    <row r="1760" spans="2:7" x14ac:dyDescent="0.45">
      <c r="B1760"/>
      <c r="G1760"/>
    </row>
    <row r="1761" spans="2:7" x14ac:dyDescent="0.45">
      <c r="B1761"/>
      <c r="G1761"/>
    </row>
    <row r="1762" spans="2:7" x14ac:dyDescent="0.45">
      <c r="B1762"/>
      <c r="G1762"/>
    </row>
    <row r="1763" spans="2:7" x14ac:dyDescent="0.45">
      <c r="B1763"/>
      <c r="G1763"/>
    </row>
    <row r="1764" spans="2:7" x14ac:dyDescent="0.45">
      <c r="B1764"/>
      <c r="G1764"/>
    </row>
    <row r="1765" spans="2:7" x14ac:dyDescent="0.45">
      <c r="B1765"/>
      <c r="G1765"/>
    </row>
    <row r="1766" spans="2:7" x14ac:dyDescent="0.45">
      <c r="B1766"/>
      <c r="G1766"/>
    </row>
    <row r="1767" spans="2:7" x14ac:dyDescent="0.45">
      <c r="B1767"/>
      <c r="G1767"/>
    </row>
    <row r="1768" spans="2:7" x14ac:dyDescent="0.45">
      <c r="B1768"/>
      <c r="G1768"/>
    </row>
    <row r="1769" spans="2:7" x14ac:dyDescent="0.45">
      <c r="B1769"/>
      <c r="G1769"/>
    </row>
    <row r="1770" spans="2:7" x14ac:dyDescent="0.45">
      <c r="B1770"/>
      <c r="G1770"/>
    </row>
    <row r="1771" spans="2:7" x14ac:dyDescent="0.45">
      <c r="B1771"/>
      <c r="G1771"/>
    </row>
    <row r="1772" spans="2:7" x14ac:dyDescent="0.45">
      <c r="B1772"/>
      <c r="G1772"/>
    </row>
    <row r="1773" spans="2:7" x14ac:dyDescent="0.45">
      <c r="B1773"/>
      <c r="G1773"/>
    </row>
    <row r="1774" spans="2:7" x14ac:dyDescent="0.45">
      <c r="B1774"/>
      <c r="G1774"/>
    </row>
    <row r="1775" spans="2:7" x14ac:dyDescent="0.45">
      <c r="B1775"/>
      <c r="G1775"/>
    </row>
    <row r="1776" spans="2:7" x14ac:dyDescent="0.45">
      <c r="B1776"/>
      <c r="G1776"/>
    </row>
    <row r="1777" spans="2:7" x14ac:dyDescent="0.45">
      <c r="B1777"/>
      <c r="G1777"/>
    </row>
    <row r="1778" spans="2:7" x14ac:dyDescent="0.45">
      <c r="B1778"/>
      <c r="G1778"/>
    </row>
    <row r="1779" spans="2:7" x14ac:dyDescent="0.45">
      <c r="B1779"/>
      <c r="G1779"/>
    </row>
    <row r="1780" spans="2:7" x14ac:dyDescent="0.45">
      <c r="B1780"/>
      <c r="G1780"/>
    </row>
    <row r="1781" spans="2:7" x14ac:dyDescent="0.45">
      <c r="B1781"/>
      <c r="G1781"/>
    </row>
    <row r="1782" spans="2:7" x14ac:dyDescent="0.45">
      <c r="B1782"/>
      <c r="G1782"/>
    </row>
    <row r="1783" spans="2:7" x14ac:dyDescent="0.45">
      <c r="B1783"/>
      <c r="G1783"/>
    </row>
    <row r="1784" spans="2:7" x14ac:dyDescent="0.45">
      <c r="B1784"/>
      <c r="G1784"/>
    </row>
    <row r="1785" spans="2:7" x14ac:dyDescent="0.45">
      <c r="B1785"/>
      <c r="G1785"/>
    </row>
    <row r="1786" spans="2:7" x14ac:dyDescent="0.45">
      <c r="B1786"/>
      <c r="G1786"/>
    </row>
    <row r="1787" spans="2:7" x14ac:dyDescent="0.45">
      <c r="B1787"/>
      <c r="G1787"/>
    </row>
    <row r="1788" spans="2:7" x14ac:dyDescent="0.45">
      <c r="B1788"/>
      <c r="G1788"/>
    </row>
    <row r="1789" spans="2:7" x14ac:dyDescent="0.45">
      <c r="B1789"/>
      <c r="G1789"/>
    </row>
    <row r="1790" spans="2:7" x14ac:dyDescent="0.45">
      <c r="B1790"/>
      <c r="G1790"/>
    </row>
    <row r="1791" spans="2:7" x14ac:dyDescent="0.45">
      <c r="B1791"/>
      <c r="G1791"/>
    </row>
    <row r="1792" spans="2:7" x14ac:dyDescent="0.45">
      <c r="B1792"/>
      <c r="G1792"/>
    </row>
    <row r="1793" spans="2:7" x14ac:dyDescent="0.45">
      <c r="B1793"/>
      <c r="G1793"/>
    </row>
    <row r="1794" spans="2:7" x14ac:dyDescent="0.45">
      <c r="B1794"/>
      <c r="G1794"/>
    </row>
    <row r="1795" spans="2:7" x14ac:dyDescent="0.45">
      <c r="B1795"/>
      <c r="G1795"/>
    </row>
    <row r="1796" spans="2:7" x14ac:dyDescent="0.45">
      <c r="B1796"/>
      <c r="G1796"/>
    </row>
    <row r="1797" spans="2:7" x14ac:dyDescent="0.45">
      <c r="B1797"/>
      <c r="G1797"/>
    </row>
    <row r="1798" spans="2:7" x14ac:dyDescent="0.45">
      <c r="B1798"/>
      <c r="G1798"/>
    </row>
    <row r="1799" spans="2:7" x14ac:dyDescent="0.45">
      <c r="B1799"/>
      <c r="G1799"/>
    </row>
    <row r="1800" spans="2:7" x14ac:dyDescent="0.45">
      <c r="B1800"/>
      <c r="G1800"/>
    </row>
    <row r="1801" spans="2:7" x14ac:dyDescent="0.45">
      <c r="B1801"/>
      <c r="G1801"/>
    </row>
    <row r="1802" spans="2:7" x14ac:dyDescent="0.45">
      <c r="B1802"/>
      <c r="G1802"/>
    </row>
    <row r="1803" spans="2:7" x14ac:dyDescent="0.45">
      <c r="B1803"/>
      <c r="G1803"/>
    </row>
    <row r="1804" spans="2:7" x14ac:dyDescent="0.45">
      <c r="B1804"/>
      <c r="G1804"/>
    </row>
    <row r="1805" spans="2:7" x14ac:dyDescent="0.45">
      <c r="B1805"/>
      <c r="G1805"/>
    </row>
    <row r="1806" spans="2:7" x14ac:dyDescent="0.45">
      <c r="B1806"/>
      <c r="G1806"/>
    </row>
    <row r="1807" spans="2:7" x14ac:dyDescent="0.45">
      <c r="B1807"/>
      <c r="G1807"/>
    </row>
    <row r="1808" spans="2:7" x14ac:dyDescent="0.45">
      <c r="B1808"/>
      <c r="G1808"/>
    </row>
    <row r="1809" spans="2:7" x14ac:dyDescent="0.45">
      <c r="B1809"/>
      <c r="G1809"/>
    </row>
    <row r="1810" spans="2:7" x14ac:dyDescent="0.45">
      <c r="B1810"/>
      <c r="G1810"/>
    </row>
    <row r="1811" spans="2:7" x14ac:dyDescent="0.45">
      <c r="B1811"/>
      <c r="G1811"/>
    </row>
    <row r="1812" spans="2:7" x14ac:dyDescent="0.45">
      <c r="B1812"/>
      <c r="G1812"/>
    </row>
    <row r="1813" spans="2:7" x14ac:dyDescent="0.45">
      <c r="B1813"/>
      <c r="G1813"/>
    </row>
    <row r="1814" spans="2:7" x14ac:dyDescent="0.45">
      <c r="B1814"/>
      <c r="G1814"/>
    </row>
    <row r="1815" spans="2:7" x14ac:dyDescent="0.45">
      <c r="B1815"/>
      <c r="G1815"/>
    </row>
    <row r="1816" spans="2:7" x14ac:dyDescent="0.45">
      <c r="B1816"/>
      <c r="G1816"/>
    </row>
    <row r="1817" spans="2:7" x14ac:dyDescent="0.45">
      <c r="B1817"/>
      <c r="G1817"/>
    </row>
    <row r="1818" spans="2:7" x14ac:dyDescent="0.45">
      <c r="B1818"/>
      <c r="G1818"/>
    </row>
    <row r="1819" spans="2:7" x14ac:dyDescent="0.45">
      <c r="B1819"/>
      <c r="G1819"/>
    </row>
    <row r="1820" spans="2:7" x14ac:dyDescent="0.45">
      <c r="B1820"/>
      <c r="G1820"/>
    </row>
    <row r="1821" spans="2:7" x14ac:dyDescent="0.45">
      <c r="B1821"/>
      <c r="G1821"/>
    </row>
    <row r="1822" spans="2:7" x14ac:dyDescent="0.45">
      <c r="B1822"/>
      <c r="G1822"/>
    </row>
    <row r="1823" spans="2:7" x14ac:dyDescent="0.45">
      <c r="B1823"/>
      <c r="G1823"/>
    </row>
    <row r="1824" spans="2:7" x14ac:dyDescent="0.45">
      <c r="B1824"/>
      <c r="G1824"/>
    </row>
    <row r="1825" spans="2:7" x14ac:dyDescent="0.45">
      <c r="B1825"/>
      <c r="G1825"/>
    </row>
    <row r="1826" spans="2:7" x14ac:dyDescent="0.45">
      <c r="B1826"/>
      <c r="G1826"/>
    </row>
    <row r="1827" spans="2:7" x14ac:dyDescent="0.45">
      <c r="B1827"/>
      <c r="G1827"/>
    </row>
    <row r="1828" spans="2:7" x14ac:dyDescent="0.45">
      <c r="B1828"/>
      <c r="G1828"/>
    </row>
    <row r="1829" spans="2:7" x14ac:dyDescent="0.45">
      <c r="B1829"/>
      <c r="G1829"/>
    </row>
    <row r="1830" spans="2:7" x14ac:dyDescent="0.45">
      <c r="B1830"/>
      <c r="G1830"/>
    </row>
    <row r="1831" spans="2:7" x14ac:dyDescent="0.45">
      <c r="B1831"/>
      <c r="G1831"/>
    </row>
    <row r="1832" spans="2:7" x14ac:dyDescent="0.45">
      <c r="B1832"/>
      <c r="G1832"/>
    </row>
    <row r="1833" spans="2:7" x14ac:dyDescent="0.45">
      <c r="B1833"/>
      <c r="G1833"/>
    </row>
    <row r="1834" spans="2:7" x14ac:dyDescent="0.45">
      <c r="B1834"/>
      <c r="G1834"/>
    </row>
    <row r="1835" spans="2:7" x14ac:dyDescent="0.45">
      <c r="B1835"/>
      <c r="G1835"/>
    </row>
    <row r="1836" spans="2:7" x14ac:dyDescent="0.45">
      <c r="B1836"/>
      <c r="G1836"/>
    </row>
    <row r="1837" spans="2:7" x14ac:dyDescent="0.45">
      <c r="B1837"/>
      <c r="G1837"/>
    </row>
    <row r="1838" spans="2:7" x14ac:dyDescent="0.45">
      <c r="B1838"/>
      <c r="G1838"/>
    </row>
    <row r="1839" spans="2:7" x14ac:dyDescent="0.45">
      <c r="B1839"/>
      <c r="G1839"/>
    </row>
    <row r="1840" spans="2:7" x14ac:dyDescent="0.45">
      <c r="B1840"/>
      <c r="G1840"/>
    </row>
    <row r="1841" spans="2:7" x14ac:dyDescent="0.45">
      <c r="B1841"/>
      <c r="G1841"/>
    </row>
    <row r="1842" spans="2:7" x14ac:dyDescent="0.45">
      <c r="B1842"/>
      <c r="G1842"/>
    </row>
    <row r="1843" spans="2:7" x14ac:dyDescent="0.45">
      <c r="B1843"/>
      <c r="G1843"/>
    </row>
    <row r="1844" spans="2:7" x14ac:dyDescent="0.45">
      <c r="B1844"/>
      <c r="G1844"/>
    </row>
    <row r="1845" spans="2:7" x14ac:dyDescent="0.45">
      <c r="B1845"/>
      <c r="G1845"/>
    </row>
    <row r="1846" spans="2:7" x14ac:dyDescent="0.45">
      <c r="B1846"/>
      <c r="G1846"/>
    </row>
    <row r="1847" spans="2:7" x14ac:dyDescent="0.45">
      <c r="B1847"/>
      <c r="G1847"/>
    </row>
    <row r="1848" spans="2:7" x14ac:dyDescent="0.45">
      <c r="B1848"/>
      <c r="G1848"/>
    </row>
    <row r="1849" spans="2:7" x14ac:dyDescent="0.45">
      <c r="B1849"/>
      <c r="G1849"/>
    </row>
    <row r="1850" spans="2:7" x14ac:dyDescent="0.45">
      <c r="B1850"/>
      <c r="G1850"/>
    </row>
    <row r="1851" spans="2:7" x14ac:dyDescent="0.45">
      <c r="B1851"/>
      <c r="G1851"/>
    </row>
    <row r="1852" spans="2:7" x14ac:dyDescent="0.45">
      <c r="B1852"/>
      <c r="G1852"/>
    </row>
    <row r="1853" spans="2:7" x14ac:dyDescent="0.45">
      <c r="B1853"/>
      <c r="G1853"/>
    </row>
    <row r="1854" spans="2:7" x14ac:dyDescent="0.45">
      <c r="B1854"/>
      <c r="G1854"/>
    </row>
    <row r="1855" spans="2:7" x14ac:dyDescent="0.45">
      <c r="B1855"/>
      <c r="G1855"/>
    </row>
    <row r="1856" spans="2:7" x14ac:dyDescent="0.45">
      <c r="B1856"/>
      <c r="G1856"/>
    </row>
    <row r="1857" spans="2:7" x14ac:dyDescent="0.45">
      <c r="B1857"/>
      <c r="G1857"/>
    </row>
    <row r="1858" spans="2:7" x14ac:dyDescent="0.45">
      <c r="B1858"/>
      <c r="G1858"/>
    </row>
    <row r="1859" spans="2:7" x14ac:dyDescent="0.45">
      <c r="B1859"/>
      <c r="G1859"/>
    </row>
    <row r="1860" spans="2:7" x14ac:dyDescent="0.45">
      <c r="B1860"/>
      <c r="G1860"/>
    </row>
    <row r="1861" spans="2:7" x14ac:dyDescent="0.45">
      <c r="B1861"/>
      <c r="G1861"/>
    </row>
    <row r="1862" spans="2:7" x14ac:dyDescent="0.45">
      <c r="B1862"/>
      <c r="G1862"/>
    </row>
    <row r="1863" spans="2:7" x14ac:dyDescent="0.45">
      <c r="B1863"/>
      <c r="G1863"/>
    </row>
    <row r="1864" spans="2:7" x14ac:dyDescent="0.45">
      <c r="B1864"/>
      <c r="G1864"/>
    </row>
    <row r="1865" spans="2:7" x14ac:dyDescent="0.45">
      <c r="B1865"/>
      <c r="G1865"/>
    </row>
    <row r="1866" spans="2:7" x14ac:dyDescent="0.45">
      <c r="B1866"/>
      <c r="G1866"/>
    </row>
    <row r="1867" spans="2:7" x14ac:dyDescent="0.45">
      <c r="B1867"/>
      <c r="G1867"/>
    </row>
    <row r="1868" spans="2:7" x14ac:dyDescent="0.45">
      <c r="B1868"/>
      <c r="G1868"/>
    </row>
    <row r="1869" spans="2:7" x14ac:dyDescent="0.45">
      <c r="B1869"/>
      <c r="G1869"/>
    </row>
    <row r="1870" spans="2:7" x14ac:dyDescent="0.45">
      <c r="B1870"/>
      <c r="G1870"/>
    </row>
    <row r="1871" spans="2:7" x14ac:dyDescent="0.45">
      <c r="B1871"/>
      <c r="G1871"/>
    </row>
    <row r="1872" spans="2:7" x14ac:dyDescent="0.45">
      <c r="B1872"/>
      <c r="G1872"/>
    </row>
    <row r="1873" spans="2:7" x14ac:dyDescent="0.45">
      <c r="B1873"/>
      <c r="G1873"/>
    </row>
    <row r="1874" spans="2:7" x14ac:dyDescent="0.45">
      <c r="B1874"/>
      <c r="G1874"/>
    </row>
    <row r="1875" spans="2:7" x14ac:dyDescent="0.45">
      <c r="B1875"/>
      <c r="G1875"/>
    </row>
    <row r="1876" spans="2:7" x14ac:dyDescent="0.45">
      <c r="B1876"/>
      <c r="G1876"/>
    </row>
    <row r="1877" spans="2:7" x14ac:dyDescent="0.45">
      <c r="B1877"/>
      <c r="G1877"/>
    </row>
    <row r="1878" spans="2:7" x14ac:dyDescent="0.45">
      <c r="B1878"/>
      <c r="G1878"/>
    </row>
    <row r="1879" spans="2:7" x14ac:dyDescent="0.45">
      <c r="B1879"/>
      <c r="G1879"/>
    </row>
    <row r="1880" spans="2:7" x14ac:dyDescent="0.45">
      <c r="B1880"/>
      <c r="G1880"/>
    </row>
    <row r="1881" spans="2:7" x14ac:dyDescent="0.45">
      <c r="B1881"/>
      <c r="G1881"/>
    </row>
    <row r="1882" spans="2:7" x14ac:dyDescent="0.45">
      <c r="B1882"/>
      <c r="G1882"/>
    </row>
    <row r="1883" spans="2:7" x14ac:dyDescent="0.45">
      <c r="B1883"/>
      <c r="G1883"/>
    </row>
    <row r="1884" spans="2:7" x14ac:dyDescent="0.45">
      <c r="B1884"/>
      <c r="G1884"/>
    </row>
    <row r="1885" spans="2:7" x14ac:dyDescent="0.45">
      <c r="B1885"/>
      <c r="G1885"/>
    </row>
    <row r="1886" spans="2:7" x14ac:dyDescent="0.45">
      <c r="B1886"/>
      <c r="G1886"/>
    </row>
    <row r="1887" spans="2:7" x14ac:dyDescent="0.45">
      <c r="B1887"/>
      <c r="G1887"/>
    </row>
    <row r="1888" spans="2:7" x14ac:dyDescent="0.45">
      <c r="B1888"/>
      <c r="G1888"/>
    </row>
    <row r="1889" spans="2:7" x14ac:dyDescent="0.45">
      <c r="B1889"/>
      <c r="G1889"/>
    </row>
    <row r="1890" spans="2:7" x14ac:dyDescent="0.45">
      <c r="B1890"/>
      <c r="G1890"/>
    </row>
    <row r="1891" spans="2:7" x14ac:dyDescent="0.45">
      <c r="B1891"/>
      <c r="G1891"/>
    </row>
    <row r="1892" spans="2:7" x14ac:dyDescent="0.45">
      <c r="B1892"/>
      <c r="G1892"/>
    </row>
    <row r="1893" spans="2:7" x14ac:dyDescent="0.45">
      <c r="B1893"/>
      <c r="G1893"/>
    </row>
    <row r="1894" spans="2:7" x14ac:dyDescent="0.45">
      <c r="B1894"/>
      <c r="G1894"/>
    </row>
    <row r="1895" spans="2:7" x14ac:dyDescent="0.45">
      <c r="B1895"/>
      <c r="G1895"/>
    </row>
    <row r="1896" spans="2:7" x14ac:dyDescent="0.45">
      <c r="B1896"/>
      <c r="G1896"/>
    </row>
    <row r="1897" spans="2:7" x14ac:dyDescent="0.45">
      <c r="B1897"/>
      <c r="G1897"/>
    </row>
    <row r="1898" spans="2:7" x14ac:dyDescent="0.45">
      <c r="B1898"/>
      <c r="G1898"/>
    </row>
    <row r="1899" spans="2:7" x14ac:dyDescent="0.45">
      <c r="B1899"/>
      <c r="G1899"/>
    </row>
    <row r="1900" spans="2:7" x14ac:dyDescent="0.45">
      <c r="B1900"/>
      <c r="G1900"/>
    </row>
    <row r="1901" spans="2:7" x14ac:dyDescent="0.45">
      <c r="B1901"/>
      <c r="G1901"/>
    </row>
    <row r="1902" spans="2:7" x14ac:dyDescent="0.45">
      <c r="B1902"/>
      <c r="G1902"/>
    </row>
    <row r="1903" spans="2:7" x14ac:dyDescent="0.45">
      <c r="B1903"/>
      <c r="G1903"/>
    </row>
    <row r="1904" spans="2:7" x14ac:dyDescent="0.45">
      <c r="B1904"/>
      <c r="G1904"/>
    </row>
    <row r="1905" spans="2:7" x14ac:dyDescent="0.45">
      <c r="B1905"/>
      <c r="G1905"/>
    </row>
    <row r="1906" spans="2:7" x14ac:dyDescent="0.45">
      <c r="B1906"/>
      <c r="G1906"/>
    </row>
    <row r="1907" spans="2:7" x14ac:dyDescent="0.45">
      <c r="B1907"/>
      <c r="G1907"/>
    </row>
    <row r="1908" spans="2:7" x14ac:dyDescent="0.45">
      <c r="B1908"/>
      <c r="G1908"/>
    </row>
    <row r="1909" spans="2:7" x14ac:dyDescent="0.45">
      <c r="B1909"/>
      <c r="G1909"/>
    </row>
    <row r="1910" spans="2:7" x14ac:dyDescent="0.45">
      <c r="B1910"/>
      <c r="G1910"/>
    </row>
    <row r="1911" spans="2:7" x14ac:dyDescent="0.45">
      <c r="B1911"/>
      <c r="G1911"/>
    </row>
    <row r="1912" spans="2:7" x14ac:dyDescent="0.45">
      <c r="B1912"/>
      <c r="G1912"/>
    </row>
    <row r="1913" spans="2:7" x14ac:dyDescent="0.45">
      <c r="B1913"/>
      <c r="G1913"/>
    </row>
    <row r="1914" spans="2:7" x14ac:dyDescent="0.45">
      <c r="B1914"/>
      <c r="G1914"/>
    </row>
    <row r="1915" spans="2:7" x14ac:dyDescent="0.45">
      <c r="B1915"/>
      <c r="G1915"/>
    </row>
    <row r="1916" spans="2:7" x14ac:dyDescent="0.45">
      <c r="B1916"/>
      <c r="G1916"/>
    </row>
    <row r="1917" spans="2:7" x14ac:dyDescent="0.45">
      <c r="B1917"/>
      <c r="G1917"/>
    </row>
    <row r="1918" spans="2:7" x14ac:dyDescent="0.45">
      <c r="B1918"/>
      <c r="G1918"/>
    </row>
    <row r="1919" spans="2:7" x14ac:dyDescent="0.45">
      <c r="B1919"/>
      <c r="G1919"/>
    </row>
    <row r="1920" spans="2:7" x14ac:dyDescent="0.45">
      <c r="B1920"/>
      <c r="G1920"/>
    </row>
    <row r="1921" spans="2:7" x14ac:dyDescent="0.45">
      <c r="B1921"/>
      <c r="G1921"/>
    </row>
    <row r="1922" spans="2:7" x14ac:dyDescent="0.45">
      <c r="B1922"/>
      <c r="G1922"/>
    </row>
    <row r="1923" spans="2:7" x14ac:dyDescent="0.45">
      <c r="B1923"/>
      <c r="G1923"/>
    </row>
    <row r="1924" spans="2:7" x14ac:dyDescent="0.45">
      <c r="B1924"/>
      <c r="G1924"/>
    </row>
    <row r="1925" spans="2:7" x14ac:dyDescent="0.45">
      <c r="B1925"/>
      <c r="G1925"/>
    </row>
    <row r="1926" spans="2:7" x14ac:dyDescent="0.45">
      <c r="B1926"/>
      <c r="G1926"/>
    </row>
    <row r="1927" spans="2:7" x14ac:dyDescent="0.45">
      <c r="B1927"/>
      <c r="G1927"/>
    </row>
    <row r="1928" spans="2:7" x14ac:dyDescent="0.45">
      <c r="B1928"/>
      <c r="G1928"/>
    </row>
    <row r="1929" spans="2:7" x14ac:dyDescent="0.45">
      <c r="B1929"/>
      <c r="G1929"/>
    </row>
    <row r="1930" spans="2:7" x14ac:dyDescent="0.45">
      <c r="B1930"/>
      <c r="G1930"/>
    </row>
    <row r="1931" spans="2:7" x14ac:dyDescent="0.45">
      <c r="B1931"/>
      <c r="G1931"/>
    </row>
    <row r="1932" spans="2:7" x14ac:dyDescent="0.45">
      <c r="B1932"/>
      <c r="G1932"/>
    </row>
    <row r="1933" spans="2:7" x14ac:dyDescent="0.45">
      <c r="B1933"/>
      <c r="G1933"/>
    </row>
    <row r="1934" spans="2:7" x14ac:dyDescent="0.45">
      <c r="B1934"/>
      <c r="G1934"/>
    </row>
    <row r="1935" spans="2:7" x14ac:dyDescent="0.45">
      <c r="B1935"/>
      <c r="G1935"/>
    </row>
    <row r="1936" spans="2:7" x14ac:dyDescent="0.45">
      <c r="B1936"/>
      <c r="G1936"/>
    </row>
    <row r="1937" spans="2:7" x14ac:dyDescent="0.45">
      <c r="B1937"/>
      <c r="G1937"/>
    </row>
    <row r="1938" spans="2:7" x14ac:dyDescent="0.45">
      <c r="B1938"/>
      <c r="G1938"/>
    </row>
    <row r="1939" spans="2:7" x14ac:dyDescent="0.45">
      <c r="B1939"/>
      <c r="G1939"/>
    </row>
    <row r="1940" spans="2:7" x14ac:dyDescent="0.45">
      <c r="B1940"/>
      <c r="G1940"/>
    </row>
    <row r="1941" spans="2:7" x14ac:dyDescent="0.45">
      <c r="B1941"/>
      <c r="G1941"/>
    </row>
    <row r="1942" spans="2:7" x14ac:dyDescent="0.45">
      <c r="B1942"/>
      <c r="G1942"/>
    </row>
    <row r="1943" spans="2:7" x14ac:dyDescent="0.45">
      <c r="B1943"/>
      <c r="G1943"/>
    </row>
    <row r="1944" spans="2:7" x14ac:dyDescent="0.45">
      <c r="B1944"/>
      <c r="G1944"/>
    </row>
    <row r="1945" spans="2:7" x14ac:dyDescent="0.45">
      <c r="B1945"/>
      <c r="G1945"/>
    </row>
    <row r="1946" spans="2:7" x14ac:dyDescent="0.45">
      <c r="B1946"/>
      <c r="G1946"/>
    </row>
    <row r="1947" spans="2:7" x14ac:dyDescent="0.45">
      <c r="B1947"/>
      <c r="G1947"/>
    </row>
    <row r="1948" spans="2:7" x14ac:dyDescent="0.45">
      <c r="B1948"/>
      <c r="G1948"/>
    </row>
    <row r="1949" spans="2:7" x14ac:dyDescent="0.45">
      <c r="B1949"/>
      <c r="G1949"/>
    </row>
    <row r="1950" spans="2:7" x14ac:dyDescent="0.45">
      <c r="B1950"/>
      <c r="G1950"/>
    </row>
    <row r="1951" spans="2:7" x14ac:dyDescent="0.45">
      <c r="B1951"/>
      <c r="G1951"/>
    </row>
    <row r="1952" spans="2:7" x14ac:dyDescent="0.45">
      <c r="B1952"/>
      <c r="G1952"/>
    </row>
    <row r="1953" spans="2:7" x14ac:dyDescent="0.45">
      <c r="B1953"/>
      <c r="G1953"/>
    </row>
    <row r="1954" spans="2:7" x14ac:dyDescent="0.45">
      <c r="B1954"/>
      <c r="G1954"/>
    </row>
    <row r="1955" spans="2:7" x14ac:dyDescent="0.45">
      <c r="B1955"/>
      <c r="G1955"/>
    </row>
    <row r="1956" spans="2:7" x14ac:dyDescent="0.45">
      <c r="B1956"/>
      <c r="G1956"/>
    </row>
    <row r="1957" spans="2:7" x14ac:dyDescent="0.45">
      <c r="B1957"/>
      <c r="G1957"/>
    </row>
    <row r="1958" spans="2:7" x14ac:dyDescent="0.45">
      <c r="B1958"/>
      <c r="G1958"/>
    </row>
    <row r="1959" spans="2:7" x14ac:dyDescent="0.45">
      <c r="B1959"/>
      <c r="G1959"/>
    </row>
    <row r="1960" spans="2:7" x14ac:dyDescent="0.45">
      <c r="B1960"/>
      <c r="G1960"/>
    </row>
    <row r="1961" spans="2:7" x14ac:dyDescent="0.45">
      <c r="B1961"/>
      <c r="G1961"/>
    </row>
    <row r="1962" spans="2:7" x14ac:dyDescent="0.45">
      <c r="B1962"/>
      <c r="G1962"/>
    </row>
    <row r="1963" spans="2:7" x14ac:dyDescent="0.45">
      <c r="B1963"/>
      <c r="G1963"/>
    </row>
    <row r="1964" spans="2:7" x14ac:dyDescent="0.45">
      <c r="B1964"/>
      <c r="G1964"/>
    </row>
    <row r="1965" spans="2:7" x14ac:dyDescent="0.45">
      <c r="B1965"/>
      <c r="G1965"/>
    </row>
    <row r="1966" spans="2:7" x14ac:dyDescent="0.45">
      <c r="B1966"/>
      <c r="G1966"/>
    </row>
    <row r="1967" spans="2:7" x14ac:dyDescent="0.45">
      <c r="B1967"/>
      <c r="G1967"/>
    </row>
    <row r="1968" spans="2:7" x14ac:dyDescent="0.45">
      <c r="B1968"/>
      <c r="G1968"/>
    </row>
    <row r="1969" spans="2:7" x14ac:dyDescent="0.45">
      <c r="B1969"/>
      <c r="G1969"/>
    </row>
    <row r="1970" spans="2:7" x14ac:dyDescent="0.45">
      <c r="B1970"/>
      <c r="G1970"/>
    </row>
    <row r="1971" spans="2:7" x14ac:dyDescent="0.45">
      <c r="B1971"/>
      <c r="G1971"/>
    </row>
    <row r="1972" spans="2:7" x14ac:dyDescent="0.45">
      <c r="B1972"/>
      <c r="G1972"/>
    </row>
    <row r="1973" spans="2:7" x14ac:dyDescent="0.45">
      <c r="B1973"/>
      <c r="G1973"/>
    </row>
    <row r="1974" spans="2:7" x14ac:dyDescent="0.45">
      <c r="B1974"/>
      <c r="G1974"/>
    </row>
    <row r="1975" spans="2:7" x14ac:dyDescent="0.45">
      <c r="B1975"/>
      <c r="G1975"/>
    </row>
    <row r="1976" spans="2:7" x14ac:dyDescent="0.45">
      <c r="B1976"/>
      <c r="G1976"/>
    </row>
    <row r="1977" spans="2:7" x14ac:dyDescent="0.45">
      <c r="B1977"/>
      <c r="G1977"/>
    </row>
    <row r="1978" spans="2:7" x14ac:dyDescent="0.45">
      <c r="B1978"/>
      <c r="G1978"/>
    </row>
    <row r="1979" spans="2:7" x14ac:dyDescent="0.45">
      <c r="B1979"/>
      <c r="G1979"/>
    </row>
    <row r="1980" spans="2:7" x14ac:dyDescent="0.45">
      <c r="B1980"/>
      <c r="G1980"/>
    </row>
    <row r="1981" spans="2:7" x14ac:dyDescent="0.45">
      <c r="B1981"/>
      <c r="G1981"/>
    </row>
    <row r="1982" spans="2:7" x14ac:dyDescent="0.45">
      <c r="B1982"/>
      <c r="G1982"/>
    </row>
    <row r="1983" spans="2:7" x14ac:dyDescent="0.45">
      <c r="B1983"/>
      <c r="G1983"/>
    </row>
    <row r="1984" spans="2:7" x14ac:dyDescent="0.45">
      <c r="B1984"/>
      <c r="G1984"/>
    </row>
    <row r="1985" spans="2:7" x14ac:dyDescent="0.45">
      <c r="B1985"/>
      <c r="G1985"/>
    </row>
    <row r="1986" spans="2:7" x14ac:dyDescent="0.45">
      <c r="B1986"/>
      <c r="G1986"/>
    </row>
    <row r="1987" spans="2:7" x14ac:dyDescent="0.45">
      <c r="B1987"/>
      <c r="G1987"/>
    </row>
    <row r="1988" spans="2:7" x14ac:dyDescent="0.45">
      <c r="B1988"/>
      <c r="G1988"/>
    </row>
    <row r="1989" spans="2:7" x14ac:dyDescent="0.45">
      <c r="B1989"/>
      <c r="G1989"/>
    </row>
    <row r="1990" spans="2:7" x14ac:dyDescent="0.45">
      <c r="B1990"/>
      <c r="G1990"/>
    </row>
    <row r="1991" spans="2:7" x14ac:dyDescent="0.45">
      <c r="B1991"/>
      <c r="G1991"/>
    </row>
    <row r="1992" spans="2:7" x14ac:dyDescent="0.45">
      <c r="B1992"/>
      <c r="G1992"/>
    </row>
    <row r="1993" spans="2:7" x14ac:dyDescent="0.45">
      <c r="B1993"/>
      <c r="G1993"/>
    </row>
    <row r="1994" spans="2:7" x14ac:dyDescent="0.45">
      <c r="B1994"/>
      <c r="G1994"/>
    </row>
    <row r="1995" spans="2:7" x14ac:dyDescent="0.45">
      <c r="B1995"/>
      <c r="G1995"/>
    </row>
    <row r="1996" spans="2:7" x14ac:dyDescent="0.45">
      <c r="B1996"/>
      <c r="G1996"/>
    </row>
    <row r="1997" spans="2:7" x14ac:dyDescent="0.45">
      <c r="B1997"/>
      <c r="G1997"/>
    </row>
    <row r="1998" spans="2:7" x14ac:dyDescent="0.45">
      <c r="B1998"/>
      <c r="G1998"/>
    </row>
    <row r="1999" spans="2:7" x14ac:dyDescent="0.45">
      <c r="B1999"/>
      <c r="G1999"/>
    </row>
    <row r="2000" spans="2:7" x14ac:dyDescent="0.45">
      <c r="B2000"/>
      <c r="G2000"/>
    </row>
    <row r="2001" spans="2:7" x14ac:dyDescent="0.45">
      <c r="B2001"/>
      <c r="G2001"/>
    </row>
    <row r="2002" spans="2:7" x14ac:dyDescent="0.45">
      <c r="B2002"/>
      <c r="G2002"/>
    </row>
    <row r="2003" spans="2:7" x14ac:dyDescent="0.45">
      <c r="B2003"/>
      <c r="G2003"/>
    </row>
    <row r="2004" spans="2:7" x14ac:dyDescent="0.45">
      <c r="B2004"/>
      <c r="G2004"/>
    </row>
    <row r="2005" spans="2:7" x14ac:dyDescent="0.45">
      <c r="B2005"/>
      <c r="G2005"/>
    </row>
    <row r="2006" spans="2:7" x14ac:dyDescent="0.45">
      <c r="B2006"/>
      <c r="G2006"/>
    </row>
    <row r="2007" spans="2:7" x14ac:dyDescent="0.45">
      <c r="B2007"/>
      <c r="G2007"/>
    </row>
    <row r="2008" spans="2:7" x14ac:dyDescent="0.45">
      <c r="B2008"/>
      <c r="G2008"/>
    </row>
    <row r="2009" spans="2:7" x14ac:dyDescent="0.45">
      <c r="B2009"/>
      <c r="G2009"/>
    </row>
    <row r="2010" spans="2:7" x14ac:dyDescent="0.45">
      <c r="B2010"/>
      <c r="G2010"/>
    </row>
    <row r="2011" spans="2:7" x14ac:dyDescent="0.45">
      <c r="B2011"/>
      <c r="G2011"/>
    </row>
    <row r="2012" spans="2:7" x14ac:dyDescent="0.45">
      <c r="B2012"/>
      <c r="G2012"/>
    </row>
    <row r="2013" spans="2:7" x14ac:dyDescent="0.45">
      <c r="B2013"/>
      <c r="G2013"/>
    </row>
    <row r="2014" spans="2:7" x14ac:dyDescent="0.45">
      <c r="B2014"/>
      <c r="G2014"/>
    </row>
    <row r="2015" spans="2:7" x14ac:dyDescent="0.45">
      <c r="B2015"/>
      <c r="G2015"/>
    </row>
    <row r="2016" spans="2:7" x14ac:dyDescent="0.45">
      <c r="B2016"/>
      <c r="G2016"/>
    </row>
    <row r="2017" spans="2:7" x14ac:dyDescent="0.45">
      <c r="B2017"/>
      <c r="G2017"/>
    </row>
    <row r="2018" spans="2:7" x14ac:dyDescent="0.45">
      <c r="B2018"/>
      <c r="G2018"/>
    </row>
    <row r="2019" spans="2:7" x14ac:dyDescent="0.45">
      <c r="B2019"/>
      <c r="G2019"/>
    </row>
    <row r="2020" spans="2:7" x14ac:dyDescent="0.45">
      <c r="B2020"/>
      <c r="G2020"/>
    </row>
    <row r="2021" spans="2:7" x14ac:dyDescent="0.45">
      <c r="B2021"/>
      <c r="G2021"/>
    </row>
    <row r="2022" spans="2:7" x14ac:dyDescent="0.45">
      <c r="B2022"/>
      <c r="G2022"/>
    </row>
    <row r="2023" spans="2:7" x14ac:dyDescent="0.45">
      <c r="B2023"/>
      <c r="G2023"/>
    </row>
    <row r="2024" spans="2:7" x14ac:dyDescent="0.45">
      <c r="B2024"/>
      <c r="G2024"/>
    </row>
    <row r="2025" spans="2:7" x14ac:dyDescent="0.45">
      <c r="B2025"/>
      <c r="G2025"/>
    </row>
    <row r="2026" spans="2:7" x14ac:dyDescent="0.45">
      <c r="B2026"/>
      <c r="G2026"/>
    </row>
    <row r="2027" spans="2:7" x14ac:dyDescent="0.45">
      <c r="B2027"/>
      <c r="G2027"/>
    </row>
    <row r="2028" spans="2:7" x14ac:dyDescent="0.45">
      <c r="B2028"/>
      <c r="G2028"/>
    </row>
    <row r="2029" spans="2:7" x14ac:dyDescent="0.45">
      <c r="B2029"/>
      <c r="G2029"/>
    </row>
    <row r="2030" spans="2:7" x14ac:dyDescent="0.45">
      <c r="B2030"/>
      <c r="G2030"/>
    </row>
    <row r="2031" spans="2:7" x14ac:dyDescent="0.45">
      <c r="B2031"/>
      <c r="G2031"/>
    </row>
    <row r="2032" spans="2:7" x14ac:dyDescent="0.45">
      <c r="B2032"/>
      <c r="G2032"/>
    </row>
    <row r="2033" spans="2:7" x14ac:dyDescent="0.45">
      <c r="B2033"/>
      <c r="G2033"/>
    </row>
    <row r="2034" spans="2:7" x14ac:dyDescent="0.45">
      <c r="B2034"/>
      <c r="G2034"/>
    </row>
    <row r="2035" spans="2:7" x14ac:dyDescent="0.45">
      <c r="B2035"/>
      <c r="G2035"/>
    </row>
    <row r="2036" spans="2:7" x14ac:dyDescent="0.45">
      <c r="B2036"/>
      <c r="G2036"/>
    </row>
    <row r="2037" spans="2:7" x14ac:dyDescent="0.45">
      <c r="B2037"/>
      <c r="G2037"/>
    </row>
    <row r="2038" spans="2:7" x14ac:dyDescent="0.45">
      <c r="B2038"/>
      <c r="G2038"/>
    </row>
    <row r="2039" spans="2:7" x14ac:dyDescent="0.45">
      <c r="B2039"/>
      <c r="G2039"/>
    </row>
    <row r="2040" spans="2:7" x14ac:dyDescent="0.45">
      <c r="B2040"/>
      <c r="G2040"/>
    </row>
    <row r="2041" spans="2:7" x14ac:dyDescent="0.45">
      <c r="B2041"/>
      <c r="G2041"/>
    </row>
    <row r="2042" spans="2:7" x14ac:dyDescent="0.45">
      <c r="B2042"/>
      <c r="G2042"/>
    </row>
    <row r="2043" spans="2:7" x14ac:dyDescent="0.45">
      <c r="B2043"/>
      <c r="G2043"/>
    </row>
    <row r="2044" spans="2:7" x14ac:dyDescent="0.45">
      <c r="B2044"/>
      <c r="G2044"/>
    </row>
    <row r="2045" spans="2:7" x14ac:dyDescent="0.45">
      <c r="B2045"/>
      <c r="G2045"/>
    </row>
    <row r="2046" spans="2:7" x14ac:dyDescent="0.45">
      <c r="B2046"/>
      <c r="G2046"/>
    </row>
    <row r="2047" spans="2:7" x14ac:dyDescent="0.45">
      <c r="B2047"/>
      <c r="G2047"/>
    </row>
    <row r="2048" spans="2:7" x14ac:dyDescent="0.45">
      <c r="B2048"/>
      <c r="G2048"/>
    </row>
    <row r="2049" spans="2:7" x14ac:dyDescent="0.45">
      <c r="B2049"/>
      <c r="G2049"/>
    </row>
    <row r="2050" spans="2:7" x14ac:dyDescent="0.45">
      <c r="B2050"/>
      <c r="G2050"/>
    </row>
    <row r="2051" spans="2:7" x14ac:dyDescent="0.45">
      <c r="B2051"/>
      <c r="G2051"/>
    </row>
    <row r="2052" spans="2:7" x14ac:dyDescent="0.45">
      <c r="B2052"/>
      <c r="G2052"/>
    </row>
    <row r="2053" spans="2:7" x14ac:dyDescent="0.45">
      <c r="B2053"/>
      <c r="G2053"/>
    </row>
    <row r="2054" spans="2:7" x14ac:dyDescent="0.45">
      <c r="B2054"/>
      <c r="G2054"/>
    </row>
    <row r="2055" spans="2:7" x14ac:dyDescent="0.45">
      <c r="B2055"/>
      <c r="G2055"/>
    </row>
    <row r="2056" spans="2:7" x14ac:dyDescent="0.45">
      <c r="B2056"/>
      <c r="G2056"/>
    </row>
    <row r="2057" spans="2:7" x14ac:dyDescent="0.45">
      <c r="B2057"/>
      <c r="G2057"/>
    </row>
    <row r="2058" spans="2:7" x14ac:dyDescent="0.45">
      <c r="B2058"/>
      <c r="G2058"/>
    </row>
    <row r="2059" spans="2:7" x14ac:dyDescent="0.45">
      <c r="B2059"/>
      <c r="G2059"/>
    </row>
    <row r="2060" spans="2:7" x14ac:dyDescent="0.45">
      <c r="B2060"/>
      <c r="G2060"/>
    </row>
    <row r="2061" spans="2:7" x14ac:dyDescent="0.45">
      <c r="B2061"/>
      <c r="G2061"/>
    </row>
    <row r="2062" spans="2:7" x14ac:dyDescent="0.45">
      <c r="B2062"/>
      <c r="G2062"/>
    </row>
    <row r="2063" spans="2:7" x14ac:dyDescent="0.45">
      <c r="B2063"/>
      <c r="G2063"/>
    </row>
    <row r="2064" spans="2:7" x14ac:dyDescent="0.45">
      <c r="B2064"/>
      <c r="G2064"/>
    </row>
    <row r="2065" spans="2:7" x14ac:dyDescent="0.45">
      <c r="B2065"/>
      <c r="G2065"/>
    </row>
    <row r="2066" spans="2:7" x14ac:dyDescent="0.45">
      <c r="B2066"/>
      <c r="G2066"/>
    </row>
    <row r="2067" spans="2:7" x14ac:dyDescent="0.45">
      <c r="B2067"/>
      <c r="G2067"/>
    </row>
    <row r="2068" spans="2:7" x14ac:dyDescent="0.45">
      <c r="B2068"/>
      <c r="G2068"/>
    </row>
    <row r="2069" spans="2:7" x14ac:dyDescent="0.45">
      <c r="B2069"/>
      <c r="G2069"/>
    </row>
    <row r="2070" spans="2:7" x14ac:dyDescent="0.45">
      <c r="B2070"/>
      <c r="G2070"/>
    </row>
    <row r="2071" spans="2:7" x14ac:dyDescent="0.45">
      <c r="B2071"/>
      <c r="G2071"/>
    </row>
    <row r="2072" spans="2:7" x14ac:dyDescent="0.45">
      <c r="B2072"/>
      <c r="G2072"/>
    </row>
    <row r="2073" spans="2:7" x14ac:dyDescent="0.45">
      <c r="B2073"/>
      <c r="G2073"/>
    </row>
    <row r="2074" spans="2:7" x14ac:dyDescent="0.45">
      <c r="B2074"/>
      <c r="G2074"/>
    </row>
    <row r="2075" spans="2:7" x14ac:dyDescent="0.45">
      <c r="B2075"/>
      <c r="G2075"/>
    </row>
    <row r="2076" spans="2:7" x14ac:dyDescent="0.45">
      <c r="B2076"/>
      <c r="G2076"/>
    </row>
    <row r="2077" spans="2:7" x14ac:dyDescent="0.45">
      <c r="B2077"/>
      <c r="G2077"/>
    </row>
    <row r="2078" spans="2:7" x14ac:dyDescent="0.45">
      <c r="B2078"/>
      <c r="G2078"/>
    </row>
    <row r="2079" spans="2:7" x14ac:dyDescent="0.45">
      <c r="B2079"/>
      <c r="G2079"/>
    </row>
    <row r="2080" spans="2:7" x14ac:dyDescent="0.45">
      <c r="B2080"/>
      <c r="G2080"/>
    </row>
    <row r="2081" spans="2:7" x14ac:dyDescent="0.45">
      <c r="B2081"/>
      <c r="G2081"/>
    </row>
    <row r="2082" spans="2:7" x14ac:dyDescent="0.45">
      <c r="B2082"/>
      <c r="G2082"/>
    </row>
    <row r="2083" spans="2:7" x14ac:dyDescent="0.45">
      <c r="B2083"/>
      <c r="G2083"/>
    </row>
    <row r="2084" spans="2:7" x14ac:dyDescent="0.45">
      <c r="B2084"/>
      <c r="G2084"/>
    </row>
    <row r="2085" spans="2:7" x14ac:dyDescent="0.45">
      <c r="B2085"/>
      <c r="G2085"/>
    </row>
    <row r="2086" spans="2:7" x14ac:dyDescent="0.45">
      <c r="B2086"/>
      <c r="G2086"/>
    </row>
    <row r="2087" spans="2:7" x14ac:dyDescent="0.45">
      <c r="B2087"/>
      <c r="G2087"/>
    </row>
    <row r="2088" spans="2:7" x14ac:dyDescent="0.45">
      <c r="B2088"/>
      <c r="G2088"/>
    </row>
    <row r="2089" spans="2:7" x14ac:dyDescent="0.45">
      <c r="B2089"/>
      <c r="G2089"/>
    </row>
    <row r="2090" spans="2:7" x14ac:dyDescent="0.45">
      <c r="B2090"/>
      <c r="G2090"/>
    </row>
    <row r="2091" spans="2:7" x14ac:dyDescent="0.45">
      <c r="B2091"/>
      <c r="G2091"/>
    </row>
    <row r="2092" spans="2:7" x14ac:dyDescent="0.45">
      <c r="B2092"/>
      <c r="G2092"/>
    </row>
    <row r="2093" spans="2:7" x14ac:dyDescent="0.45">
      <c r="B2093"/>
      <c r="G2093"/>
    </row>
    <row r="2094" spans="2:7" x14ac:dyDescent="0.45">
      <c r="B2094"/>
      <c r="G2094"/>
    </row>
    <row r="2095" spans="2:7" x14ac:dyDescent="0.45">
      <c r="B2095"/>
      <c r="G2095"/>
    </row>
    <row r="2096" spans="2:7" x14ac:dyDescent="0.45">
      <c r="B2096"/>
      <c r="G2096"/>
    </row>
    <row r="2097" spans="2:7" x14ac:dyDescent="0.45">
      <c r="B2097"/>
      <c r="G2097"/>
    </row>
    <row r="2098" spans="2:7" x14ac:dyDescent="0.45">
      <c r="B2098"/>
      <c r="G2098"/>
    </row>
    <row r="2099" spans="2:7" x14ac:dyDescent="0.45">
      <c r="B2099"/>
      <c r="G2099"/>
    </row>
    <row r="2100" spans="2:7" x14ac:dyDescent="0.45">
      <c r="B2100"/>
      <c r="G2100"/>
    </row>
    <row r="2101" spans="2:7" x14ac:dyDescent="0.45">
      <c r="B2101"/>
      <c r="G2101"/>
    </row>
    <row r="2102" spans="2:7" x14ac:dyDescent="0.45">
      <c r="B2102"/>
      <c r="G2102"/>
    </row>
    <row r="2103" spans="2:7" x14ac:dyDescent="0.45">
      <c r="B2103"/>
      <c r="G2103"/>
    </row>
    <row r="2104" spans="2:7" x14ac:dyDescent="0.45">
      <c r="B2104"/>
      <c r="G2104"/>
    </row>
    <row r="2105" spans="2:7" x14ac:dyDescent="0.45">
      <c r="B2105"/>
      <c r="G2105"/>
    </row>
    <row r="2106" spans="2:7" x14ac:dyDescent="0.45">
      <c r="B2106"/>
      <c r="G2106"/>
    </row>
    <row r="2107" spans="2:7" x14ac:dyDescent="0.45">
      <c r="B2107"/>
      <c r="G2107"/>
    </row>
    <row r="2108" spans="2:7" x14ac:dyDescent="0.45">
      <c r="B2108"/>
      <c r="G2108"/>
    </row>
    <row r="2109" spans="2:7" x14ac:dyDescent="0.45">
      <c r="B2109"/>
      <c r="G2109"/>
    </row>
    <row r="2110" spans="2:7" x14ac:dyDescent="0.45">
      <c r="B2110"/>
      <c r="G2110"/>
    </row>
    <row r="2111" spans="2:7" x14ac:dyDescent="0.45">
      <c r="B2111"/>
      <c r="G2111"/>
    </row>
    <row r="2112" spans="2:7" x14ac:dyDescent="0.45">
      <c r="B2112"/>
      <c r="G2112"/>
    </row>
    <row r="2113" spans="2:7" x14ac:dyDescent="0.45">
      <c r="B2113"/>
      <c r="G2113"/>
    </row>
    <row r="2114" spans="2:7" x14ac:dyDescent="0.45">
      <c r="B2114"/>
      <c r="G2114"/>
    </row>
    <row r="2115" spans="2:7" x14ac:dyDescent="0.45">
      <c r="B2115"/>
      <c r="G2115"/>
    </row>
    <row r="2116" spans="2:7" x14ac:dyDescent="0.45">
      <c r="B2116"/>
      <c r="G2116"/>
    </row>
    <row r="2117" spans="2:7" x14ac:dyDescent="0.45">
      <c r="B2117"/>
      <c r="G2117"/>
    </row>
    <row r="2118" spans="2:7" x14ac:dyDescent="0.45">
      <c r="B2118"/>
      <c r="G2118"/>
    </row>
    <row r="2119" spans="2:7" x14ac:dyDescent="0.45">
      <c r="B2119"/>
      <c r="G2119"/>
    </row>
    <row r="2120" spans="2:7" x14ac:dyDescent="0.45">
      <c r="B2120"/>
      <c r="G2120"/>
    </row>
    <row r="2121" spans="2:7" x14ac:dyDescent="0.45">
      <c r="B2121"/>
      <c r="G2121"/>
    </row>
    <row r="2122" spans="2:7" x14ac:dyDescent="0.45">
      <c r="B2122"/>
      <c r="G2122"/>
    </row>
    <row r="2123" spans="2:7" x14ac:dyDescent="0.45">
      <c r="B2123"/>
      <c r="G2123"/>
    </row>
    <row r="2124" spans="2:7" x14ac:dyDescent="0.45">
      <c r="B2124"/>
      <c r="G2124"/>
    </row>
    <row r="2125" spans="2:7" x14ac:dyDescent="0.45">
      <c r="B2125"/>
      <c r="G2125"/>
    </row>
    <row r="2126" spans="2:7" x14ac:dyDescent="0.45">
      <c r="B2126"/>
      <c r="G2126"/>
    </row>
    <row r="2127" spans="2:7" x14ac:dyDescent="0.45">
      <c r="B2127"/>
      <c r="G2127"/>
    </row>
    <row r="2128" spans="2:7" x14ac:dyDescent="0.45">
      <c r="B2128"/>
      <c r="G2128"/>
    </row>
    <row r="2129" spans="2:7" x14ac:dyDescent="0.45">
      <c r="B2129"/>
      <c r="G2129"/>
    </row>
    <row r="2130" spans="2:7" x14ac:dyDescent="0.45">
      <c r="B2130"/>
      <c r="G2130"/>
    </row>
    <row r="2131" spans="2:7" x14ac:dyDescent="0.45">
      <c r="B2131"/>
      <c r="G2131"/>
    </row>
    <row r="2132" spans="2:7" x14ac:dyDescent="0.45">
      <c r="B2132"/>
      <c r="G2132"/>
    </row>
    <row r="2133" spans="2:7" x14ac:dyDescent="0.45">
      <c r="B2133"/>
      <c r="G2133"/>
    </row>
    <row r="2134" spans="2:7" x14ac:dyDescent="0.45">
      <c r="B2134"/>
      <c r="G2134"/>
    </row>
    <row r="2135" spans="2:7" x14ac:dyDescent="0.45">
      <c r="B2135"/>
      <c r="G2135"/>
    </row>
    <row r="2136" spans="2:7" x14ac:dyDescent="0.45">
      <c r="B2136"/>
      <c r="G2136"/>
    </row>
    <row r="2137" spans="2:7" x14ac:dyDescent="0.45">
      <c r="B2137"/>
      <c r="G2137"/>
    </row>
    <row r="2138" spans="2:7" x14ac:dyDescent="0.45">
      <c r="B2138"/>
      <c r="G2138"/>
    </row>
    <row r="2139" spans="2:7" x14ac:dyDescent="0.45">
      <c r="B2139"/>
      <c r="G2139"/>
    </row>
    <row r="2140" spans="2:7" x14ac:dyDescent="0.45">
      <c r="B2140"/>
      <c r="G2140"/>
    </row>
    <row r="2141" spans="2:7" x14ac:dyDescent="0.45">
      <c r="B2141"/>
      <c r="G2141"/>
    </row>
    <row r="2142" spans="2:7" x14ac:dyDescent="0.45">
      <c r="B2142"/>
      <c r="G2142"/>
    </row>
    <row r="2143" spans="2:7" x14ac:dyDescent="0.45">
      <c r="B2143"/>
      <c r="G2143"/>
    </row>
    <row r="2144" spans="2:7" x14ac:dyDescent="0.45">
      <c r="B2144"/>
      <c r="G2144"/>
    </row>
    <row r="2145" spans="2:7" x14ac:dyDescent="0.45">
      <c r="B2145"/>
      <c r="G2145"/>
    </row>
    <row r="2146" spans="2:7" x14ac:dyDescent="0.45">
      <c r="B2146"/>
      <c r="G2146"/>
    </row>
    <row r="2147" spans="2:7" x14ac:dyDescent="0.45">
      <c r="B2147"/>
      <c r="G2147"/>
    </row>
    <row r="2148" spans="2:7" x14ac:dyDescent="0.45">
      <c r="B2148"/>
      <c r="G2148"/>
    </row>
    <row r="2149" spans="2:7" x14ac:dyDescent="0.45">
      <c r="B2149"/>
      <c r="G2149"/>
    </row>
    <row r="2150" spans="2:7" x14ac:dyDescent="0.45">
      <c r="B2150"/>
      <c r="G2150"/>
    </row>
    <row r="2151" spans="2:7" x14ac:dyDescent="0.45">
      <c r="B2151"/>
      <c r="G2151"/>
    </row>
    <row r="2152" spans="2:7" x14ac:dyDescent="0.45">
      <c r="B2152"/>
      <c r="G2152"/>
    </row>
    <row r="2153" spans="2:7" x14ac:dyDescent="0.45">
      <c r="B2153"/>
      <c r="G2153"/>
    </row>
    <row r="2154" spans="2:7" x14ac:dyDescent="0.45">
      <c r="B2154"/>
      <c r="G2154"/>
    </row>
    <row r="2155" spans="2:7" x14ac:dyDescent="0.45">
      <c r="B2155"/>
      <c r="G2155"/>
    </row>
    <row r="2156" spans="2:7" x14ac:dyDescent="0.45">
      <c r="B2156"/>
      <c r="G2156"/>
    </row>
    <row r="2157" spans="2:7" x14ac:dyDescent="0.45">
      <c r="B2157"/>
      <c r="G2157"/>
    </row>
    <row r="2158" spans="2:7" x14ac:dyDescent="0.45">
      <c r="B2158"/>
      <c r="G2158"/>
    </row>
    <row r="2159" spans="2:7" x14ac:dyDescent="0.45">
      <c r="B2159"/>
      <c r="G2159"/>
    </row>
    <row r="2160" spans="2:7" x14ac:dyDescent="0.45">
      <c r="B2160"/>
      <c r="G2160"/>
    </row>
    <row r="2161" spans="2:7" x14ac:dyDescent="0.45">
      <c r="B2161"/>
      <c r="G2161"/>
    </row>
    <row r="2162" spans="2:7" x14ac:dyDescent="0.45">
      <c r="B2162"/>
      <c r="G2162"/>
    </row>
    <row r="2163" spans="2:7" x14ac:dyDescent="0.45">
      <c r="B2163"/>
      <c r="G2163"/>
    </row>
    <row r="2164" spans="2:7" x14ac:dyDescent="0.45">
      <c r="B2164"/>
      <c r="G2164"/>
    </row>
    <row r="2165" spans="2:7" x14ac:dyDescent="0.45">
      <c r="B2165"/>
      <c r="G2165"/>
    </row>
    <row r="2166" spans="2:7" x14ac:dyDescent="0.45">
      <c r="B2166"/>
      <c r="G2166"/>
    </row>
    <row r="2167" spans="2:7" x14ac:dyDescent="0.45">
      <c r="B2167"/>
      <c r="G2167"/>
    </row>
    <row r="2168" spans="2:7" x14ac:dyDescent="0.45">
      <c r="B2168"/>
      <c r="G2168"/>
    </row>
    <row r="2169" spans="2:7" x14ac:dyDescent="0.45">
      <c r="B2169"/>
      <c r="G2169"/>
    </row>
    <row r="2170" spans="2:7" x14ac:dyDescent="0.45">
      <c r="B2170"/>
      <c r="G2170"/>
    </row>
    <row r="2171" spans="2:7" x14ac:dyDescent="0.45">
      <c r="B2171"/>
      <c r="G2171"/>
    </row>
    <row r="2172" spans="2:7" x14ac:dyDescent="0.45">
      <c r="B2172"/>
      <c r="G2172"/>
    </row>
    <row r="2173" spans="2:7" x14ac:dyDescent="0.45">
      <c r="B2173"/>
      <c r="G2173"/>
    </row>
    <row r="2174" spans="2:7" x14ac:dyDescent="0.45">
      <c r="B2174"/>
      <c r="G2174"/>
    </row>
    <row r="2175" spans="2:7" x14ac:dyDescent="0.45">
      <c r="B2175"/>
      <c r="G2175"/>
    </row>
    <row r="2176" spans="2:7" x14ac:dyDescent="0.45">
      <c r="B2176"/>
      <c r="G2176"/>
    </row>
    <row r="2177" spans="2:7" x14ac:dyDescent="0.45">
      <c r="B2177"/>
      <c r="G2177"/>
    </row>
    <row r="2178" spans="2:7" x14ac:dyDescent="0.45">
      <c r="B2178"/>
      <c r="G2178"/>
    </row>
    <row r="2179" spans="2:7" x14ac:dyDescent="0.45">
      <c r="B2179"/>
      <c r="G2179"/>
    </row>
    <row r="2180" spans="2:7" x14ac:dyDescent="0.45">
      <c r="B2180"/>
      <c r="G2180"/>
    </row>
    <row r="2181" spans="2:7" x14ac:dyDescent="0.45">
      <c r="B2181"/>
      <c r="G2181"/>
    </row>
    <row r="2182" spans="2:7" x14ac:dyDescent="0.45">
      <c r="B2182"/>
      <c r="G2182"/>
    </row>
    <row r="2183" spans="2:7" x14ac:dyDescent="0.45">
      <c r="B2183"/>
      <c r="G2183"/>
    </row>
    <row r="2184" spans="2:7" x14ac:dyDescent="0.45">
      <c r="B2184"/>
      <c r="G2184"/>
    </row>
    <row r="2185" spans="2:7" x14ac:dyDescent="0.45">
      <c r="B2185"/>
      <c r="G2185"/>
    </row>
    <row r="2186" spans="2:7" x14ac:dyDescent="0.45">
      <c r="B2186"/>
      <c r="G2186"/>
    </row>
    <row r="2187" spans="2:7" x14ac:dyDescent="0.45">
      <c r="B2187"/>
      <c r="G2187"/>
    </row>
    <row r="2188" spans="2:7" x14ac:dyDescent="0.45">
      <c r="B2188"/>
      <c r="G2188"/>
    </row>
    <row r="2189" spans="2:7" x14ac:dyDescent="0.45">
      <c r="B2189"/>
      <c r="G2189"/>
    </row>
    <row r="2190" spans="2:7" x14ac:dyDescent="0.45">
      <c r="B2190"/>
      <c r="G2190"/>
    </row>
    <row r="2191" spans="2:7" x14ac:dyDescent="0.45">
      <c r="B2191"/>
      <c r="G2191"/>
    </row>
    <row r="2192" spans="2:7" x14ac:dyDescent="0.45">
      <c r="B2192"/>
      <c r="G2192"/>
    </row>
    <row r="2193" spans="2:7" x14ac:dyDescent="0.45">
      <c r="B2193"/>
      <c r="G2193"/>
    </row>
    <row r="2194" spans="2:7" x14ac:dyDescent="0.45">
      <c r="B2194"/>
      <c r="G2194"/>
    </row>
    <row r="2195" spans="2:7" x14ac:dyDescent="0.45">
      <c r="B2195"/>
      <c r="G2195"/>
    </row>
    <row r="2196" spans="2:7" x14ac:dyDescent="0.45">
      <c r="B2196"/>
      <c r="G2196"/>
    </row>
    <row r="2197" spans="2:7" x14ac:dyDescent="0.45">
      <c r="B2197"/>
      <c r="G2197"/>
    </row>
    <row r="2198" spans="2:7" x14ac:dyDescent="0.45">
      <c r="B2198"/>
      <c r="G2198"/>
    </row>
    <row r="2199" spans="2:7" x14ac:dyDescent="0.45">
      <c r="B2199"/>
      <c r="G2199"/>
    </row>
    <row r="2200" spans="2:7" x14ac:dyDescent="0.45">
      <c r="B2200"/>
      <c r="G2200"/>
    </row>
    <row r="2201" spans="2:7" x14ac:dyDescent="0.45">
      <c r="B2201"/>
      <c r="G2201"/>
    </row>
    <row r="2202" spans="2:7" x14ac:dyDescent="0.45">
      <c r="B2202"/>
      <c r="G2202"/>
    </row>
    <row r="2203" spans="2:7" x14ac:dyDescent="0.45">
      <c r="B2203"/>
      <c r="G2203"/>
    </row>
    <row r="2204" spans="2:7" x14ac:dyDescent="0.45">
      <c r="B2204"/>
      <c r="G2204"/>
    </row>
    <row r="2205" spans="2:7" x14ac:dyDescent="0.45">
      <c r="B2205"/>
      <c r="G2205"/>
    </row>
    <row r="2206" spans="2:7" x14ac:dyDescent="0.45">
      <c r="B2206"/>
      <c r="G2206"/>
    </row>
    <row r="2207" spans="2:7" x14ac:dyDescent="0.45">
      <c r="B2207"/>
      <c r="G2207"/>
    </row>
    <row r="2208" spans="2:7" x14ac:dyDescent="0.45">
      <c r="B2208"/>
      <c r="G2208"/>
    </row>
    <row r="2209" spans="2:7" x14ac:dyDescent="0.45">
      <c r="B2209"/>
      <c r="G2209"/>
    </row>
    <row r="2210" spans="2:7" x14ac:dyDescent="0.45">
      <c r="B2210"/>
      <c r="G2210"/>
    </row>
    <row r="2211" spans="2:7" x14ac:dyDescent="0.45">
      <c r="B2211"/>
      <c r="G2211"/>
    </row>
    <row r="2212" spans="2:7" x14ac:dyDescent="0.45">
      <c r="B2212"/>
      <c r="G2212"/>
    </row>
    <row r="2213" spans="2:7" x14ac:dyDescent="0.45">
      <c r="B2213"/>
      <c r="G2213"/>
    </row>
    <row r="2214" spans="2:7" x14ac:dyDescent="0.45">
      <c r="B2214"/>
      <c r="G2214"/>
    </row>
    <row r="2215" spans="2:7" x14ac:dyDescent="0.45">
      <c r="B2215"/>
      <c r="G2215"/>
    </row>
    <row r="2216" spans="2:7" x14ac:dyDescent="0.45">
      <c r="B2216"/>
      <c r="G2216"/>
    </row>
    <row r="2217" spans="2:7" x14ac:dyDescent="0.45">
      <c r="B2217"/>
      <c r="G2217"/>
    </row>
    <row r="2218" spans="2:7" x14ac:dyDescent="0.45">
      <c r="B2218"/>
      <c r="G2218"/>
    </row>
    <row r="2219" spans="2:7" x14ac:dyDescent="0.45">
      <c r="B2219"/>
      <c r="G2219"/>
    </row>
    <row r="2220" spans="2:7" x14ac:dyDescent="0.45">
      <c r="B2220"/>
      <c r="G2220"/>
    </row>
    <row r="2221" spans="2:7" x14ac:dyDescent="0.45">
      <c r="B2221"/>
      <c r="G2221"/>
    </row>
    <row r="2222" spans="2:7" x14ac:dyDescent="0.45">
      <c r="B2222"/>
      <c r="G2222"/>
    </row>
    <row r="2223" spans="2:7" x14ac:dyDescent="0.45">
      <c r="B2223"/>
      <c r="G2223"/>
    </row>
    <row r="2224" spans="2:7" x14ac:dyDescent="0.45">
      <c r="B2224"/>
      <c r="G2224"/>
    </row>
    <row r="2225" spans="2:7" x14ac:dyDescent="0.45">
      <c r="B2225"/>
      <c r="G2225"/>
    </row>
    <row r="2226" spans="2:7" x14ac:dyDescent="0.45">
      <c r="B2226"/>
      <c r="G2226"/>
    </row>
    <row r="2227" spans="2:7" x14ac:dyDescent="0.45">
      <c r="B2227"/>
      <c r="G2227"/>
    </row>
    <row r="2228" spans="2:7" x14ac:dyDescent="0.45">
      <c r="B2228"/>
      <c r="G2228"/>
    </row>
    <row r="2229" spans="2:7" x14ac:dyDescent="0.45">
      <c r="B2229"/>
      <c r="G2229"/>
    </row>
    <row r="2230" spans="2:7" x14ac:dyDescent="0.45">
      <c r="B2230"/>
      <c r="G2230"/>
    </row>
    <row r="2231" spans="2:7" x14ac:dyDescent="0.45">
      <c r="B2231"/>
      <c r="G2231"/>
    </row>
    <row r="2232" spans="2:7" x14ac:dyDescent="0.45">
      <c r="B2232"/>
      <c r="G2232"/>
    </row>
    <row r="2233" spans="2:7" x14ac:dyDescent="0.45">
      <c r="B2233"/>
      <c r="G2233"/>
    </row>
    <row r="2234" spans="2:7" x14ac:dyDescent="0.45">
      <c r="B2234"/>
      <c r="G2234"/>
    </row>
    <row r="2235" spans="2:7" x14ac:dyDescent="0.45">
      <c r="B2235"/>
      <c r="G2235"/>
    </row>
    <row r="2236" spans="2:7" x14ac:dyDescent="0.45">
      <c r="B2236"/>
      <c r="G2236"/>
    </row>
    <row r="2237" spans="2:7" x14ac:dyDescent="0.45">
      <c r="B2237"/>
      <c r="G2237"/>
    </row>
    <row r="2238" spans="2:7" x14ac:dyDescent="0.45">
      <c r="B2238"/>
      <c r="G2238"/>
    </row>
    <row r="2239" spans="2:7" x14ac:dyDescent="0.45">
      <c r="B2239"/>
      <c r="G2239"/>
    </row>
    <row r="2240" spans="2:7" x14ac:dyDescent="0.45">
      <c r="B2240"/>
      <c r="G2240"/>
    </row>
    <row r="2241" spans="2:7" x14ac:dyDescent="0.45">
      <c r="B2241"/>
      <c r="G2241"/>
    </row>
    <row r="2242" spans="2:7" x14ac:dyDescent="0.45">
      <c r="B2242"/>
      <c r="G2242"/>
    </row>
    <row r="2243" spans="2:7" x14ac:dyDescent="0.45">
      <c r="B2243"/>
      <c r="G2243"/>
    </row>
    <row r="2244" spans="2:7" x14ac:dyDescent="0.45">
      <c r="B2244"/>
      <c r="G2244"/>
    </row>
    <row r="2245" spans="2:7" x14ac:dyDescent="0.45">
      <c r="B2245"/>
      <c r="G2245"/>
    </row>
    <row r="2246" spans="2:7" x14ac:dyDescent="0.45">
      <c r="B2246"/>
      <c r="G2246"/>
    </row>
    <row r="2247" spans="2:7" x14ac:dyDescent="0.45">
      <c r="B2247"/>
      <c r="G2247"/>
    </row>
    <row r="2248" spans="2:7" x14ac:dyDescent="0.45">
      <c r="B2248"/>
      <c r="G2248"/>
    </row>
    <row r="2249" spans="2:7" x14ac:dyDescent="0.45">
      <c r="B2249"/>
      <c r="G2249"/>
    </row>
    <row r="2250" spans="2:7" x14ac:dyDescent="0.45">
      <c r="B2250"/>
      <c r="G2250"/>
    </row>
    <row r="2251" spans="2:7" x14ac:dyDescent="0.45">
      <c r="B2251"/>
      <c r="G2251"/>
    </row>
    <row r="2252" spans="2:7" x14ac:dyDescent="0.45">
      <c r="B2252"/>
      <c r="G2252"/>
    </row>
    <row r="2253" spans="2:7" x14ac:dyDescent="0.45">
      <c r="B2253"/>
      <c r="G2253"/>
    </row>
    <row r="2254" spans="2:7" x14ac:dyDescent="0.45">
      <c r="B2254"/>
      <c r="G2254"/>
    </row>
    <row r="2255" spans="2:7" x14ac:dyDescent="0.45">
      <c r="B2255"/>
      <c r="G2255"/>
    </row>
    <row r="2256" spans="2:7" x14ac:dyDescent="0.45">
      <c r="B2256"/>
      <c r="G2256"/>
    </row>
    <row r="2257" spans="2:7" x14ac:dyDescent="0.45">
      <c r="B2257"/>
      <c r="G2257"/>
    </row>
    <row r="2258" spans="2:7" x14ac:dyDescent="0.45">
      <c r="B2258"/>
      <c r="G2258"/>
    </row>
    <row r="2259" spans="2:7" x14ac:dyDescent="0.45">
      <c r="B2259"/>
      <c r="G2259"/>
    </row>
    <row r="2260" spans="2:7" x14ac:dyDescent="0.45">
      <c r="B2260"/>
      <c r="G2260"/>
    </row>
    <row r="2261" spans="2:7" x14ac:dyDescent="0.45">
      <c r="B2261"/>
      <c r="G2261"/>
    </row>
    <row r="2262" spans="2:7" x14ac:dyDescent="0.45">
      <c r="B2262"/>
      <c r="G2262"/>
    </row>
    <row r="2263" spans="2:7" x14ac:dyDescent="0.45">
      <c r="B2263"/>
      <c r="G2263"/>
    </row>
    <row r="2264" spans="2:7" x14ac:dyDescent="0.45">
      <c r="B2264"/>
      <c r="G2264"/>
    </row>
    <row r="2265" spans="2:7" x14ac:dyDescent="0.45">
      <c r="B2265"/>
      <c r="G2265"/>
    </row>
    <row r="2266" spans="2:7" x14ac:dyDescent="0.45">
      <c r="B2266"/>
      <c r="G2266"/>
    </row>
    <row r="2267" spans="2:7" x14ac:dyDescent="0.45">
      <c r="B2267"/>
      <c r="G2267"/>
    </row>
    <row r="2268" spans="2:7" x14ac:dyDescent="0.45">
      <c r="B2268"/>
      <c r="G2268"/>
    </row>
    <row r="2269" spans="2:7" x14ac:dyDescent="0.45">
      <c r="B2269"/>
      <c r="G2269"/>
    </row>
    <row r="2270" spans="2:7" x14ac:dyDescent="0.45">
      <c r="B2270"/>
      <c r="G2270"/>
    </row>
    <row r="2271" spans="2:7" x14ac:dyDescent="0.45">
      <c r="B2271"/>
      <c r="G2271"/>
    </row>
    <row r="2272" spans="2:7" x14ac:dyDescent="0.45">
      <c r="B2272"/>
      <c r="G2272"/>
    </row>
    <row r="2273" spans="2:7" x14ac:dyDescent="0.45">
      <c r="B2273"/>
      <c r="G2273"/>
    </row>
    <row r="2274" spans="2:7" x14ac:dyDescent="0.45">
      <c r="B2274"/>
      <c r="G2274"/>
    </row>
    <row r="2275" spans="2:7" x14ac:dyDescent="0.45">
      <c r="B2275"/>
      <c r="G2275"/>
    </row>
    <row r="2276" spans="2:7" x14ac:dyDescent="0.45">
      <c r="B2276"/>
      <c r="G2276"/>
    </row>
    <row r="2277" spans="2:7" x14ac:dyDescent="0.45">
      <c r="B2277"/>
      <c r="G2277"/>
    </row>
    <row r="2278" spans="2:7" x14ac:dyDescent="0.45">
      <c r="B2278"/>
      <c r="G2278"/>
    </row>
    <row r="2279" spans="2:7" x14ac:dyDescent="0.45">
      <c r="B2279"/>
      <c r="G2279"/>
    </row>
    <row r="2280" spans="2:7" x14ac:dyDescent="0.45">
      <c r="B2280"/>
      <c r="G2280"/>
    </row>
    <row r="2281" spans="2:7" x14ac:dyDescent="0.45">
      <c r="B2281"/>
      <c r="G2281"/>
    </row>
    <row r="2282" spans="2:7" x14ac:dyDescent="0.45">
      <c r="B2282"/>
      <c r="G2282"/>
    </row>
    <row r="2283" spans="2:7" x14ac:dyDescent="0.45">
      <c r="B2283"/>
      <c r="G2283"/>
    </row>
    <row r="2284" spans="2:7" x14ac:dyDescent="0.45">
      <c r="B2284"/>
      <c r="G2284"/>
    </row>
    <row r="2285" spans="2:7" x14ac:dyDescent="0.45">
      <c r="B2285"/>
      <c r="G2285"/>
    </row>
    <row r="2286" spans="2:7" x14ac:dyDescent="0.45">
      <c r="B2286"/>
      <c r="G2286"/>
    </row>
    <row r="2287" spans="2:7" x14ac:dyDescent="0.45">
      <c r="B2287"/>
      <c r="G2287"/>
    </row>
    <row r="2288" spans="2:7" x14ac:dyDescent="0.45">
      <c r="B2288"/>
      <c r="G2288"/>
    </row>
    <row r="2289" spans="2:7" x14ac:dyDescent="0.45">
      <c r="B2289"/>
      <c r="G2289"/>
    </row>
    <row r="2290" spans="2:7" x14ac:dyDescent="0.45">
      <c r="B2290"/>
      <c r="G2290"/>
    </row>
    <row r="2291" spans="2:7" x14ac:dyDescent="0.45">
      <c r="B2291"/>
      <c r="G2291"/>
    </row>
    <row r="2292" spans="2:7" x14ac:dyDescent="0.45">
      <c r="B2292"/>
      <c r="G2292"/>
    </row>
    <row r="2293" spans="2:7" x14ac:dyDescent="0.45">
      <c r="B2293"/>
      <c r="G2293"/>
    </row>
    <row r="2294" spans="2:7" x14ac:dyDescent="0.45">
      <c r="B2294"/>
      <c r="G2294"/>
    </row>
    <row r="2295" spans="2:7" x14ac:dyDescent="0.45">
      <c r="B2295"/>
      <c r="G2295"/>
    </row>
    <row r="2296" spans="2:7" x14ac:dyDescent="0.45">
      <c r="B2296"/>
      <c r="G2296"/>
    </row>
    <row r="2297" spans="2:7" x14ac:dyDescent="0.45">
      <c r="B2297"/>
      <c r="G2297"/>
    </row>
    <row r="2298" spans="2:7" x14ac:dyDescent="0.45">
      <c r="B2298"/>
      <c r="G2298"/>
    </row>
    <row r="2299" spans="2:7" x14ac:dyDescent="0.45">
      <c r="B2299"/>
      <c r="G2299"/>
    </row>
    <row r="2300" spans="2:7" x14ac:dyDescent="0.45">
      <c r="B2300"/>
      <c r="G2300"/>
    </row>
    <row r="2301" spans="2:7" x14ac:dyDescent="0.45">
      <c r="B2301"/>
      <c r="G2301"/>
    </row>
    <row r="2302" spans="2:7" x14ac:dyDescent="0.45">
      <c r="B2302"/>
      <c r="G2302"/>
    </row>
    <row r="2303" spans="2:7" x14ac:dyDescent="0.45">
      <c r="B2303"/>
      <c r="G2303"/>
    </row>
    <row r="2304" spans="2:7" x14ac:dyDescent="0.45">
      <c r="B2304"/>
      <c r="G2304"/>
    </row>
    <row r="2305" spans="2:7" x14ac:dyDescent="0.45">
      <c r="B2305"/>
      <c r="G2305"/>
    </row>
    <row r="2306" spans="2:7" x14ac:dyDescent="0.45">
      <c r="B2306"/>
      <c r="G2306"/>
    </row>
    <row r="2307" spans="2:7" x14ac:dyDescent="0.45">
      <c r="B2307"/>
      <c r="G2307"/>
    </row>
    <row r="2308" spans="2:7" x14ac:dyDescent="0.45">
      <c r="B2308"/>
      <c r="G2308"/>
    </row>
    <row r="2309" spans="2:7" x14ac:dyDescent="0.45">
      <c r="B2309"/>
      <c r="G2309"/>
    </row>
    <row r="2310" spans="2:7" x14ac:dyDescent="0.45">
      <c r="B2310"/>
      <c r="G2310"/>
    </row>
    <row r="2311" spans="2:7" x14ac:dyDescent="0.45">
      <c r="B2311"/>
      <c r="G2311"/>
    </row>
    <row r="2312" spans="2:7" x14ac:dyDescent="0.45">
      <c r="B2312"/>
      <c r="G2312"/>
    </row>
    <row r="2313" spans="2:7" x14ac:dyDescent="0.45">
      <c r="B2313"/>
      <c r="G2313"/>
    </row>
    <row r="2314" spans="2:7" x14ac:dyDescent="0.45">
      <c r="B2314"/>
      <c r="G2314"/>
    </row>
    <row r="2315" spans="2:7" x14ac:dyDescent="0.45">
      <c r="B2315"/>
      <c r="G2315"/>
    </row>
    <row r="2316" spans="2:7" x14ac:dyDescent="0.45">
      <c r="B2316"/>
      <c r="G2316"/>
    </row>
    <row r="2317" spans="2:7" x14ac:dyDescent="0.45">
      <c r="B2317"/>
      <c r="G2317"/>
    </row>
    <row r="2318" spans="2:7" x14ac:dyDescent="0.45">
      <c r="B2318"/>
      <c r="G2318"/>
    </row>
    <row r="2319" spans="2:7" x14ac:dyDescent="0.45">
      <c r="B2319"/>
      <c r="G2319"/>
    </row>
    <row r="2320" spans="2:7" x14ac:dyDescent="0.45">
      <c r="B2320"/>
      <c r="G2320"/>
    </row>
    <row r="2321" spans="2:7" x14ac:dyDescent="0.45">
      <c r="B2321"/>
      <c r="G2321"/>
    </row>
    <row r="2322" spans="2:7" x14ac:dyDescent="0.45">
      <c r="B2322"/>
      <c r="G2322"/>
    </row>
    <row r="2323" spans="2:7" x14ac:dyDescent="0.45">
      <c r="B2323"/>
      <c r="G2323"/>
    </row>
    <row r="2324" spans="2:7" x14ac:dyDescent="0.45">
      <c r="B2324"/>
      <c r="G2324"/>
    </row>
    <row r="2325" spans="2:7" x14ac:dyDescent="0.45">
      <c r="B2325"/>
      <c r="G2325"/>
    </row>
    <row r="2326" spans="2:7" x14ac:dyDescent="0.45">
      <c r="B2326"/>
      <c r="G2326"/>
    </row>
    <row r="2327" spans="2:7" x14ac:dyDescent="0.45">
      <c r="B2327"/>
      <c r="G2327"/>
    </row>
    <row r="2328" spans="2:7" x14ac:dyDescent="0.45">
      <c r="B2328"/>
      <c r="G2328"/>
    </row>
    <row r="2329" spans="2:7" x14ac:dyDescent="0.45">
      <c r="B2329"/>
      <c r="G2329"/>
    </row>
    <row r="2330" spans="2:7" x14ac:dyDescent="0.45">
      <c r="B2330"/>
      <c r="G2330"/>
    </row>
    <row r="2331" spans="2:7" x14ac:dyDescent="0.45">
      <c r="B2331"/>
      <c r="G2331"/>
    </row>
    <row r="2332" spans="2:7" x14ac:dyDescent="0.45">
      <c r="B2332"/>
      <c r="G2332"/>
    </row>
    <row r="2333" spans="2:7" x14ac:dyDescent="0.45">
      <c r="B2333"/>
      <c r="G2333"/>
    </row>
    <row r="2334" spans="2:7" x14ac:dyDescent="0.45">
      <c r="B2334"/>
      <c r="G2334"/>
    </row>
    <row r="2335" spans="2:7" x14ac:dyDescent="0.45">
      <c r="B2335"/>
      <c r="G2335"/>
    </row>
    <row r="2336" spans="2:7" x14ac:dyDescent="0.45">
      <c r="B2336"/>
      <c r="G2336"/>
    </row>
    <row r="2337" spans="2:7" x14ac:dyDescent="0.45">
      <c r="B2337"/>
      <c r="G2337"/>
    </row>
    <row r="2338" spans="2:7" x14ac:dyDescent="0.45">
      <c r="B2338"/>
      <c r="G2338"/>
    </row>
    <row r="2339" spans="2:7" x14ac:dyDescent="0.45">
      <c r="B2339"/>
      <c r="G2339"/>
    </row>
    <row r="2340" spans="2:7" x14ac:dyDescent="0.45">
      <c r="B2340"/>
      <c r="G2340"/>
    </row>
    <row r="2341" spans="2:7" x14ac:dyDescent="0.45">
      <c r="B2341"/>
      <c r="G2341"/>
    </row>
    <row r="2342" spans="2:7" x14ac:dyDescent="0.45">
      <c r="B2342"/>
      <c r="G2342"/>
    </row>
    <row r="2343" spans="2:7" x14ac:dyDescent="0.45">
      <c r="B2343"/>
      <c r="G2343"/>
    </row>
    <row r="2344" spans="2:7" x14ac:dyDescent="0.45">
      <c r="B2344"/>
      <c r="G2344"/>
    </row>
    <row r="2345" spans="2:7" x14ac:dyDescent="0.45">
      <c r="B2345"/>
      <c r="G2345"/>
    </row>
    <row r="2346" spans="2:7" x14ac:dyDescent="0.45">
      <c r="B2346"/>
      <c r="G2346"/>
    </row>
    <row r="2347" spans="2:7" x14ac:dyDescent="0.45">
      <c r="B2347"/>
      <c r="G2347"/>
    </row>
    <row r="2348" spans="2:7" x14ac:dyDescent="0.45">
      <c r="B2348"/>
      <c r="G2348"/>
    </row>
    <row r="2349" spans="2:7" x14ac:dyDescent="0.45">
      <c r="B2349"/>
      <c r="G2349"/>
    </row>
    <row r="2350" spans="2:7" x14ac:dyDescent="0.45">
      <c r="B2350"/>
      <c r="G2350"/>
    </row>
    <row r="2351" spans="2:7" x14ac:dyDescent="0.45">
      <c r="B2351"/>
      <c r="G2351"/>
    </row>
    <row r="2352" spans="2:7" x14ac:dyDescent="0.45">
      <c r="B2352"/>
      <c r="G2352"/>
    </row>
    <row r="2353" spans="2:7" x14ac:dyDescent="0.45">
      <c r="B2353"/>
      <c r="G2353"/>
    </row>
    <row r="2354" spans="2:7" x14ac:dyDescent="0.45">
      <c r="B2354"/>
      <c r="G2354"/>
    </row>
    <row r="2355" spans="2:7" x14ac:dyDescent="0.45">
      <c r="B2355"/>
      <c r="G2355"/>
    </row>
    <row r="2356" spans="2:7" x14ac:dyDescent="0.45">
      <c r="B2356"/>
      <c r="G2356"/>
    </row>
    <row r="2357" spans="2:7" x14ac:dyDescent="0.45">
      <c r="B2357"/>
      <c r="G2357"/>
    </row>
    <row r="2358" spans="2:7" x14ac:dyDescent="0.45">
      <c r="B2358"/>
      <c r="G2358"/>
    </row>
    <row r="2359" spans="2:7" x14ac:dyDescent="0.45">
      <c r="B2359"/>
      <c r="G2359"/>
    </row>
    <row r="2360" spans="2:7" x14ac:dyDescent="0.45">
      <c r="B2360"/>
      <c r="G2360"/>
    </row>
    <row r="2361" spans="2:7" x14ac:dyDescent="0.45">
      <c r="B2361"/>
      <c r="G2361"/>
    </row>
    <row r="2362" spans="2:7" x14ac:dyDescent="0.45">
      <c r="B2362"/>
      <c r="G2362"/>
    </row>
    <row r="2363" spans="2:7" x14ac:dyDescent="0.45">
      <c r="B2363"/>
      <c r="G2363"/>
    </row>
    <row r="2364" spans="2:7" x14ac:dyDescent="0.45">
      <c r="B2364"/>
      <c r="G2364"/>
    </row>
    <row r="2365" spans="2:7" x14ac:dyDescent="0.45">
      <c r="B2365"/>
      <c r="G2365"/>
    </row>
    <row r="2366" spans="2:7" x14ac:dyDescent="0.45">
      <c r="B2366"/>
      <c r="G2366"/>
    </row>
    <row r="2367" spans="2:7" x14ac:dyDescent="0.45">
      <c r="B2367"/>
      <c r="G2367"/>
    </row>
    <row r="2368" spans="2:7" x14ac:dyDescent="0.45">
      <c r="B2368"/>
      <c r="G2368"/>
    </row>
    <row r="2369" spans="2:7" x14ac:dyDescent="0.45">
      <c r="B2369"/>
      <c r="G2369"/>
    </row>
    <row r="2370" spans="2:7" x14ac:dyDescent="0.45">
      <c r="B2370"/>
      <c r="G2370"/>
    </row>
    <row r="2371" spans="2:7" x14ac:dyDescent="0.45">
      <c r="B2371"/>
      <c r="G2371"/>
    </row>
    <row r="2372" spans="2:7" x14ac:dyDescent="0.45">
      <c r="B2372"/>
      <c r="G2372"/>
    </row>
    <row r="2373" spans="2:7" x14ac:dyDescent="0.45">
      <c r="B2373"/>
      <c r="G2373"/>
    </row>
    <row r="2374" spans="2:7" x14ac:dyDescent="0.45">
      <c r="B2374"/>
      <c r="G2374"/>
    </row>
    <row r="2375" spans="2:7" x14ac:dyDescent="0.45">
      <c r="B2375"/>
      <c r="G2375"/>
    </row>
    <row r="2376" spans="2:7" x14ac:dyDescent="0.45">
      <c r="B2376"/>
      <c r="G2376"/>
    </row>
    <row r="2377" spans="2:7" x14ac:dyDescent="0.45">
      <c r="B2377"/>
      <c r="G2377"/>
    </row>
    <row r="2378" spans="2:7" x14ac:dyDescent="0.45">
      <c r="B2378"/>
      <c r="G2378"/>
    </row>
    <row r="2379" spans="2:7" x14ac:dyDescent="0.45">
      <c r="B2379"/>
      <c r="G2379"/>
    </row>
    <row r="2380" spans="2:7" x14ac:dyDescent="0.45">
      <c r="B2380"/>
      <c r="G2380"/>
    </row>
    <row r="2381" spans="2:7" x14ac:dyDescent="0.45">
      <c r="B2381"/>
      <c r="G2381"/>
    </row>
    <row r="2382" spans="2:7" x14ac:dyDescent="0.45">
      <c r="B2382"/>
      <c r="G2382"/>
    </row>
    <row r="2383" spans="2:7" x14ac:dyDescent="0.45">
      <c r="B2383"/>
      <c r="G2383"/>
    </row>
    <row r="2384" spans="2:7" x14ac:dyDescent="0.45">
      <c r="B2384"/>
      <c r="G2384"/>
    </row>
    <row r="2385" spans="2:7" x14ac:dyDescent="0.45">
      <c r="B2385"/>
      <c r="G2385"/>
    </row>
    <row r="2386" spans="2:7" x14ac:dyDescent="0.45">
      <c r="B2386"/>
      <c r="G2386"/>
    </row>
    <row r="2387" spans="2:7" x14ac:dyDescent="0.45">
      <c r="B2387"/>
      <c r="G2387"/>
    </row>
    <row r="2388" spans="2:7" x14ac:dyDescent="0.45">
      <c r="B2388"/>
      <c r="G2388"/>
    </row>
    <row r="2389" spans="2:7" x14ac:dyDescent="0.45">
      <c r="B2389"/>
      <c r="G2389"/>
    </row>
    <row r="2390" spans="2:7" x14ac:dyDescent="0.45">
      <c r="B2390"/>
      <c r="G2390"/>
    </row>
    <row r="2391" spans="2:7" x14ac:dyDescent="0.45">
      <c r="B2391"/>
      <c r="G2391"/>
    </row>
    <row r="2392" spans="2:7" x14ac:dyDescent="0.45">
      <c r="B2392"/>
      <c r="G2392"/>
    </row>
    <row r="2393" spans="2:7" x14ac:dyDescent="0.45">
      <c r="B2393"/>
      <c r="G2393"/>
    </row>
    <row r="2394" spans="2:7" x14ac:dyDescent="0.45">
      <c r="B2394"/>
      <c r="G2394"/>
    </row>
    <row r="2395" spans="2:7" x14ac:dyDescent="0.45">
      <c r="B2395"/>
      <c r="G2395"/>
    </row>
    <row r="2396" spans="2:7" x14ac:dyDescent="0.45">
      <c r="B2396"/>
      <c r="G2396"/>
    </row>
    <row r="2397" spans="2:7" x14ac:dyDescent="0.45">
      <c r="B2397"/>
      <c r="G2397"/>
    </row>
    <row r="2398" spans="2:7" x14ac:dyDescent="0.45">
      <c r="B2398"/>
      <c r="G2398"/>
    </row>
    <row r="2399" spans="2:7" x14ac:dyDescent="0.45">
      <c r="B2399"/>
      <c r="G2399"/>
    </row>
    <row r="2400" spans="2:7" x14ac:dyDescent="0.45">
      <c r="B2400"/>
      <c r="G2400"/>
    </row>
    <row r="2401" spans="2:7" x14ac:dyDescent="0.45">
      <c r="B2401"/>
      <c r="G2401"/>
    </row>
    <row r="2402" spans="2:7" x14ac:dyDescent="0.45">
      <c r="B2402"/>
      <c r="G2402"/>
    </row>
    <row r="2403" spans="2:7" x14ac:dyDescent="0.45">
      <c r="B2403"/>
      <c r="G2403"/>
    </row>
    <row r="2404" spans="2:7" x14ac:dyDescent="0.45">
      <c r="B2404"/>
      <c r="G2404"/>
    </row>
    <row r="2405" spans="2:7" x14ac:dyDescent="0.45">
      <c r="B2405"/>
      <c r="G2405"/>
    </row>
    <row r="2406" spans="2:7" x14ac:dyDescent="0.45">
      <c r="B2406"/>
      <c r="G2406"/>
    </row>
    <row r="2407" spans="2:7" x14ac:dyDescent="0.45">
      <c r="B2407"/>
      <c r="G2407"/>
    </row>
    <row r="2408" spans="2:7" x14ac:dyDescent="0.45">
      <c r="B2408"/>
      <c r="G2408"/>
    </row>
    <row r="2409" spans="2:7" x14ac:dyDescent="0.45">
      <c r="B2409"/>
      <c r="G2409"/>
    </row>
    <row r="2410" spans="2:7" x14ac:dyDescent="0.45">
      <c r="B2410"/>
      <c r="G2410"/>
    </row>
    <row r="2411" spans="2:7" x14ac:dyDescent="0.45">
      <c r="B2411"/>
      <c r="G2411"/>
    </row>
    <row r="2412" spans="2:7" x14ac:dyDescent="0.45">
      <c r="B2412"/>
      <c r="G2412"/>
    </row>
    <row r="2413" spans="2:7" x14ac:dyDescent="0.45">
      <c r="B2413"/>
      <c r="G2413"/>
    </row>
    <row r="2414" spans="2:7" x14ac:dyDescent="0.45">
      <c r="B2414"/>
      <c r="G2414"/>
    </row>
    <row r="2415" spans="2:7" x14ac:dyDescent="0.45">
      <c r="B2415"/>
      <c r="G2415"/>
    </row>
    <row r="2416" spans="2:7" x14ac:dyDescent="0.45">
      <c r="B2416"/>
      <c r="G2416"/>
    </row>
    <row r="2417" spans="2:7" x14ac:dyDescent="0.45">
      <c r="B2417"/>
      <c r="G2417"/>
    </row>
    <row r="2418" spans="2:7" x14ac:dyDescent="0.45">
      <c r="B2418"/>
      <c r="G2418"/>
    </row>
    <row r="2419" spans="2:7" x14ac:dyDescent="0.45">
      <c r="B2419"/>
      <c r="G2419"/>
    </row>
    <row r="2420" spans="2:7" x14ac:dyDescent="0.45">
      <c r="B2420"/>
      <c r="G2420"/>
    </row>
    <row r="2421" spans="2:7" x14ac:dyDescent="0.45">
      <c r="B2421"/>
      <c r="G2421"/>
    </row>
    <row r="2422" spans="2:7" x14ac:dyDescent="0.45">
      <c r="B2422"/>
      <c r="G2422"/>
    </row>
    <row r="2423" spans="2:7" x14ac:dyDescent="0.45">
      <c r="B2423"/>
      <c r="G2423"/>
    </row>
    <row r="2424" spans="2:7" x14ac:dyDescent="0.45">
      <c r="B2424"/>
      <c r="G2424"/>
    </row>
    <row r="2425" spans="2:7" x14ac:dyDescent="0.45">
      <c r="B2425"/>
      <c r="G2425"/>
    </row>
    <row r="2426" spans="2:7" x14ac:dyDescent="0.45">
      <c r="B2426"/>
      <c r="G2426"/>
    </row>
    <row r="2427" spans="2:7" x14ac:dyDescent="0.45">
      <c r="B2427"/>
      <c r="G2427"/>
    </row>
    <row r="2428" spans="2:7" x14ac:dyDescent="0.45">
      <c r="B2428"/>
      <c r="G2428"/>
    </row>
    <row r="2429" spans="2:7" x14ac:dyDescent="0.45">
      <c r="B2429"/>
      <c r="G2429"/>
    </row>
    <row r="2430" spans="2:7" x14ac:dyDescent="0.45">
      <c r="B2430"/>
      <c r="G2430"/>
    </row>
    <row r="2431" spans="2:7" x14ac:dyDescent="0.45">
      <c r="B2431"/>
      <c r="G2431"/>
    </row>
    <row r="2432" spans="2:7" x14ac:dyDescent="0.45">
      <c r="B2432"/>
      <c r="G2432"/>
    </row>
    <row r="2433" spans="2:7" x14ac:dyDescent="0.45">
      <c r="B2433"/>
      <c r="G2433"/>
    </row>
    <row r="2434" spans="2:7" x14ac:dyDescent="0.45">
      <c r="B2434"/>
      <c r="G2434"/>
    </row>
    <row r="2435" spans="2:7" x14ac:dyDescent="0.45">
      <c r="B2435"/>
      <c r="G2435"/>
    </row>
    <row r="2436" spans="2:7" x14ac:dyDescent="0.45">
      <c r="B2436"/>
      <c r="G2436"/>
    </row>
    <row r="2437" spans="2:7" x14ac:dyDescent="0.45">
      <c r="B2437"/>
      <c r="G2437"/>
    </row>
    <row r="2438" spans="2:7" x14ac:dyDescent="0.45">
      <c r="B2438"/>
      <c r="G2438"/>
    </row>
    <row r="2439" spans="2:7" x14ac:dyDescent="0.45">
      <c r="B2439"/>
      <c r="G2439"/>
    </row>
    <row r="2440" spans="2:7" x14ac:dyDescent="0.45">
      <c r="B2440"/>
      <c r="G2440"/>
    </row>
    <row r="2441" spans="2:7" x14ac:dyDescent="0.45">
      <c r="B2441"/>
      <c r="G2441"/>
    </row>
    <row r="2442" spans="2:7" x14ac:dyDescent="0.45">
      <c r="B2442"/>
      <c r="G2442"/>
    </row>
    <row r="2443" spans="2:7" x14ac:dyDescent="0.45">
      <c r="B2443"/>
      <c r="G2443"/>
    </row>
    <row r="2444" spans="2:7" x14ac:dyDescent="0.45">
      <c r="B2444"/>
      <c r="G2444"/>
    </row>
    <row r="2445" spans="2:7" x14ac:dyDescent="0.45">
      <c r="B2445"/>
      <c r="G2445"/>
    </row>
    <row r="2446" spans="2:7" x14ac:dyDescent="0.45">
      <c r="B2446"/>
      <c r="G2446"/>
    </row>
    <row r="2447" spans="2:7" x14ac:dyDescent="0.45">
      <c r="B2447"/>
      <c r="G2447"/>
    </row>
    <row r="2448" spans="2:7" x14ac:dyDescent="0.45">
      <c r="B2448"/>
      <c r="G2448"/>
    </row>
    <row r="2449" spans="2:7" x14ac:dyDescent="0.45">
      <c r="B2449"/>
      <c r="G2449"/>
    </row>
    <row r="2450" spans="2:7" x14ac:dyDescent="0.45">
      <c r="B2450"/>
      <c r="G2450"/>
    </row>
    <row r="2451" spans="2:7" x14ac:dyDescent="0.45">
      <c r="B2451"/>
      <c r="G2451"/>
    </row>
    <row r="2452" spans="2:7" x14ac:dyDescent="0.45">
      <c r="B2452"/>
      <c r="G2452"/>
    </row>
    <row r="2453" spans="2:7" x14ac:dyDescent="0.45">
      <c r="B2453"/>
      <c r="G2453"/>
    </row>
    <row r="2454" spans="2:7" x14ac:dyDescent="0.45">
      <c r="B2454"/>
      <c r="G2454"/>
    </row>
    <row r="2455" spans="2:7" x14ac:dyDescent="0.45">
      <c r="B2455"/>
      <c r="G2455"/>
    </row>
    <row r="2456" spans="2:7" x14ac:dyDescent="0.45">
      <c r="B2456"/>
      <c r="G2456"/>
    </row>
    <row r="2457" spans="2:7" x14ac:dyDescent="0.45">
      <c r="B2457"/>
      <c r="G2457"/>
    </row>
    <row r="2458" spans="2:7" x14ac:dyDescent="0.45">
      <c r="B2458"/>
      <c r="G2458"/>
    </row>
    <row r="2459" spans="2:7" x14ac:dyDescent="0.45">
      <c r="B2459"/>
      <c r="G2459"/>
    </row>
    <row r="2460" spans="2:7" x14ac:dyDescent="0.45">
      <c r="B2460"/>
      <c r="G2460"/>
    </row>
    <row r="2461" spans="2:7" x14ac:dyDescent="0.45">
      <c r="B2461"/>
      <c r="G2461"/>
    </row>
    <row r="2462" spans="2:7" x14ac:dyDescent="0.45">
      <c r="B2462"/>
      <c r="G2462"/>
    </row>
    <row r="2463" spans="2:7" x14ac:dyDescent="0.45">
      <c r="B2463"/>
      <c r="G2463"/>
    </row>
    <row r="2464" spans="2:7" x14ac:dyDescent="0.45">
      <c r="B2464"/>
      <c r="G2464"/>
    </row>
    <row r="2465" spans="2:7" x14ac:dyDescent="0.45">
      <c r="B2465"/>
      <c r="G2465"/>
    </row>
    <row r="2466" spans="2:7" x14ac:dyDescent="0.45">
      <c r="B2466"/>
      <c r="G2466"/>
    </row>
    <row r="2467" spans="2:7" x14ac:dyDescent="0.45">
      <c r="B2467"/>
      <c r="G2467"/>
    </row>
    <row r="2468" spans="2:7" x14ac:dyDescent="0.45">
      <c r="B2468"/>
      <c r="G2468"/>
    </row>
    <row r="2469" spans="2:7" x14ac:dyDescent="0.45">
      <c r="B2469"/>
      <c r="G2469"/>
    </row>
    <row r="2470" spans="2:7" x14ac:dyDescent="0.45">
      <c r="B2470"/>
      <c r="G2470"/>
    </row>
    <row r="2471" spans="2:7" x14ac:dyDescent="0.45">
      <c r="B2471"/>
      <c r="G2471"/>
    </row>
    <row r="2472" spans="2:7" x14ac:dyDescent="0.45">
      <c r="B2472"/>
      <c r="G2472"/>
    </row>
    <row r="2473" spans="2:7" x14ac:dyDescent="0.45">
      <c r="B2473"/>
      <c r="G2473"/>
    </row>
    <row r="2474" spans="2:7" x14ac:dyDescent="0.45">
      <c r="B2474"/>
      <c r="G2474"/>
    </row>
    <row r="2475" spans="2:7" x14ac:dyDescent="0.45">
      <c r="B2475"/>
      <c r="G2475"/>
    </row>
    <row r="2476" spans="2:7" x14ac:dyDescent="0.45">
      <c r="B2476"/>
      <c r="G2476"/>
    </row>
    <row r="2477" spans="2:7" x14ac:dyDescent="0.45">
      <c r="B2477"/>
      <c r="G2477"/>
    </row>
    <row r="2478" spans="2:7" x14ac:dyDescent="0.45">
      <c r="B2478"/>
      <c r="G2478"/>
    </row>
    <row r="2479" spans="2:7" x14ac:dyDescent="0.45">
      <c r="B2479"/>
      <c r="G2479"/>
    </row>
    <row r="2480" spans="2:7" x14ac:dyDescent="0.45">
      <c r="B2480"/>
      <c r="G2480"/>
    </row>
    <row r="2481" spans="2:7" x14ac:dyDescent="0.45">
      <c r="B2481"/>
      <c r="G2481"/>
    </row>
    <row r="2482" spans="2:7" x14ac:dyDescent="0.45">
      <c r="B2482"/>
      <c r="G2482"/>
    </row>
    <row r="2483" spans="2:7" x14ac:dyDescent="0.45">
      <c r="B2483"/>
      <c r="G2483"/>
    </row>
    <row r="2484" spans="2:7" x14ac:dyDescent="0.45">
      <c r="B2484"/>
      <c r="G2484"/>
    </row>
    <row r="2485" spans="2:7" x14ac:dyDescent="0.45">
      <c r="B2485"/>
      <c r="G2485"/>
    </row>
    <row r="2486" spans="2:7" x14ac:dyDescent="0.45">
      <c r="B2486"/>
      <c r="G2486"/>
    </row>
    <row r="2487" spans="2:7" x14ac:dyDescent="0.45">
      <c r="B2487"/>
      <c r="G2487"/>
    </row>
    <row r="2488" spans="2:7" x14ac:dyDescent="0.45">
      <c r="B2488"/>
      <c r="G2488"/>
    </row>
    <row r="2489" spans="2:7" x14ac:dyDescent="0.45">
      <c r="B2489"/>
      <c r="G2489"/>
    </row>
    <row r="2490" spans="2:7" x14ac:dyDescent="0.45">
      <c r="B2490"/>
      <c r="G2490"/>
    </row>
    <row r="2491" spans="2:7" x14ac:dyDescent="0.45">
      <c r="B2491"/>
      <c r="G2491"/>
    </row>
    <row r="2492" spans="2:7" x14ac:dyDescent="0.45">
      <c r="B2492"/>
      <c r="G2492"/>
    </row>
    <row r="2493" spans="2:7" x14ac:dyDescent="0.45">
      <c r="B2493"/>
      <c r="G2493"/>
    </row>
    <row r="2494" spans="2:7" x14ac:dyDescent="0.45">
      <c r="B2494"/>
      <c r="G2494"/>
    </row>
    <row r="2495" spans="2:7" x14ac:dyDescent="0.45">
      <c r="B2495"/>
      <c r="G2495"/>
    </row>
    <row r="2496" spans="2:7" x14ac:dyDescent="0.45">
      <c r="B2496"/>
      <c r="G2496"/>
    </row>
    <row r="2497" spans="2:7" x14ac:dyDescent="0.45">
      <c r="B2497"/>
      <c r="G2497"/>
    </row>
    <row r="2498" spans="2:7" x14ac:dyDescent="0.45">
      <c r="B2498"/>
      <c r="G2498"/>
    </row>
    <row r="2499" spans="2:7" x14ac:dyDescent="0.45">
      <c r="B2499"/>
      <c r="G2499"/>
    </row>
    <row r="2500" spans="2:7" x14ac:dyDescent="0.45">
      <c r="B2500"/>
      <c r="G2500"/>
    </row>
    <row r="2501" spans="2:7" x14ac:dyDescent="0.45">
      <c r="B2501"/>
      <c r="G2501"/>
    </row>
    <row r="2502" spans="2:7" x14ac:dyDescent="0.45">
      <c r="B2502"/>
      <c r="G2502"/>
    </row>
    <row r="2503" spans="2:7" x14ac:dyDescent="0.45">
      <c r="B2503"/>
      <c r="G2503"/>
    </row>
    <row r="2504" spans="2:7" x14ac:dyDescent="0.45">
      <c r="B2504"/>
      <c r="G2504"/>
    </row>
    <row r="2505" spans="2:7" x14ac:dyDescent="0.45">
      <c r="B2505"/>
      <c r="G2505"/>
    </row>
    <row r="2506" spans="2:7" x14ac:dyDescent="0.45">
      <c r="B2506"/>
      <c r="G2506"/>
    </row>
    <row r="2507" spans="2:7" x14ac:dyDescent="0.45">
      <c r="B2507"/>
      <c r="G2507"/>
    </row>
    <row r="2508" spans="2:7" x14ac:dyDescent="0.45">
      <c r="B2508"/>
      <c r="G2508"/>
    </row>
    <row r="2509" spans="2:7" x14ac:dyDescent="0.45">
      <c r="B2509"/>
      <c r="G2509"/>
    </row>
    <row r="2510" spans="2:7" x14ac:dyDescent="0.45">
      <c r="B2510"/>
      <c r="G2510"/>
    </row>
    <row r="2511" spans="2:7" x14ac:dyDescent="0.45">
      <c r="B2511"/>
      <c r="G2511"/>
    </row>
    <row r="2512" spans="2:7" x14ac:dyDescent="0.45">
      <c r="B2512"/>
      <c r="G2512"/>
    </row>
    <row r="2513" spans="2:7" x14ac:dyDescent="0.45">
      <c r="B2513"/>
      <c r="G2513"/>
    </row>
    <row r="2514" spans="2:7" x14ac:dyDescent="0.45">
      <c r="B2514"/>
      <c r="G2514"/>
    </row>
    <row r="2515" spans="2:7" x14ac:dyDescent="0.45">
      <c r="B2515"/>
      <c r="G2515"/>
    </row>
    <row r="2516" spans="2:7" x14ac:dyDescent="0.45">
      <c r="B2516"/>
      <c r="G2516"/>
    </row>
    <row r="2517" spans="2:7" x14ac:dyDescent="0.45">
      <c r="B2517"/>
      <c r="G2517"/>
    </row>
    <row r="2518" spans="2:7" x14ac:dyDescent="0.45">
      <c r="B2518"/>
      <c r="G2518"/>
    </row>
    <row r="2519" spans="2:7" x14ac:dyDescent="0.45">
      <c r="B2519"/>
      <c r="G2519"/>
    </row>
    <row r="2520" spans="2:7" x14ac:dyDescent="0.45">
      <c r="B2520"/>
      <c r="G2520"/>
    </row>
    <row r="2521" spans="2:7" x14ac:dyDescent="0.45">
      <c r="B2521"/>
      <c r="G2521"/>
    </row>
    <row r="2522" spans="2:7" x14ac:dyDescent="0.45">
      <c r="B2522"/>
      <c r="G2522"/>
    </row>
    <row r="2523" spans="2:7" x14ac:dyDescent="0.45">
      <c r="B2523"/>
      <c r="G2523"/>
    </row>
    <row r="2524" spans="2:7" x14ac:dyDescent="0.45">
      <c r="B2524"/>
      <c r="G2524"/>
    </row>
    <row r="2525" spans="2:7" x14ac:dyDescent="0.45">
      <c r="B2525"/>
      <c r="G2525"/>
    </row>
    <row r="2526" spans="2:7" x14ac:dyDescent="0.45">
      <c r="B2526"/>
      <c r="G2526"/>
    </row>
    <row r="2527" spans="2:7" x14ac:dyDescent="0.45">
      <c r="B2527"/>
      <c r="G2527"/>
    </row>
    <row r="2528" spans="2:7" x14ac:dyDescent="0.45">
      <c r="B2528"/>
      <c r="G2528"/>
    </row>
    <row r="2529" spans="2:7" x14ac:dyDescent="0.45">
      <c r="B2529"/>
      <c r="G2529"/>
    </row>
    <row r="2530" spans="2:7" x14ac:dyDescent="0.45">
      <c r="B2530"/>
      <c r="G2530"/>
    </row>
    <row r="2531" spans="2:7" x14ac:dyDescent="0.45">
      <c r="B2531"/>
      <c r="G2531"/>
    </row>
    <row r="2532" spans="2:7" x14ac:dyDescent="0.45">
      <c r="B2532"/>
      <c r="G2532"/>
    </row>
    <row r="2533" spans="2:7" x14ac:dyDescent="0.45">
      <c r="B2533"/>
      <c r="G2533"/>
    </row>
    <row r="2534" spans="2:7" x14ac:dyDescent="0.45">
      <c r="B2534"/>
      <c r="G2534"/>
    </row>
    <row r="2535" spans="2:7" x14ac:dyDescent="0.45">
      <c r="B2535"/>
      <c r="G2535"/>
    </row>
    <row r="2536" spans="2:7" x14ac:dyDescent="0.45">
      <c r="B2536"/>
      <c r="G2536"/>
    </row>
    <row r="2537" spans="2:7" x14ac:dyDescent="0.45">
      <c r="B2537"/>
      <c r="G2537"/>
    </row>
    <row r="2538" spans="2:7" x14ac:dyDescent="0.45">
      <c r="B2538"/>
      <c r="G2538"/>
    </row>
    <row r="2539" spans="2:7" x14ac:dyDescent="0.45">
      <c r="B2539"/>
      <c r="G2539"/>
    </row>
    <row r="2540" spans="2:7" x14ac:dyDescent="0.45">
      <c r="B2540"/>
      <c r="G2540"/>
    </row>
    <row r="2541" spans="2:7" x14ac:dyDescent="0.45">
      <c r="B2541"/>
      <c r="G2541"/>
    </row>
    <row r="2542" spans="2:7" x14ac:dyDescent="0.45">
      <c r="B2542"/>
      <c r="G2542"/>
    </row>
    <row r="2543" spans="2:7" x14ac:dyDescent="0.45">
      <c r="B2543"/>
      <c r="G2543"/>
    </row>
    <row r="2544" spans="2:7" x14ac:dyDescent="0.45">
      <c r="B2544"/>
      <c r="G2544"/>
    </row>
    <row r="2545" spans="2:7" x14ac:dyDescent="0.45">
      <c r="B2545"/>
      <c r="G2545"/>
    </row>
    <row r="2546" spans="2:7" x14ac:dyDescent="0.45">
      <c r="B2546"/>
      <c r="G2546"/>
    </row>
    <row r="2547" spans="2:7" x14ac:dyDescent="0.45">
      <c r="B2547"/>
      <c r="G2547"/>
    </row>
    <row r="2548" spans="2:7" x14ac:dyDescent="0.45">
      <c r="B2548"/>
      <c r="G2548"/>
    </row>
    <row r="2549" spans="2:7" x14ac:dyDescent="0.45">
      <c r="B2549"/>
      <c r="G2549"/>
    </row>
    <row r="2550" spans="2:7" x14ac:dyDescent="0.45">
      <c r="B2550"/>
      <c r="G2550"/>
    </row>
    <row r="2551" spans="2:7" x14ac:dyDescent="0.45">
      <c r="B2551"/>
      <c r="G2551"/>
    </row>
    <row r="2552" spans="2:7" x14ac:dyDescent="0.45">
      <c r="B2552"/>
      <c r="G2552"/>
    </row>
    <row r="2553" spans="2:7" x14ac:dyDescent="0.45">
      <c r="B2553"/>
      <c r="G2553"/>
    </row>
    <row r="2554" spans="2:7" x14ac:dyDescent="0.45">
      <c r="B2554"/>
      <c r="G2554"/>
    </row>
    <row r="2555" spans="2:7" x14ac:dyDescent="0.45">
      <c r="B2555"/>
      <c r="G2555"/>
    </row>
    <row r="2556" spans="2:7" x14ac:dyDescent="0.45">
      <c r="B2556"/>
      <c r="G2556"/>
    </row>
    <row r="2557" spans="2:7" x14ac:dyDescent="0.45">
      <c r="B2557"/>
      <c r="G2557"/>
    </row>
    <row r="2558" spans="2:7" x14ac:dyDescent="0.45">
      <c r="B2558"/>
      <c r="G2558"/>
    </row>
    <row r="2559" spans="2:7" x14ac:dyDescent="0.45">
      <c r="B2559"/>
      <c r="G2559"/>
    </row>
    <row r="2560" spans="2:7" x14ac:dyDescent="0.45">
      <c r="B2560"/>
      <c r="G2560"/>
    </row>
    <row r="2561" spans="2:7" x14ac:dyDescent="0.45">
      <c r="B2561"/>
      <c r="G2561"/>
    </row>
    <row r="2562" spans="2:7" x14ac:dyDescent="0.45">
      <c r="B2562"/>
      <c r="G2562"/>
    </row>
    <row r="2563" spans="2:7" x14ac:dyDescent="0.45">
      <c r="B2563"/>
      <c r="G2563"/>
    </row>
    <row r="2564" spans="2:7" x14ac:dyDescent="0.45">
      <c r="B2564"/>
      <c r="G2564"/>
    </row>
    <row r="2565" spans="2:7" x14ac:dyDescent="0.45">
      <c r="B2565"/>
      <c r="G2565"/>
    </row>
    <row r="2566" spans="2:7" x14ac:dyDescent="0.45">
      <c r="B2566"/>
      <c r="G2566"/>
    </row>
    <row r="2567" spans="2:7" x14ac:dyDescent="0.45">
      <c r="B2567"/>
      <c r="G2567"/>
    </row>
    <row r="2568" spans="2:7" x14ac:dyDescent="0.45">
      <c r="B2568"/>
      <c r="G2568"/>
    </row>
    <row r="2569" spans="2:7" x14ac:dyDescent="0.45">
      <c r="B2569"/>
      <c r="G2569"/>
    </row>
    <row r="2570" spans="2:7" x14ac:dyDescent="0.45">
      <c r="B2570"/>
      <c r="G2570"/>
    </row>
    <row r="2571" spans="2:7" x14ac:dyDescent="0.45">
      <c r="B2571"/>
      <c r="G2571"/>
    </row>
    <row r="2572" spans="2:7" x14ac:dyDescent="0.45">
      <c r="B2572"/>
      <c r="G2572"/>
    </row>
    <row r="2573" spans="2:7" x14ac:dyDescent="0.45">
      <c r="B2573"/>
      <c r="G2573"/>
    </row>
    <row r="2574" spans="2:7" x14ac:dyDescent="0.45">
      <c r="B2574"/>
      <c r="G2574"/>
    </row>
    <row r="2575" spans="2:7" x14ac:dyDescent="0.45">
      <c r="B2575"/>
      <c r="G2575"/>
    </row>
    <row r="2576" spans="2:7" x14ac:dyDescent="0.45">
      <c r="B2576"/>
      <c r="G2576"/>
    </row>
    <row r="2577" spans="2:7" x14ac:dyDescent="0.45">
      <c r="B2577"/>
      <c r="G2577"/>
    </row>
    <row r="2578" spans="2:7" x14ac:dyDescent="0.45">
      <c r="B2578"/>
      <c r="G2578"/>
    </row>
    <row r="2579" spans="2:7" x14ac:dyDescent="0.45">
      <c r="B2579"/>
      <c r="G2579"/>
    </row>
    <row r="2580" spans="2:7" x14ac:dyDescent="0.45">
      <c r="B2580"/>
      <c r="G2580"/>
    </row>
    <row r="2581" spans="2:7" x14ac:dyDescent="0.45">
      <c r="B2581"/>
      <c r="G2581"/>
    </row>
    <row r="2582" spans="2:7" x14ac:dyDescent="0.45">
      <c r="B2582"/>
      <c r="G2582"/>
    </row>
    <row r="2583" spans="2:7" x14ac:dyDescent="0.45">
      <c r="B2583"/>
      <c r="G2583"/>
    </row>
    <row r="2584" spans="2:7" x14ac:dyDescent="0.45">
      <c r="B2584"/>
      <c r="G2584"/>
    </row>
    <row r="2585" spans="2:7" x14ac:dyDescent="0.45">
      <c r="B2585"/>
      <c r="G2585"/>
    </row>
    <row r="2586" spans="2:7" x14ac:dyDescent="0.45">
      <c r="B2586"/>
      <c r="G2586"/>
    </row>
    <row r="2587" spans="2:7" x14ac:dyDescent="0.45">
      <c r="B2587"/>
      <c r="G2587"/>
    </row>
    <row r="2588" spans="2:7" x14ac:dyDescent="0.45">
      <c r="B2588"/>
      <c r="G2588"/>
    </row>
    <row r="2589" spans="2:7" x14ac:dyDescent="0.45">
      <c r="B2589"/>
      <c r="G2589"/>
    </row>
    <row r="2590" spans="2:7" x14ac:dyDescent="0.45">
      <c r="B2590"/>
      <c r="G2590"/>
    </row>
    <row r="2591" spans="2:7" x14ac:dyDescent="0.45">
      <c r="B2591"/>
      <c r="G2591"/>
    </row>
    <row r="2592" spans="2:7" x14ac:dyDescent="0.45">
      <c r="B2592"/>
      <c r="G2592"/>
    </row>
    <row r="2593" spans="2:7" x14ac:dyDescent="0.45">
      <c r="B2593"/>
      <c r="G2593"/>
    </row>
    <row r="2594" spans="2:7" x14ac:dyDescent="0.45">
      <c r="B2594"/>
      <c r="G2594"/>
    </row>
    <row r="2595" spans="2:7" x14ac:dyDescent="0.45">
      <c r="B2595"/>
      <c r="G2595"/>
    </row>
    <row r="2596" spans="2:7" x14ac:dyDescent="0.45">
      <c r="B2596"/>
      <c r="G2596"/>
    </row>
    <row r="2597" spans="2:7" x14ac:dyDescent="0.45">
      <c r="B2597"/>
      <c r="G2597"/>
    </row>
    <row r="2598" spans="2:7" x14ac:dyDescent="0.45">
      <c r="B2598"/>
      <c r="G2598"/>
    </row>
    <row r="2599" spans="2:7" x14ac:dyDescent="0.45">
      <c r="B2599"/>
      <c r="G2599"/>
    </row>
    <row r="2600" spans="2:7" x14ac:dyDescent="0.45">
      <c r="B2600"/>
      <c r="G2600"/>
    </row>
    <row r="2601" spans="2:7" x14ac:dyDescent="0.45">
      <c r="B2601"/>
      <c r="G2601"/>
    </row>
    <row r="2602" spans="2:7" x14ac:dyDescent="0.45">
      <c r="B2602"/>
      <c r="G2602"/>
    </row>
    <row r="2603" spans="2:7" x14ac:dyDescent="0.45">
      <c r="B2603"/>
      <c r="G2603"/>
    </row>
    <row r="2604" spans="2:7" x14ac:dyDescent="0.45">
      <c r="B2604"/>
      <c r="G2604"/>
    </row>
    <row r="2605" spans="2:7" x14ac:dyDescent="0.45">
      <c r="B2605"/>
      <c r="G2605"/>
    </row>
    <row r="2606" spans="2:7" x14ac:dyDescent="0.45">
      <c r="B2606"/>
      <c r="G2606"/>
    </row>
    <row r="2607" spans="2:7" x14ac:dyDescent="0.45">
      <c r="B2607"/>
      <c r="G2607"/>
    </row>
    <row r="2608" spans="2:7" x14ac:dyDescent="0.45">
      <c r="B2608"/>
      <c r="G2608"/>
    </row>
    <row r="2609" spans="2:7" x14ac:dyDescent="0.45">
      <c r="B2609"/>
      <c r="G2609"/>
    </row>
    <row r="2610" spans="2:7" x14ac:dyDescent="0.45">
      <c r="B2610"/>
      <c r="G2610"/>
    </row>
    <row r="2611" spans="2:7" x14ac:dyDescent="0.45">
      <c r="B2611"/>
      <c r="G2611"/>
    </row>
    <row r="2612" spans="2:7" x14ac:dyDescent="0.45">
      <c r="B2612"/>
      <c r="G2612"/>
    </row>
    <row r="2613" spans="2:7" x14ac:dyDescent="0.45">
      <c r="B2613"/>
      <c r="G2613"/>
    </row>
    <row r="2614" spans="2:7" x14ac:dyDescent="0.45">
      <c r="B2614"/>
      <c r="G2614"/>
    </row>
    <row r="2615" spans="2:7" x14ac:dyDescent="0.45">
      <c r="B2615"/>
      <c r="G2615"/>
    </row>
    <row r="2616" spans="2:7" x14ac:dyDescent="0.45">
      <c r="B2616"/>
      <c r="G2616"/>
    </row>
    <row r="2617" spans="2:7" x14ac:dyDescent="0.45">
      <c r="B2617"/>
      <c r="G2617"/>
    </row>
    <row r="2618" spans="2:7" x14ac:dyDescent="0.45">
      <c r="B2618"/>
      <c r="G2618"/>
    </row>
    <row r="2619" spans="2:7" x14ac:dyDescent="0.45">
      <c r="B2619"/>
      <c r="G2619"/>
    </row>
    <row r="2620" spans="2:7" x14ac:dyDescent="0.45">
      <c r="B2620"/>
      <c r="G2620"/>
    </row>
    <row r="2621" spans="2:7" x14ac:dyDescent="0.45">
      <c r="B2621"/>
      <c r="G2621"/>
    </row>
    <row r="2622" spans="2:7" x14ac:dyDescent="0.45">
      <c r="B2622"/>
      <c r="G2622"/>
    </row>
    <row r="2623" spans="2:7" x14ac:dyDescent="0.45">
      <c r="B2623"/>
      <c r="G2623"/>
    </row>
    <row r="2624" spans="2:7" x14ac:dyDescent="0.45">
      <c r="B2624"/>
      <c r="G2624"/>
    </row>
    <row r="2625" spans="2:7" x14ac:dyDescent="0.45">
      <c r="B2625"/>
      <c r="G2625"/>
    </row>
    <row r="2626" spans="2:7" x14ac:dyDescent="0.45">
      <c r="B2626"/>
      <c r="G2626"/>
    </row>
    <row r="2627" spans="2:7" x14ac:dyDescent="0.45">
      <c r="B2627"/>
      <c r="G2627"/>
    </row>
    <row r="2628" spans="2:7" x14ac:dyDescent="0.45">
      <c r="B2628"/>
      <c r="G2628"/>
    </row>
    <row r="2629" spans="2:7" x14ac:dyDescent="0.45">
      <c r="B2629"/>
      <c r="G2629"/>
    </row>
    <row r="2630" spans="2:7" x14ac:dyDescent="0.45">
      <c r="B2630"/>
      <c r="G2630"/>
    </row>
    <row r="2631" spans="2:7" x14ac:dyDescent="0.45">
      <c r="B2631"/>
      <c r="G2631"/>
    </row>
    <row r="2632" spans="2:7" x14ac:dyDescent="0.45">
      <c r="B2632"/>
      <c r="G2632"/>
    </row>
    <row r="2633" spans="2:7" x14ac:dyDescent="0.45">
      <c r="B2633"/>
      <c r="G2633"/>
    </row>
    <row r="2634" spans="2:7" x14ac:dyDescent="0.45">
      <c r="B2634"/>
      <c r="G2634"/>
    </row>
    <row r="2635" spans="2:7" x14ac:dyDescent="0.45">
      <c r="B2635"/>
      <c r="G2635"/>
    </row>
    <row r="2636" spans="2:7" x14ac:dyDescent="0.45">
      <c r="B2636"/>
      <c r="G2636"/>
    </row>
    <row r="2637" spans="2:7" x14ac:dyDescent="0.45">
      <c r="B2637"/>
      <c r="G2637"/>
    </row>
    <row r="2638" spans="2:7" x14ac:dyDescent="0.45">
      <c r="B2638"/>
      <c r="G2638"/>
    </row>
    <row r="2639" spans="2:7" x14ac:dyDescent="0.45">
      <c r="B2639"/>
      <c r="G2639"/>
    </row>
    <row r="2640" spans="2:7" x14ac:dyDescent="0.45">
      <c r="B2640"/>
      <c r="G2640"/>
    </row>
    <row r="2641" spans="7:7" x14ac:dyDescent="0.45">
      <c r="G2641"/>
    </row>
    <row r="2642" spans="7:7" x14ac:dyDescent="0.45">
      <c r="G2642"/>
    </row>
    <row r="2643" spans="7:7" x14ac:dyDescent="0.45">
      <c r="G2643"/>
    </row>
    <row r="2644" spans="7:7" x14ac:dyDescent="0.45">
      <c r="G2644"/>
    </row>
    <row r="2645" spans="7:7" x14ac:dyDescent="0.45">
      <c r="G2645"/>
    </row>
    <row r="2646" spans="7:7" x14ac:dyDescent="0.45">
      <c r="G2646"/>
    </row>
    <row r="2647" spans="7:7" x14ac:dyDescent="0.45">
      <c r="G2647"/>
    </row>
    <row r="2648" spans="7:7" x14ac:dyDescent="0.45">
      <c r="G2648"/>
    </row>
    <row r="2649" spans="7:7" x14ac:dyDescent="0.45">
      <c r="G2649"/>
    </row>
    <row r="2650" spans="7:7" x14ac:dyDescent="0.45">
      <c r="G2650"/>
    </row>
    <row r="2651" spans="7:7" x14ac:dyDescent="0.45">
      <c r="G2651"/>
    </row>
    <row r="2652" spans="7:7" x14ac:dyDescent="0.45">
      <c r="G2652"/>
    </row>
    <row r="2653" spans="7:7" x14ac:dyDescent="0.45">
      <c r="G2653"/>
    </row>
    <row r="2654" spans="7:7" x14ac:dyDescent="0.45">
      <c r="G2654"/>
    </row>
    <row r="2655" spans="7:7" x14ac:dyDescent="0.45">
      <c r="G2655"/>
    </row>
    <row r="2656" spans="7:7" x14ac:dyDescent="0.45">
      <c r="G2656"/>
    </row>
    <row r="2660" spans="1:7" x14ac:dyDescent="0.45">
      <c r="B2660"/>
    </row>
    <row r="2662" spans="1:7" x14ac:dyDescent="0.45">
      <c r="A2662" s="16" t="s">
        <v>8253</v>
      </c>
      <c r="B2662"/>
      <c r="G2662"/>
    </row>
    <row r="2663" spans="1:7" x14ac:dyDescent="0.45">
      <c r="A2663" s="17" t="s">
        <v>8265</v>
      </c>
      <c r="B2663"/>
      <c r="G2663"/>
    </row>
    <row r="2664" spans="1:7" x14ac:dyDescent="0.45">
      <c r="A2664" s="19" t="s">
        <v>8254</v>
      </c>
      <c r="B2664"/>
      <c r="G2664"/>
    </row>
    <row r="2665" spans="1:7" x14ac:dyDescent="0.45">
      <c r="A2665" s="21">
        <v>15800</v>
      </c>
      <c r="B2665"/>
      <c r="G2665"/>
    </row>
    <row r="2666" spans="1:7" x14ac:dyDescent="0.45">
      <c r="A2666" s="22" t="s">
        <v>597</v>
      </c>
      <c r="B2666"/>
      <c r="G2666"/>
    </row>
    <row r="2667" spans="1:7" x14ac:dyDescent="0.45">
      <c r="A2667" s="22" t="s">
        <v>593</v>
      </c>
      <c r="B2667"/>
      <c r="G2667"/>
    </row>
    <row r="2668" spans="1:7" x14ac:dyDescent="0.45">
      <c r="A2668" s="21">
        <v>8300</v>
      </c>
      <c r="B2668"/>
      <c r="G2668"/>
    </row>
    <row r="2669" spans="1:7" x14ac:dyDescent="0.45">
      <c r="A2669" s="22" t="s">
        <v>1158</v>
      </c>
      <c r="B2669"/>
      <c r="G2669"/>
    </row>
    <row r="2670" spans="1:7" x14ac:dyDescent="0.45">
      <c r="A2670" s="21">
        <v>5000</v>
      </c>
      <c r="B2670"/>
      <c r="G2670"/>
    </row>
    <row r="2671" spans="1:7" x14ac:dyDescent="0.45">
      <c r="A2671" s="22" t="s">
        <v>2216</v>
      </c>
      <c r="B2671"/>
      <c r="G2671"/>
    </row>
    <row r="2672" spans="1:7" x14ac:dyDescent="0.45">
      <c r="A2672" s="21">
        <v>4900</v>
      </c>
      <c r="B2672"/>
      <c r="G2672"/>
    </row>
    <row r="2673" spans="1:7" x14ac:dyDescent="0.45">
      <c r="A2673" s="22" t="s">
        <v>2230</v>
      </c>
      <c r="B2673"/>
      <c r="G2673"/>
    </row>
    <row r="2674" spans="1:7" x14ac:dyDescent="0.45">
      <c r="A2674" s="21">
        <v>3900</v>
      </c>
      <c r="B2674"/>
      <c r="G2674"/>
    </row>
    <row r="2675" spans="1:7" x14ac:dyDescent="0.45">
      <c r="A2675" s="22" t="s">
        <v>2827</v>
      </c>
      <c r="B2675"/>
      <c r="G2675"/>
    </row>
    <row r="2676" spans="1:7" x14ac:dyDescent="0.45">
      <c r="A2676" s="21">
        <v>3500</v>
      </c>
      <c r="B2676"/>
      <c r="G2676"/>
    </row>
    <row r="2677" spans="1:7" x14ac:dyDescent="0.45">
      <c r="A2677" s="22" t="s">
        <v>3169</v>
      </c>
      <c r="B2677"/>
      <c r="G2677"/>
    </row>
    <row r="2678" spans="1:7" x14ac:dyDescent="0.45">
      <c r="A2678" s="21">
        <v>3000</v>
      </c>
      <c r="B2678"/>
      <c r="G2678"/>
    </row>
    <row r="2679" spans="1:7" x14ac:dyDescent="0.45">
      <c r="A2679" s="22" t="s">
        <v>3625</v>
      </c>
      <c r="B2679"/>
      <c r="G2679"/>
    </row>
    <row r="2680" spans="1:7" x14ac:dyDescent="0.45">
      <c r="A2680" s="22" t="s">
        <v>3650</v>
      </c>
      <c r="B2680"/>
      <c r="G2680"/>
    </row>
    <row r="2681" spans="1:7" x14ac:dyDescent="0.45">
      <c r="A2681" s="21">
        <v>2800</v>
      </c>
      <c r="B2681"/>
      <c r="G2681"/>
    </row>
    <row r="2682" spans="1:7" x14ac:dyDescent="0.45">
      <c r="A2682" s="22" t="s">
        <v>3959</v>
      </c>
      <c r="B2682"/>
      <c r="G2682"/>
    </row>
    <row r="2683" spans="1:7" x14ac:dyDescent="0.45">
      <c r="A2683" s="22" t="s">
        <v>3961</v>
      </c>
      <c r="B2683"/>
      <c r="G2683"/>
    </row>
    <row r="2684" spans="1:7" x14ac:dyDescent="0.45">
      <c r="A2684" s="22" t="s">
        <v>3919</v>
      </c>
      <c r="B2684"/>
      <c r="G2684"/>
    </row>
    <row r="2685" spans="1:7" x14ac:dyDescent="0.45">
      <c r="A2685" s="21">
        <v>2700</v>
      </c>
      <c r="B2685"/>
      <c r="G2685"/>
    </row>
    <row r="2686" spans="1:7" x14ac:dyDescent="0.45">
      <c r="A2686" s="22" t="s">
        <v>4139</v>
      </c>
      <c r="B2686"/>
      <c r="G2686"/>
    </row>
    <row r="2687" spans="1:7" x14ac:dyDescent="0.45">
      <c r="A2687" s="22" t="s">
        <v>4105</v>
      </c>
      <c r="B2687"/>
      <c r="G2687"/>
    </row>
    <row r="2688" spans="1:7" x14ac:dyDescent="0.45">
      <c r="A2688" s="22" t="s">
        <v>4017</v>
      </c>
      <c r="B2688"/>
      <c r="G2688"/>
    </row>
    <row r="2689" spans="1:7" x14ac:dyDescent="0.45">
      <c r="A2689" s="21">
        <v>2600</v>
      </c>
      <c r="B2689"/>
      <c r="G2689"/>
    </row>
    <row r="2690" spans="1:7" x14ac:dyDescent="0.45">
      <c r="A2690" s="22" t="s">
        <v>4310</v>
      </c>
      <c r="B2690"/>
      <c r="G2690"/>
    </row>
    <row r="2691" spans="1:7" x14ac:dyDescent="0.45">
      <c r="A2691" s="21">
        <v>2400</v>
      </c>
      <c r="B2691"/>
      <c r="G2691"/>
    </row>
    <row r="2692" spans="1:7" x14ac:dyDescent="0.45">
      <c r="A2692" s="22" t="s">
        <v>4556</v>
      </c>
      <c r="B2692"/>
      <c r="G2692"/>
    </row>
    <row r="2693" spans="1:7" x14ac:dyDescent="0.45">
      <c r="A2693" s="21">
        <v>2300</v>
      </c>
      <c r="B2693"/>
      <c r="G2693"/>
    </row>
    <row r="2694" spans="1:7" x14ac:dyDescent="0.45">
      <c r="A2694" s="22" t="s">
        <v>4689</v>
      </c>
      <c r="B2694"/>
      <c r="G2694"/>
    </row>
    <row r="2695" spans="1:7" x14ac:dyDescent="0.45">
      <c r="A2695" s="22" t="s">
        <v>4692</v>
      </c>
      <c r="B2695"/>
      <c r="G2695"/>
    </row>
    <row r="2696" spans="1:7" x14ac:dyDescent="0.45">
      <c r="A2696" s="22" t="s">
        <v>4650</v>
      </c>
      <c r="B2696"/>
      <c r="G2696"/>
    </row>
    <row r="2697" spans="1:7" x14ac:dyDescent="0.45">
      <c r="A2697" s="22" t="s">
        <v>4660</v>
      </c>
      <c r="B2697"/>
      <c r="G2697"/>
    </row>
    <row r="2698" spans="1:7" x14ac:dyDescent="0.45">
      <c r="A2698" s="21">
        <v>2100</v>
      </c>
      <c r="B2698"/>
      <c r="G2698"/>
    </row>
    <row r="2699" spans="1:7" x14ac:dyDescent="0.45">
      <c r="A2699" s="22" t="s">
        <v>5034</v>
      </c>
      <c r="B2699"/>
      <c r="G2699"/>
    </row>
    <row r="2700" spans="1:7" x14ac:dyDescent="0.45">
      <c r="A2700" s="22" t="s">
        <v>4944</v>
      </c>
      <c r="B2700"/>
      <c r="G2700"/>
    </row>
    <row r="2701" spans="1:7" x14ac:dyDescent="0.45">
      <c r="A2701" s="22" t="s">
        <v>5056</v>
      </c>
      <c r="B2701"/>
      <c r="G2701"/>
    </row>
    <row r="2702" spans="1:7" x14ac:dyDescent="0.45">
      <c r="A2702" s="21">
        <v>1900</v>
      </c>
      <c r="B2702"/>
      <c r="G2702"/>
    </row>
    <row r="2703" spans="1:7" x14ac:dyDescent="0.45">
      <c r="A2703" s="22" t="s">
        <v>5363</v>
      </c>
      <c r="B2703"/>
      <c r="G2703"/>
    </row>
    <row r="2704" spans="1:7" x14ac:dyDescent="0.45">
      <c r="A2704" s="22" t="s">
        <v>5389</v>
      </c>
      <c r="B2704"/>
      <c r="G2704"/>
    </row>
    <row r="2705" spans="1:7" x14ac:dyDescent="0.45">
      <c r="A2705" s="22" t="s">
        <v>5368</v>
      </c>
      <c r="B2705"/>
      <c r="G2705"/>
    </row>
    <row r="2706" spans="1:7" x14ac:dyDescent="0.45">
      <c r="A2706" s="22" t="s">
        <v>5490</v>
      </c>
      <c r="B2706"/>
      <c r="G2706"/>
    </row>
    <row r="2707" spans="1:7" x14ac:dyDescent="0.45">
      <c r="A2707" s="22" t="s">
        <v>5443</v>
      </c>
      <c r="B2707"/>
      <c r="G2707"/>
    </row>
    <row r="2708" spans="1:7" x14ac:dyDescent="0.45">
      <c r="A2708" s="21">
        <v>1800</v>
      </c>
      <c r="B2708"/>
      <c r="G2708"/>
    </row>
    <row r="2709" spans="1:7" x14ac:dyDescent="0.45">
      <c r="A2709" s="22" t="s">
        <v>5705</v>
      </c>
      <c r="B2709"/>
      <c r="G2709"/>
    </row>
    <row r="2710" spans="1:7" x14ac:dyDescent="0.45">
      <c r="A2710" s="22" t="s">
        <v>5681</v>
      </c>
      <c r="B2710"/>
      <c r="G2710"/>
    </row>
    <row r="2711" spans="1:7" x14ac:dyDescent="0.45">
      <c r="A2711" s="21">
        <v>1700</v>
      </c>
      <c r="B2711"/>
      <c r="G2711"/>
    </row>
    <row r="2712" spans="1:7" x14ac:dyDescent="0.45">
      <c r="A2712" s="22" t="s">
        <v>5792</v>
      </c>
      <c r="B2712"/>
      <c r="G2712"/>
    </row>
    <row r="2713" spans="1:7" x14ac:dyDescent="0.45">
      <c r="A2713" s="22" t="s">
        <v>5899</v>
      </c>
      <c r="B2713"/>
      <c r="G2713"/>
    </row>
    <row r="2714" spans="1:7" x14ac:dyDescent="0.45">
      <c r="A2714" s="21">
        <v>1600</v>
      </c>
      <c r="B2714"/>
      <c r="G2714"/>
    </row>
    <row r="2715" spans="1:7" x14ac:dyDescent="0.45">
      <c r="A2715" s="22" t="s">
        <v>6112</v>
      </c>
      <c r="B2715"/>
      <c r="G2715"/>
    </row>
    <row r="2716" spans="1:7" x14ac:dyDescent="0.45">
      <c r="A2716" s="22" t="s">
        <v>6213</v>
      </c>
      <c r="B2716"/>
      <c r="G2716"/>
    </row>
    <row r="2717" spans="1:7" x14ac:dyDescent="0.45">
      <c r="A2717" s="21">
        <v>1500</v>
      </c>
      <c r="B2717"/>
      <c r="G2717"/>
    </row>
    <row r="2718" spans="1:7" x14ac:dyDescent="0.45">
      <c r="A2718" s="22" t="s">
        <v>6462</v>
      </c>
      <c r="B2718"/>
      <c r="G2718"/>
    </row>
    <row r="2719" spans="1:7" x14ac:dyDescent="0.45">
      <c r="A2719" s="22" t="s">
        <v>6466</v>
      </c>
      <c r="B2719"/>
      <c r="G2719"/>
    </row>
    <row r="2720" spans="1:7" x14ac:dyDescent="0.45">
      <c r="A2720" s="22" t="s">
        <v>6587</v>
      </c>
      <c r="B2720"/>
      <c r="G2720"/>
    </row>
    <row r="2721" spans="1:7" x14ac:dyDescent="0.45">
      <c r="A2721" s="22" t="s">
        <v>6537</v>
      </c>
      <c r="B2721"/>
      <c r="G2721"/>
    </row>
    <row r="2722" spans="1:7" x14ac:dyDescent="0.45">
      <c r="A2722" s="22" t="s">
        <v>6541</v>
      </c>
      <c r="B2722"/>
      <c r="G2722"/>
    </row>
    <row r="2723" spans="1:7" x14ac:dyDescent="0.45">
      <c r="A2723" s="22" t="s">
        <v>6579</v>
      </c>
      <c r="B2723"/>
      <c r="G2723"/>
    </row>
    <row r="2724" spans="1:7" x14ac:dyDescent="0.45">
      <c r="A2724" s="22" t="s">
        <v>6590</v>
      </c>
      <c r="B2724"/>
      <c r="G2724"/>
    </row>
    <row r="2725" spans="1:7" x14ac:dyDescent="0.45">
      <c r="A2725" s="21">
        <v>1400</v>
      </c>
      <c r="B2725"/>
      <c r="G2725"/>
    </row>
    <row r="2726" spans="1:7" x14ac:dyDescent="0.45">
      <c r="A2726" s="22" t="s">
        <v>6722</v>
      </c>
      <c r="B2726"/>
      <c r="G2726"/>
    </row>
    <row r="2727" spans="1:7" x14ac:dyDescent="0.45">
      <c r="A2727" s="22" t="s">
        <v>6768</v>
      </c>
      <c r="B2727"/>
      <c r="G2727"/>
    </row>
    <row r="2728" spans="1:7" x14ac:dyDescent="0.45">
      <c r="A2728" s="21">
        <v>1300</v>
      </c>
      <c r="B2728"/>
      <c r="G2728"/>
    </row>
    <row r="2729" spans="1:7" x14ac:dyDescent="0.45">
      <c r="A2729" s="22" t="s">
        <v>7091</v>
      </c>
      <c r="B2729"/>
      <c r="G2729"/>
    </row>
    <row r="2730" spans="1:7" x14ac:dyDescent="0.45">
      <c r="A2730" s="22" t="s">
        <v>7158</v>
      </c>
      <c r="B2730"/>
      <c r="G2730"/>
    </row>
    <row r="2731" spans="1:7" x14ac:dyDescent="0.45">
      <c r="A2731" s="22" t="s">
        <v>7100</v>
      </c>
      <c r="B2731"/>
      <c r="G2731"/>
    </row>
    <row r="2732" spans="1:7" x14ac:dyDescent="0.45">
      <c r="A2732" s="22" t="s">
        <v>7004</v>
      </c>
      <c r="B2732"/>
      <c r="G2732"/>
    </row>
    <row r="2733" spans="1:7" x14ac:dyDescent="0.45">
      <c r="A2733" s="22" t="s">
        <v>7118</v>
      </c>
      <c r="B2733"/>
      <c r="G2733"/>
    </row>
    <row r="2734" spans="1:7" x14ac:dyDescent="0.45">
      <c r="A2734" s="22" t="s">
        <v>7223</v>
      </c>
      <c r="B2734"/>
      <c r="G2734"/>
    </row>
    <row r="2735" spans="1:7" x14ac:dyDescent="0.45">
      <c r="A2735" s="21">
        <v>1200</v>
      </c>
      <c r="B2735"/>
      <c r="G2735"/>
    </row>
    <row r="2736" spans="1:7" x14ac:dyDescent="0.45">
      <c r="A2736" s="22" t="s">
        <v>7367</v>
      </c>
      <c r="B2736"/>
      <c r="G2736"/>
    </row>
    <row r="2737" spans="1:7" x14ac:dyDescent="0.45">
      <c r="A2737" s="22" t="s">
        <v>7475</v>
      </c>
      <c r="B2737"/>
      <c r="G2737"/>
    </row>
    <row r="2738" spans="1:7" x14ac:dyDescent="0.45">
      <c r="A2738" s="22" t="s">
        <v>7464</v>
      </c>
      <c r="B2738"/>
      <c r="G2738"/>
    </row>
    <row r="2739" spans="1:7" x14ac:dyDescent="0.45">
      <c r="A2739" s="22" t="s">
        <v>7370</v>
      </c>
      <c r="B2739"/>
      <c r="G2739"/>
    </row>
    <row r="2740" spans="1:7" x14ac:dyDescent="0.45">
      <c r="A2740" s="22" t="s">
        <v>7551</v>
      </c>
      <c r="B2740"/>
      <c r="G2740"/>
    </row>
    <row r="2741" spans="1:7" x14ac:dyDescent="0.45">
      <c r="A2741" s="21">
        <v>1100</v>
      </c>
      <c r="B2741"/>
      <c r="G2741"/>
    </row>
    <row r="2742" spans="1:7" x14ac:dyDescent="0.45">
      <c r="A2742" s="22" t="s">
        <v>7653</v>
      </c>
      <c r="B2742"/>
      <c r="G2742"/>
    </row>
    <row r="2743" spans="1:7" x14ac:dyDescent="0.45">
      <c r="A2743" s="22" t="s">
        <v>7682</v>
      </c>
      <c r="B2743"/>
      <c r="G2743"/>
    </row>
    <row r="2744" spans="1:7" x14ac:dyDescent="0.45">
      <c r="A2744" s="22" t="s">
        <v>7676</v>
      </c>
      <c r="B2744"/>
      <c r="G2744"/>
    </row>
    <row r="2745" spans="1:7" x14ac:dyDescent="0.45">
      <c r="A2745" s="22" t="s">
        <v>7732</v>
      </c>
      <c r="B2745"/>
      <c r="G2745"/>
    </row>
    <row r="2746" spans="1:7" x14ac:dyDescent="0.45">
      <c r="A2746" s="22" t="s">
        <v>7721</v>
      </c>
      <c r="B2746"/>
      <c r="G2746"/>
    </row>
    <row r="2747" spans="1:7" x14ac:dyDescent="0.45">
      <c r="A2747" s="22" t="s">
        <v>7733</v>
      </c>
      <c r="B2747"/>
      <c r="G2747"/>
    </row>
    <row r="2748" spans="1:7" x14ac:dyDescent="0.45">
      <c r="A2748" s="22" t="s">
        <v>7723</v>
      </c>
      <c r="B2748"/>
      <c r="G2748"/>
    </row>
    <row r="2749" spans="1:7" x14ac:dyDescent="0.45">
      <c r="A2749" s="21">
        <v>1000</v>
      </c>
      <c r="B2749"/>
      <c r="G2749"/>
    </row>
    <row r="2750" spans="1:7" x14ac:dyDescent="0.45">
      <c r="A2750" s="22" t="s">
        <v>7993</v>
      </c>
      <c r="B2750"/>
      <c r="G2750"/>
    </row>
    <row r="2751" spans="1:7" x14ac:dyDescent="0.45">
      <c r="A2751" s="22" t="s">
        <v>8134</v>
      </c>
      <c r="B2751"/>
      <c r="G2751"/>
    </row>
    <row r="2752" spans="1:7" x14ac:dyDescent="0.45">
      <c r="A2752" s="22" t="s">
        <v>8154</v>
      </c>
      <c r="B2752"/>
      <c r="G2752"/>
    </row>
    <row r="2753" spans="1:7" x14ac:dyDescent="0.45">
      <c r="A2753" s="19">
        <v>101</v>
      </c>
      <c r="B2753"/>
      <c r="G2753"/>
    </row>
    <row r="2754" spans="1:7" x14ac:dyDescent="0.45">
      <c r="A2754" s="21">
        <v>1300</v>
      </c>
      <c r="B2754"/>
      <c r="G2754"/>
    </row>
    <row r="2755" spans="1:7" x14ac:dyDescent="0.45">
      <c r="A2755" s="22" t="s">
        <v>7024</v>
      </c>
      <c r="B2755"/>
      <c r="G2755"/>
    </row>
    <row r="2756" spans="1:7" x14ac:dyDescent="0.45">
      <c r="A2756" s="19">
        <v>99</v>
      </c>
      <c r="B2756"/>
      <c r="G2756"/>
    </row>
    <row r="2757" spans="1:7" x14ac:dyDescent="0.45">
      <c r="A2757" s="21">
        <v>11800</v>
      </c>
      <c r="B2757"/>
      <c r="G2757"/>
    </row>
    <row r="2758" spans="1:7" x14ac:dyDescent="0.45">
      <c r="A2758" s="22" t="s">
        <v>760</v>
      </c>
      <c r="B2758"/>
      <c r="G2758"/>
    </row>
    <row r="2759" spans="1:7" x14ac:dyDescent="0.45">
      <c r="A2759" s="21">
        <v>2300</v>
      </c>
      <c r="B2759"/>
      <c r="G2759"/>
    </row>
    <row r="2760" spans="1:7" x14ac:dyDescent="0.45">
      <c r="A2760" s="22" t="s">
        <v>4679</v>
      </c>
      <c r="B2760"/>
      <c r="G2760"/>
    </row>
    <row r="2761" spans="1:7" x14ac:dyDescent="0.45">
      <c r="A2761" s="21">
        <v>2200</v>
      </c>
      <c r="B2761"/>
      <c r="G2761"/>
    </row>
    <row r="2762" spans="1:7" x14ac:dyDescent="0.45">
      <c r="A2762" s="22" t="s">
        <v>4836</v>
      </c>
      <c r="B2762"/>
      <c r="G2762"/>
    </row>
    <row r="2763" spans="1:7" x14ac:dyDescent="0.45">
      <c r="A2763" s="21">
        <v>1200</v>
      </c>
      <c r="B2763"/>
      <c r="G2763"/>
    </row>
    <row r="2764" spans="1:7" x14ac:dyDescent="0.45">
      <c r="A2764" s="22" t="s">
        <v>7407</v>
      </c>
      <c r="B2764"/>
      <c r="G2764"/>
    </row>
    <row r="2765" spans="1:7" x14ac:dyDescent="0.45">
      <c r="A2765" s="19">
        <v>98</v>
      </c>
      <c r="B2765"/>
      <c r="G2765"/>
    </row>
    <row r="2766" spans="1:7" x14ac:dyDescent="0.45">
      <c r="A2766" s="21">
        <v>2500</v>
      </c>
      <c r="B2766"/>
      <c r="G2766"/>
    </row>
    <row r="2767" spans="1:7" x14ac:dyDescent="0.45">
      <c r="A2767" s="22" t="s">
        <v>4322</v>
      </c>
      <c r="B2767"/>
      <c r="G2767"/>
    </row>
    <row r="2768" spans="1:7" x14ac:dyDescent="0.45">
      <c r="A2768" s="21">
        <v>1000</v>
      </c>
      <c r="B2768"/>
      <c r="G2768"/>
    </row>
    <row r="2769" spans="1:7" x14ac:dyDescent="0.45">
      <c r="A2769" s="22" t="s">
        <v>7981</v>
      </c>
      <c r="B2769"/>
      <c r="G2769"/>
    </row>
    <row r="2770" spans="1:7" x14ac:dyDescent="0.45">
      <c r="A2770" s="19">
        <v>97</v>
      </c>
      <c r="B2770"/>
      <c r="G2770"/>
    </row>
    <row r="2771" spans="1:7" x14ac:dyDescent="0.45">
      <c r="A2771" s="21">
        <v>1500</v>
      </c>
      <c r="B2771"/>
      <c r="G2771"/>
    </row>
    <row r="2772" spans="1:7" x14ac:dyDescent="0.45">
      <c r="A2772" s="22" t="s">
        <v>6379</v>
      </c>
      <c r="B2772"/>
      <c r="G2772"/>
    </row>
    <row r="2773" spans="1:7" x14ac:dyDescent="0.45">
      <c r="A2773" s="21">
        <v>1400</v>
      </c>
      <c r="B2773"/>
      <c r="G2773"/>
    </row>
    <row r="2774" spans="1:7" x14ac:dyDescent="0.45">
      <c r="A2774" s="22" t="s">
        <v>6720</v>
      </c>
      <c r="B2774"/>
      <c r="G2774"/>
    </row>
    <row r="2775" spans="1:7" x14ac:dyDescent="0.45">
      <c r="A2775" s="22" t="s">
        <v>6633</v>
      </c>
      <c r="B2775"/>
      <c r="G2775"/>
    </row>
    <row r="2776" spans="1:7" x14ac:dyDescent="0.45">
      <c r="A2776" s="22" t="s">
        <v>6822</v>
      </c>
      <c r="B2776"/>
      <c r="G2776"/>
    </row>
    <row r="2777" spans="1:7" x14ac:dyDescent="0.45">
      <c r="A2777" s="19">
        <v>96</v>
      </c>
      <c r="B2777"/>
      <c r="G2777"/>
    </row>
    <row r="2778" spans="1:7" x14ac:dyDescent="0.45">
      <c r="A2778" s="21">
        <v>6300</v>
      </c>
      <c r="B2778"/>
      <c r="G2778"/>
    </row>
    <row r="2779" spans="1:7" x14ac:dyDescent="0.45">
      <c r="A2779" s="22" t="s">
        <v>1736</v>
      </c>
      <c r="B2779"/>
      <c r="G2779"/>
    </row>
    <row r="2780" spans="1:7" x14ac:dyDescent="0.45">
      <c r="A2780" s="21">
        <v>4600</v>
      </c>
      <c r="B2780"/>
      <c r="G2780"/>
    </row>
    <row r="2781" spans="1:7" x14ac:dyDescent="0.45">
      <c r="A2781" s="22" t="s">
        <v>2365</v>
      </c>
      <c r="B2781"/>
      <c r="G2781"/>
    </row>
    <row r="2782" spans="1:7" x14ac:dyDescent="0.45">
      <c r="A2782" s="21">
        <v>2200</v>
      </c>
      <c r="B2782"/>
      <c r="G2782"/>
    </row>
    <row r="2783" spans="1:7" x14ac:dyDescent="0.45">
      <c r="A2783" s="22" t="s">
        <v>4874</v>
      </c>
      <c r="B2783"/>
      <c r="G2783"/>
    </row>
    <row r="2784" spans="1:7" x14ac:dyDescent="0.45">
      <c r="A2784" s="19">
        <v>95</v>
      </c>
      <c r="B2784"/>
      <c r="G2784"/>
    </row>
    <row r="2785" spans="1:7" x14ac:dyDescent="0.45">
      <c r="A2785" s="21">
        <v>29500</v>
      </c>
      <c r="B2785"/>
      <c r="G2785"/>
    </row>
    <row r="2786" spans="1:7" x14ac:dyDescent="0.45">
      <c r="A2786" s="22" t="s">
        <v>303</v>
      </c>
      <c r="B2786"/>
      <c r="G2786"/>
    </row>
    <row r="2787" spans="1:7" x14ac:dyDescent="0.45">
      <c r="A2787" s="21">
        <v>14300</v>
      </c>
      <c r="B2787"/>
      <c r="G2787"/>
    </row>
    <row r="2788" spans="1:7" x14ac:dyDescent="0.45">
      <c r="A2788" s="22" t="s">
        <v>658</v>
      </c>
      <c r="B2788"/>
      <c r="G2788"/>
    </row>
    <row r="2789" spans="1:7" x14ac:dyDescent="0.45">
      <c r="A2789" s="21">
        <v>5500</v>
      </c>
      <c r="B2789"/>
      <c r="G2789"/>
    </row>
    <row r="2790" spans="1:7" x14ac:dyDescent="0.45">
      <c r="A2790" s="22" t="s">
        <v>1955</v>
      </c>
      <c r="B2790"/>
      <c r="G2790"/>
    </row>
    <row r="2791" spans="1:7" x14ac:dyDescent="0.45">
      <c r="A2791" s="21">
        <v>3000</v>
      </c>
      <c r="B2791"/>
      <c r="G2791"/>
    </row>
    <row r="2792" spans="1:7" x14ac:dyDescent="0.45">
      <c r="A2792" s="22" t="s">
        <v>3662</v>
      </c>
      <c r="B2792"/>
      <c r="G2792"/>
    </row>
    <row r="2793" spans="1:7" x14ac:dyDescent="0.45">
      <c r="A2793" s="21">
        <v>2600</v>
      </c>
      <c r="B2793"/>
      <c r="G2793"/>
    </row>
    <row r="2794" spans="1:7" x14ac:dyDescent="0.45">
      <c r="A2794" s="22" t="s">
        <v>4258</v>
      </c>
      <c r="B2794"/>
      <c r="G2794"/>
    </row>
    <row r="2795" spans="1:7" x14ac:dyDescent="0.45">
      <c r="A2795" s="21">
        <v>1900</v>
      </c>
      <c r="B2795"/>
      <c r="G2795"/>
    </row>
    <row r="2796" spans="1:7" x14ac:dyDescent="0.45">
      <c r="A2796" s="22" t="s">
        <v>5497</v>
      </c>
      <c r="B2796"/>
      <c r="G2796"/>
    </row>
    <row r="2797" spans="1:7" x14ac:dyDescent="0.45">
      <c r="A2797" s="21">
        <v>1500</v>
      </c>
      <c r="B2797"/>
      <c r="G2797"/>
    </row>
    <row r="2798" spans="1:7" x14ac:dyDescent="0.45">
      <c r="A2798" s="22" t="s">
        <v>6394</v>
      </c>
      <c r="B2798"/>
      <c r="G2798"/>
    </row>
    <row r="2799" spans="1:7" x14ac:dyDescent="0.45">
      <c r="A2799" s="21">
        <v>1400</v>
      </c>
      <c r="B2799"/>
      <c r="G2799"/>
    </row>
    <row r="2800" spans="1:7" x14ac:dyDescent="0.45">
      <c r="A2800" s="22" t="s">
        <v>6833</v>
      </c>
      <c r="B2800"/>
      <c r="G2800"/>
    </row>
    <row r="2801" spans="1:7" x14ac:dyDescent="0.45">
      <c r="A2801" s="19">
        <v>94</v>
      </c>
      <c r="B2801"/>
      <c r="G2801"/>
    </row>
    <row r="2802" spans="1:7" x14ac:dyDescent="0.45">
      <c r="A2802" s="21">
        <v>38000</v>
      </c>
      <c r="B2802"/>
      <c r="G2802"/>
    </row>
    <row r="2803" spans="1:7" x14ac:dyDescent="0.45">
      <c r="A2803" s="22" t="s">
        <v>227</v>
      </c>
      <c r="B2803"/>
      <c r="G2803"/>
    </row>
    <row r="2804" spans="1:7" x14ac:dyDescent="0.45">
      <c r="A2804" s="21">
        <v>13900</v>
      </c>
      <c r="B2804"/>
      <c r="G2804"/>
    </row>
    <row r="2805" spans="1:7" x14ac:dyDescent="0.45">
      <c r="A2805" s="22" t="s">
        <v>681</v>
      </c>
      <c r="B2805"/>
      <c r="G2805"/>
    </row>
    <row r="2806" spans="1:7" x14ac:dyDescent="0.45">
      <c r="A2806" s="21">
        <v>9500</v>
      </c>
      <c r="B2806"/>
      <c r="G2806"/>
    </row>
    <row r="2807" spans="1:7" x14ac:dyDescent="0.45">
      <c r="A2807" s="22" t="s">
        <v>977</v>
      </c>
      <c r="B2807"/>
      <c r="G2807"/>
    </row>
    <row r="2808" spans="1:7" x14ac:dyDescent="0.45">
      <c r="A2808" s="21">
        <v>7800</v>
      </c>
      <c r="B2808"/>
      <c r="G2808"/>
    </row>
    <row r="2809" spans="1:7" x14ac:dyDescent="0.45">
      <c r="A2809" s="22" t="s">
        <v>1258</v>
      </c>
      <c r="B2809"/>
      <c r="G2809"/>
    </row>
    <row r="2810" spans="1:7" x14ac:dyDescent="0.45">
      <c r="A2810" s="21">
        <v>7100</v>
      </c>
      <c r="B2810"/>
      <c r="G2810"/>
    </row>
    <row r="2811" spans="1:7" x14ac:dyDescent="0.45">
      <c r="A2811" s="22" t="s">
        <v>1453</v>
      </c>
      <c r="B2811"/>
      <c r="G2811"/>
    </row>
    <row r="2812" spans="1:7" x14ac:dyDescent="0.45">
      <c r="A2812" s="21">
        <v>6800</v>
      </c>
      <c r="B2812"/>
      <c r="G2812"/>
    </row>
    <row r="2813" spans="1:7" x14ac:dyDescent="0.45">
      <c r="A2813" s="22" t="s">
        <v>1556</v>
      </c>
      <c r="B2813"/>
      <c r="G2813"/>
    </row>
    <row r="2814" spans="1:7" x14ac:dyDescent="0.45">
      <c r="A2814" s="21">
        <v>4900</v>
      </c>
      <c r="B2814"/>
      <c r="G2814"/>
    </row>
    <row r="2815" spans="1:7" x14ac:dyDescent="0.45">
      <c r="A2815" s="22" t="s">
        <v>2245</v>
      </c>
      <c r="B2815"/>
      <c r="G2815"/>
    </row>
    <row r="2816" spans="1:7" x14ac:dyDescent="0.45">
      <c r="A2816" s="21">
        <v>3900</v>
      </c>
      <c r="B2816"/>
      <c r="G2816"/>
    </row>
    <row r="2817" spans="1:7" x14ac:dyDescent="0.45">
      <c r="A2817" s="22" t="s">
        <v>2821</v>
      </c>
      <c r="B2817"/>
      <c r="G2817"/>
    </row>
    <row r="2818" spans="1:7" x14ac:dyDescent="0.45">
      <c r="A2818" s="21">
        <v>3000</v>
      </c>
      <c r="B2818"/>
      <c r="G2818"/>
    </row>
    <row r="2819" spans="1:7" x14ac:dyDescent="0.45">
      <c r="A2819" s="22" t="s">
        <v>3629</v>
      </c>
      <c r="B2819"/>
      <c r="G2819"/>
    </row>
    <row r="2820" spans="1:7" x14ac:dyDescent="0.45">
      <c r="A2820" s="21">
        <v>2000</v>
      </c>
      <c r="B2820"/>
      <c r="G2820"/>
    </row>
    <row r="2821" spans="1:7" x14ac:dyDescent="0.45">
      <c r="A2821" s="22" t="s">
        <v>5173</v>
      </c>
      <c r="B2821"/>
      <c r="G2821"/>
    </row>
    <row r="2822" spans="1:7" x14ac:dyDescent="0.45">
      <c r="A2822" s="21">
        <v>1500</v>
      </c>
      <c r="B2822"/>
      <c r="G2822"/>
    </row>
    <row r="2823" spans="1:7" x14ac:dyDescent="0.45">
      <c r="A2823" s="22" t="s">
        <v>6345</v>
      </c>
      <c r="B2823"/>
      <c r="G2823"/>
    </row>
    <row r="2824" spans="1:7" x14ac:dyDescent="0.45">
      <c r="A2824" s="19">
        <v>93</v>
      </c>
      <c r="B2824"/>
      <c r="G2824"/>
    </row>
    <row r="2825" spans="1:7" x14ac:dyDescent="0.45">
      <c r="A2825" s="21">
        <v>14100</v>
      </c>
      <c r="B2825"/>
      <c r="G2825"/>
    </row>
    <row r="2826" spans="1:7" x14ac:dyDescent="0.45">
      <c r="A2826" s="22" t="s">
        <v>673</v>
      </c>
      <c r="B2826"/>
      <c r="G2826"/>
    </row>
    <row r="2827" spans="1:7" x14ac:dyDescent="0.45">
      <c r="A2827" s="21">
        <v>10700</v>
      </c>
      <c r="B2827"/>
      <c r="G2827"/>
    </row>
    <row r="2828" spans="1:7" x14ac:dyDescent="0.45">
      <c r="A2828" s="22" t="s">
        <v>830</v>
      </c>
      <c r="B2828"/>
      <c r="G2828"/>
    </row>
    <row r="2829" spans="1:7" x14ac:dyDescent="0.45">
      <c r="A2829" s="21">
        <v>8000</v>
      </c>
      <c r="B2829"/>
      <c r="G2829"/>
    </row>
    <row r="2830" spans="1:7" x14ac:dyDescent="0.45">
      <c r="A2830" s="22" t="s">
        <v>1204</v>
      </c>
      <c r="B2830"/>
      <c r="G2830"/>
    </row>
    <row r="2831" spans="1:7" x14ac:dyDescent="0.45">
      <c r="A2831" s="21">
        <v>6500</v>
      </c>
      <c r="B2831"/>
      <c r="G2831"/>
    </row>
    <row r="2832" spans="1:7" x14ac:dyDescent="0.45">
      <c r="A2832" s="22" t="s">
        <v>1677</v>
      </c>
      <c r="B2832"/>
      <c r="G2832"/>
    </row>
    <row r="2833" spans="1:7" x14ac:dyDescent="0.45">
      <c r="A2833" s="21">
        <v>5900</v>
      </c>
      <c r="B2833"/>
      <c r="G2833"/>
    </row>
    <row r="2834" spans="1:7" x14ac:dyDescent="0.45">
      <c r="A2834" s="22" t="s">
        <v>1831</v>
      </c>
      <c r="B2834"/>
      <c r="G2834"/>
    </row>
    <row r="2835" spans="1:7" x14ac:dyDescent="0.45">
      <c r="A2835" s="21">
        <v>5700</v>
      </c>
      <c r="B2835"/>
      <c r="G2835"/>
    </row>
    <row r="2836" spans="1:7" x14ac:dyDescent="0.45">
      <c r="A2836" s="22" t="s">
        <v>1868</v>
      </c>
      <c r="B2836"/>
      <c r="G2836"/>
    </row>
    <row r="2837" spans="1:7" x14ac:dyDescent="0.45">
      <c r="A2837" s="21">
        <v>5500</v>
      </c>
      <c r="B2837"/>
      <c r="G2837"/>
    </row>
    <row r="2838" spans="1:7" x14ac:dyDescent="0.45">
      <c r="A2838" s="22" t="s">
        <v>1941</v>
      </c>
      <c r="B2838"/>
      <c r="G2838"/>
    </row>
    <row r="2839" spans="1:7" x14ac:dyDescent="0.45">
      <c r="A2839" s="21">
        <v>1400</v>
      </c>
      <c r="B2839"/>
      <c r="G2839"/>
    </row>
    <row r="2840" spans="1:7" x14ac:dyDescent="0.45">
      <c r="A2840" s="22" t="s">
        <v>6795</v>
      </c>
      <c r="B2840"/>
      <c r="G2840"/>
    </row>
    <row r="2841" spans="1:7" x14ac:dyDescent="0.45">
      <c r="A2841" s="21">
        <v>1000</v>
      </c>
      <c r="B2841"/>
      <c r="G2841"/>
    </row>
    <row r="2842" spans="1:7" x14ac:dyDescent="0.45">
      <c r="A2842" s="22" t="s">
        <v>8080</v>
      </c>
      <c r="B2842"/>
      <c r="G2842"/>
    </row>
    <row r="2843" spans="1:7" x14ac:dyDescent="0.45">
      <c r="A2843" s="19">
        <v>92</v>
      </c>
      <c r="B2843"/>
      <c r="G2843"/>
    </row>
    <row r="2844" spans="1:7" x14ac:dyDescent="0.45">
      <c r="A2844" s="21">
        <v>106000</v>
      </c>
      <c r="B2844"/>
      <c r="G2844"/>
    </row>
    <row r="2845" spans="1:7" x14ac:dyDescent="0.45">
      <c r="A2845" s="22" t="s">
        <v>62</v>
      </c>
      <c r="B2845"/>
      <c r="G2845"/>
    </row>
    <row r="2846" spans="1:7" x14ac:dyDescent="0.45">
      <c r="A2846" s="21">
        <v>17100</v>
      </c>
      <c r="B2846"/>
      <c r="G2846"/>
    </row>
    <row r="2847" spans="1:7" x14ac:dyDescent="0.45">
      <c r="A2847" s="22" t="s">
        <v>550</v>
      </c>
      <c r="B2847"/>
      <c r="G2847"/>
    </row>
    <row r="2848" spans="1:7" x14ac:dyDescent="0.45">
      <c r="A2848" s="21">
        <v>6700</v>
      </c>
      <c r="B2848"/>
      <c r="G2848"/>
    </row>
    <row r="2849" spans="1:7" x14ac:dyDescent="0.45">
      <c r="A2849" s="22" t="s">
        <v>1624</v>
      </c>
      <c r="B2849"/>
      <c r="G2849"/>
    </row>
    <row r="2850" spans="1:7" x14ac:dyDescent="0.45">
      <c r="A2850" s="21">
        <v>6000</v>
      </c>
      <c r="B2850"/>
      <c r="G2850"/>
    </row>
    <row r="2851" spans="1:7" x14ac:dyDescent="0.45">
      <c r="A2851" s="22" t="s">
        <v>1815</v>
      </c>
      <c r="B2851"/>
      <c r="G2851"/>
    </row>
    <row r="2852" spans="1:7" x14ac:dyDescent="0.45">
      <c r="A2852" s="21">
        <v>2900</v>
      </c>
      <c r="B2852"/>
      <c r="G2852"/>
    </row>
    <row r="2853" spans="1:7" x14ac:dyDescent="0.45">
      <c r="A2853" s="22" t="s">
        <v>3789</v>
      </c>
      <c r="B2853"/>
      <c r="G2853"/>
    </row>
    <row r="2854" spans="1:7" x14ac:dyDescent="0.45">
      <c r="A2854" s="21">
        <v>2700</v>
      </c>
      <c r="B2854"/>
      <c r="G2854"/>
    </row>
    <row r="2855" spans="1:7" x14ac:dyDescent="0.45">
      <c r="A2855" s="22" t="s">
        <v>4068</v>
      </c>
      <c r="B2855"/>
      <c r="G2855"/>
    </row>
    <row r="2856" spans="1:7" x14ac:dyDescent="0.45">
      <c r="A2856" s="21">
        <v>2500</v>
      </c>
      <c r="B2856"/>
      <c r="G2856"/>
    </row>
    <row r="2857" spans="1:7" x14ac:dyDescent="0.45">
      <c r="A2857" s="22" t="s">
        <v>4425</v>
      </c>
      <c r="B2857"/>
      <c r="G2857"/>
    </row>
    <row r="2858" spans="1:7" x14ac:dyDescent="0.45">
      <c r="A2858" s="19">
        <v>91</v>
      </c>
      <c r="B2858"/>
      <c r="G2858"/>
    </row>
    <row r="2859" spans="1:7" x14ac:dyDescent="0.45">
      <c r="A2859" s="21">
        <v>8200</v>
      </c>
      <c r="B2859"/>
      <c r="G2859"/>
    </row>
    <row r="2860" spans="1:7" x14ac:dyDescent="0.45">
      <c r="A2860" s="22" t="s">
        <v>1172</v>
      </c>
      <c r="B2860"/>
      <c r="G2860"/>
    </row>
    <row r="2861" spans="1:7" x14ac:dyDescent="0.45">
      <c r="A2861" s="21">
        <v>7300</v>
      </c>
      <c r="B2861"/>
      <c r="G2861"/>
    </row>
    <row r="2862" spans="1:7" x14ac:dyDescent="0.45">
      <c r="A2862" s="22" t="s">
        <v>1375</v>
      </c>
      <c r="B2862"/>
      <c r="G2862"/>
    </row>
    <row r="2863" spans="1:7" x14ac:dyDescent="0.45">
      <c r="A2863" s="21">
        <v>6500</v>
      </c>
      <c r="B2863"/>
      <c r="G2863"/>
    </row>
    <row r="2864" spans="1:7" x14ac:dyDescent="0.45">
      <c r="A2864" s="22" t="s">
        <v>1673</v>
      </c>
      <c r="B2864"/>
      <c r="G2864"/>
    </row>
    <row r="2865" spans="1:7" x14ac:dyDescent="0.45">
      <c r="A2865" s="21">
        <v>4300</v>
      </c>
      <c r="B2865"/>
      <c r="G2865"/>
    </row>
    <row r="2866" spans="1:7" x14ac:dyDescent="0.45">
      <c r="A2866" s="22" t="s">
        <v>2528</v>
      </c>
      <c r="B2866"/>
      <c r="G2866"/>
    </row>
    <row r="2867" spans="1:7" x14ac:dyDescent="0.45">
      <c r="A2867" s="21">
        <v>3900</v>
      </c>
      <c r="B2867"/>
      <c r="G2867"/>
    </row>
    <row r="2868" spans="1:7" x14ac:dyDescent="0.45">
      <c r="A2868" s="22" t="s">
        <v>2797</v>
      </c>
      <c r="B2868"/>
      <c r="G2868"/>
    </row>
    <row r="2869" spans="1:7" x14ac:dyDescent="0.45">
      <c r="A2869" s="21">
        <v>2500</v>
      </c>
      <c r="B2869"/>
      <c r="G2869"/>
    </row>
    <row r="2870" spans="1:7" x14ac:dyDescent="0.45">
      <c r="A2870" s="22" t="s">
        <v>4346</v>
      </c>
      <c r="B2870"/>
      <c r="G2870"/>
    </row>
    <row r="2871" spans="1:7" x14ac:dyDescent="0.45">
      <c r="A2871" s="21">
        <v>2400</v>
      </c>
      <c r="B2871"/>
      <c r="G2871"/>
    </row>
    <row r="2872" spans="1:7" x14ac:dyDescent="0.45">
      <c r="A2872" s="22" t="s">
        <v>4512</v>
      </c>
      <c r="B2872"/>
      <c r="G2872"/>
    </row>
    <row r="2873" spans="1:7" x14ac:dyDescent="0.45">
      <c r="A2873" s="21">
        <v>2300</v>
      </c>
      <c r="B2873"/>
      <c r="G2873"/>
    </row>
    <row r="2874" spans="1:7" x14ac:dyDescent="0.45">
      <c r="A2874" s="22" t="s">
        <v>4614</v>
      </c>
      <c r="B2874"/>
      <c r="G2874"/>
    </row>
    <row r="2875" spans="1:7" x14ac:dyDescent="0.45">
      <c r="A2875" s="21">
        <v>2200</v>
      </c>
      <c r="B2875"/>
      <c r="G2875"/>
    </row>
    <row r="2876" spans="1:7" x14ac:dyDescent="0.45">
      <c r="A2876" s="22" t="s">
        <v>4861</v>
      </c>
      <c r="B2876"/>
      <c r="G2876"/>
    </row>
    <row r="2877" spans="1:7" x14ac:dyDescent="0.45">
      <c r="A2877" s="21">
        <v>2100</v>
      </c>
      <c r="B2877"/>
      <c r="G2877"/>
    </row>
    <row r="2878" spans="1:7" x14ac:dyDescent="0.45">
      <c r="A2878" s="22" t="s">
        <v>4949</v>
      </c>
      <c r="B2878"/>
      <c r="G2878"/>
    </row>
    <row r="2879" spans="1:7" x14ac:dyDescent="0.45">
      <c r="A2879" s="21">
        <v>1900</v>
      </c>
      <c r="B2879"/>
      <c r="G2879"/>
    </row>
    <row r="2880" spans="1:7" x14ac:dyDescent="0.45">
      <c r="A2880" s="22" t="s">
        <v>5528</v>
      </c>
      <c r="B2880"/>
      <c r="G2880"/>
    </row>
    <row r="2881" spans="1:7" x14ac:dyDescent="0.45">
      <c r="A2881" s="19">
        <v>90</v>
      </c>
      <c r="B2881"/>
      <c r="G2881"/>
    </row>
    <row r="2882" spans="1:7" x14ac:dyDescent="0.45">
      <c r="A2882" s="21">
        <v>21000</v>
      </c>
      <c r="B2882"/>
      <c r="G2882"/>
    </row>
    <row r="2883" spans="1:7" x14ac:dyDescent="0.45">
      <c r="A2883" s="22" t="s">
        <v>446</v>
      </c>
      <c r="B2883"/>
      <c r="G2883"/>
    </row>
    <row r="2884" spans="1:7" x14ac:dyDescent="0.45">
      <c r="A2884" s="21">
        <v>17400</v>
      </c>
    </row>
    <row r="2885" spans="1:7" x14ac:dyDescent="0.45">
      <c r="A2885" s="22" t="s">
        <v>539</v>
      </c>
    </row>
    <row r="2886" spans="1:7" x14ac:dyDescent="0.45">
      <c r="A2886" s="21">
        <v>13100</v>
      </c>
    </row>
    <row r="2887" spans="1:7" x14ac:dyDescent="0.45">
      <c r="A2887" s="22" t="s">
        <v>723</v>
      </c>
    </row>
    <row r="2888" spans="1:7" x14ac:dyDescent="0.45">
      <c r="A2888" s="21">
        <v>6400</v>
      </c>
    </row>
    <row r="2889" spans="1:7" x14ac:dyDescent="0.45">
      <c r="A2889" s="22" t="s">
        <v>1711</v>
      </c>
    </row>
    <row r="2890" spans="1:7" x14ac:dyDescent="0.45">
      <c r="A2890" s="21">
        <v>5100</v>
      </c>
    </row>
    <row r="2891" spans="1:7" x14ac:dyDescent="0.45">
      <c r="A2891" s="22" t="s">
        <v>2124</v>
      </c>
    </row>
    <row r="2892" spans="1:7" x14ac:dyDescent="0.45">
      <c r="A2892" s="21">
        <v>4300</v>
      </c>
    </row>
    <row r="2893" spans="1:7" x14ac:dyDescent="0.45">
      <c r="A2893" s="22" t="s">
        <v>2532</v>
      </c>
    </row>
    <row r="2894" spans="1:7" x14ac:dyDescent="0.45">
      <c r="A2894" s="21">
        <v>4000</v>
      </c>
    </row>
    <row r="2895" spans="1:7" x14ac:dyDescent="0.45">
      <c r="A2895" s="22" t="s">
        <v>2762</v>
      </c>
    </row>
    <row r="2896" spans="1:7" x14ac:dyDescent="0.45">
      <c r="A2896" s="21">
        <v>3500</v>
      </c>
    </row>
    <row r="2897" spans="1:1" x14ac:dyDescent="0.45">
      <c r="A2897" s="22" t="s">
        <v>3151</v>
      </c>
    </row>
    <row r="2898" spans="1:1" x14ac:dyDescent="0.45">
      <c r="A2898" s="21">
        <v>3100</v>
      </c>
    </row>
    <row r="2899" spans="1:1" x14ac:dyDescent="0.45">
      <c r="A2899" s="22" t="s">
        <v>3563</v>
      </c>
    </row>
    <row r="2900" spans="1:1" x14ac:dyDescent="0.45">
      <c r="A2900" s="21">
        <v>3000</v>
      </c>
    </row>
    <row r="2901" spans="1:1" x14ac:dyDescent="0.45">
      <c r="A2901" s="22" t="s">
        <v>3637</v>
      </c>
    </row>
    <row r="2902" spans="1:1" x14ac:dyDescent="0.45">
      <c r="A2902" s="21">
        <v>2900</v>
      </c>
    </row>
    <row r="2903" spans="1:1" x14ac:dyDescent="0.45">
      <c r="A2903" s="22" t="s">
        <v>3834</v>
      </c>
    </row>
    <row r="2904" spans="1:1" x14ac:dyDescent="0.45">
      <c r="A2904" s="21">
        <v>2800</v>
      </c>
    </row>
    <row r="2905" spans="1:1" x14ac:dyDescent="0.45">
      <c r="A2905" s="22" t="s">
        <v>3909</v>
      </c>
    </row>
    <row r="2906" spans="1:1" x14ac:dyDescent="0.45">
      <c r="A2906" s="21">
        <v>1900</v>
      </c>
    </row>
    <row r="2907" spans="1:1" x14ac:dyDescent="0.45">
      <c r="A2907" s="22" t="s">
        <v>5399</v>
      </c>
    </row>
    <row r="2908" spans="1:1" x14ac:dyDescent="0.45">
      <c r="A2908" s="22" t="s">
        <v>5517</v>
      </c>
    </row>
    <row r="2909" spans="1:1" x14ac:dyDescent="0.45">
      <c r="A2909" s="21">
        <v>1700</v>
      </c>
    </row>
    <row r="2910" spans="1:1" x14ac:dyDescent="0.45">
      <c r="A2910" s="22" t="s">
        <v>5846</v>
      </c>
    </row>
    <row r="2911" spans="1:1" x14ac:dyDescent="0.45">
      <c r="A2911" s="21">
        <v>1500</v>
      </c>
    </row>
    <row r="2912" spans="1:1" x14ac:dyDescent="0.45">
      <c r="A2912" s="22" t="s">
        <v>6421</v>
      </c>
    </row>
    <row r="2913" spans="1:1" x14ac:dyDescent="0.45">
      <c r="A2913" s="21">
        <v>1400</v>
      </c>
    </row>
    <row r="2914" spans="1:1" x14ac:dyDescent="0.45">
      <c r="A2914" s="22" t="s">
        <v>6741</v>
      </c>
    </row>
    <row r="2915" spans="1:1" x14ac:dyDescent="0.45">
      <c r="A2915" s="21">
        <v>1300</v>
      </c>
    </row>
    <row r="2916" spans="1:1" x14ac:dyDescent="0.45">
      <c r="A2916" s="22" t="s">
        <v>6922</v>
      </c>
    </row>
    <row r="2917" spans="1:1" x14ac:dyDescent="0.45">
      <c r="A2917" s="21">
        <v>1200</v>
      </c>
    </row>
    <row r="2918" spans="1:1" x14ac:dyDescent="0.45">
      <c r="A2918" s="22" t="s">
        <v>7453</v>
      </c>
    </row>
    <row r="2919" spans="1:1" x14ac:dyDescent="0.45">
      <c r="A2919" s="19">
        <v>89</v>
      </c>
    </row>
    <row r="2920" spans="1:1" x14ac:dyDescent="0.45">
      <c r="A2920" s="21">
        <v>7600</v>
      </c>
    </row>
    <row r="2921" spans="1:1" x14ac:dyDescent="0.45">
      <c r="A2921" s="22" t="s">
        <v>1306</v>
      </c>
    </row>
    <row r="2922" spans="1:1" x14ac:dyDescent="0.45">
      <c r="A2922" s="21">
        <v>6900</v>
      </c>
    </row>
    <row r="2923" spans="1:1" x14ac:dyDescent="0.45">
      <c r="A2923" s="22" t="s">
        <v>1507</v>
      </c>
    </row>
    <row r="2924" spans="1:1" x14ac:dyDescent="0.45">
      <c r="A2924" s="21">
        <v>6200</v>
      </c>
    </row>
    <row r="2925" spans="1:1" x14ac:dyDescent="0.45">
      <c r="A2925" s="22" t="s">
        <v>1747</v>
      </c>
    </row>
    <row r="2926" spans="1:1" x14ac:dyDescent="0.45">
      <c r="A2926" s="21">
        <v>4400</v>
      </c>
    </row>
    <row r="2927" spans="1:1" x14ac:dyDescent="0.45">
      <c r="A2927" s="22" t="s">
        <v>2467</v>
      </c>
    </row>
    <row r="2928" spans="1:1" x14ac:dyDescent="0.45">
      <c r="A2928" s="21">
        <v>2900</v>
      </c>
    </row>
    <row r="2929" spans="1:1" x14ac:dyDescent="0.45">
      <c r="A2929" s="22" t="s">
        <v>3836</v>
      </c>
    </row>
    <row r="2930" spans="1:1" x14ac:dyDescent="0.45">
      <c r="A2930" s="21">
        <v>2300</v>
      </c>
    </row>
    <row r="2931" spans="1:1" x14ac:dyDescent="0.45">
      <c r="A2931" s="22" t="s">
        <v>4707</v>
      </c>
    </row>
    <row r="2932" spans="1:1" x14ac:dyDescent="0.45">
      <c r="A2932" s="21">
        <v>2100</v>
      </c>
    </row>
    <row r="2933" spans="1:1" x14ac:dyDescent="0.45">
      <c r="A2933" s="22" t="s">
        <v>4991</v>
      </c>
    </row>
    <row r="2934" spans="1:1" x14ac:dyDescent="0.45">
      <c r="A2934" s="21">
        <v>1900</v>
      </c>
    </row>
    <row r="2935" spans="1:1" x14ac:dyDescent="0.45">
      <c r="A2935" s="22" t="s">
        <v>5462</v>
      </c>
    </row>
    <row r="2936" spans="1:1" x14ac:dyDescent="0.45">
      <c r="A2936" s="21">
        <v>1700</v>
      </c>
    </row>
    <row r="2937" spans="1:1" x14ac:dyDescent="0.45">
      <c r="A2937" s="22" t="s">
        <v>5949</v>
      </c>
    </row>
    <row r="2938" spans="1:1" x14ac:dyDescent="0.45">
      <c r="A2938" s="21">
        <v>1600</v>
      </c>
    </row>
    <row r="2939" spans="1:1" x14ac:dyDescent="0.45">
      <c r="A2939" s="22" t="s">
        <v>6026</v>
      </c>
    </row>
    <row r="2940" spans="1:1" x14ac:dyDescent="0.45">
      <c r="A2940" s="22" t="s">
        <v>6096</v>
      </c>
    </row>
    <row r="2941" spans="1:1" x14ac:dyDescent="0.45">
      <c r="A2941" s="21">
        <v>1300</v>
      </c>
    </row>
    <row r="2942" spans="1:1" x14ac:dyDescent="0.45">
      <c r="A2942" s="22" t="s">
        <v>7187</v>
      </c>
    </row>
    <row r="2943" spans="1:1" x14ac:dyDescent="0.45">
      <c r="A2943" s="19">
        <v>88</v>
      </c>
    </row>
    <row r="2944" spans="1:1" x14ac:dyDescent="0.45">
      <c r="A2944" s="21">
        <v>11100</v>
      </c>
    </row>
    <row r="2945" spans="1:1" x14ac:dyDescent="0.45">
      <c r="A2945" s="22" t="s">
        <v>801</v>
      </c>
    </row>
    <row r="2946" spans="1:1" x14ac:dyDescent="0.45">
      <c r="A2946" s="21">
        <v>6400</v>
      </c>
    </row>
    <row r="2947" spans="1:1" x14ac:dyDescent="0.45">
      <c r="A2947" s="22" t="s">
        <v>1716</v>
      </c>
    </row>
    <row r="2948" spans="1:1" x14ac:dyDescent="0.45">
      <c r="A2948" s="21">
        <v>6000</v>
      </c>
    </row>
    <row r="2949" spans="1:1" x14ac:dyDescent="0.45">
      <c r="A2949" s="22" t="s">
        <v>1808</v>
      </c>
    </row>
    <row r="2950" spans="1:1" x14ac:dyDescent="0.45">
      <c r="A2950" s="21">
        <v>5700</v>
      </c>
    </row>
    <row r="2951" spans="1:1" x14ac:dyDescent="0.45">
      <c r="A2951" s="22" t="s">
        <v>1860</v>
      </c>
    </row>
    <row r="2952" spans="1:1" x14ac:dyDescent="0.45">
      <c r="A2952" s="21">
        <v>5100</v>
      </c>
    </row>
    <row r="2953" spans="1:1" x14ac:dyDescent="0.45">
      <c r="A2953" s="22" t="s">
        <v>2150</v>
      </c>
    </row>
    <row r="2954" spans="1:1" x14ac:dyDescent="0.45">
      <c r="A2954" s="21">
        <v>4700</v>
      </c>
    </row>
    <row r="2955" spans="1:1" x14ac:dyDescent="0.45">
      <c r="A2955" s="22" t="s">
        <v>2315</v>
      </c>
    </row>
    <row r="2956" spans="1:1" x14ac:dyDescent="0.45">
      <c r="A2956" s="21">
        <v>4400</v>
      </c>
    </row>
    <row r="2957" spans="1:1" x14ac:dyDescent="0.45">
      <c r="A2957" s="22" t="s">
        <v>2471</v>
      </c>
    </row>
    <row r="2958" spans="1:1" x14ac:dyDescent="0.45">
      <c r="A2958" s="21">
        <v>4100</v>
      </c>
    </row>
    <row r="2959" spans="1:1" x14ac:dyDescent="0.45">
      <c r="A2959" s="22" t="s">
        <v>2697</v>
      </c>
    </row>
    <row r="2960" spans="1:1" x14ac:dyDescent="0.45">
      <c r="A2960" s="21">
        <v>3700</v>
      </c>
    </row>
    <row r="2961" spans="1:1" x14ac:dyDescent="0.45">
      <c r="A2961" s="22" t="s">
        <v>2973</v>
      </c>
    </row>
    <row r="2962" spans="1:1" x14ac:dyDescent="0.45">
      <c r="A2962" s="21">
        <v>3500</v>
      </c>
    </row>
    <row r="2963" spans="1:1" x14ac:dyDescent="0.45">
      <c r="A2963" s="22" t="s">
        <v>3154</v>
      </c>
    </row>
    <row r="2964" spans="1:1" x14ac:dyDescent="0.45">
      <c r="A2964" s="21">
        <v>3400</v>
      </c>
    </row>
    <row r="2965" spans="1:1" x14ac:dyDescent="0.45">
      <c r="A2965" s="22" t="s">
        <v>3259</v>
      </c>
    </row>
    <row r="2966" spans="1:1" x14ac:dyDescent="0.45">
      <c r="A2966" s="21">
        <v>3300</v>
      </c>
    </row>
    <row r="2967" spans="1:1" x14ac:dyDescent="0.45">
      <c r="A2967" s="22" t="s">
        <v>3311</v>
      </c>
    </row>
    <row r="2968" spans="1:1" x14ac:dyDescent="0.45">
      <c r="A2968" s="22" t="s">
        <v>3343</v>
      </c>
    </row>
    <row r="2969" spans="1:1" x14ac:dyDescent="0.45">
      <c r="A2969" s="21">
        <v>2500</v>
      </c>
    </row>
    <row r="2970" spans="1:1" x14ac:dyDescent="0.45">
      <c r="A2970" s="22" t="s">
        <v>4478</v>
      </c>
    </row>
    <row r="2971" spans="1:1" x14ac:dyDescent="0.45">
      <c r="A2971" s="21">
        <v>2400</v>
      </c>
    </row>
    <row r="2972" spans="1:1" x14ac:dyDescent="0.45">
      <c r="A2972" s="22" t="s">
        <v>4576</v>
      </c>
    </row>
    <row r="2973" spans="1:1" x14ac:dyDescent="0.45">
      <c r="A2973" s="22" t="s">
        <v>4525</v>
      </c>
    </row>
    <row r="2974" spans="1:1" x14ac:dyDescent="0.45">
      <c r="A2974" s="21">
        <v>2300</v>
      </c>
    </row>
    <row r="2975" spans="1:1" x14ac:dyDescent="0.45">
      <c r="A2975" s="22" t="s">
        <v>4665</v>
      </c>
    </row>
    <row r="2976" spans="1:1" x14ac:dyDescent="0.45">
      <c r="A2976" s="21">
        <v>2000</v>
      </c>
    </row>
    <row r="2977" spans="1:1" x14ac:dyDescent="0.45">
      <c r="A2977" s="22" t="s">
        <v>5198</v>
      </c>
    </row>
    <row r="2978" spans="1:1" x14ac:dyDescent="0.45">
      <c r="A2978" s="21">
        <v>1900</v>
      </c>
    </row>
    <row r="2979" spans="1:1" x14ac:dyDescent="0.45">
      <c r="A2979" s="22" t="s">
        <v>5535</v>
      </c>
    </row>
    <row r="2980" spans="1:1" x14ac:dyDescent="0.45">
      <c r="A2980" s="21">
        <v>1600</v>
      </c>
    </row>
    <row r="2981" spans="1:1" x14ac:dyDescent="0.45">
      <c r="A2981" s="22" t="s">
        <v>6086</v>
      </c>
    </row>
    <row r="2982" spans="1:1" x14ac:dyDescent="0.45">
      <c r="A2982" s="21">
        <v>1500</v>
      </c>
    </row>
    <row r="2983" spans="1:1" x14ac:dyDescent="0.45">
      <c r="A2983" s="22" t="s">
        <v>6436</v>
      </c>
    </row>
    <row r="2984" spans="1:1" x14ac:dyDescent="0.45">
      <c r="A2984" s="21">
        <v>1100</v>
      </c>
    </row>
    <row r="2985" spans="1:1" x14ac:dyDescent="0.45">
      <c r="A2985" s="22" t="s">
        <v>7766</v>
      </c>
    </row>
    <row r="2986" spans="1:1" x14ac:dyDescent="0.45">
      <c r="A2986" s="22" t="s">
        <v>7692</v>
      </c>
    </row>
    <row r="2987" spans="1:1" x14ac:dyDescent="0.45">
      <c r="A2987" s="19">
        <v>87</v>
      </c>
    </row>
    <row r="2988" spans="1:1" x14ac:dyDescent="0.45">
      <c r="A2988" s="21">
        <v>77300</v>
      </c>
    </row>
    <row r="2989" spans="1:1" x14ac:dyDescent="0.45">
      <c r="A2989" s="22" t="s">
        <v>116</v>
      </c>
    </row>
    <row r="2990" spans="1:1" x14ac:dyDescent="0.45">
      <c r="A2990" s="21">
        <v>59000</v>
      </c>
    </row>
    <row r="2991" spans="1:1" x14ac:dyDescent="0.45">
      <c r="A2991" s="22" t="s">
        <v>139</v>
      </c>
    </row>
    <row r="2992" spans="1:1" x14ac:dyDescent="0.45">
      <c r="A2992" s="21">
        <v>38300</v>
      </c>
    </row>
    <row r="2993" spans="1:1" x14ac:dyDescent="0.45">
      <c r="A2993" s="22" t="s">
        <v>223</v>
      </c>
    </row>
    <row r="2994" spans="1:1" x14ac:dyDescent="0.45">
      <c r="A2994" s="21">
        <v>29700</v>
      </c>
    </row>
    <row r="2995" spans="1:1" x14ac:dyDescent="0.45">
      <c r="A2995" s="22" t="s">
        <v>297</v>
      </c>
    </row>
    <row r="2996" spans="1:1" x14ac:dyDescent="0.45">
      <c r="A2996" s="21">
        <v>17500</v>
      </c>
    </row>
    <row r="2997" spans="1:1" x14ac:dyDescent="0.45">
      <c r="A2997" s="22" t="s">
        <v>530</v>
      </c>
    </row>
    <row r="2998" spans="1:1" x14ac:dyDescent="0.45">
      <c r="A2998" s="21">
        <v>6900</v>
      </c>
    </row>
    <row r="2999" spans="1:1" x14ac:dyDescent="0.45">
      <c r="A2999" s="22" t="s">
        <v>1503</v>
      </c>
    </row>
    <row r="3000" spans="1:1" x14ac:dyDescent="0.45">
      <c r="A3000" s="21">
        <v>5600</v>
      </c>
    </row>
    <row r="3001" spans="1:1" x14ac:dyDescent="0.45">
      <c r="A3001" s="22" t="s">
        <v>1901</v>
      </c>
    </row>
    <row r="3002" spans="1:1" x14ac:dyDescent="0.45">
      <c r="A3002" s="21">
        <v>4200</v>
      </c>
    </row>
    <row r="3003" spans="1:1" x14ac:dyDescent="0.45">
      <c r="A3003" s="22" t="s">
        <v>2593</v>
      </c>
    </row>
    <row r="3004" spans="1:1" x14ac:dyDescent="0.45">
      <c r="A3004" s="21">
        <v>4100</v>
      </c>
    </row>
    <row r="3005" spans="1:1" x14ac:dyDescent="0.45">
      <c r="A3005" s="22" t="s">
        <v>2648</v>
      </c>
    </row>
    <row r="3006" spans="1:1" x14ac:dyDescent="0.45">
      <c r="A3006" s="21">
        <v>3800</v>
      </c>
    </row>
    <row r="3007" spans="1:1" x14ac:dyDescent="0.45">
      <c r="A3007" s="22" t="s">
        <v>2898</v>
      </c>
    </row>
    <row r="3008" spans="1:1" x14ac:dyDescent="0.45">
      <c r="A3008" s="21">
        <v>3500</v>
      </c>
    </row>
    <row r="3009" spans="1:1" x14ac:dyDescent="0.45">
      <c r="A3009" s="22" t="s">
        <v>3100</v>
      </c>
    </row>
    <row r="3010" spans="1:1" x14ac:dyDescent="0.45">
      <c r="A3010" s="21">
        <v>3200</v>
      </c>
    </row>
    <row r="3011" spans="1:1" x14ac:dyDescent="0.45">
      <c r="A3011" s="22" t="s">
        <v>3378</v>
      </c>
    </row>
    <row r="3012" spans="1:1" x14ac:dyDescent="0.45">
      <c r="A3012" s="22" t="s">
        <v>3517</v>
      </c>
    </row>
    <row r="3013" spans="1:1" x14ac:dyDescent="0.45">
      <c r="A3013" s="21">
        <v>2900</v>
      </c>
    </row>
    <row r="3014" spans="1:1" x14ac:dyDescent="0.45">
      <c r="A3014" s="22" t="s">
        <v>3844</v>
      </c>
    </row>
    <row r="3015" spans="1:1" x14ac:dyDescent="0.45">
      <c r="A3015" s="22" t="s">
        <v>3832</v>
      </c>
    </row>
    <row r="3016" spans="1:1" x14ac:dyDescent="0.45">
      <c r="A3016" s="21">
        <v>2300</v>
      </c>
    </row>
    <row r="3017" spans="1:1" x14ac:dyDescent="0.45">
      <c r="A3017" s="22" t="s">
        <v>4747</v>
      </c>
    </row>
    <row r="3018" spans="1:1" x14ac:dyDescent="0.45">
      <c r="A3018" s="21">
        <v>2200</v>
      </c>
    </row>
    <row r="3019" spans="1:1" x14ac:dyDescent="0.45">
      <c r="A3019" s="22" t="s">
        <v>4864</v>
      </c>
    </row>
    <row r="3020" spans="1:1" x14ac:dyDescent="0.45">
      <c r="A3020" s="21">
        <v>2000</v>
      </c>
    </row>
    <row r="3021" spans="1:1" x14ac:dyDescent="0.45">
      <c r="A3021" s="22" t="s">
        <v>5280</v>
      </c>
    </row>
    <row r="3022" spans="1:1" x14ac:dyDescent="0.45">
      <c r="A3022" s="21">
        <v>1900</v>
      </c>
    </row>
    <row r="3023" spans="1:1" x14ac:dyDescent="0.45">
      <c r="A3023" s="22" t="s">
        <v>5347</v>
      </c>
    </row>
    <row r="3024" spans="1:1" x14ac:dyDescent="0.45">
      <c r="A3024" s="21">
        <v>1700</v>
      </c>
    </row>
    <row r="3025" spans="1:1" x14ac:dyDescent="0.45">
      <c r="A3025" s="22" t="s">
        <v>5876</v>
      </c>
    </row>
    <row r="3026" spans="1:1" x14ac:dyDescent="0.45">
      <c r="A3026" s="22" t="s">
        <v>5938</v>
      </c>
    </row>
    <row r="3027" spans="1:1" x14ac:dyDescent="0.45">
      <c r="A3027" s="21">
        <v>1600</v>
      </c>
    </row>
    <row r="3028" spans="1:1" x14ac:dyDescent="0.45">
      <c r="A3028" s="22" t="s">
        <v>6035</v>
      </c>
    </row>
    <row r="3029" spans="1:1" x14ac:dyDescent="0.45">
      <c r="A3029" s="21">
        <v>1500</v>
      </c>
    </row>
    <row r="3030" spans="1:1" x14ac:dyDescent="0.45">
      <c r="A3030" s="22" t="s">
        <v>6353</v>
      </c>
    </row>
    <row r="3031" spans="1:1" x14ac:dyDescent="0.45">
      <c r="A3031" s="22" t="s">
        <v>6576</v>
      </c>
    </row>
    <row r="3032" spans="1:1" x14ac:dyDescent="0.45">
      <c r="A3032" s="21">
        <v>1300</v>
      </c>
    </row>
    <row r="3033" spans="1:1" x14ac:dyDescent="0.45">
      <c r="A3033" s="22" t="s">
        <v>7120</v>
      </c>
    </row>
    <row r="3034" spans="1:1" x14ac:dyDescent="0.45">
      <c r="A3034" s="22" t="s">
        <v>6988</v>
      </c>
    </row>
    <row r="3035" spans="1:1" x14ac:dyDescent="0.45">
      <c r="A3035" s="21">
        <v>1200</v>
      </c>
    </row>
    <row r="3036" spans="1:1" x14ac:dyDescent="0.45">
      <c r="A3036" s="22" t="s">
        <v>7560</v>
      </c>
    </row>
    <row r="3037" spans="1:1" x14ac:dyDescent="0.45">
      <c r="A3037" s="21">
        <v>1100</v>
      </c>
    </row>
    <row r="3038" spans="1:1" x14ac:dyDescent="0.45">
      <c r="A3038" s="22" t="s">
        <v>7791</v>
      </c>
    </row>
    <row r="3039" spans="1:1" x14ac:dyDescent="0.45">
      <c r="A3039" s="22" t="s">
        <v>7686</v>
      </c>
    </row>
    <row r="3040" spans="1:1" x14ac:dyDescent="0.45">
      <c r="A3040" s="19">
        <v>86</v>
      </c>
    </row>
    <row r="3041" spans="1:1" x14ac:dyDescent="0.45">
      <c r="A3041" s="21">
        <v>40100</v>
      </c>
    </row>
    <row r="3042" spans="1:1" x14ac:dyDescent="0.45">
      <c r="A3042" s="22" t="s">
        <v>199</v>
      </c>
    </row>
    <row r="3043" spans="1:1" x14ac:dyDescent="0.45">
      <c r="A3043" s="21">
        <v>6800</v>
      </c>
    </row>
    <row r="3044" spans="1:1" x14ac:dyDescent="0.45">
      <c r="A3044" s="22" t="s">
        <v>1535</v>
      </c>
    </row>
    <row r="3045" spans="1:1" x14ac:dyDescent="0.45">
      <c r="A3045" s="21">
        <v>6000</v>
      </c>
    </row>
    <row r="3046" spans="1:1" x14ac:dyDescent="0.45">
      <c r="A3046" s="22" t="s">
        <v>1811</v>
      </c>
    </row>
    <row r="3047" spans="1:1" x14ac:dyDescent="0.45">
      <c r="A3047" s="21">
        <v>5300</v>
      </c>
    </row>
    <row r="3048" spans="1:1" x14ac:dyDescent="0.45">
      <c r="A3048" s="22" t="s">
        <v>2055</v>
      </c>
    </row>
    <row r="3049" spans="1:1" x14ac:dyDescent="0.45">
      <c r="A3049" s="21">
        <v>5000</v>
      </c>
    </row>
    <row r="3050" spans="1:1" x14ac:dyDescent="0.45">
      <c r="A3050" s="22" t="s">
        <v>2193</v>
      </c>
    </row>
    <row r="3051" spans="1:1" x14ac:dyDescent="0.45">
      <c r="A3051" s="21">
        <v>4900</v>
      </c>
    </row>
    <row r="3052" spans="1:1" x14ac:dyDescent="0.45">
      <c r="A3052" s="22" t="s">
        <v>2253</v>
      </c>
    </row>
    <row r="3053" spans="1:1" x14ac:dyDescent="0.45">
      <c r="A3053" s="21">
        <v>3400</v>
      </c>
    </row>
    <row r="3054" spans="1:1" x14ac:dyDescent="0.45">
      <c r="A3054" s="22" t="s">
        <v>3232</v>
      </c>
    </row>
    <row r="3055" spans="1:1" x14ac:dyDescent="0.45">
      <c r="A3055" s="21">
        <v>3200</v>
      </c>
    </row>
    <row r="3056" spans="1:1" x14ac:dyDescent="0.45">
      <c r="A3056" s="22" t="s">
        <v>3399</v>
      </c>
    </row>
    <row r="3057" spans="1:1" x14ac:dyDescent="0.45">
      <c r="A3057" s="22" t="s">
        <v>3459</v>
      </c>
    </row>
    <row r="3058" spans="1:1" x14ac:dyDescent="0.45">
      <c r="A3058" s="21">
        <v>3000</v>
      </c>
    </row>
    <row r="3059" spans="1:1" x14ac:dyDescent="0.45">
      <c r="A3059" s="22" t="s">
        <v>3729</v>
      </c>
    </row>
    <row r="3060" spans="1:1" x14ac:dyDescent="0.45">
      <c r="A3060" s="21">
        <v>2800</v>
      </c>
    </row>
    <row r="3061" spans="1:1" x14ac:dyDescent="0.45">
      <c r="A3061" s="22" t="s">
        <v>3947</v>
      </c>
    </row>
    <row r="3062" spans="1:1" x14ac:dyDescent="0.45">
      <c r="A3062" s="22" t="s">
        <v>3935</v>
      </c>
    </row>
    <row r="3063" spans="1:1" x14ac:dyDescent="0.45">
      <c r="A3063" s="21">
        <v>2400</v>
      </c>
    </row>
    <row r="3064" spans="1:1" x14ac:dyDescent="0.45">
      <c r="A3064" s="22" t="s">
        <v>4506</v>
      </c>
    </row>
    <row r="3065" spans="1:1" x14ac:dyDescent="0.45">
      <c r="A3065" s="21">
        <v>2200</v>
      </c>
    </row>
    <row r="3066" spans="1:1" x14ac:dyDescent="0.45">
      <c r="A3066" s="22" t="s">
        <v>4750</v>
      </c>
    </row>
    <row r="3067" spans="1:1" x14ac:dyDescent="0.45">
      <c r="A3067" s="21">
        <v>2100</v>
      </c>
    </row>
    <row r="3068" spans="1:1" x14ac:dyDescent="0.45">
      <c r="A3068" s="22" t="s">
        <v>4955</v>
      </c>
    </row>
    <row r="3069" spans="1:1" x14ac:dyDescent="0.45">
      <c r="A3069" s="21">
        <v>1800</v>
      </c>
    </row>
    <row r="3070" spans="1:1" x14ac:dyDescent="0.45">
      <c r="A3070" s="22" t="s">
        <v>5609</v>
      </c>
    </row>
    <row r="3071" spans="1:1" x14ac:dyDescent="0.45">
      <c r="A3071" s="22" t="s">
        <v>5619</v>
      </c>
    </row>
    <row r="3072" spans="1:1" x14ac:dyDescent="0.45">
      <c r="A3072" s="21">
        <v>1300</v>
      </c>
    </row>
    <row r="3073" spans="1:1" x14ac:dyDescent="0.45">
      <c r="A3073" s="22" t="s">
        <v>6968</v>
      </c>
    </row>
    <row r="3074" spans="1:1" x14ac:dyDescent="0.45">
      <c r="A3074" s="21">
        <v>1200</v>
      </c>
    </row>
    <row r="3075" spans="1:1" x14ac:dyDescent="0.45">
      <c r="A3075" s="22" t="s">
        <v>7372</v>
      </c>
    </row>
    <row r="3076" spans="1:1" x14ac:dyDescent="0.45">
      <c r="A3076" s="22" t="s">
        <v>7258</v>
      </c>
    </row>
    <row r="3077" spans="1:1" x14ac:dyDescent="0.45">
      <c r="A3077" s="19">
        <v>85</v>
      </c>
    </row>
    <row r="3078" spans="1:1" x14ac:dyDescent="0.45">
      <c r="A3078" s="21">
        <v>45100</v>
      </c>
    </row>
    <row r="3079" spans="1:1" x14ac:dyDescent="0.45">
      <c r="A3079" s="22" t="s">
        <v>180</v>
      </c>
    </row>
    <row r="3080" spans="1:1" x14ac:dyDescent="0.45">
      <c r="A3080" s="21">
        <v>39100</v>
      </c>
    </row>
    <row r="3081" spans="1:1" x14ac:dyDescent="0.45">
      <c r="A3081" s="22" t="s">
        <v>204</v>
      </c>
    </row>
    <row r="3082" spans="1:1" x14ac:dyDescent="0.45">
      <c r="A3082" s="21">
        <v>10900</v>
      </c>
    </row>
    <row r="3083" spans="1:1" x14ac:dyDescent="0.45">
      <c r="A3083" s="22" t="s">
        <v>821</v>
      </c>
    </row>
    <row r="3084" spans="1:1" x14ac:dyDescent="0.45">
      <c r="A3084" s="21">
        <v>10000</v>
      </c>
    </row>
    <row r="3085" spans="1:1" x14ac:dyDescent="0.45">
      <c r="A3085" s="22" t="s">
        <v>896</v>
      </c>
    </row>
    <row r="3086" spans="1:1" x14ac:dyDescent="0.45">
      <c r="A3086" s="21">
        <v>9200</v>
      </c>
    </row>
    <row r="3087" spans="1:1" x14ac:dyDescent="0.45">
      <c r="A3087" s="22" t="s">
        <v>1021</v>
      </c>
    </row>
    <row r="3088" spans="1:1" x14ac:dyDescent="0.45">
      <c r="A3088" s="21">
        <v>8000</v>
      </c>
    </row>
    <row r="3089" spans="1:1" x14ac:dyDescent="0.45">
      <c r="A3089" s="22" t="s">
        <v>1208</v>
      </c>
    </row>
    <row r="3090" spans="1:1" x14ac:dyDescent="0.45">
      <c r="A3090" s="21">
        <v>7600</v>
      </c>
    </row>
    <row r="3091" spans="1:1" x14ac:dyDescent="0.45">
      <c r="A3091" s="22" t="s">
        <v>1319</v>
      </c>
    </row>
    <row r="3092" spans="1:1" x14ac:dyDescent="0.45">
      <c r="A3092" s="21">
        <v>7500</v>
      </c>
    </row>
    <row r="3093" spans="1:1" x14ac:dyDescent="0.45">
      <c r="A3093" s="22" t="s">
        <v>1330</v>
      </c>
    </row>
    <row r="3094" spans="1:1" x14ac:dyDescent="0.45">
      <c r="A3094" s="21">
        <v>6300</v>
      </c>
    </row>
    <row r="3095" spans="1:1" x14ac:dyDescent="0.45">
      <c r="A3095" s="22" t="s">
        <v>1729</v>
      </c>
    </row>
    <row r="3096" spans="1:1" x14ac:dyDescent="0.45">
      <c r="A3096" s="21">
        <v>6200</v>
      </c>
    </row>
    <row r="3097" spans="1:1" x14ac:dyDescent="0.45">
      <c r="A3097" s="22" t="s">
        <v>1744</v>
      </c>
    </row>
    <row r="3098" spans="1:1" x14ac:dyDescent="0.45">
      <c r="A3098" s="21">
        <v>6000</v>
      </c>
    </row>
    <row r="3099" spans="1:1" x14ac:dyDescent="0.45">
      <c r="A3099" s="22" t="s">
        <v>1823</v>
      </c>
    </row>
    <row r="3100" spans="1:1" x14ac:dyDescent="0.45">
      <c r="A3100" s="22" t="s">
        <v>1793</v>
      </c>
    </row>
    <row r="3101" spans="1:1" x14ac:dyDescent="0.45">
      <c r="A3101" s="21">
        <v>5200</v>
      </c>
    </row>
    <row r="3102" spans="1:1" x14ac:dyDescent="0.45">
      <c r="A3102" s="22" t="s">
        <v>2094</v>
      </c>
    </row>
    <row r="3103" spans="1:1" x14ac:dyDescent="0.45">
      <c r="A3103" s="21">
        <v>3900</v>
      </c>
    </row>
    <row r="3104" spans="1:1" x14ac:dyDescent="0.45">
      <c r="A3104" s="22" t="s">
        <v>2803</v>
      </c>
    </row>
    <row r="3105" spans="1:1" x14ac:dyDescent="0.45">
      <c r="A3105" s="21">
        <v>3200</v>
      </c>
    </row>
    <row r="3106" spans="1:1" x14ac:dyDescent="0.45">
      <c r="A3106" s="22" t="s">
        <v>3374</v>
      </c>
    </row>
    <row r="3107" spans="1:1" x14ac:dyDescent="0.45">
      <c r="A3107" s="22" t="s">
        <v>3416</v>
      </c>
    </row>
    <row r="3108" spans="1:1" x14ac:dyDescent="0.45">
      <c r="A3108" s="21">
        <v>3100</v>
      </c>
    </row>
    <row r="3109" spans="1:1" x14ac:dyDescent="0.45">
      <c r="A3109" s="22" t="s">
        <v>3536</v>
      </c>
    </row>
    <row r="3110" spans="1:1" x14ac:dyDescent="0.45">
      <c r="A3110" s="21">
        <v>3000</v>
      </c>
    </row>
    <row r="3111" spans="1:1" x14ac:dyDescent="0.45">
      <c r="A3111" s="22" t="s">
        <v>3634</v>
      </c>
    </row>
    <row r="3112" spans="1:1" x14ac:dyDescent="0.45">
      <c r="A3112" s="21">
        <v>2900</v>
      </c>
    </row>
    <row r="3113" spans="1:1" x14ac:dyDescent="0.45">
      <c r="A3113" s="22" t="s">
        <v>3868</v>
      </c>
    </row>
    <row r="3114" spans="1:1" x14ac:dyDescent="0.45">
      <c r="A3114" s="21">
        <v>2800</v>
      </c>
    </row>
    <row r="3115" spans="1:1" x14ac:dyDescent="0.45">
      <c r="A3115" s="22" t="s">
        <v>3984</v>
      </c>
    </row>
    <row r="3116" spans="1:1" x14ac:dyDescent="0.45">
      <c r="A3116" s="21">
        <v>2600</v>
      </c>
    </row>
    <row r="3117" spans="1:1" x14ac:dyDescent="0.45">
      <c r="A3117" s="22" t="s">
        <v>4226</v>
      </c>
    </row>
    <row r="3118" spans="1:1" x14ac:dyDescent="0.45">
      <c r="A3118" s="21">
        <v>2500</v>
      </c>
    </row>
    <row r="3119" spans="1:1" x14ac:dyDescent="0.45">
      <c r="A3119" s="22" t="s">
        <v>4348</v>
      </c>
    </row>
    <row r="3120" spans="1:1" x14ac:dyDescent="0.45">
      <c r="A3120" s="21">
        <v>2400</v>
      </c>
    </row>
    <row r="3121" spans="1:1" x14ac:dyDescent="0.45">
      <c r="A3121" s="22" t="s">
        <v>4594</v>
      </c>
    </row>
    <row r="3122" spans="1:1" x14ac:dyDescent="0.45">
      <c r="A3122" s="21">
        <v>2200</v>
      </c>
    </row>
    <row r="3123" spans="1:1" x14ac:dyDescent="0.45">
      <c r="A3123" s="22" t="s">
        <v>4770</v>
      </c>
    </row>
    <row r="3124" spans="1:1" x14ac:dyDescent="0.45">
      <c r="A3124" s="21">
        <v>2000</v>
      </c>
    </row>
    <row r="3125" spans="1:1" x14ac:dyDescent="0.45">
      <c r="A3125" s="22" t="s">
        <v>5201</v>
      </c>
    </row>
    <row r="3126" spans="1:1" x14ac:dyDescent="0.45">
      <c r="A3126" s="21">
        <v>1900</v>
      </c>
    </row>
    <row r="3127" spans="1:1" x14ac:dyDescent="0.45">
      <c r="A3127" s="22" t="s">
        <v>5446</v>
      </c>
    </row>
    <row r="3128" spans="1:1" x14ac:dyDescent="0.45">
      <c r="A3128" s="21">
        <v>1700</v>
      </c>
    </row>
    <row r="3129" spans="1:1" x14ac:dyDescent="0.45">
      <c r="A3129" s="22" t="s">
        <v>5905</v>
      </c>
    </row>
    <row r="3130" spans="1:1" x14ac:dyDescent="0.45">
      <c r="A3130" s="22" t="s">
        <v>5777</v>
      </c>
    </row>
    <row r="3131" spans="1:1" x14ac:dyDescent="0.45">
      <c r="A3131" s="21">
        <v>1600</v>
      </c>
    </row>
    <row r="3132" spans="1:1" x14ac:dyDescent="0.45">
      <c r="A3132" s="22" t="s">
        <v>6233</v>
      </c>
    </row>
    <row r="3133" spans="1:1" x14ac:dyDescent="0.45">
      <c r="A3133" s="21">
        <v>1500</v>
      </c>
    </row>
    <row r="3134" spans="1:1" x14ac:dyDescent="0.45">
      <c r="A3134" s="22" t="s">
        <v>6301</v>
      </c>
    </row>
    <row r="3135" spans="1:1" x14ac:dyDescent="0.45">
      <c r="A3135" s="21">
        <v>1400</v>
      </c>
    </row>
    <row r="3136" spans="1:1" x14ac:dyDescent="0.45">
      <c r="A3136" s="22" t="s">
        <v>6813</v>
      </c>
    </row>
    <row r="3137" spans="1:1" x14ac:dyDescent="0.45">
      <c r="A3137" s="21">
        <v>1300</v>
      </c>
    </row>
    <row r="3138" spans="1:1" x14ac:dyDescent="0.45">
      <c r="A3138" s="22" t="s">
        <v>6892</v>
      </c>
    </row>
    <row r="3139" spans="1:1" x14ac:dyDescent="0.45">
      <c r="A3139" s="21">
        <v>1200</v>
      </c>
    </row>
    <row r="3140" spans="1:1" x14ac:dyDescent="0.45">
      <c r="A3140" s="22" t="s">
        <v>7420</v>
      </c>
    </row>
    <row r="3141" spans="1:1" x14ac:dyDescent="0.45">
      <c r="A3141" s="22" t="s">
        <v>7290</v>
      </c>
    </row>
    <row r="3142" spans="1:1" x14ac:dyDescent="0.45">
      <c r="A3142" s="19">
        <v>84</v>
      </c>
    </row>
    <row r="3143" spans="1:1" x14ac:dyDescent="0.45">
      <c r="A3143" s="21">
        <v>28100</v>
      </c>
    </row>
    <row r="3144" spans="1:1" x14ac:dyDescent="0.45">
      <c r="A3144" s="22" t="s">
        <v>312</v>
      </c>
    </row>
    <row r="3145" spans="1:1" x14ac:dyDescent="0.45">
      <c r="A3145" s="21">
        <v>20200</v>
      </c>
    </row>
    <row r="3146" spans="1:1" x14ac:dyDescent="0.45">
      <c r="A3146" s="22" t="s">
        <v>465</v>
      </c>
    </row>
    <row r="3147" spans="1:1" x14ac:dyDescent="0.45">
      <c r="A3147" s="21">
        <v>6700</v>
      </c>
    </row>
    <row r="3148" spans="1:1" x14ac:dyDescent="0.45">
      <c r="A3148" s="22" t="s">
        <v>1616</v>
      </c>
    </row>
    <row r="3149" spans="1:1" x14ac:dyDescent="0.45">
      <c r="A3149" s="21">
        <v>6500</v>
      </c>
    </row>
    <row r="3150" spans="1:1" x14ac:dyDescent="0.45">
      <c r="A3150" s="22" t="s">
        <v>1682</v>
      </c>
    </row>
    <row r="3151" spans="1:1" x14ac:dyDescent="0.45">
      <c r="A3151" s="21">
        <v>3600</v>
      </c>
    </row>
    <row r="3152" spans="1:1" x14ac:dyDescent="0.45">
      <c r="A3152" s="22" t="s">
        <v>3010</v>
      </c>
    </row>
    <row r="3153" spans="1:1" x14ac:dyDescent="0.45">
      <c r="A3153" s="22" t="s">
        <v>3053</v>
      </c>
    </row>
    <row r="3154" spans="1:1" x14ac:dyDescent="0.45">
      <c r="A3154" s="21">
        <v>3400</v>
      </c>
    </row>
    <row r="3155" spans="1:1" x14ac:dyDescent="0.45">
      <c r="A3155" s="22" t="s">
        <v>3228</v>
      </c>
    </row>
    <row r="3156" spans="1:1" x14ac:dyDescent="0.45">
      <c r="A3156" s="21">
        <v>3200</v>
      </c>
    </row>
    <row r="3157" spans="1:1" x14ac:dyDescent="0.45">
      <c r="A3157" s="22" t="s">
        <v>3396</v>
      </c>
    </row>
    <row r="3158" spans="1:1" x14ac:dyDescent="0.45">
      <c r="A3158" s="22" t="s">
        <v>3479</v>
      </c>
    </row>
    <row r="3159" spans="1:1" x14ac:dyDescent="0.45">
      <c r="A3159" s="21">
        <v>2700</v>
      </c>
    </row>
    <row r="3160" spans="1:1" x14ac:dyDescent="0.45">
      <c r="A3160" s="22" t="s">
        <v>4043</v>
      </c>
    </row>
    <row r="3161" spans="1:1" x14ac:dyDescent="0.45">
      <c r="A3161" s="22" t="s">
        <v>4120</v>
      </c>
    </row>
    <row r="3162" spans="1:1" x14ac:dyDescent="0.45">
      <c r="A3162" s="22" t="s">
        <v>4003</v>
      </c>
    </row>
    <row r="3163" spans="1:1" x14ac:dyDescent="0.45">
      <c r="A3163" s="21">
        <v>2600</v>
      </c>
    </row>
    <row r="3164" spans="1:1" x14ac:dyDescent="0.45">
      <c r="A3164" s="22" t="s">
        <v>4262</v>
      </c>
    </row>
    <row r="3165" spans="1:1" x14ac:dyDescent="0.45">
      <c r="A3165" s="21">
        <v>2400</v>
      </c>
    </row>
    <row r="3166" spans="1:1" x14ac:dyDescent="0.45">
      <c r="A3166" s="22" t="s">
        <v>4583</v>
      </c>
    </row>
    <row r="3167" spans="1:1" x14ac:dyDescent="0.45">
      <c r="A3167" s="22" t="s">
        <v>4581</v>
      </c>
    </row>
    <row r="3168" spans="1:1" x14ac:dyDescent="0.45">
      <c r="A3168" s="21">
        <v>2200</v>
      </c>
    </row>
    <row r="3169" spans="1:1" x14ac:dyDescent="0.45">
      <c r="A3169" s="22" t="s">
        <v>4872</v>
      </c>
    </row>
    <row r="3170" spans="1:1" x14ac:dyDescent="0.45">
      <c r="A3170" s="21">
        <v>1900</v>
      </c>
    </row>
    <row r="3171" spans="1:1" x14ac:dyDescent="0.45">
      <c r="A3171" s="22" t="s">
        <v>5471</v>
      </c>
    </row>
    <row r="3172" spans="1:1" x14ac:dyDescent="0.45">
      <c r="A3172" s="21">
        <v>1400</v>
      </c>
    </row>
    <row r="3173" spans="1:1" x14ac:dyDescent="0.45">
      <c r="A3173" s="22" t="s">
        <v>6846</v>
      </c>
    </row>
    <row r="3174" spans="1:1" x14ac:dyDescent="0.45">
      <c r="A3174" s="21">
        <v>1200</v>
      </c>
    </row>
    <row r="3175" spans="1:1" x14ac:dyDescent="0.45">
      <c r="A3175" s="22" t="s">
        <v>7297</v>
      </c>
    </row>
    <row r="3176" spans="1:1" x14ac:dyDescent="0.45">
      <c r="A3176" s="21">
        <v>1100</v>
      </c>
    </row>
    <row r="3177" spans="1:1" x14ac:dyDescent="0.45">
      <c r="A3177" s="22" t="s">
        <v>7616</v>
      </c>
    </row>
    <row r="3178" spans="1:1" x14ac:dyDescent="0.45">
      <c r="A3178" s="19">
        <v>83</v>
      </c>
    </row>
    <row r="3179" spans="1:1" x14ac:dyDescent="0.45">
      <c r="A3179" s="21">
        <v>93000</v>
      </c>
    </row>
    <row r="3180" spans="1:1" x14ac:dyDescent="0.45">
      <c r="A3180" s="22" t="s">
        <v>84</v>
      </c>
    </row>
    <row r="3181" spans="1:1" x14ac:dyDescent="0.45">
      <c r="A3181" s="21">
        <v>42900</v>
      </c>
    </row>
    <row r="3182" spans="1:1" x14ac:dyDescent="0.45">
      <c r="A3182" s="22" t="s">
        <v>193</v>
      </c>
    </row>
    <row r="3183" spans="1:1" x14ac:dyDescent="0.45">
      <c r="A3183" s="21">
        <v>38300</v>
      </c>
    </row>
    <row r="3184" spans="1:1" x14ac:dyDescent="0.45">
      <c r="A3184" s="22" t="s">
        <v>217</v>
      </c>
    </row>
    <row r="3185" spans="1:1" x14ac:dyDescent="0.45">
      <c r="A3185" s="21">
        <v>23100</v>
      </c>
    </row>
    <row r="3186" spans="1:1" x14ac:dyDescent="0.45">
      <c r="A3186" s="22" t="s">
        <v>397</v>
      </c>
    </row>
    <row r="3187" spans="1:1" x14ac:dyDescent="0.45">
      <c r="A3187" s="21">
        <v>17400</v>
      </c>
    </row>
    <row r="3188" spans="1:1" x14ac:dyDescent="0.45">
      <c r="A3188" s="22" t="s">
        <v>544</v>
      </c>
    </row>
    <row r="3189" spans="1:1" x14ac:dyDescent="0.45">
      <c r="A3189" s="21">
        <v>15800</v>
      </c>
    </row>
    <row r="3190" spans="1:1" x14ac:dyDescent="0.45">
      <c r="A3190" s="22" t="s">
        <v>600</v>
      </c>
    </row>
    <row r="3191" spans="1:1" x14ac:dyDescent="0.45">
      <c r="A3191" s="21">
        <v>14900</v>
      </c>
    </row>
    <row r="3192" spans="1:1" x14ac:dyDescent="0.45">
      <c r="A3192" s="22" t="s">
        <v>627</v>
      </c>
    </row>
    <row r="3193" spans="1:1" x14ac:dyDescent="0.45">
      <c r="A3193" s="21">
        <v>10900</v>
      </c>
    </row>
    <row r="3194" spans="1:1" x14ac:dyDescent="0.45">
      <c r="A3194" s="22" t="s">
        <v>815</v>
      </c>
    </row>
    <row r="3195" spans="1:1" x14ac:dyDescent="0.45">
      <c r="A3195" s="21">
        <v>7000</v>
      </c>
    </row>
    <row r="3196" spans="1:1" x14ac:dyDescent="0.45">
      <c r="A3196" s="22" t="s">
        <v>1474</v>
      </c>
    </row>
    <row r="3197" spans="1:1" x14ac:dyDescent="0.45">
      <c r="A3197" s="21">
        <v>6700</v>
      </c>
    </row>
    <row r="3198" spans="1:1" x14ac:dyDescent="0.45">
      <c r="A3198" s="22" t="s">
        <v>1620</v>
      </c>
    </row>
    <row r="3199" spans="1:1" x14ac:dyDescent="0.45">
      <c r="A3199" s="21">
        <v>5700</v>
      </c>
    </row>
    <row r="3200" spans="1:1" x14ac:dyDescent="0.45">
      <c r="A3200" s="22" t="s">
        <v>1877</v>
      </c>
    </row>
    <row r="3201" spans="1:1" x14ac:dyDescent="0.45">
      <c r="A3201" s="21">
        <v>5000</v>
      </c>
    </row>
    <row r="3202" spans="1:1" x14ac:dyDescent="0.45">
      <c r="A3202" s="22" t="s">
        <v>2184</v>
      </c>
    </row>
    <row r="3203" spans="1:1" x14ac:dyDescent="0.45">
      <c r="A3203" s="21">
        <v>4500</v>
      </c>
    </row>
    <row r="3204" spans="1:1" x14ac:dyDescent="0.45">
      <c r="A3204" s="22" t="s">
        <v>2436</v>
      </c>
    </row>
    <row r="3205" spans="1:1" x14ac:dyDescent="0.45">
      <c r="A3205" s="21">
        <v>4300</v>
      </c>
    </row>
    <row r="3206" spans="1:1" x14ac:dyDescent="0.45">
      <c r="A3206" s="22" t="s">
        <v>2578</v>
      </c>
    </row>
    <row r="3207" spans="1:1" x14ac:dyDescent="0.45">
      <c r="A3207" s="21">
        <v>4100</v>
      </c>
    </row>
    <row r="3208" spans="1:1" x14ac:dyDescent="0.45">
      <c r="A3208" s="22" t="s">
        <v>2640</v>
      </c>
    </row>
    <row r="3209" spans="1:1" x14ac:dyDescent="0.45">
      <c r="A3209" s="22" t="s">
        <v>2644</v>
      </c>
    </row>
    <row r="3210" spans="1:1" x14ac:dyDescent="0.45">
      <c r="A3210" s="22" t="s">
        <v>2669</v>
      </c>
    </row>
    <row r="3211" spans="1:1" x14ac:dyDescent="0.45">
      <c r="A3211" s="21">
        <v>3900</v>
      </c>
    </row>
    <row r="3212" spans="1:1" x14ac:dyDescent="0.45">
      <c r="A3212" s="22" t="s">
        <v>2812</v>
      </c>
    </row>
    <row r="3213" spans="1:1" x14ac:dyDescent="0.45">
      <c r="A3213" s="22" t="s">
        <v>2817</v>
      </c>
    </row>
    <row r="3214" spans="1:1" x14ac:dyDescent="0.45">
      <c r="A3214" s="21">
        <v>3600</v>
      </c>
    </row>
    <row r="3215" spans="1:1" x14ac:dyDescent="0.45">
      <c r="A3215" s="22" t="s">
        <v>3039</v>
      </c>
    </row>
    <row r="3216" spans="1:1" x14ac:dyDescent="0.45">
      <c r="A3216" s="21">
        <v>2400</v>
      </c>
    </row>
    <row r="3217" spans="1:1" x14ac:dyDescent="0.45">
      <c r="A3217" s="22" t="s">
        <v>4489</v>
      </c>
    </row>
    <row r="3218" spans="1:1" x14ac:dyDescent="0.45">
      <c r="A3218" s="21">
        <v>2200</v>
      </c>
    </row>
    <row r="3219" spans="1:1" x14ac:dyDescent="0.45">
      <c r="A3219" s="22" t="s">
        <v>4798</v>
      </c>
    </row>
    <row r="3220" spans="1:1" x14ac:dyDescent="0.45">
      <c r="A3220" s="21">
        <v>2000</v>
      </c>
    </row>
    <row r="3221" spans="1:1" x14ac:dyDescent="0.45">
      <c r="A3221" s="22" t="s">
        <v>5310</v>
      </c>
    </row>
    <row r="3222" spans="1:1" x14ac:dyDescent="0.45">
      <c r="A3222" s="21">
        <v>1800</v>
      </c>
    </row>
    <row r="3223" spans="1:1" x14ac:dyDescent="0.45">
      <c r="A3223" s="22" t="s">
        <v>5734</v>
      </c>
    </row>
    <row r="3224" spans="1:1" x14ac:dyDescent="0.45">
      <c r="A3224" s="21">
        <v>1700</v>
      </c>
    </row>
    <row r="3225" spans="1:1" x14ac:dyDescent="0.45">
      <c r="A3225" s="22" t="s">
        <v>5799</v>
      </c>
    </row>
    <row r="3226" spans="1:1" x14ac:dyDescent="0.45">
      <c r="A3226" s="22" t="s">
        <v>5831</v>
      </c>
    </row>
    <row r="3227" spans="1:1" x14ac:dyDescent="0.45">
      <c r="A3227" s="21">
        <v>1600</v>
      </c>
    </row>
    <row r="3228" spans="1:1" x14ac:dyDescent="0.45">
      <c r="A3228" s="22" t="s">
        <v>6005</v>
      </c>
    </row>
    <row r="3229" spans="1:1" x14ac:dyDescent="0.45">
      <c r="A3229" s="21">
        <v>1400</v>
      </c>
    </row>
    <row r="3230" spans="1:1" x14ac:dyDescent="0.45">
      <c r="A3230" s="22" t="s">
        <v>6594</v>
      </c>
    </row>
    <row r="3231" spans="1:1" x14ac:dyDescent="0.45">
      <c r="A3231" s="22" t="s">
        <v>6629</v>
      </c>
    </row>
    <row r="3232" spans="1:1" x14ac:dyDescent="0.45">
      <c r="A3232" s="21">
        <v>1300</v>
      </c>
    </row>
    <row r="3233" spans="1:1" x14ac:dyDescent="0.45">
      <c r="A3233" s="22" t="s">
        <v>6914</v>
      </c>
    </row>
    <row r="3234" spans="1:1" x14ac:dyDescent="0.45">
      <c r="A3234" s="22" t="s">
        <v>7198</v>
      </c>
    </row>
    <row r="3235" spans="1:1" x14ac:dyDescent="0.45">
      <c r="A3235" s="21">
        <v>1100</v>
      </c>
    </row>
    <row r="3236" spans="1:1" x14ac:dyDescent="0.45">
      <c r="A3236" s="22" t="s">
        <v>7940</v>
      </c>
    </row>
    <row r="3237" spans="1:1" x14ac:dyDescent="0.45">
      <c r="A3237" s="19">
        <v>82</v>
      </c>
    </row>
    <row r="3238" spans="1:1" x14ac:dyDescent="0.45">
      <c r="A3238" s="21">
        <v>31200</v>
      </c>
    </row>
    <row r="3239" spans="1:1" x14ac:dyDescent="0.45">
      <c r="A3239" s="22" t="s">
        <v>283</v>
      </c>
    </row>
    <row r="3240" spans="1:1" x14ac:dyDescent="0.45">
      <c r="A3240" s="21">
        <v>24200</v>
      </c>
    </row>
    <row r="3241" spans="1:1" x14ac:dyDescent="0.45">
      <c r="A3241" s="22" t="s">
        <v>375</v>
      </c>
    </row>
    <row r="3242" spans="1:1" x14ac:dyDescent="0.45">
      <c r="A3242" s="21">
        <v>11600</v>
      </c>
    </row>
    <row r="3243" spans="1:1" x14ac:dyDescent="0.45">
      <c r="A3243" s="22" t="s">
        <v>764</v>
      </c>
    </row>
    <row r="3244" spans="1:1" x14ac:dyDescent="0.45">
      <c r="A3244" s="21">
        <v>10200</v>
      </c>
    </row>
    <row r="3245" spans="1:1" x14ac:dyDescent="0.45">
      <c r="A3245" s="22" t="s">
        <v>863</v>
      </c>
    </row>
    <row r="3246" spans="1:1" x14ac:dyDescent="0.45">
      <c r="A3246" s="21">
        <v>9200</v>
      </c>
    </row>
    <row r="3247" spans="1:1" x14ac:dyDescent="0.45">
      <c r="A3247" s="22" t="s">
        <v>1010</v>
      </c>
    </row>
    <row r="3248" spans="1:1" x14ac:dyDescent="0.45">
      <c r="A3248" s="21">
        <v>5200</v>
      </c>
    </row>
    <row r="3249" spans="1:1" x14ac:dyDescent="0.45">
      <c r="A3249" s="22" t="s">
        <v>2101</v>
      </c>
    </row>
    <row r="3250" spans="1:1" x14ac:dyDescent="0.45">
      <c r="A3250" s="21">
        <v>4500</v>
      </c>
    </row>
    <row r="3251" spans="1:1" x14ac:dyDescent="0.45">
      <c r="A3251" s="22" t="s">
        <v>2426</v>
      </c>
    </row>
    <row r="3252" spans="1:1" x14ac:dyDescent="0.45">
      <c r="A3252" s="21">
        <v>4200</v>
      </c>
    </row>
    <row r="3253" spans="1:1" x14ac:dyDescent="0.45">
      <c r="A3253" s="22" t="s">
        <v>2588</v>
      </c>
    </row>
    <row r="3254" spans="1:1" x14ac:dyDescent="0.45">
      <c r="A3254" s="22" t="s">
        <v>2606</v>
      </c>
    </row>
    <row r="3255" spans="1:1" x14ac:dyDescent="0.45">
      <c r="A3255" s="22" t="s">
        <v>2596</v>
      </c>
    </row>
    <row r="3256" spans="1:1" x14ac:dyDescent="0.45">
      <c r="A3256" s="21">
        <v>4100</v>
      </c>
    </row>
    <row r="3257" spans="1:1" x14ac:dyDescent="0.45">
      <c r="A3257" s="22" t="s">
        <v>2699</v>
      </c>
    </row>
    <row r="3258" spans="1:1" x14ac:dyDescent="0.45">
      <c r="A3258" s="21">
        <v>3800</v>
      </c>
    </row>
    <row r="3259" spans="1:1" x14ac:dyDescent="0.45">
      <c r="A3259" s="22" t="s">
        <v>2910</v>
      </c>
    </row>
    <row r="3260" spans="1:1" x14ac:dyDescent="0.45">
      <c r="A3260" s="21">
        <v>3700</v>
      </c>
    </row>
    <row r="3261" spans="1:1" x14ac:dyDescent="0.45">
      <c r="A3261" s="22" t="s">
        <v>2984</v>
      </c>
    </row>
    <row r="3262" spans="1:1" x14ac:dyDescent="0.45">
      <c r="A3262" s="21">
        <v>3600</v>
      </c>
    </row>
    <row r="3263" spans="1:1" x14ac:dyDescent="0.45">
      <c r="A3263" s="22" t="s">
        <v>3014</v>
      </c>
    </row>
    <row r="3264" spans="1:1" x14ac:dyDescent="0.45">
      <c r="A3264" s="22" t="s">
        <v>3069</v>
      </c>
    </row>
    <row r="3265" spans="1:1" x14ac:dyDescent="0.45">
      <c r="A3265" s="21">
        <v>3300</v>
      </c>
    </row>
    <row r="3266" spans="1:1" x14ac:dyDescent="0.45">
      <c r="A3266" s="22" t="s">
        <v>3320</v>
      </c>
    </row>
    <row r="3267" spans="1:1" x14ac:dyDescent="0.45">
      <c r="A3267" s="21">
        <v>3200</v>
      </c>
    </row>
    <row r="3268" spans="1:1" x14ac:dyDescent="0.45">
      <c r="A3268" s="22" t="s">
        <v>3381</v>
      </c>
    </row>
    <row r="3269" spans="1:1" x14ac:dyDescent="0.45">
      <c r="A3269" s="21">
        <v>3100</v>
      </c>
    </row>
    <row r="3270" spans="1:1" x14ac:dyDescent="0.45">
      <c r="A3270" s="22" t="s">
        <v>3549</v>
      </c>
    </row>
    <row r="3271" spans="1:1" x14ac:dyDescent="0.45">
      <c r="A3271" s="21">
        <v>2900</v>
      </c>
    </row>
    <row r="3272" spans="1:1" x14ac:dyDescent="0.45">
      <c r="A3272" s="22" t="s">
        <v>3762</v>
      </c>
    </row>
    <row r="3273" spans="1:1" x14ac:dyDescent="0.45">
      <c r="A3273" s="21">
        <v>2300</v>
      </c>
    </row>
    <row r="3274" spans="1:1" x14ac:dyDescent="0.45">
      <c r="A3274" s="22" t="s">
        <v>4667</v>
      </c>
    </row>
    <row r="3275" spans="1:1" x14ac:dyDescent="0.45">
      <c r="A3275" s="21">
        <v>2100</v>
      </c>
    </row>
    <row r="3276" spans="1:1" x14ac:dyDescent="0.45">
      <c r="A3276" s="22" t="s">
        <v>4961</v>
      </c>
    </row>
    <row r="3277" spans="1:1" x14ac:dyDescent="0.45">
      <c r="A3277" s="22" t="s">
        <v>5040</v>
      </c>
    </row>
    <row r="3278" spans="1:1" x14ac:dyDescent="0.45">
      <c r="A3278" s="22" t="s">
        <v>5045</v>
      </c>
    </row>
    <row r="3279" spans="1:1" x14ac:dyDescent="0.45">
      <c r="A3279" s="21">
        <v>2000</v>
      </c>
    </row>
    <row r="3280" spans="1:1" x14ac:dyDescent="0.45">
      <c r="A3280" s="22" t="s">
        <v>5319</v>
      </c>
    </row>
    <row r="3281" spans="1:1" x14ac:dyDescent="0.45">
      <c r="A3281" s="21">
        <v>1900</v>
      </c>
    </row>
    <row r="3282" spans="1:1" x14ac:dyDescent="0.45">
      <c r="A3282" s="22" t="s">
        <v>5353</v>
      </c>
    </row>
    <row r="3283" spans="1:1" x14ac:dyDescent="0.45">
      <c r="A3283" s="21">
        <v>1800</v>
      </c>
    </row>
    <row r="3284" spans="1:1" x14ac:dyDescent="0.45">
      <c r="A3284" s="22" t="s">
        <v>5764</v>
      </c>
    </row>
    <row r="3285" spans="1:1" x14ac:dyDescent="0.45">
      <c r="A3285" s="21">
        <v>1700</v>
      </c>
    </row>
    <row r="3286" spans="1:1" x14ac:dyDescent="0.45">
      <c r="A3286" s="22" t="s">
        <v>5963</v>
      </c>
    </row>
    <row r="3287" spans="1:1" x14ac:dyDescent="0.45">
      <c r="A3287" s="21">
        <v>1600</v>
      </c>
    </row>
    <row r="3288" spans="1:1" x14ac:dyDescent="0.45">
      <c r="A3288" s="22" t="s">
        <v>6231</v>
      </c>
    </row>
    <row r="3289" spans="1:1" x14ac:dyDescent="0.45">
      <c r="A3289" s="22" t="s">
        <v>6047</v>
      </c>
    </row>
    <row r="3290" spans="1:1" x14ac:dyDescent="0.45">
      <c r="A3290" s="22" t="s">
        <v>6118</v>
      </c>
    </row>
    <row r="3291" spans="1:1" x14ac:dyDescent="0.45">
      <c r="A3291" s="21">
        <v>1500</v>
      </c>
    </row>
    <row r="3292" spans="1:1" x14ac:dyDescent="0.45">
      <c r="A3292" s="22" t="s">
        <v>6513</v>
      </c>
    </row>
    <row r="3293" spans="1:1" x14ac:dyDescent="0.45">
      <c r="A3293" s="22" t="s">
        <v>6269</v>
      </c>
    </row>
    <row r="3294" spans="1:1" x14ac:dyDescent="0.45">
      <c r="A3294" s="21">
        <v>1400</v>
      </c>
    </row>
    <row r="3295" spans="1:1" x14ac:dyDescent="0.45">
      <c r="A3295" s="22" t="s">
        <v>6752</v>
      </c>
    </row>
    <row r="3296" spans="1:1" x14ac:dyDescent="0.45">
      <c r="A3296" s="22" t="s">
        <v>6748</v>
      </c>
    </row>
    <row r="3297" spans="1:1" x14ac:dyDescent="0.45">
      <c r="A3297" s="22" t="s">
        <v>6763</v>
      </c>
    </row>
    <row r="3298" spans="1:1" x14ac:dyDescent="0.45">
      <c r="A3298" s="21">
        <v>1300</v>
      </c>
    </row>
    <row r="3299" spans="1:1" x14ac:dyDescent="0.45">
      <c r="A3299" s="22" t="s">
        <v>7043</v>
      </c>
    </row>
    <row r="3300" spans="1:1" x14ac:dyDescent="0.45">
      <c r="A3300" s="21">
        <v>1200</v>
      </c>
    </row>
    <row r="3301" spans="1:1" x14ac:dyDescent="0.45">
      <c r="A3301" s="22" t="s">
        <v>7276</v>
      </c>
    </row>
    <row r="3302" spans="1:1" x14ac:dyDescent="0.45">
      <c r="A3302" s="22" t="s">
        <v>7442</v>
      </c>
    </row>
    <row r="3303" spans="1:1" x14ac:dyDescent="0.45">
      <c r="A3303" s="22" t="s">
        <v>7509</v>
      </c>
    </row>
    <row r="3304" spans="1:1" x14ac:dyDescent="0.45">
      <c r="A3304" s="22" t="s">
        <v>7450</v>
      </c>
    </row>
    <row r="3305" spans="1:1" x14ac:dyDescent="0.45">
      <c r="A3305" s="22" t="s">
        <v>7422</v>
      </c>
    </row>
    <row r="3306" spans="1:1" x14ac:dyDescent="0.45">
      <c r="A3306" s="21">
        <v>1100</v>
      </c>
    </row>
    <row r="3307" spans="1:1" x14ac:dyDescent="0.45">
      <c r="A3307" s="22" t="s">
        <v>7710</v>
      </c>
    </row>
    <row r="3308" spans="1:1" x14ac:dyDescent="0.45">
      <c r="A3308" s="22" t="s">
        <v>7659</v>
      </c>
    </row>
    <row r="3309" spans="1:1" x14ac:dyDescent="0.45">
      <c r="A3309" s="22" t="s">
        <v>7785</v>
      </c>
    </row>
    <row r="3310" spans="1:1" x14ac:dyDescent="0.45">
      <c r="A3310" s="22" t="s">
        <v>7903</v>
      </c>
    </row>
    <row r="3311" spans="1:1" x14ac:dyDescent="0.45">
      <c r="A3311" s="22" t="s">
        <v>7925</v>
      </c>
    </row>
    <row r="3312" spans="1:1" x14ac:dyDescent="0.45">
      <c r="A3312" s="21">
        <v>1000</v>
      </c>
    </row>
    <row r="3313" spans="1:1" x14ac:dyDescent="0.45">
      <c r="A3313" s="22" t="s">
        <v>8188</v>
      </c>
    </row>
    <row r="3314" spans="1:1" x14ac:dyDescent="0.45">
      <c r="A3314" s="22" t="s">
        <v>8111</v>
      </c>
    </row>
    <row r="3315" spans="1:1" x14ac:dyDescent="0.45">
      <c r="A3315" s="19">
        <v>81</v>
      </c>
    </row>
    <row r="3316" spans="1:1" x14ac:dyDescent="0.45">
      <c r="A3316" s="21">
        <v>94500</v>
      </c>
    </row>
    <row r="3317" spans="1:1" x14ac:dyDescent="0.45">
      <c r="A3317" s="22" t="s">
        <v>77</v>
      </c>
    </row>
    <row r="3318" spans="1:1" x14ac:dyDescent="0.45">
      <c r="A3318" s="21">
        <v>22600</v>
      </c>
    </row>
    <row r="3319" spans="1:1" x14ac:dyDescent="0.45">
      <c r="A3319" s="22" t="s">
        <v>403</v>
      </c>
    </row>
    <row r="3320" spans="1:1" x14ac:dyDescent="0.45">
      <c r="A3320" s="21">
        <v>14900</v>
      </c>
    </row>
    <row r="3321" spans="1:1" x14ac:dyDescent="0.45">
      <c r="A3321" s="22" t="s">
        <v>632</v>
      </c>
    </row>
    <row r="3322" spans="1:1" x14ac:dyDescent="0.45">
      <c r="A3322" s="21">
        <v>10600</v>
      </c>
    </row>
    <row r="3323" spans="1:1" x14ac:dyDescent="0.45">
      <c r="A3323" s="22" t="s">
        <v>832</v>
      </c>
    </row>
    <row r="3324" spans="1:1" x14ac:dyDescent="0.45">
      <c r="A3324" s="21">
        <v>10100</v>
      </c>
    </row>
    <row r="3325" spans="1:1" x14ac:dyDescent="0.45">
      <c r="A3325" s="22" t="s">
        <v>888</v>
      </c>
    </row>
    <row r="3326" spans="1:1" x14ac:dyDescent="0.45">
      <c r="A3326" s="21">
        <v>8300</v>
      </c>
    </row>
    <row r="3327" spans="1:1" x14ac:dyDescent="0.45">
      <c r="A3327" s="22" t="s">
        <v>1154</v>
      </c>
    </row>
    <row r="3328" spans="1:1" x14ac:dyDescent="0.45">
      <c r="A3328" s="21">
        <v>7400</v>
      </c>
    </row>
    <row r="3329" spans="1:1" x14ac:dyDescent="0.45">
      <c r="A3329" s="22" t="s">
        <v>1370</v>
      </c>
    </row>
    <row r="3330" spans="1:1" x14ac:dyDescent="0.45">
      <c r="A3330" s="21">
        <v>6700</v>
      </c>
    </row>
    <row r="3331" spans="1:1" x14ac:dyDescent="0.45">
      <c r="A3331" s="22" t="s">
        <v>1636</v>
      </c>
    </row>
    <row r="3332" spans="1:1" x14ac:dyDescent="0.45">
      <c r="A3332" s="21">
        <v>6500</v>
      </c>
    </row>
    <row r="3333" spans="1:1" x14ac:dyDescent="0.45">
      <c r="A3333" s="22" t="s">
        <v>1685</v>
      </c>
    </row>
    <row r="3334" spans="1:1" x14ac:dyDescent="0.45">
      <c r="A3334" s="21">
        <v>6100</v>
      </c>
    </row>
    <row r="3335" spans="1:1" x14ac:dyDescent="0.45">
      <c r="A3335" s="22" t="s">
        <v>1776</v>
      </c>
    </row>
    <row r="3336" spans="1:1" x14ac:dyDescent="0.45">
      <c r="A3336" s="21">
        <v>5600</v>
      </c>
    </row>
    <row r="3337" spans="1:1" x14ac:dyDescent="0.45">
      <c r="A3337" s="22" t="s">
        <v>1897</v>
      </c>
    </row>
    <row r="3338" spans="1:1" x14ac:dyDescent="0.45">
      <c r="A3338" s="21">
        <v>5500</v>
      </c>
    </row>
    <row r="3339" spans="1:1" x14ac:dyDescent="0.45">
      <c r="A3339" s="22" t="s">
        <v>1958</v>
      </c>
    </row>
    <row r="3340" spans="1:1" x14ac:dyDescent="0.45">
      <c r="A3340" s="21">
        <v>5400</v>
      </c>
    </row>
    <row r="3341" spans="1:1" x14ac:dyDescent="0.45">
      <c r="A3341" s="22" t="s">
        <v>1994</v>
      </c>
    </row>
    <row r="3342" spans="1:1" x14ac:dyDescent="0.45">
      <c r="A3342" s="21">
        <v>5300</v>
      </c>
    </row>
    <row r="3343" spans="1:1" x14ac:dyDescent="0.45">
      <c r="A3343" s="22" t="s">
        <v>2065</v>
      </c>
    </row>
    <row r="3344" spans="1:1" x14ac:dyDescent="0.45">
      <c r="A3344" s="21">
        <v>5200</v>
      </c>
    </row>
    <row r="3345" spans="1:1" x14ac:dyDescent="0.45">
      <c r="A3345" s="22" t="s">
        <v>2115</v>
      </c>
    </row>
    <row r="3346" spans="1:1" x14ac:dyDescent="0.45">
      <c r="A3346" s="21">
        <v>4900</v>
      </c>
    </row>
    <row r="3347" spans="1:1" x14ac:dyDescent="0.45">
      <c r="A3347" s="22" t="s">
        <v>2226</v>
      </c>
    </row>
    <row r="3348" spans="1:1" x14ac:dyDescent="0.45">
      <c r="A3348" s="22" t="s">
        <v>2235</v>
      </c>
    </row>
    <row r="3349" spans="1:1" x14ac:dyDescent="0.45">
      <c r="A3349" s="21">
        <v>4400</v>
      </c>
    </row>
    <row r="3350" spans="1:1" x14ac:dyDescent="0.45">
      <c r="A3350" s="22" t="s">
        <v>2484</v>
      </c>
    </row>
    <row r="3351" spans="1:1" x14ac:dyDescent="0.45">
      <c r="A3351" s="21">
        <v>3800</v>
      </c>
    </row>
    <row r="3352" spans="1:1" x14ac:dyDescent="0.45">
      <c r="A3352" s="22" t="s">
        <v>2882</v>
      </c>
    </row>
    <row r="3353" spans="1:1" x14ac:dyDescent="0.45">
      <c r="A3353" s="21">
        <v>3500</v>
      </c>
    </row>
    <row r="3354" spans="1:1" x14ac:dyDescent="0.45">
      <c r="A3354" s="22" t="s">
        <v>3137</v>
      </c>
    </row>
    <row r="3355" spans="1:1" x14ac:dyDescent="0.45">
      <c r="A3355" s="21">
        <v>3400</v>
      </c>
    </row>
    <row r="3356" spans="1:1" x14ac:dyDescent="0.45">
      <c r="A3356" s="22" t="s">
        <v>3270</v>
      </c>
    </row>
    <row r="3357" spans="1:1" x14ac:dyDescent="0.45">
      <c r="A3357" s="22" t="s">
        <v>3254</v>
      </c>
    </row>
    <row r="3358" spans="1:1" x14ac:dyDescent="0.45">
      <c r="A3358" s="21">
        <v>3300</v>
      </c>
    </row>
    <row r="3359" spans="1:1" x14ac:dyDescent="0.45">
      <c r="A3359" s="22" t="s">
        <v>3292</v>
      </c>
    </row>
    <row r="3360" spans="1:1" x14ac:dyDescent="0.45">
      <c r="A3360" s="21">
        <v>3200</v>
      </c>
    </row>
    <row r="3361" spans="1:1" x14ac:dyDescent="0.45">
      <c r="A3361" s="22" t="s">
        <v>3511</v>
      </c>
    </row>
    <row r="3362" spans="1:1" x14ac:dyDescent="0.45">
      <c r="A3362" s="21">
        <v>2800</v>
      </c>
    </row>
    <row r="3363" spans="1:1" x14ac:dyDescent="0.45">
      <c r="A3363" s="22" t="s">
        <v>3922</v>
      </c>
    </row>
    <row r="3364" spans="1:1" x14ac:dyDescent="0.45">
      <c r="A3364" s="21">
        <v>2700</v>
      </c>
    </row>
    <row r="3365" spans="1:1" x14ac:dyDescent="0.45">
      <c r="A3365" s="22" t="s">
        <v>4154</v>
      </c>
    </row>
    <row r="3366" spans="1:1" x14ac:dyDescent="0.45">
      <c r="A3366" s="22" t="s">
        <v>4001</v>
      </c>
    </row>
    <row r="3367" spans="1:1" x14ac:dyDescent="0.45">
      <c r="A3367" s="21">
        <v>2600</v>
      </c>
    </row>
    <row r="3368" spans="1:1" x14ac:dyDescent="0.45">
      <c r="A3368" s="22" t="s">
        <v>4290</v>
      </c>
    </row>
    <row r="3369" spans="1:1" x14ac:dyDescent="0.45">
      <c r="A3369" s="22" t="s">
        <v>4215</v>
      </c>
    </row>
    <row r="3370" spans="1:1" x14ac:dyDescent="0.45">
      <c r="A3370" s="21">
        <v>2500</v>
      </c>
    </row>
    <row r="3371" spans="1:1" x14ac:dyDescent="0.45">
      <c r="A3371" s="22" t="s">
        <v>4351</v>
      </c>
    </row>
    <row r="3372" spans="1:1" x14ac:dyDescent="0.45">
      <c r="A3372" s="21">
        <v>1900</v>
      </c>
    </row>
    <row r="3373" spans="1:1" x14ac:dyDescent="0.45">
      <c r="A3373" s="22" t="s">
        <v>5486</v>
      </c>
    </row>
    <row r="3374" spans="1:1" x14ac:dyDescent="0.45">
      <c r="A3374" s="22" t="s">
        <v>5413</v>
      </c>
    </row>
    <row r="3375" spans="1:1" x14ac:dyDescent="0.45">
      <c r="A3375" s="22" t="s">
        <v>5407</v>
      </c>
    </row>
    <row r="3376" spans="1:1" x14ac:dyDescent="0.45">
      <c r="A3376" s="21">
        <v>1700</v>
      </c>
    </row>
    <row r="3377" spans="1:1" x14ac:dyDescent="0.45">
      <c r="A3377" s="22" t="s">
        <v>5820</v>
      </c>
    </row>
    <row r="3378" spans="1:1" x14ac:dyDescent="0.45">
      <c r="A3378" s="21">
        <v>1400</v>
      </c>
    </row>
    <row r="3379" spans="1:1" x14ac:dyDescent="0.45">
      <c r="A3379" s="22" t="s">
        <v>6669</v>
      </c>
    </row>
    <row r="3380" spans="1:1" x14ac:dyDescent="0.45">
      <c r="A3380" s="21">
        <v>1300</v>
      </c>
    </row>
    <row r="3381" spans="1:1" x14ac:dyDescent="0.45">
      <c r="A3381" s="22" t="s">
        <v>7093</v>
      </c>
    </row>
    <row r="3382" spans="1:1" x14ac:dyDescent="0.45">
      <c r="A3382" s="22" t="s">
        <v>7146</v>
      </c>
    </row>
    <row r="3383" spans="1:1" x14ac:dyDescent="0.45">
      <c r="A3383" s="21">
        <v>1200</v>
      </c>
    </row>
    <row r="3384" spans="1:1" x14ac:dyDescent="0.45">
      <c r="A3384" s="22" t="s">
        <v>7481</v>
      </c>
    </row>
    <row r="3385" spans="1:1" x14ac:dyDescent="0.45">
      <c r="A3385" s="22" t="s">
        <v>7534</v>
      </c>
    </row>
    <row r="3386" spans="1:1" x14ac:dyDescent="0.45">
      <c r="A3386" s="21">
        <v>1100</v>
      </c>
    </row>
    <row r="3387" spans="1:1" x14ac:dyDescent="0.45">
      <c r="A3387" s="22" t="s">
        <v>7920</v>
      </c>
    </row>
    <row r="3388" spans="1:1" x14ac:dyDescent="0.45">
      <c r="A3388" s="22" t="s">
        <v>7825</v>
      </c>
    </row>
    <row r="3389" spans="1:1" x14ac:dyDescent="0.45">
      <c r="A3389" s="22" t="s">
        <v>7946</v>
      </c>
    </row>
    <row r="3390" spans="1:1" x14ac:dyDescent="0.45">
      <c r="A3390" s="19">
        <v>80</v>
      </c>
    </row>
    <row r="3391" spans="1:1" x14ac:dyDescent="0.45">
      <c r="A3391" s="21">
        <v>23400</v>
      </c>
    </row>
    <row r="3392" spans="1:1" x14ac:dyDescent="0.45">
      <c r="A3392" s="22" t="s">
        <v>387</v>
      </c>
    </row>
    <row r="3393" spans="1:1" x14ac:dyDescent="0.45">
      <c r="A3393" s="21">
        <v>23100</v>
      </c>
    </row>
    <row r="3394" spans="1:1" x14ac:dyDescent="0.45">
      <c r="A3394" s="22" t="s">
        <v>392</v>
      </c>
    </row>
    <row r="3395" spans="1:1" x14ac:dyDescent="0.45">
      <c r="A3395" s="21">
        <v>13300</v>
      </c>
    </row>
    <row r="3396" spans="1:1" x14ac:dyDescent="0.45">
      <c r="A3396" s="22" t="s">
        <v>709</v>
      </c>
    </row>
    <row r="3397" spans="1:1" x14ac:dyDescent="0.45">
      <c r="A3397" s="22" t="s">
        <v>703</v>
      </c>
    </row>
    <row r="3398" spans="1:1" x14ac:dyDescent="0.45">
      <c r="A3398" s="21">
        <v>9800</v>
      </c>
    </row>
    <row r="3399" spans="1:1" x14ac:dyDescent="0.45">
      <c r="A3399" s="22" t="s">
        <v>905</v>
      </c>
    </row>
    <row r="3400" spans="1:1" x14ac:dyDescent="0.45">
      <c r="A3400" s="21">
        <v>7700</v>
      </c>
    </row>
    <row r="3401" spans="1:1" x14ac:dyDescent="0.45">
      <c r="A3401" s="22" t="s">
        <v>1280</v>
      </c>
    </row>
    <row r="3402" spans="1:1" x14ac:dyDescent="0.45">
      <c r="A3402" s="21">
        <v>7500</v>
      </c>
    </row>
    <row r="3403" spans="1:1" x14ac:dyDescent="0.45">
      <c r="A3403" s="22" t="s">
        <v>1326</v>
      </c>
    </row>
    <row r="3404" spans="1:1" x14ac:dyDescent="0.45">
      <c r="A3404" s="21">
        <v>7400</v>
      </c>
    </row>
    <row r="3405" spans="1:1" x14ac:dyDescent="0.45">
      <c r="A3405" s="22" t="s">
        <v>1346</v>
      </c>
    </row>
    <row r="3406" spans="1:1" x14ac:dyDescent="0.45">
      <c r="A3406" s="21">
        <v>7000</v>
      </c>
    </row>
    <row r="3407" spans="1:1" x14ac:dyDescent="0.45">
      <c r="A3407" s="22" t="s">
        <v>1471</v>
      </c>
    </row>
    <row r="3408" spans="1:1" x14ac:dyDescent="0.45">
      <c r="A3408" s="21">
        <v>6900</v>
      </c>
    </row>
    <row r="3409" spans="1:1" x14ac:dyDescent="0.45">
      <c r="A3409" s="22" t="s">
        <v>1521</v>
      </c>
    </row>
    <row r="3410" spans="1:1" x14ac:dyDescent="0.45">
      <c r="A3410" s="21">
        <v>6700</v>
      </c>
    </row>
    <row r="3411" spans="1:1" x14ac:dyDescent="0.45">
      <c r="A3411" s="22" t="s">
        <v>1595</v>
      </c>
    </row>
    <row r="3412" spans="1:1" x14ac:dyDescent="0.45">
      <c r="A3412" s="21">
        <v>6500</v>
      </c>
    </row>
    <row r="3413" spans="1:1" x14ac:dyDescent="0.45">
      <c r="A3413" s="22" t="s">
        <v>1668</v>
      </c>
    </row>
    <row r="3414" spans="1:1" x14ac:dyDescent="0.45">
      <c r="A3414" s="21">
        <v>5500</v>
      </c>
    </row>
    <row r="3415" spans="1:1" x14ac:dyDescent="0.45">
      <c r="A3415" s="22" t="s">
        <v>1983</v>
      </c>
    </row>
    <row r="3416" spans="1:1" x14ac:dyDescent="0.45">
      <c r="A3416" s="22" t="s">
        <v>1978</v>
      </c>
    </row>
    <row r="3417" spans="1:1" x14ac:dyDescent="0.45">
      <c r="A3417" s="21">
        <v>5300</v>
      </c>
    </row>
    <row r="3418" spans="1:1" x14ac:dyDescent="0.45">
      <c r="A3418" s="22" t="s">
        <v>2052</v>
      </c>
    </row>
    <row r="3419" spans="1:1" x14ac:dyDescent="0.45">
      <c r="A3419" s="21">
        <v>4000</v>
      </c>
    </row>
    <row r="3420" spans="1:1" x14ac:dyDescent="0.45">
      <c r="A3420" s="22" t="s">
        <v>2757</v>
      </c>
    </row>
    <row r="3421" spans="1:1" x14ac:dyDescent="0.45">
      <c r="A3421" s="22" t="s">
        <v>2709</v>
      </c>
    </row>
    <row r="3422" spans="1:1" x14ac:dyDescent="0.45">
      <c r="A3422" s="21">
        <v>3800</v>
      </c>
    </row>
    <row r="3423" spans="1:1" x14ac:dyDescent="0.45">
      <c r="A3423" s="22" t="s">
        <v>2877</v>
      </c>
    </row>
    <row r="3424" spans="1:1" x14ac:dyDescent="0.45">
      <c r="A3424" s="21">
        <v>3600</v>
      </c>
    </row>
    <row r="3425" spans="1:1" x14ac:dyDescent="0.45">
      <c r="A3425" s="22" t="s">
        <v>3029</v>
      </c>
    </row>
    <row r="3426" spans="1:1" x14ac:dyDescent="0.45">
      <c r="A3426" s="22" t="s">
        <v>3075</v>
      </c>
    </row>
    <row r="3427" spans="1:1" x14ac:dyDescent="0.45">
      <c r="A3427" s="21">
        <v>3100</v>
      </c>
    </row>
    <row r="3428" spans="1:1" x14ac:dyDescent="0.45">
      <c r="A3428" s="22" t="s">
        <v>3606</v>
      </c>
    </row>
    <row r="3429" spans="1:1" x14ac:dyDescent="0.45">
      <c r="A3429" s="21">
        <v>3000</v>
      </c>
    </row>
    <row r="3430" spans="1:1" x14ac:dyDescent="0.45">
      <c r="A3430" s="22" t="s">
        <v>3647</v>
      </c>
    </row>
    <row r="3431" spans="1:1" x14ac:dyDescent="0.45">
      <c r="A3431" s="21">
        <v>2700</v>
      </c>
    </row>
    <row r="3432" spans="1:1" x14ac:dyDescent="0.45">
      <c r="A3432" s="22" t="s">
        <v>4028</v>
      </c>
    </row>
    <row r="3433" spans="1:1" x14ac:dyDescent="0.45">
      <c r="A3433" s="21">
        <v>2200</v>
      </c>
    </row>
    <row r="3434" spans="1:1" x14ac:dyDescent="0.45">
      <c r="A3434" s="22" t="s">
        <v>4809</v>
      </c>
    </row>
    <row r="3435" spans="1:1" x14ac:dyDescent="0.45">
      <c r="A3435" s="21">
        <v>2100</v>
      </c>
    </row>
    <row r="3436" spans="1:1" x14ac:dyDescent="0.45">
      <c r="A3436" s="22" t="s">
        <v>5016</v>
      </c>
    </row>
    <row r="3437" spans="1:1" x14ac:dyDescent="0.45">
      <c r="A3437" s="22" t="s">
        <v>5154</v>
      </c>
    </row>
    <row r="3438" spans="1:1" x14ac:dyDescent="0.45">
      <c r="A3438" s="22" t="s">
        <v>5078</v>
      </c>
    </row>
    <row r="3439" spans="1:1" x14ac:dyDescent="0.45">
      <c r="A3439" s="21">
        <v>2000</v>
      </c>
    </row>
    <row r="3440" spans="1:1" x14ac:dyDescent="0.45">
      <c r="A3440" s="22" t="s">
        <v>5170</v>
      </c>
    </row>
    <row r="3441" spans="1:1" x14ac:dyDescent="0.45">
      <c r="A3441" s="21">
        <v>1900</v>
      </c>
    </row>
    <row r="3442" spans="1:1" x14ac:dyDescent="0.45">
      <c r="A3442" s="22" t="s">
        <v>5530</v>
      </c>
    </row>
    <row r="3443" spans="1:1" x14ac:dyDescent="0.45">
      <c r="A3443" s="22" t="s">
        <v>5476</v>
      </c>
    </row>
    <row r="3444" spans="1:1" x14ac:dyDescent="0.45">
      <c r="A3444" s="21">
        <v>1800</v>
      </c>
    </row>
    <row r="3445" spans="1:1" x14ac:dyDescent="0.45">
      <c r="A3445" s="22" t="s">
        <v>5615</v>
      </c>
    </row>
    <row r="3446" spans="1:1" x14ac:dyDescent="0.45">
      <c r="A3446" s="22" t="s">
        <v>5692</v>
      </c>
    </row>
    <row r="3447" spans="1:1" x14ac:dyDescent="0.45">
      <c r="A3447" s="21">
        <v>1700</v>
      </c>
    </row>
    <row r="3448" spans="1:1" x14ac:dyDescent="0.45">
      <c r="A3448" s="22" t="s">
        <v>5973</v>
      </c>
    </row>
    <row r="3449" spans="1:1" x14ac:dyDescent="0.45">
      <c r="A3449" s="21">
        <v>1600</v>
      </c>
    </row>
    <row r="3450" spans="1:1" x14ac:dyDescent="0.45">
      <c r="A3450" s="22" t="s">
        <v>6146</v>
      </c>
    </row>
    <row r="3451" spans="1:1" x14ac:dyDescent="0.45">
      <c r="A3451" s="21">
        <v>1500</v>
      </c>
    </row>
    <row r="3452" spans="1:1" x14ac:dyDescent="0.45">
      <c r="A3452" s="22" t="s">
        <v>6426</v>
      </c>
    </row>
    <row r="3453" spans="1:1" x14ac:dyDescent="0.45">
      <c r="A3453" s="22" t="s">
        <v>6467</v>
      </c>
    </row>
    <row r="3454" spans="1:1" x14ac:dyDescent="0.45">
      <c r="A3454" s="21">
        <v>1400</v>
      </c>
    </row>
    <row r="3455" spans="1:1" x14ac:dyDescent="0.45">
      <c r="A3455" s="22" t="s">
        <v>6596</v>
      </c>
    </row>
    <row r="3456" spans="1:1" x14ac:dyDescent="0.45">
      <c r="A3456" s="22" t="s">
        <v>6852</v>
      </c>
    </row>
    <row r="3457" spans="1:1" x14ac:dyDescent="0.45">
      <c r="A3457" s="22" t="s">
        <v>6658</v>
      </c>
    </row>
    <row r="3458" spans="1:1" x14ac:dyDescent="0.45">
      <c r="A3458" s="21">
        <v>1300</v>
      </c>
    </row>
    <row r="3459" spans="1:1" x14ac:dyDescent="0.45">
      <c r="A3459" s="22" t="s">
        <v>7113</v>
      </c>
    </row>
    <row r="3460" spans="1:1" x14ac:dyDescent="0.45">
      <c r="A3460" s="21">
        <v>1200</v>
      </c>
    </row>
    <row r="3461" spans="1:1" x14ac:dyDescent="0.45">
      <c r="A3461" s="22" t="s">
        <v>7482</v>
      </c>
    </row>
    <row r="3462" spans="1:1" x14ac:dyDescent="0.45">
      <c r="A3462" s="21">
        <v>1100</v>
      </c>
    </row>
    <row r="3463" spans="1:1" x14ac:dyDescent="0.45">
      <c r="A3463" s="22" t="s">
        <v>7651</v>
      </c>
    </row>
    <row r="3464" spans="1:1" x14ac:dyDescent="0.45">
      <c r="A3464" s="21">
        <v>1000</v>
      </c>
    </row>
    <row r="3465" spans="1:1" x14ac:dyDescent="0.45">
      <c r="A3465" s="22" t="s">
        <v>8226</v>
      </c>
    </row>
    <row r="3466" spans="1:1" x14ac:dyDescent="0.45">
      <c r="A3466" s="19">
        <v>79</v>
      </c>
    </row>
    <row r="3467" spans="1:1" x14ac:dyDescent="0.45">
      <c r="A3467" s="21">
        <v>9200</v>
      </c>
    </row>
    <row r="3468" spans="1:1" x14ac:dyDescent="0.45">
      <c r="A3468" s="22" t="s">
        <v>1004</v>
      </c>
    </row>
    <row r="3469" spans="1:1" x14ac:dyDescent="0.45">
      <c r="A3469" s="21">
        <v>8700</v>
      </c>
    </row>
    <row r="3470" spans="1:1" x14ac:dyDescent="0.45">
      <c r="A3470" s="22" t="s">
        <v>1088</v>
      </c>
    </row>
    <row r="3471" spans="1:1" x14ac:dyDescent="0.45">
      <c r="A3471" s="21">
        <v>8600</v>
      </c>
    </row>
    <row r="3472" spans="1:1" x14ac:dyDescent="0.45">
      <c r="A3472" s="22" t="s">
        <v>1102</v>
      </c>
    </row>
    <row r="3473" spans="1:1" x14ac:dyDescent="0.45">
      <c r="A3473" s="21">
        <v>8200</v>
      </c>
    </row>
    <row r="3474" spans="1:1" x14ac:dyDescent="0.45">
      <c r="A3474" s="22" t="s">
        <v>1170</v>
      </c>
    </row>
    <row r="3475" spans="1:1" x14ac:dyDescent="0.45">
      <c r="A3475" s="21">
        <v>7500</v>
      </c>
    </row>
    <row r="3476" spans="1:1" x14ac:dyDescent="0.45">
      <c r="A3476" s="22" t="s">
        <v>1339</v>
      </c>
    </row>
    <row r="3477" spans="1:1" x14ac:dyDescent="0.45">
      <c r="A3477" s="21">
        <v>7200</v>
      </c>
    </row>
    <row r="3478" spans="1:1" x14ac:dyDescent="0.45">
      <c r="A3478" s="22" t="s">
        <v>1407</v>
      </c>
    </row>
    <row r="3479" spans="1:1" x14ac:dyDescent="0.45">
      <c r="A3479" s="21">
        <v>7100</v>
      </c>
    </row>
    <row r="3480" spans="1:1" x14ac:dyDescent="0.45">
      <c r="A3480" s="22" t="s">
        <v>1430</v>
      </c>
    </row>
    <row r="3481" spans="1:1" x14ac:dyDescent="0.45">
      <c r="A3481" s="21">
        <v>6100</v>
      </c>
    </row>
    <row r="3482" spans="1:1" x14ac:dyDescent="0.45">
      <c r="A3482" s="22" t="s">
        <v>1771</v>
      </c>
    </row>
    <row r="3483" spans="1:1" x14ac:dyDescent="0.45">
      <c r="A3483" s="21">
        <v>5600</v>
      </c>
    </row>
    <row r="3484" spans="1:1" x14ac:dyDescent="0.45">
      <c r="A3484" s="22" t="s">
        <v>1890</v>
      </c>
    </row>
    <row r="3485" spans="1:1" x14ac:dyDescent="0.45">
      <c r="A3485" s="21">
        <v>5000</v>
      </c>
    </row>
    <row r="3486" spans="1:1" x14ac:dyDescent="0.45">
      <c r="A3486" s="22" t="s">
        <v>2158</v>
      </c>
    </row>
    <row r="3487" spans="1:1" x14ac:dyDescent="0.45">
      <c r="A3487" s="21">
        <v>4900</v>
      </c>
    </row>
    <row r="3488" spans="1:1" x14ac:dyDescent="0.45">
      <c r="A3488" s="22" t="s">
        <v>2218</v>
      </c>
    </row>
    <row r="3489" spans="1:1" x14ac:dyDescent="0.45">
      <c r="A3489" s="21">
        <v>4800</v>
      </c>
    </row>
    <row r="3490" spans="1:1" x14ac:dyDescent="0.45">
      <c r="A3490" s="22" t="s">
        <v>2279</v>
      </c>
    </row>
    <row r="3491" spans="1:1" x14ac:dyDescent="0.45">
      <c r="A3491" s="21">
        <v>4600</v>
      </c>
    </row>
    <row r="3492" spans="1:1" x14ac:dyDescent="0.45">
      <c r="A3492" s="22" t="s">
        <v>2397</v>
      </c>
    </row>
    <row r="3493" spans="1:1" x14ac:dyDescent="0.45">
      <c r="A3493" s="22" t="s">
        <v>2382</v>
      </c>
    </row>
    <row r="3494" spans="1:1" x14ac:dyDescent="0.45">
      <c r="A3494" s="21">
        <v>4000</v>
      </c>
    </row>
    <row r="3495" spans="1:1" x14ac:dyDescent="0.45">
      <c r="A3495" s="22" t="s">
        <v>2747</v>
      </c>
    </row>
    <row r="3496" spans="1:1" x14ac:dyDescent="0.45">
      <c r="A3496" s="21">
        <v>3900</v>
      </c>
    </row>
    <row r="3497" spans="1:1" x14ac:dyDescent="0.45">
      <c r="A3497" s="22" t="s">
        <v>2863</v>
      </c>
    </row>
    <row r="3498" spans="1:1" x14ac:dyDescent="0.45">
      <c r="A3498" s="21">
        <v>3300</v>
      </c>
    </row>
    <row r="3499" spans="1:1" x14ac:dyDescent="0.45">
      <c r="A3499" s="22" t="s">
        <v>3331</v>
      </c>
    </row>
    <row r="3500" spans="1:1" x14ac:dyDescent="0.45">
      <c r="A3500" s="22" t="s">
        <v>3304</v>
      </c>
    </row>
    <row r="3501" spans="1:1" x14ac:dyDescent="0.45">
      <c r="A3501" s="21">
        <v>3100</v>
      </c>
    </row>
    <row r="3502" spans="1:1" x14ac:dyDescent="0.45">
      <c r="A3502" s="22" t="s">
        <v>3599</v>
      </c>
    </row>
    <row r="3503" spans="1:1" x14ac:dyDescent="0.45">
      <c r="A3503" s="21">
        <v>2900</v>
      </c>
    </row>
    <row r="3504" spans="1:1" x14ac:dyDescent="0.45">
      <c r="A3504" s="22" t="s">
        <v>3777</v>
      </c>
    </row>
    <row r="3505" spans="1:1" x14ac:dyDescent="0.45">
      <c r="A3505" s="22" t="s">
        <v>3792</v>
      </c>
    </row>
    <row r="3506" spans="1:1" x14ac:dyDescent="0.45">
      <c r="A3506" s="21">
        <v>2800</v>
      </c>
    </row>
    <row r="3507" spans="1:1" x14ac:dyDescent="0.45">
      <c r="A3507" s="22" t="s">
        <v>3994</v>
      </c>
    </row>
    <row r="3508" spans="1:1" x14ac:dyDescent="0.45">
      <c r="A3508" s="21">
        <v>2700</v>
      </c>
    </row>
    <row r="3509" spans="1:1" x14ac:dyDescent="0.45">
      <c r="A3509" s="22" t="s">
        <v>4118</v>
      </c>
    </row>
    <row r="3510" spans="1:1" x14ac:dyDescent="0.45">
      <c r="A3510" s="21">
        <v>2600</v>
      </c>
    </row>
    <row r="3511" spans="1:1" x14ac:dyDescent="0.45">
      <c r="A3511" s="22" t="s">
        <v>4220</v>
      </c>
    </row>
    <row r="3512" spans="1:1" x14ac:dyDescent="0.45">
      <c r="A3512" s="22" t="s">
        <v>4283</v>
      </c>
    </row>
    <row r="3513" spans="1:1" x14ac:dyDescent="0.45">
      <c r="A3513" s="21">
        <v>2500</v>
      </c>
    </row>
    <row r="3514" spans="1:1" x14ac:dyDescent="0.45">
      <c r="A3514" s="22" t="s">
        <v>4359</v>
      </c>
    </row>
    <row r="3515" spans="1:1" x14ac:dyDescent="0.45">
      <c r="A3515" s="21">
        <v>2400</v>
      </c>
    </row>
    <row r="3516" spans="1:1" x14ac:dyDescent="0.45">
      <c r="A3516" s="22" t="s">
        <v>4535</v>
      </c>
    </row>
    <row r="3517" spans="1:1" x14ac:dyDescent="0.45">
      <c r="A3517" s="21">
        <v>2300</v>
      </c>
    </row>
    <row r="3518" spans="1:1" x14ac:dyDescent="0.45">
      <c r="A3518" s="22" t="s">
        <v>4731</v>
      </c>
    </row>
    <row r="3519" spans="1:1" x14ac:dyDescent="0.45">
      <c r="A3519" s="21">
        <v>1800</v>
      </c>
    </row>
    <row r="3520" spans="1:1" x14ac:dyDescent="0.45">
      <c r="A3520" s="22" t="s">
        <v>5560</v>
      </c>
    </row>
    <row r="3521" spans="1:1" x14ac:dyDescent="0.45">
      <c r="A3521" s="21">
        <v>1700</v>
      </c>
    </row>
    <row r="3522" spans="1:1" x14ac:dyDescent="0.45">
      <c r="A3522" s="22" t="s">
        <v>5794</v>
      </c>
    </row>
    <row r="3523" spans="1:1" x14ac:dyDescent="0.45">
      <c r="A3523" s="21">
        <v>1500</v>
      </c>
    </row>
    <row r="3524" spans="1:1" x14ac:dyDescent="0.45">
      <c r="A3524" s="22" t="s">
        <v>6296</v>
      </c>
    </row>
    <row r="3525" spans="1:1" x14ac:dyDescent="0.45">
      <c r="A3525" s="22" t="s">
        <v>6433</v>
      </c>
    </row>
    <row r="3526" spans="1:1" x14ac:dyDescent="0.45">
      <c r="A3526" s="22" t="s">
        <v>6555</v>
      </c>
    </row>
    <row r="3527" spans="1:1" x14ac:dyDescent="0.45">
      <c r="A3527" s="22" t="s">
        <v>6452</v>
      </c>
    </row>
    <row r="3528" spans="1:1" x14ac:dyDescent="0.45">
      <c r="A3528" s="22" t="s">
        <v>6543</v>
      </c>
    </row>
    <row r="3529" spans="1:1" x14ac:dyDescent="0.45">
      <c r="A3529" s="22" t="s">
        <v>6517</v>
      </c>
    </row>
    <row r="3530" spans="1:1" x14ac:dyDescent="0.45">
      <c r="A3530" s="22" t="s">
        <v>6297</v>
      </c>
    </row>
    <row r="3531" spans="1:1" x14ac:dyDescent="0.45">
      <c r="A3531" s="21">
        <v>1400</v>
      </c>
    </row>
    <row r="3532" spans="1:1" x14ac:dyDescent="0.45">
      <c r="A3532" s="22" t="s">
        <v>6663</v>
      </c>
    </row>
    <row r="3533" spans="1:1" x14ac:dyDescent="0.45">
      <c r="A3533" s="22" t="s">
        <v>6738</v>
      </c>
    </row>
    <row r="3534" spans="1:1" x14ac:dyDescent="0.45">
      <c r="A3534" s="22" t="s">
        <v>6607</v>
      </c>
    </row>
    <row r="3535" spans="1:1" x14ac:dyDescent="0.45">
      <c r="A3535" s="22" t="s">
        <v>6805</v>
      </c>
    </row>
    <row r="3536" spans="1:1" x14ac:dyDescent="0.45">
      <c r="A3536" s="21">
        <v>1100</v>
      </c>
    </row>
    <row r="3537" spans="1:1" x14ac:dyDescent="0.45">
      <c r="A3537" s="22" t="s">
        <v>7865</v>
      </c>
    </row>
    <row r="3538" spans="1:1" x14ac:dyDescent="0.45">
      <c r="A3538" s="22" t="s">
        <v>7701</v>
      </c>
    </row>
    <row r="3539" spans="1:1" x14ac:dyDescent="0.45">
      <c r="A3539" s="21">
        <v>1000</v>
      </c>
    </row>
    <row r="3540" spans="1:1" x14ac:dyDescent="0.45">
      <c r="A3540" s="22" t="s">
        <v>8051</v>
      </c>
    </row>
    <row r="3541" spans="1:1" x14ac:dyDescent="0.45">
      <c r="A3541" s="22" t="s">
        <v>8090</v>
      </c>
    </row>
    <row r="3542" spans="1:1" x14ac:dyDescent="0.45">
      <c r="A3542" s="22" t="s">
        <v>8041</v>
      </c>
    </row>
    <row r="3543" spans="1:1" x14ac:dyDescent="0.45">
      <c r="A3543" s="19">
        <v>78</v>
      </c>
    </row>
    <row r="3544" spans="1:1" x14ac:dyDescent="0.45">
      <c r="A3544" s="21">
        <v>107000</v>
      </c>
    </row>
    <row r="3545" spans="1:1" x14ac:dyDescent="0.45">
      <c r="A3545" s="22" t="s">
        <v>54</v>
      </c>
    </row>
    <row r="3546" spans="1:1" x14ac:dyDescent="0.45">
      <c r="A3546" s="21">
        <v>57600</v>
      </c>
    </row>
    <row r="3547" spans="1:1" x14ac:dyDescent="0.45">
      <c r="A3547" s="22" t="s">
        <v>155</v>
      </c>
    </row>
    <row r="3548" spans="1:1" x14ac:dyDescent="0.45">
      <c r="A3548" s="21">
        <v>31200</v>
      </c>
    </row>
    <row r="3549" spans="1:1" x14ac:dyDescent="0.45">
      <c r="A3549" s="22" t="s">
        <v>288</v>
      </c>
    </row>
    <row r="3550" spans="1:1" x14ac:dyDescent="0.45">
      <c r="A3550" s="21">
        <v>25300</v>
      </c>
    </row>
    <row r="3551" spans="1:1" x14ac:dyDescent="0.45">
      <c r="A3551" s="22" t="s">
        <v>354</v>
      </c>
    </row>
    <row r="3552" spans="1:1" x14ac:dyDescent="0.45">
      <c r="A3552" s="21">
        <v>14800</v>
      </c>
    </row>
    <row r="3553" spans="1:1" x14ac:dyDescent="0.45">
      <c r="A3553" s="22" t="s">
        <v>635</v>
      </c>
    </row>
    <row r="3554" spans="1:1" x14ac:dyDescent="0.45">
      <c r="A3554" s="21">
        <v>13700</v>
      </c>
    </row>
    <row r="3555" spans="1:1" x14ac:dyDescent="0.45">
      <c r="A3555" s="22" t="s">
        <v>685</v>
      </c>
    </row>
    <row r="3556" spans="1:1" x14ac:dyDescent="0.45">
      <c r="A3556" s="21">
        <v>7200</v>
      </c>
    </row>
    <row r="3557" spans="1:1" x14ac:dyDescent="0.45">
      <c r="A3557" s="22" t="s">
        <v>1413</v>
      </c>
    </row>
    <row r="3558" spans="1:1" x14ac:dyDescent="0.45">
      <c r="A3558" s="21">
        <v>6600</v>
      </c>
    </row>
    <row r="3559" spans="1:1" x14ac:dyDescent="0.45">
      <c r="A3559" s="22" t="s">
        <v>1657</v>
      </c>
    </row>
    <row r="3560" spans="1:1" x14ac:dyDescent="0.45">
      <c r="A3560" s="21">
        <v>5500</v>
      </c>
    </row>
    <row r="3561" spans="1:1" x14ac:dyDescent="0.45">
      <c r="A3561" s="22" t="s">
        <v>1967</v>
      </c>
    </row>
    <row r="3562" spans="1:1" x14ac:dyDescent="0.45">
      <c r="A3562" s="22" t="s">
        <v>1974</v>
      </c>
    </row>
    <row r="3563" spans="1:1" x14ac:dyDescent="0.45">
      <c r="A3563" s="21">
        <v>5300</v>
      </c>
    </row>
    <row r="3564" spans="1:1" x14ac:dyDescent="0.45">
      <c r="A3564" s="22" t="s">
        <v>2057</v>
      </c>
    </row>
    <row r="3565" spans="1:1" x14ac:dyDescent="0.45">
      <c r="A3565" s="22" t="s">
        <v>2047</v>
      </c>
    </row>
    <row r="3566" spans="1:1" x14ac:dyDescent="0.45">
      <c r="A3566" s="21">
        <v>5200</v>
      </c>
    </row>
    <row r="3567" spans="1:1" x14ac:dyDescent="0.45">
      <c r="A3567" s="22" t="s">
        <v>2110</v>
      </c>
    </row>
    <row r="3568" spans="1:1" x14ac:dyDescent="0.45">
      <c r="A3568" s="21">
        <v>5000</v>
      </c>
    </row>
    <row r="3569" spans="1:1" x14ac:dyDescent="0.45">
      <c r="A3569" s="22" t="s">
        <v>2189</v>
      </c>
    </row>
    <row r="3570" spans="1:1" x14ac:dyDescent="0.45">
      <c r="A3570" s="21">
        <v>4800</v>
      </c>
    </row>
    <row r="3571" spans="1:1" x14ac:dyDescent="0.45">
      <c r="A3571" s="22" t="s">
        <v>2310</v>
      </c>
    </row>
    <row r="3572" spans="1:1" x14ac:dyDescent="0.45">
      <c r="A3572" s="21">
        <v>4700</v>
      </c>
    </row>
    <row r="3573" spans="1:1" x14ac:dyDescent="0.45">
      <c r="A3573" s="22" t="s">
        <v>2326</v>
      </c>
    </row>
    <row r="3574" spans="1:1" x14ac:dyDescent="0.45">
      <c r="A3574" s="21">
        <v>4600</v>
      </c>
    </row>
    <row r="3575" spans="1:1" x14ac:dyDescent="0.45">
      <c r="A3575" s="22" t="s">
        <v>2402</v>
      </c>
    </row>
    <row r="3576" spans="1:1" x14ac:dyDescent="0.45">
      <c r="A3576" s="21">
        <v>3900</v>
      </c>
    </row>
    <row r="3577" spans="1:1" x14ac:dyDescent="0.45">
      <c r="A3577" s="22" t="s">
        <v>2834</v>
      </c>
    </row>
    <row r="3578" spans="1:1" x14ac:dyDescent="0.45">
      <c r="A3578" s="21">
        <v>3700</v>
      </c>
    </row>
    <row r="3579" spans="1:1" x14ac:dyDescent="0.45">
      <c r="A3579" s="22" t="s">
        <v>2965</v>
      </c>
    </row>
    <row r="3580" spans="1:1" x14ac:dyDescent="0.45">
      <c r="A3580" s="21">
        <v>3300</v>
      </c>
    </row>
    <row r="3581" spans="1:1" x14ac:dyDescent="0.45">
      <c r="A3581" s="22" t="s">
        <v>3327</v>
      </c>
    </row>
    <row r="3582" spans="1:1" x14ac:dyDescent="0.45">
      <c r="A3582" s="21">
        <v>3000</v>
      </c>
    </row>
    <row r="3583" spans="1:1" x14ac:dyDescent="0.45">
      <c r="A3583" s="22" t="s">
        <v>3665</v>
      </c>
    </row>
    <row r="3584" spans="1:1" x14ac:dyDescent="0.45">
      <c r="A3584" s="21">
        <v>2900</v>
      </c>
    </row>
    <row r="3585" spans="1:1" x14ac:dyDescent="0.45">
      <c r="A3585" s="22" t="s">
        <v>3856</v>
      </c>
    </row>
    <row r="3586" spans="1:1" x14ac:dyDescent="0.45">
      <c r="A3586" s="22" t="s">
        <v>3785</v>
      </c>
    </row>
    <row r="3587" spans="1:1" x14ac:dyDescent="0.45">
      <c r="A3587" s="21">
        <v>2800</v>
      </c>
    </row>
    <row r="3588" spans="1:1" x14ac:dyDescent="0.45">
      <c r="A3588" s="22" t="s">
        <v>3945</v>
      </c>
    </row>
    <row r="3589" spans="1:1" x14ac:dyDescent="0.45">
      <c r="A3589" s="21">
        <v>2700</v>
      </c>
    </row>
    <row r="3590" spans="1:1" x14ac:dyDescent="0.45">
      <c r="A3590" s="22" t="s">
        <v>4038</v>
      </c>
    </row>
    <row r="3591" spans="1:1" x14ac:dyDescent="0.45">
      <c r="A3591" s="22" t="s">
        <v>4085</v>
      </c>
    </row>
    <row r="3592" spans="1:1" x14ac:dyDescent="0.45">
      <c r="A3592" s="21">
        <v>2500</v>
      </c>
    </row>
    <row r="3593" spans="1:1" x14ac:dyDescent="0.45">
      <c r="A3593" s="22" t="s">
        <v>4466</v>
      </c>
    </row>
    <row r="3594" spans="1:1" x14ac:dyDescent="0.45">
      <c r="A3594" s="22" t="s">
        <v>4333</v>
      </c>
    </row>
    <row r="3595" spans="1:1" x14ac:dyDescent="0.45">
      <c r="A3595" s="21">
        <v>2400</v>
      </c>
    </row>
    <row r="3596" spans="1:1" x14ac:dyDescent="0.45">
      <c r="A3596" s="22" t="s">
        <v>4516</v>
      </c>
    </row>
    <row r="3597" spans="1:1" x14ac:dyDescent="0.45">
      <c r="A3597" s="21">
        <v>2300</v>
      </c>
    </row>
    <row r="3598" spans="1:1" x14ac:dyDescent="0.45">
      <c r="A3598" s="22" t="s">
        <v>4702</v>
      </c>
    </row>
    <row r="3599" spans="1:1" x14ac:dyDescent="0.45">
      <c r="A3599" s="22" t="s">
        <v>4615</v>
      </c>
    </row>
    <row r="3600" spans="1:1" x14ac:dyDescent="0.45">
      <c r="A3600" s="21">
        <v>2200</v>
      </c>
    </row>
    <row r="3601" spans="1:1" x14ac:dyDescent="0.45">
      <c r="A3601" s="22" t="s">
        <v>4795</v>
      </c>
    </row>
    <row r="3602" spans="1:1" x14ac:dyDescent="0.45">
      <c r="A3602" s="22" t="s">
        <v>4822</v>
      </c>
    </row>
    <row r="3603" spans="1:1" x14ac:dyDescent="0.45">
      <c r="A3603" s="22" t="s">
        <v>4918</v>
      </c>
    </row>
    <row r="3604" spans="1:1" x14ac:dyDescent="0.45">
      <c r="A3604" s="21">
        <v>2100</v>
      </c>
    </row>
    <row r="3605" spans="1:1" x14ac:dyDescent="0.45">
      <c r="A3605" s="22" t="s">
        <v>4978</v>
      </c>
    </row>
    <row r="3606" spans="1:1" x14ac:dyDescent="0.45">
      <c r="A3606" s="22" t="s">
        <v>4999</v>
      </c>
    </row>
    <row r="3607" spans="1:1" x14ac:dyDescent="0.45">
      <c r="A3607" s="21">
        <v>1800</v>
      </c>
    </row>
    <row r="3608" spans="1:1" x14ac:dyDescent="0.45">
      <c r="A3608" s="22" t="s">
        <v>5576</v>
      </c>
    </row>
    <row r="3609" spans="1:1" x14ac:dyDescent="0.45">
      <c r="A3609" s="22" t="s">
        <v>5606</v>
      </c>
    </row>
    <row r="3610" spans="1:1" x14ac:dyDescent="0.45">
      <c r="A3610" s="22" t="s">
        <v>5670</v>
      </c>
    </row>
    <row r="3611" spans="1:1" x14ac:dyDescent="0.45">
      <c r="A3611" s="22" t="s">
        <v>5604</v>
      </c>
    </row>
    <row r="3612" spans="1:1" x14ac:dyDescent="0.45">
      <c r="A3612" s="21">
        <v>1700</v>
      </c>
    </row>
    <row r="3613" spans="1:1" x14ac:dyDescent="0.45">
      <c r="A3613" s="22" t="s">
        <v>5885</v>
      </c>
    </row>
    <row r="3614" spans="1:1" x14ac:dyDescent="0.45">
      <c r="A3614" s="21">
        <v>1600</v>
      </c>
    </row>
    <row r="3615" spans="1:1" x14ac:dyDescent="0.45">
      <c r="A3615" s="22" t="s">
        <v>6080</v>
      </c>
    </row>
    <row r="3616" spans="1:1" x14ac:dyDescent="0.45">
      <c r="A3616" s="22" t="s">
        <v>6071</v>
      </c>
    </row>
    <row r="3617" spans="1:1" x14ac:dyDescent="0.45">
      <c r="A3617" s="21">
        <v>1500</v>
      </c>
    </row>
    <row r="3618" spans="1:1" x14ac:dyDescent="0.45">
      <c r="A3618" s="22" t="s">
        <v>6351</v>
      </c>
    </row>
    <row r="3619" spans="1:1" x14ac:dyDescent="0.45">
      <c r="A3619" s="22" t="s">
        <v>6391</v>
      </c>
    </row>
    <row r="3620" spans="1:1" x14ac:dyDescent="0.45">
      <c r="A3620" s="22" t="s">
        <v>6447</v>
      </c>
    </row>
    <row r="3621" spans="1:1" x14ac:dyDescent="0.45">
      <c r="A3621" s="21">
        <v>1200</v>
      </c>
    </row>
    <row r="3622" spans="1:1" x14ac:dyDescent="0.45">
      <c r="A3622" s="22" t="s">
        <v>7477</v>
      </c>
    </row>
    <row r="3623" spans="1:1" x14ac:dyDescent="0.45">
      <c r="A3623" s="22" t="s">
        <v>7266</v>
      </c>
    </row>
    <row r="3624" spans="1:1" x14ac:dyDescent="0.45">
      <c r="A3624" s="22" t="s">
        <v>7526</v>
      </c>
    </row>
    <row r="3625" spans="1:1" x14ac:dyDescent="0.45">
      <c r="A3625" s="22" t="s">
        <v>7587</v>
      </c>
    </row>
    <row r="3626" spans="1:1" x14ac:dyDescent="0.45">
      <c r="A3626" s="21">
        <v>1100</v>
      </c>
    </row>
    <row r="3627" spans="1:1" x14ac:dyDescent="0.45">
      <c r="A3627" s="22" t="s">
        <v>7735</v>
      </c>
    </row>
    <row r="3628" spans="1:1" x14ac:dyDescent="0.45">
      <c r="A3628" s="22" t="s">
        <v>7782</v>
      </c>
    </row>
    <row r="3629" spans="1:1" x14ac:dyDescent="0.45">
      <c r="A3629" s="21">
        <v>1000</v>
      </c>
    </row>
    <row r="3630" spans="1:1" x14ac:dyDescent="0.45">
      <c r="A3630" s="22" t="s">
        <v>8142</v>
      </c>
    </row>
    <row r="3631" spans="1:1" x14ac:dyDescent="0.45">
      <c r="A3631" s="22" t="s">
        <v>8109</v>
      </c>
    </row>
    <row r="3632" spans="1:1" x14ac:dyDescent="0.45">
      <c r="A3632" s="19">
        <v>77</v>
      </c>
    </row>
    <row r="3633" spans="1:1" x14ac:dyDescent="0.45">
      <c r="A3633" s="21">
        <v>35000</v>
      </c>
    </row>
    <row r="3634" spans="1:1" x14ac:dyDescent="0.45">
      <c r="A3634" s="22" t="s">
        <v>240</v>
      </c>
    </row>
    <row r="3635" spans="1:1" x14ac:dyDescent="0.45">
      <c r="A3635" s="21">
        <v>25600</v>
      </c>
    </row>
    <row r="3636" spans="1:1" x14ac:dyDescent="0.45">
      <c r="A3636" s="22" t="s">
        <v>342</v>
      </c>
    </row>
    <row r="3637" spans="1:1" x14ac:dyDescent="0.45">
      <c r="A3637" s="21">
        <v>21000</v>
      </c>
    </row>
    <row r="3638" spans="1:1" x14ac:dyDescent="0.45">
      <c r="A3638" s="22" t="s">
        <v>452</v>
      </c>
    </row>
    <row r="3639" spans="1:1" x14ac:dyDescent="0.45">
      <c r="A3639" s="21">
        <v>18500</v>
      </c>
    </row>
    <row r="3640" spans="1:1" x14ac:dyDescent="0.45">
      <c r="A3640" s="22" t="s">
        <v>501</v>
      </c>
    </row>
    <row r="3641" spans="1:1" x14ac:dyDescent="0.45">
      <c r="A3641" s="21">
        <v>9200</v>
      </c>
    </row>
    <row r="3642" spans="1:1" x14ac:dyDescent="0.45">
      <c r="A3642" s="22" t="s">
        <v>1014</v>
      </c>
    </row>
    <row r="3643" spans="1:1" x14ac:dyDescent="0.45">
      <c r="A3643" s="21">
        <v>8400</v>
      </c>
    </row>
    <row r="3644" spans="1:1" x14ac:dyDescent="0.45">
      <c r="A3644" s="22" t="s">
        <v>1135</v>
      </c>
    </row>
    <row r="3645" spans="1:1" x14ac:dyDescent="0.45">
      <c r="A3645" s="22" t="s">
        <v>1144</v>
      </c>
    </row>
    <row r="3646" spans="1:1" x14ac:dyDescent="0.45">
      <c r="A3646" s="21">
        <v>7200</v>
      </c>
    </row>
    <row r="3647" spans="1:1" x14ac:dyDescent="0.45">
      <c r="A3647" s="22" t="s">
        <v>1425</v>
      </c>
    </row>
    <row r="3648" spans="1:1" x14ac:dyDescent="0.45">
      <c r="A3648" s="21">
        <v>7000</v>
      </c>
    </row>
    <row r="3649" spans="1:1" x14ac:dyDescent="0.45">
      <c r="A3649" s="22" t="s">
        <v>1467</v>
      </c>
    </row>
    <row r="3650" spans="1:1" x14ac:dyDescent="0.45">
      <c r="A3650" s="21">
        <v>6300</v>
      </c>
    </row>
    <row r="3651" spans="1:1" x14ac:dyDescent="0.45">
      <c r="A3651" s="22" t="s">
        <v>1721</v>
      </c>
    </row>
    <row r="3652" spans="1:1" x14ac:dyDescent="0.45">
      <c r="A3652" s="21">
        <v>5700</v>
      </c>
    </row>
    <row r="3653" spans="1:1" x14ac:dyDescent="0.45">
      <c r="A3653" s="22" t="s">
        <v>1874</v>
      </c>
    </row>
    <row r="3654" spans="1:1" x14ac:dyDescent="0.45">
      <c r="A3654" s="21">
        <v>5500</v>
      </c>
    </row>
    <row r="3655" spans="1:1" x14ac:dyDescent="0.45">
      <c r="A3655" s="22" t="s">
        <v>1946</v>
      </c>
    </row>
    <row r="3656" spans="1:1" x14ac:dyDescent="0.45">
      <c r="A3656" s="21">
        <v>5400</v>
      </c>
    </row>
    <row r="3657" spans="1:1" x14ac:dyDescent="0.45">
      <c r="A3657" s="22" t="s">
        <v>2010</v>
      </c>
    </row>
    <row r="3658" spans="1:1" x14ac:dyDescent="0.45">
      <c r="A3658" s="22" t="s">
        <v>1991</v>
      </c>
    </row>
    <row r="3659" spans="1:1" x14ac:dyDescent="0.45">
      <c r="A3659" s="21">
        <v>5300</v>
      </c>
    </row>
    <row r="3660" spans="1:1" x14ac:dyDescent="0.45">
      <c r="A3660" s="22" t="s">
        <v>2069</v>
      </c>
    </row>
    <row r="3661" spans="1:1" x14ac:dyDescent="0.45">
      <c r="A3661" s="21">
        <v>4900</v>
      </c>
    </row>
    <row r="3662" spans="1:1" x14ac:dyDescent="0.45">
      <c r="A3662" s="22" t="s">
        <v>2249</v>
      </c>
    </row>
    <row r="3663" spans="1:1" x14ac:dyDescent="0.45">
      <c r="A3663" s="21">
        <v>4700</v>
      </c>
    </row>
    <row r="3664" spans="1:1" x14ac:dyDescent="0.45">
      <c r="A3664" s="22" t="s">
        <v>2339</v>
      </c>
    </row>
    <row r="3665" spans="1:1" x14ac:dyDescent="0.45">
      <c r="A3665" s="21">
        <v>4000</v>
      </c>
    </row>
    <row r="3666" spans="1:1" x14ac:dyDescent="0.45">
      <c r="A3666" s="22" t="s">
        <v>2723</v>
      </c>
    </row>
    <row r="3667" spans="1:1" x14ac:dyDescent="0.45">
      <c r="A3667" s="21">
        <v>3800</v>
      </c>
    </row>
    <row r="3668" spans="1:1" x14ac:dyDescent="0.45">
      <c r="A3668" s="22" t="s">
        <v>2932</v>
      </c>
    </row>
    <row r="3669" spans="1:1" x14ac:dyDescent="0.45">
      <c r="A3669" s="22" t="s">
        <v>2936</v>
      </c>
    </row>
    <row r="3670" spans="1:1" x14ac:dyDescent="0.45">
      <c r="A3670" s="22" t="s">
        <v>2926</v>
      </c>
    </row>
    <row r="3671" spans="1:1" x14ac:dyDescent="0.45">
      <c r="A3671" s="21">
        <v>3700</v>
      </c>
    </row>
    <row r="3672" spans="1:1" x14ac:dyDescent="0.45">
      <c r="A3672" s="22" t="s">
        <v>2959</v>
      </c>
    </row>
    <row r="3673" spans="1:1" x14ac:dyDescent="0.45">
      <c r="A3673" s="21">
        <v>3300</v>
      </c>
    </row>
    <row r="3674" spans="1:1" x14ac:dyDescent="0.45">
      <c r="A3674" s="22" t="s">
        <v>3298</v>
      </c>
    </row>
    <row r="3675" spans="1:1" x14ac:dyDescent="0.45">
      <c r="A3675" s="22" t="s">
        <v>3336</v>
      </c>
    </row>
    <row r="3676" spans="1:1" x14ac:dyDescent="0.45">
      <c r="A3676" s="22" t="s">
        <v>3339</v>
      </c>
    </row>
    <row r="3677" spans="1:1" x14ac:dyDescent="0.45">
      <c r="A3677" s="21">
        <v>3200</v>
      </c>
    </row>
    <row r="3678" spans="1:1" x14ac:dyDescent="0.45">
      <c r="A3678" s="22" t="s">
        <v>3483</v>
      </c>
    </row>
    <row r="3679" spans="1:1" x14ac:dyDescent="0.45">
      <c r="A3679" s="21">
        <v>3100</v>
      </c>
    </row>
    <row r="3680" spans="1:1" x14ac:dyDescent="0.45">
      <c r="A3680" s="22" t="s">
        <v>3533</v>
      </c>
    </row>
    <row r="3681" spans="1:1" x14ac:dyDescent="0.45">
      <c r="A3681" s="21">
        <v>2800</v>
      </c>
    </row>
    <row r="3682" spans="1:1" x14ac:dyDescent="0.45">
      <c r="A3682" s="22" t="s">
        <v>3973</v>
      </c>
    </row>
    <row r="3683" spans="1:1" x14ac:dyDescent="0.45">
      <c r="A3683" s="21">
        <v>2700</v>
      </c>
    </row>
    <row r="3684" spans="1:1" x14ac:dyDescent="0.45">
      <c r="A3684" s="22" t="s">
        <v>3998</v>
      </c>
    </row>
    <row r="3685" spans="1:1" x14ac:dyDescent="0.45">
      <c r="A3685" s="22" t="s">
        <v>4095</v>
      </c>
    </row>
    <row r="3686" spans="1:1" x14ac:dyDescent="0.45">
      <c r="A3686" s="21">
        <v>2600</v>
      </c>
    </row>
    <row r="3687" spans="1:1" x14ac:dyDescent="0.45">
      <c r="A3687" s="22" t="s">
        <v>4298</v>
      </c>
    </row>
    <row r="3688" spans="1:1" x14ac:dyDescent="0.45">
      <c r="A3688" s="22" t="s">
        <v>4242</v>
      </c>
    </row>
    <row r="3689" spans="1:1" x14ac:dyDescent="0.45">
      <c r="A3689" s="21">
        <v>2500</v>
      </c>
    </row>
    <row r="3690" spans="1:1" x14ac:dyDescent="0.45">
      <c r="A3690" s="22" t="s">
        <v>4418</v>
      </c>
    </row>
    <row r="3691" spans="1:1" x14ac:dyDescent="0.45">
      <c r="A3691" s="22" t="s">
        <v>4440</v>
      </c>
    </row>
    <row r="3692" spans="1:1" x14ac:dyDescent="0.45">
      <c r="A3692" s="22" t="s">
        <v>4329</v>
      </c>
    </row>
    <row r="3693" spans="1:1" x14ac:dyDescent="0.45">
      <c r="A3693" s="22" t="s">
        <v>4446</v>
      </c>
    </row>
    <row r="3694" spans="1:1" x14ac:dyDescent="0.45">
      <c r="A3694" s="21">
        <v>2400</v>
      </c>
    </row>
    <row r="3695" spans="1:1" x14ac:dyDescent="0.45">
      <c r="A3695" s="22" t="s">
        <v>4540</v>
      </c>
    </row>
    <row r="3696" spans="1:1" x14ac:dyDescent="0.45">
      <c r="A3696" s="22" t="s">
        <v>4493</v>
      </c>
    </row>
    <row r="3697" spans="1:1" x14ac:dyDescent="0.45">
      <c r="A3697" s="21">
        <v>2300</v>
      </c>
    </row>
    <row r="3698" spans="1:1" x14ac:dyDescent="0.45">
      <c r="A3698" s="22" t="s">
        <v>4724</v>
      </c>
    </row>
    <row r="3699" spans="1:1" x14ac:dyDescent="0.45">
      <c r="A3699" s="22" t="s">
        <v>4694</v>
      </c>
    </row>
    <row r="3700" spans="1:1" x14ac:dyDescent="0.45">
      <c r="A3700" s="21">
        <v>2200</v>
      </c>
    </row>
    <row r="3701" spans="1:1" x14ac:dyDescent="0.45">
      <c r="A3701" s="22" t="s">
        <v>4900</v>
      </c>
    </row>
    <row r="3702" spans="1:1" x14ac:dyDescent="0.45">
      <c r="A3702" s="21">
        <v>2000</v>
      </c>
    </row>
    <row r="3703" spans="1:1" x14ac:dyDescent="0.45">
      <c r="A3703" s="22" t="s">
        <v>5226</v>
      </c>
    </row>
    <row r="3704" spans="1:1" x14ac:dyDescent="0.45">
      <c r="A3704" s="22" t="s">
        <v>5231</v>
      </c>
    </row>
    <row r="3705" spans="1:1" x14ac:dyDescent="0.45">
      <c r="A3705" s="22" t="s">
        <v>5305</v>
      </c>
    </row>
    <row r="3706" spans="1:1" x14ac:dyDescent="0.45">
      <c r="A3706" s="22" t="s">
        <v>5178</v>
      </c>
    </row>
    <row r="3707" spans="1:1" x14ac:dyDescent="0.45">
      <c r="A3707" s="21">
        <v>1900</v>
      </c>
    </row>
    <row r="3708" spans="1:1" x14ac:dyDescent="0.45">
      <c r="A3708" s="22" t="s">
        <v>5433</v>
      </c>
    </row>
    <row r="3709" spans="1:1" x14ac:dyDescent="0.45">
      <c r="A3709" s="21">
        <v>1800</v>
      </c>
    </row>
    <row r="3710" spans="1:1" x14ac:dyDescent="0.45">
      <c r="A3710" s="22" t="s">
        <v>5673</v>
      </c>
    </row>
    <row r="3711" spans="1:1" x14ac:dyDescent="0.45">
      <c r="A3711" s="22" t="s">
        <v>5612</v>
      </c>
    </row>
    <row r="3712" spans="1:1" x14ac:dyDescent="0.45">
      <c r="A3712" s="22" t="s">
        <v>5662</v>
      </c>
    </row>
    <row r="3713" spans="1:1" x14ac:dyDescent="0.45">
      <c r="A3713" s="21">
        <v>1700</v>
      </c>
    </row>
    <row r="3714" spans="1:1" x14ac:dyDescent="0.45">
      <c r="A3714" s="22" t="s">
        <v>5785</v>
      </c>
    </row>
    <row r="3715" spans="1:1" x14ac:dyDescent="0.45">
      <c r="A3715" s="21">
        <v>1600</v>
      </c>
    </row>
    <row r="3716" spans="1:1" x14ac:dyDescent="0.45">
      <c r="A3716" s="22" t="s">
        <v>6155</v>
      </c>
    </row>
    <row r="3717" spans="1:1" x14ac:dyDescent="0.45">
      <c r="A3717" s="21">
        <v>1500</v>
      </c>
    </row>
    <row r="3718" spans="1:1" x14ac:dyDescent="0.45">
      <c r="A3718" s="22" t="s">
        <v>6431</v>
      </c>
    </row>
    <row r="3719" spans="1:1" x14ac:dyDescent="0.45">
      <c r="A3719" s="21">
        <v>1400</v>
      </c>
    </row>
    <row r="3720" spans="1:1" x14ac:dyDescent="0.45">
      <c r="A3720" s="22" t="s">
        <v>6696</v>
      </c>
    </row>
    <row r="3721" spans="1:1" x14ac:dyDescent="0.45">
      <c r="A3721" s="21">
        <v>1300</v>
      </c>
    </row>
    <row r="3722" spans="1:1" x14ac:dyDescent="0.45">
      <c r="A3722" s="22" t="s">
        <v>6959</v>
      </c>
    </row>
    <row r="3723" spans="1:1" x14ac:dyDescent="0.45">
      <c r="A3723" s="22" t="s">
        <v>7141</v>
      </c>
    </row>
    <row r="3724" spans="1:1" x14ac:dyDescent="0.45">
      <c r="A3724" s="22" t="s">
        <v>7185</v>
      </c>
    </row>
    <row r="3725" spans="1:1" x14ac:dyDescent="0.45">
      <c r="A3725" s="22" t="s">
        <v>7143</v>
      </c>
    </row>
    <row r="3726" spans="1:1" x14ac:dyDescent="0.45">
      <c r="A3726" s="21">
        <v>1200</v>
      </c>
    </row>
    <row r="3727" spans="1:1" x14ac:dyDescent="0.45">
      <c r="A3727" s="22" t="s">
        <v>7514</v>
      </c>
    </row>
    <row r="3728" spans="1:1" x14ac:dyDescent="0.45">
      <c r="A3728" s="22" t="s">
        <v>7575</v>
      </c>
    </row>
    <row r="3729" spans="1:1" x14ac:dyDescent="0.45">
      <c r="A3729" s="21">
        <v>1100</v>
      </c>
    </row>
    <row r="3730" spans="1:1" x14ac:dyDescent="0.45">
      <c r="A3730" s="22" t="s">
        <v>7886</v>
      </c>
    </row>
    <row r="3731" spans="1:1" x14ac:dyDescent="0.45">
      <c r="A3731" s="21">
        <v>1000</v>
      </c>
    </row>
    <row r="3732" spans="1:1" x14ac:dyDescent="0.45">
      <c r="A3732" s="22" t="s">
        <v>8185</v>
      </c>
    </row>
    <row r="3733" spans="1:1" x14ac:dyDescent="0.45">
      <c r="A3733" s="22" t="s">
        <v>8200</v>
      </c>
    </row>
    <row r="3734" spans="1:1" x14ac:dyDescent="0.45">
      <c r="A3734" s="22" t="s">
        <v>8147</v>
      </c>
    </row>
    <row r="3735" spans="1:1" x14ac:dyDescent="0.45">
      <c r="A3735" s="19">
        <v>76</v>
      </c>
    </row>
    <row r="3736" spans="1:1" x14ac:dyDescent="0.45">
      <c r="A3736" s="21">
        <v>27800</v>
      </c>
    </row>
    <row r="3737" spans="1:1" x14ac:dyDescent="0.45">
      <c r="A3737" s="22" t="s">
        <v>316</v>
      </c>
    </row>
    <row r="3738" spans="1:1" x14ac:dyDescent="0.45">
      <c r="A3738" s="21">
        <v>15800</v>
      </c>
    </row>
    <row r="3739" spans="1:1" x14ac:dyDescent="0.45">
      <c r="A3739" s="22" t="s">
        <v>606</v>
      </c>
    </row>
    <row r="3740" spans="1:1" x14ac:dyDescent="0.45">
      <c r="A3740" s="21">
        <v>13700</v>
      </c>
    </row>
    <row r="3741" spans="1:1" x14ac:dyDescent="0.45">
      <c r="A3741" s="22" t="s">
        <v>690</v>
      </c>
    </row>
    <row r="3742" spans="1:1" x14ac:dyDescent="0.45">
      <c r="A3742" s="21">
        <v>9700</v>
      </c>
    </row>
    <row r="3743" spans="1:1" x14ac:dyDescent="0.45">
      <c r="A3743" s="22" t="s">
        <v>939</v>
      </c>
    </row>
    <row r="3744" spans="1:1" x14ac:dyDescent="0.45">
      <c r="A3744" s="21">
        <v>8000</v>
      </c>
    </row>
    <row r="3745" spans="1:1" x14ac:dyDescent="0.45">
      <c r="A3745" s="22" t="s">
        <v>1220</v>
      </c>
    </row>
    <row r="3746" spans="1:1" x14ac:dyDescent="0.45">
      <c r="A3746" s="21">
        <v>7100</v>
      </c>
    </row>
    <row r="3747" spans="1:1" x14ac:dyDescent="0.45">
      <c r="A3747" s="22" t="s">
        <v>1435</v>
      </c>
    </row>
    <row r="3748" spans="1:1" x14ac:dyDescent="0.45">
      <c r="A3748" s="21">
        <v>6000</v>
      </c>
    </row>
    <row r="3749" spans="1:1" x14ac:dyDescent="0.45">
      <c r="A3749" s="22" t="s">
        <v>1818</v>
      </c>
    </row>
    <row r="3750" spans="1:1" x14ac:dyDescent="0.45">
      <c r="A3750" s="21">
        <v>5700</v>
      </c>
    </row>
    <row r="3751" spans="1:1" x14ac:dyDescent="0.45">
      <c r="A3751" s="22" t="s">
        <v>1862</v>
      </c>
    </row>
    <row r="3752" spans="1:1" x14ac:dyDescent="0.45">
      <c r="A3752" s="21">
        <v>4700</v>
      </c>
    </row>
    <row r="3753" spans="1:1" x14ac:dyDescent="0.45">
      <c r="A3753" s="22" t="s">
        <v>2320</v>
      </c>
    </row>
    <row r="3754" spans="1:1" x14ac:dyDescent="0.45">
      <c r="A3754" s="22" t="s">
        <v>2348</v>
      </c>
    </row>
    <row r="3755" spans="1:1" x14ac:dyDescent="0.45">
      <c r="A3755" s="21">
        <v>4500</v>
      </c>
    </row>
    <row r="3756" spans="1:1" x14ac:dyDescent="0.45">
      <c r="A3756" s="22" t="s">
        <v>2439</v>
      </c>
    </row>
    <row r="3757" spans="1:1" x14ac:dyDescent="0.45">
      <c r="A3757" s="21">
        <v>4100</v>
      </c>
    </row>
    <row r="3758" spans="1:1" x14ac:dyDescent="0.45">
      <c r="A3758" s="22" t="s">
        <v>2689</v>
      </c>
    </row>
    <row r="3759" spans="1:1" x14ac:dyDescent="0.45">
      <c r="A3759" s="21">
        <v>4000</v>
      </c>
    </row>
    <row r="3760" spans="1:1" x14ac:dyDescent="0.45">
      <c r="A3760" s="22" t="s">
        <v>2769</v>
      </c>
    </row>
    <row r="3761" spans="1:1" x14ac:dyDescent="0.45">
      <c r="A3761" s="21">
        <v>3900</v>
      </c>
    </row>
    <row r="3762" spans="1:1" x14ac:dyDescent="0.45">
      <c r="A3762" s="22" t="s">
        <v>2837</v>
      </c>
    </row>
    <row r="3763" spans="1:1" x14ac:dyDescent="0.45">
      <c r="A3763" s="22" t="s">
        <v>2788</v>
      </c>
    </row>
    <row r="3764" spans="1:1" x14ac:dyDescent="0.45">
      <c r="A3764" s="21">
        <v>3700</v>
      </c>
    </row>
    <row r="3765" spans="1:1" x14ac:dyDescent="0.45">
      <c r="A3765" s="22" t="s">
        <v>2940</v>
      </c>
    </row>
    <row r="3766" spans="1:1" x14ac:dyDescent="0.45">
      <c r="A3766" s="21">
        <v>3500</v>
      </c>
    </row>
    <row r="3767" spans="1:1" x14ac:dyDescent="0.45">
      <c r="A3767" s="22" t="s">
        <v>3104</v>
      </c>
    </row>
    <row r="3768" spans="1:1" x14ac:dyDescent="0.45">
      <c r="A3768" s="22" t="s">
        <v>3157</v>
      </c>
    </row>
    <row r="3769" spans="1:1" x14ac:dyDescent="0.45">
      <c r="A3769" s="21">
        <v>3100</v>
      </c>
    </row>
    <row r="3770" spans="1:1" x14ac:dyDescent="0.45">
      <c r="A3770" s="22" t="s">
        <v>3519</v>
      </c>
    </row>
    <row r="3771" spans="1:1" x14ac:dyDescent="0.45">
      <c r="A3771" s="21">
        <v>3000</v>
      </c>
    </row>
    <row r="3772" spans="1:1" x14ac:dyDescent="0.45">
      <c r="A3772" s="22" t="s">
        <v>3667</v>
      </c>
    </row>
    <row r="3773" spans="1:1" x14ac:dyDescent="0.45">
      <c r="A3773" s="22" t="s">
        <v>3685</v>
      </c>
    </row>
    <row r="3774" spans="1:1" x14ac:dyDescent="0.45">
      <c r="A3774" s="21">
        <v>2800</v>
      </c>
    </row>
    <row r="3775" spans="1:1" x14ac:dyDescent="0.45">
      <c r="A3775" s="22" t="s">
        <v>3966</v>
      </c>
    </row>
    <row r="3776" spans="1:1" x14ac:dyDescent="0.45">
      <c r="A3776" s="21">
        <v>2700</v>
      </c>
    </row>
    <row r="3777" spans="1:1" x14ac:dyDescent="0.45">
      <c r="A3777" s="22" t="s">
        <v>4109</v>
      </c>
    </row>
    <row r="3778" spans="1:1" x14ac:dyDescent="0.45">
      <c r="A3778" s="21">
        <v>2600</v>
      </c>
    </row>
    <row r="3779" spans="1:1" x14ac:dyDescent="0.45">
      <c r="A3779" s="22" t="s">
        <v>4266</v>
      </c>
    </row>
    <row r="3780" spans="1:1" x14ac:dyDescent="0.45">
      <c r="A3780" s="22" t="s">
        <v>4245</v>
      </c>
    </row>
    <row r="3781" spans="1:1" x14ac:dyDescent="0.45">
      <c r="A3781" s="21">
        <v>2500</v>
      </c>
    </row>
    <row r="3782" spans="1:1" x14ac:dyDescent="0.45">
      <c r="A3782" s="22" t="s">
        <v>4464</v>
      </c>
    </row>
    <row r="3783" spans="1:1" x14ac:dyDescent="0.45">
      <c r="A3783" s="22" t="s">
        <v>4414</v>
      </c>
    </row>
    <row r="3784" spans="1:1" x14ac:dyDescent="0.45">
      <c r="A3784" s="22" t="s">
        <v>4422</v>
      </c>
    </row>
    <row r="3785" spans="1:1" x14ac:dyDescent="0.45">
      <c r="A3785" s="21">
        <v>2400</v>
      </c>
    </row>
    <row r="3786" spans="1:1" x14ac:dyDescent="0.45">
      <c r="A3786" s="22" t="s">
        <v>4532</v>
      </c>
    </row>
    <row r="3787" spans="1:1" x14ac:dyDescent="0.45">
      <c r="A3787" s="21">
        <v>2200</v>
      </c>
    </row>
    <row r="3788" spans="1:1" x14ac:dyDescent="0.45">
      <c r="A3788" s="22" t="s">
        <v>4834</v>
      </c>
    </row>
    <row r="3789" spans="1:1" x14ac:dyDescent="0.45">
      <c r="A3789" s="22" t="s">
        <v>4803</v>
      </c>
    </row>
    <row r="3790" spans="1:1" x14ac:dyDescent="0.45">
      <c r="A3790" s="21">
        <v>2100</v>
      </c>
    </row>
    <row r="3791" spans="1:1" x14ac:dyDescent="0.45">
      <c r="A3791" s="22" t="s">
        <v>5087</v>
      </c>
    </row>
    <row r="3792" spans="1:1" x14ac:dyDescent="0.45">
      <c r="A3792" s="21">
        <v>2000</v>
      </c>
    </row>
    <row r="3793" spans="1:1" x14ac:dyDescent="0.45">
      <c r="A3793" s="22" t="s">
        <v>5307</v>
      </c>
    </row>
    <row r="3794" spans="1:1" x14ac:dyDescent="0.45">
      <c r="A3794" s="21">
        <v>1900</v>
      </c>
    </row>
    <row r="3795" spans="1:1" x14ac:dyDescent="0.45">
      <c r="A3795" s="22" t="s">
        <v>5513</v>
      </c>
    </row>
    <row r="3796" spans="1:1" x14ac:dyDescent="0.45">
      <c r="A3796" s="21">
        <v>1800</v>
      </c>
    </row>
    <row r="3797" spans="1:1" x14ac:dyDescent="0.45">
      <c r="A3797" s="22" t="s">
        <v>5699</v>
      </c>
    </row>
    <row r="3798" spans="1:1" x14ac:dyDescent="0.45">
      <c r="A3798" s="21">
        <v>1700</v>
      </c>
    </row>
    <row r="3799" spans="1:1" x14ac:dyDescent="0.45">
      <c r="A3799" s="22" t="s">
        <v>5935</v>
      </c>
    </row>
    <row r="3800" spans="1:1" x14ac:dyDescent="0.45">
      <c r="A3800" s="22" t="s">
        <v>5970</v>
      </c>
    </row>
    <row r="3801" spans="1:1" x14ac:dyDescent="0.45">
      <c r="A3801" s="21">
        <v>1600</v>
      </c>
    </row>
    <row r="3802" spans="1:1" x14ac:dyDescent="0.45">
      <c r="A3802" s="22" t="s">
        <v>6232</v>
      </c>
    </row>
    <row r="3803" spans="1:1" x14ac:dyDescent="0.45">
      <c r="A3803" s="22" t="s">
        <v>6122</v>
      </c>
    </row>
    <row r="3804" spans="1:1" x14ac:dyDescent="0.45">
      <c r="A3804" s="21">
        <v>1500</v>
      </c>
    </row>
    <row r="3805" spans="1:1" x14ac:dyDescent="0.45">
      <c r="A3805" s="22" t="s">
        <v>6400</v>
      </c>
    </row>
    <row r="3806" spans="1:1" x14ac:dyDescent="0.45">
      <c r="A3806" s="21">
        <v>1400</v>
      </c>
    </row>
    <row r="3807" spans="1:1" x14ac:dyDescent="0.45">
      <c r="A3807" s="22" t="s">
        <v>6692</v>
      </c>
    </row>
    <row r="3808" spans="1:1" x14ac:dyDescent="0.45">
      <c r="A3808" s="22" t="s">
        <v>6703</v>
      </c>
    </row>
    <row r="3809" spans="1:1" x14ac:dyDescent="0.45">
      <c r="A3809" s="22" t="s">
        <v>2992</v>
      </c>
    </row>
    <row r="3810" spans="1:1" x14ac:dyDescent="0.45">
      <c r="A3810" s="21">
        <v>1300</v>
      </c>
    </row>
    <row r="3811" spans="1:1" x14ac:dyDescent="0.45">
      <c r="A3811" s="22" t="s">
        <v>6898</v>
      </c>
    </row>
    <row r="3812" spans="1:1" x14ac:dyDescent="0.45">
      <c r="A3812" s="22" t="s">
        <v>6961</v>
      </c>
    </row>
    <row r="3813" spans="1:1" x14ac:dyDescent="0.45">
      <c r="A3813" s="22" t="s">
        <v>6944</v>
      </c>
    </row>
    <row r="3814" spans="1:1" x14ac:dyDescent="0.45">
      <c r="A3814" s="21">
        <v>1200</v>
      </c>
    </row>
    <row r="3815" spans="1:1" x14ac:dyDescent="0.45">
      <c r="A3815" s="22" t="s">
        <v>7457</v>
      </c>
    </row>
    <row r="3816" spans="1:1" x14ac:dyDescent="0.45">
      <c r="A3816" s="22" t="s">
        <v>7348</v>
      </c>
    </row>
    <row r="3817" spans="1:1" x14ac:dyDescent="0.45">
      <c r="A3817" s="21">
        <v>1100</v>
      </c>
    </row>
    <row r="3818" spans="1:1" x14ac:dyDescent="0.45">
      <c r="A3818" s="22" t="s">
        <v>7845</v>
      </c>
    </row>
    <row r="3819" spans="1:1" x14ac:dyDescent="0.45">
      <c r="A3819" s="22" t="s">
        <v>7741</v>
      </c>
    </row>
    <row r="3820" spans="1:1" x14ac:dyDescent="0.45">
      <c r="A3820" s="22" t="s">
        <v>7891</v>
      </c>
    </row>
    <row r="3821" spans="1:1" x14ac:dyDescent="0.45">
      <c r="A3821" s="21">
        <v>1000</v>
      </c>
    </row>
    <row r="3822" spans="1:1" x14ac:dyDescent="0.45">
      <c r="A3822" s="22" t="s">
        <v>8160</v>
      </c>
    </row>
    <row r="3823" spans="1:1" x14ac:dyDescent="0.45">
      <c r="A3823" s="22" t="s">
        <v>7985</v>
      </c>
    </row>
    <row r="3824" spans="1:1" x14ac:dyDescent="0.45">
      <c r="A3824" s="22" t="s">
        <v>7971</v>
      </c>
    </row>
    <row r="3825" spans="1:1" x14ac:dyDescent="0.45">
      <c r="A3825" s="19">
        <v>75</v>
      </c>
    </row>
    <row r="3826" spans="1:1" x14ac:dyDescent="0.45">
      <c r="A3826" s="21">
        <v>16200</v>
      </c>
    </row>
    <row r="3827" spans="1:1" x14ac:dyDescent="0.45">
      <c r="A3827" s="22" t="s">
        <v>576</v>
      </c>
    </row>
    <row r="3828" spans="1:1" x14ac:dyDescent="0.45">
      <c r="A3828" s="21">
        <v>12900</v>
      </c>
    </row>
    <row r="3829" spans="1:1" x14ac:dyDescent="0.45">
      <c r="A3829" s="22" t="s">
        <v>730</v>
      </c>
    </row>
    <row r="3830" spans="1:1" x14ac:dyDescent="0.45">
      <c r="A3830" s="21">
        <v>9800</v>
      </c>
    </row>
    <row r="3831" spans="1:1" x14ac:dyDescent="0.45">
      <c r="A3831" s="22" t="s">
        <v>920</v>
      </c>
    </row>
    <row r="3832" spans="1:1" x14ac:dyDescent="0.45">
      <c r="A3832" s="21">
        <v>9300</v>
      </c>
    </row>
    <row r="3833" spans="1:1" x14ac:dyDescent="0.45">
      <c r="A3833" s="22" t="s">
        <v>997</v>
      </c>
    </row>
    <row r="3834" spans="1:1" x14ac:dyDescent="0.45">
      <c r="A3834" s="21">
        <v>8600</v>
      </c>
    </row>
    <row r="3835" spans="1:1" x14ac:dyDescent="0.45">
      <c r="A3835" s="22" t="s">
        <v>1106</v>
      </c>
    </row>
    <row r="3836" spans="1:1" x14ac:dyDescent="0.45">
      <c r="A3836" s="21">
        <v>8400</v>
      </c>
    </row>
    <row r="3837" spans="1:1" x14ac:dyDescent="0.45">
      <c r="A3837" s="22" t="s">
        <v>1129</v>
      </c>
    </row>
    <row r="3838" spans="1:1" x14ac:dyDescent="0.45">
      <c r="A3838" s="21">
        <v>8300</v>
      </c>
    </row>
    <row r="3839" spans="1:1" x14ac:dyDescent="0.45">
      <c r="A3839" s="22" t="s">
        <v>1149</v>
      </c>
    </row>
    <row r="3840" spans="1:1" x14ac:dyDescent="0.45">
      <c r="A3840" s="21">
        <v>8200</v>
      </c>
    </row>
    <row r="3841" spans="1:1" x14ac:dyDescent="0.45">
      <c r="A3841" s="22" t="s">
        <v>1162</v>
      </c>
    </row>
    <row r="3842" spans="1:1" x14ac:dyDescent="0.45">
      <c r="A3842" s="21">
        <v>7800</v>
      </c>
    </row>
    <row r="3843" spans="1:1" x14ac:dyDescent="0.45">
      <c r="A3843" s="22" t="s">
        <v>1271</v>
      </c>
    </row>
    <row r="3844" spans="1:1" x14ac:dyDescent="0.45">
      <c r="A3844" s="21">
        <v>6700</v>
      </c>
    </row>
    <row r="3845" spans="1:1" x14ac:dyDescent="0.45">
      <c r="A3845" s="22" t="s">
        <v>1586</v>
      </c>
    </row>
    <row r="3846" spans="1:1" x14ac:dyDescent="0.45">
      <c r="A3846" s="21">
        <v>5800</v>
      </c>
    </row>
    <row r="3847" spans="1:1" x14ac:dyDescent="0.45">
      <c r="A3847" s="22" t="s">
        <v>1848</v>
      </c>
    </row>
    <row r="3848" spans="1:1" x14ac:dyDescent="0.45">
      <c r="A3848" s="21">
        <v>5100</v>
      </c>
    </row>
    <row r="3849" spans="1:1" x14ac:dyDescent="0.45">
      <c r="A3849" s="22" t="s">
        <v>2146</v>
      </c>
    </row>
    <row r="3850" spans="1:1" x14ac:dyDescent="0.45">
      <c r="A3850" s="21">
        <v>5000</v>
      </c>
    </row>
    <row r="3851" spans="1:1" x14ac:dyDescent="0.45">
      <c r="A3851" s="22" t="s">
        <v>2161</v>
      </c>
    </row>
    <row r="3852" spans="1:1" x14ac:dyDescent="0.45">
      <c r="A3852" s="21">
        <v>4300</v>
      </c>
    </row>
    <row r="3853" spans="1:1" x14ac:dyDescent="0.45">
      <c r="A3853" s="22" t="s">
        <v>2560</v>
      </c>
    </row>
    <row r="3854" spans="1:1" x14ac:dyDescent="0.45">
      <c r="A3854" s="21">
        <v>4000</v>
      </c>
    </row>
    <row r="3855" spans="1:1" x14ac:dyDescent="0.45">
      <c r="A3855" s="22" t="s">
        <v>2715</v>
      </c>
    </row>
    <row r="3856" spans="1:1" x14ac:dyDescent="0.45">
      <c r="A3856" s="22" t="s">
        <v>2773</v>
      </c>
    </row>
    <row r="3857" spans="1:1" x14ac:dyDescent="0.45">
      <c r="A3857" s="21">
        <v>3700</v>
      </c>
    </row>
    <row r="3858" spans="1:1" x14ac:dyDescent="0.45">
      <c r="A3858" s="22" t="s">
        <v>2977</v>
      </c>
    </row>
    <row r="3859" spans="1:1" x14ac:dyDescent="0.45">
      <c r="A3859" s="21">
        <v>3600</v>
      </c>
    </row>
    <row r="3860" spans="1:1" x14ac:dyDescent="0.45">
      <c r="A3860" s="22" t="s">
        <v>3047</v>
      </c>
    </row>
    <row r="3861" spans="1:1" x14ac:dyDescent="0.45">
      <c r="A3861" s="21">
        <v>3500</v>
      </c>
    </row>
    <row r="3862" spans="1:1" x14ac:dyDescent="0.45">
      <c r="A3862" s="22" t="s">
        <v>3181</v>
      </c>
    </row>
    <row r="3863" spans="1:1" x14ac:dyDescent="0.45">
      <c r="A3863" s="21">
        <v>3400</v>
      </c>
    </row>
    <row r="3864" spans="1:1" x14ac:dyDescent="0.45">
      <c r="A3864" s="22" t="s">
        <v>3282</v>
      </c>
    </row>
    <row r="3865" spans="1:1" x14ac:dyDescent="0.45">
      <c r="A3865" s="22" t="s">
        <v>3237</v>
      </c>
    </row>
    <row r="3866" spans="1:1" x14ac:dyDescent="0.45">
      <c r="A3866" s="21">
        <v>3300</v>
      </c>
    </row>
    <row r="3867" spans="1:1" x14ac:dyDescent="0.45">
      <c r="A3867" s="22" t="s">
        <v>3284</v>
      </c>
    </row>
    <row r="3868" spans="1:1" x14ac:dyDescent="0.45">
      <c r="A3868" s="21">
        <v>3100</v>
      </c>
    </row>
    <row r="3869" spans="1:1" x14ac:dyDescent="0.45">
      <c r="A3869" s="22" t="s">
        <v>3531</v>
      </c>
    </row>
    <row r="3870" spans="1:1" x14ac:dyDescent="0.45">
      <c r="A3870" s="21">
        <v>3000</v>
      </c>
    </row>
    <row r="3871" spans="1:1" x14ac:dyDescent="0.45">
      <c r="A3871" s="22" t="s">
        <v>3687</v>
      </c>
    </row>
    <row r="3872" spans="1:1" x14ac:dyDescent="0.45">
      <c r="A3872" s="21">
        <v>2900</v>
      </c>
    </row>
    <row r="3873" spans="1:1" x14ac:dyDescent="0.45">
      <c r="A3873" s="22" t="s">
        <v>3803</v>
      </c>
    </row>
    <row r="3874" spans="1:1" x14ac:dyDescent="0.45">
      <c r="A3874" s="21">
        <v>2800</v>
      </c>
    </row>
    <row r="3875" spans="1:1" x14ac:dyDescent="0.45">
      <c r="A3875" s="22" t="s">
        <v>3895</v>
      </c>
    </row>
    <row r="3876" spans="1:1" x14ac:dyDescent="0.45">
      <c r="A3876" s="21">
        <v>2700</v>
      </c>
    </row>
    <row r="3877" spans="1:1" x14ac:dyDescent="0.45">
      <c r="A3877" s="22" t="s">
        <v>4122</v>
      </c>
    </row>
    <row r="3878" spans="1:1" x14ac:dyDescent="0.45">
      <c r="A3878" s="22" t="s">
        <v>4142</v>
      </c>
    </row>
    <row r="3879" spans="1:1" x14ac:dyDescent="0.45">
      <c r="A3879" s="21">
        <v>2600</v>
      </c>
    </row>
    <row r="3880" spans="1:1" x14ac:dyDescent="0.45">
      <c r="A3880" s="22" t="s">
        <v>4231</v>
      </c>
    </row>
    <row r="3881" spans="1:1" x14ac:dyDescent="0.45">
      <c r="A3881" s="21">
        <v>2500</v>
      </c>
    </row>
    <row r="3882" spans="1:1" x14ac:dyDescent="0.45">
      <c r="A3882" s="22" t="s">
        <v>4355</v>
      </c>
    </row>
    <row r="3883" spans="1:1" x14ac:dyDescent="0.45">
      <c r="A3883" s="22" t="s">
        <v>4357</v>
      </c>
    </row>
    <row r="3884" spans="1:1" x14ac:dyDescent="0.45">
      <c r="A3884" s="22" t="s">
        <v>4363</v>
      </c>
    </row>
    <row r="3885" spans="1:1" x14ac:dyDescent="0.45">
      <c r="A3885" s="21">
        <v>2300</v>
      </c>
    </row>
    <row r="3886" spans="1:1" x14ac:dyDescent="0.45">
      <c r="A3886" s="22" t="s">
        <v>4683</v>
      </c>
    </row>
    <row r="3887" spans="1:1" x14ac:dyDescent="0.45">
      <c r="A3887" s="22" t="s">
        <v>4699</v>
      </c>
    </row>
    <row r="3888" spans="1:1" x14ac:dyDescent="0.45">
      <c r="A3888" s="21">
        <v>2200</v>
      </c>
    </row>
    <row r="3889" spans="1:1" x14ac:dyDescent="0.45">
      <c r="A3889" s="22" t="s">
        <v>4814</v>
      </c>
    </row>
    <row r="3890" spans="1:1" x14ac:dyDescent="0.45">
      <c r="A3890" s="21">
        <v>2100</v>
      </c>
    </row>
    <row r="3891" spans="1:1" x14ac:dyDescent="0.45">
      <c r="A3891" s="22" t="s">
        <v>5115</v>
      </c>
    </row>
    <row r="3892" spans="1:1" x14ac:dyDescent="0.45">
      <c r="A3892" s="21">
        <v>2000</v>
      </c>
    </row>
    <row r="3893" spans="1:1" x14ac:dyDescent="0.45">
      <c r="A3893" s="22" t="s">
        <v>5263</v>
      </c>
    </row>
    <row r="3894" spans="1:1" x14ac:dyDescent="0.45">
      <c r="A3894" s="21">
        <v>1800</v>
      </c>
    </row>
    <row r="3895" spans="1:1" x14ac:dyDescent="0.45">
      <c r="A3895" s="22" t="s">
        <v>5554</v>
      </c>
    </row>
    <row r="3896" spans="1:1" x14ac:dyDescent="0.45">
      <c r="A3896" s="22" t="s">
        <v>5756</v>
      </c>
    </row>
    <row r="3897" spans="1:1" x14ac:dyDescent="0.45">
      <c r="A3897" s="22" t="s">
        <v>5657</v>
      </c>
    </row>
    <row r="3898" spans="1:1" x14ac:dyDescent="0.45">
      <c r="A3898" s="22" t="s">
        <v>5714</v>
      </c>
    </row>
    <row r="3899" spans="1:1" x14ac:dyDescent="0.45">
      <c r="A3899" s="21">
        <v>1700</v>
      </c>
    </row>
    <row r="3900" spans="1:1" x14ac:dyDescent="0.45">
      <c r="A3900" s="22" t="s">
        <v>5954</v>
      </c>
    </row>
    <row r="3901" spans="1:1" x14ac:dyDescent="0.45">
      <c r="A3901" s="22" t="s">
        <v>5921</v>
      </c>
    </row>
    <row r="3902" spans="1:1" x14ac:dyDescent="0.45">
      <c r="A3902" s="22" t="s">
        <v>5817</v>
      </c>
    </row>
    <row r="3903" spans="1:1" x14ac:dyDescent="0.45">
      <c r="A3903" s="21">
        <v>1600</v>
      </c>
    </row>
    <row r="3904" spans="1:1" x14ac:dyDescent="0.45">
      <c r="A3904" s="22" t="s">
        <v>6144</v>
      </c>
    </row>
    <row r="3905" spans="1:1" x14ac:dyDescent="0.45">
      <c r="A3905" s="22" t="s">
        <v>6260</v>
      </c>
    </row>
    <row r="3906" spans="1:1" x14ac:dyDescent="0.45">
      <c r="A3906" s="21">
        <v>1500</v>
      </c>
    </row>
    <row r="3907" spans="1:1" x14ac:dyDescent="0.45">
      <c r="A3907" s="22" t="s">
        <v>6563</v>
      </c>
    </row>
    <row r="3908" spans="1:1" x14ac:dyDescent="0.45">
      <c r="A3908" s="21">
        <v>1400</v>
      </c>
    </row>
    <row r="3909" spans="1:1" x14ac:dyDescent="0.45">
      <c r="A3909" s="22" t="s">
        <v>6604</v>
      </c>
    </row>
    <row r="3910" spans="1:1" x14ac:dyDescent="0.45">
      <c r="A3910" s="22" t="s">
        <v>6640</v>
      </c>
    </row>
    <row r="3911" spans="1:1" x14ac:dyDescent="0.45">
      <c r="A3911" s="21">
        <v>1300</v>
      </c>
    </row>
    <row r="3912" spans="1:1" x14ac:dyDescent="0.45">
      <c r="A3912" s="22" t="s">
        <v>7136</v>
      </c>
    </row>
    <row r="3913" spans="1:1" x14ac:dyDescent="0.45">
      <c r="A3913" s="21">
        <v>1200</v>
      </c>
    </row>
    <row r="3914" spans="1:1" x14ac:dyDescent="0.45">
      <c r="A3914" s="22" t="s">
        <v>7528</v>
      </c>
    </row>
    <row r="3915" spans="1:1" x14ac:dyDescent="0.45">
      <c r="A3915" s="22" t="s">
        <v>7333</v>
      </c>
    </row>
    <row r="3916" spans="1:1" x14ac:dyDescent="0.45">
      <c r="A3916" s="21">
        <v>1000</v>
      </c>
    </row>
    <row r="3917" spans="1:1" x14ac:dyDescent="0.45">
      <c r="A3917" s="22" t="s">
        <v>8083</v>
      </c>
    </row>
    <row r="3918" spans="1:1" x14ac:dyDescent="0.45">
      <c r="A3918" s="22" t="s">
        <v>7990</v>
      </c>
    </row>
    <row r="3919" spans="1:1" x14ac:dyDescent="0.45">
      <c r="A3919" s="22" t="s">
        <v>8191</v>
      </c>
    </row>
    <row r="3920" spans="1:1" x14ac:dyDescent="0.45">
      <c r="A3920" s="19">
        <v>74</v>
      </c>
    </row>
    <row r="3921" spans="1:1" x14ac:dyDescent="0.45">
      <c r="A3921" s="21">
        <v>211000</v>
      </c>
    </row>
    <row r="3922" spans="1:1" x14ac:dyDescent="0.45">
      <c r="A3922" s="22" t="s">
        <v>24</v>
      </c>
    </row>
    <row r="3923" spans="1:1" x14ac:dyDescent="0.45">
      <c r="A3923" s="21">
        <v>58800</v>
      </c>
    </row>
    <row r="3924" spans="1:1" x14ac:dyDescent="0.45">
      <c r="A3924" s="22" t="s">
        <v>148</v>
      </c>
    </row>
    <row r="3925" spans="1:1" x14ac:dyDescent="0.45">
      <c r="A3925" s="21">
        <v>32600</v>
      </c>
    </row>
    <row r="3926" spans="1:1" x14ac:dyDescent="0.45">
      <c r="A3926" s="22" t="s">
        <v>265</v>
      </c>
    </row>
    <row r="3927" spans="1:1" x14ac:dyDescent="0.45">
      <c r="A3927" s="21">
        <v>31600</v>
      </c>
    </row>
    <row r="3928" spans="1:1" x14ac:dyDescent="0.45">
      <c r="A3928" s="22" t="s">
        <v>277</v>
      </c>
    </row>
    <row r="3929" spans="1:1" x14ac:dyDescent="0.45">
      <c r="A3929" s="21">
        <v>25500</v>
      </c>
    </row>
    <row r="3930" spans="1:1" x14ac:dyDescent="0.45">
      <c r="A3930" s="22" t="s">
        <v>348</v>
      </c>
    </row>
    <row r="3931" spans="1:1" x14ac:dyDescent="0.45">
      <c r="A3931" s="21">
        <v>11300</v>
      </c>
    </row>
    <row r="3932" spans="1:1" x14ac:dyDescent="0.45">
      <c r="A3932" s="22" t="s">
        <v>786</v>
      </c>
    </row>
    <row r="3933" spans="1:1" x14ac:dyDescent="0.45">
      <c r="A3933" s="21">
        <v>10200</v>
      </c>
    </row>
    <row r="3934" spans="1:1" x14ac:dyDescent="0.45">
      <c r="A3934" s="22" t="s">
        <v>884</v>
      </c>
    </row>
    <row r="3935" spans="1:1" x14ac:dyDescent="0.45">
      <c r="A3935" s="22" t="s">
        <v>873</v>
      </c>
    </row>
    <row r="3936" spans="1:1" x14ac:dyDescent="0.45">
      <c r="A3936" s="21">
        <v>9900</v>
      </c>
    </row>
    <row r="3937" spans="1:1" x14ac:dyDescent="0.45">
      <c r="A3937" s="22" t="s">
        <v>900</v>
      </c>
    </row>
    <row r="3938" spans="1:1" x14ac:dyDescent="0.45">
      <c r="A3938" s="21">
        <v>9800</v>
      </c>
    </row>
    <row r="3939" spans="1:1" x14ac:dyDescent="0.45">
      <c r="A3939" s="22" t="s">
        <v>903</v>
      </c>
    </row>
    <row r="3940" spans="1:1" x14ac:dyDescent="0.45">
      <c r="A3940" s="21">
        <v>8500</v>
      </c>
    </row>
    <row r="3941" spans="1:1" x14ac:dyDescent="0.45">
      <c r="A3941" s="22" t="s">
        <v>1123</v>
      </c>
    </row>
    <row r="3942" spans="1:1" x14ac:dyDescent="0.45">
      <c r="A3942" s="21">
        <v>7000</v>
      </c>
    </row>
    <row r="3943" spans="1:1" x14ac:dyDescent="0.45">
      <c r="A3943" s="22" t="s">
        <v>1479</v>
      </c>
    </row>
    <row r="3944" spans="1:1" x14ac:dyDescent="0.45">
      <c r="A3944" s="21">
        <v>6000</v>
      </c>
    </row>
    <row r="3945" spans="1:1" x14ac:dyDescent="0.45">
      <c r="A3945" s="22" t="s">
        <v>1796</v>
      </c>
    </row>
    <row r="3946" spans="1:1" x14ac:dyDescent="0.45">
      <c r="A3946" s="21">
        <v>5200</v>
      </c>
    </row>
    <row r="3947" spans="1:1" x14ac:dyDescent="0.45">
      <c r="A3947" s="22" t="s">
        <v>2108</v>
      </c>
    </row>
    <row r="3948" spans="1:1" x14ac:dyDescent="0.45">
      <c r="A3948" s="21">
        <v>4300</v>
      </c>
    </row>
    <row r="3949" spans="1:1" x14ac:dyDescent="0.45">
      <c r="A3949" s="22" t="s">
        <v>2573</v>
      </c>
    </row>
    <row r="3950" spans="1:1" x14ac:dyDescent="0.45">
      <c r="A3950" s="21">
        <v>4200</v>
      </c>
    </row>
    <row r="3951" spans="1:1" x14ac:dyDescent="0.45">
      <c r="A3951" s="22" t="s">
        <v>2602</v>
      </c>
    </row>
    <row r="3952" spans="1:1" x14ac:dyDescent="0.45">
      <c r="A3952" s="21">
        <v>4100</v>
      </c>
    </row>
    <row r="3953" spans="1:1" x14ac:dyDescent="0.45">
      <c r="A3953" s="22" t="s">
        <v>2652</v>
      </c>
    </row>
    <row r="3954" spans="1:1" x14ac:dyDescent="0.45">
      <c r="A3954" s="21">
        <v>4000</v>
      </c>
    </row>
    <row r="3955" spans="1:1" x14ac:dyDescent="0.45">
      <c r="A3955" s="22" t="s">
        <v>2781</v>
      </c>
    </row>
    <row r="3956" spans="1:1" x14ac:dyDescent="0.45">
      <c r="A3956" s="21">
        <v>3700</v>
      </c>
    </row>
    <row r="3957" spans="1:1" x14ac:dyDescent="0.45">
      <c r="A3957" s="22" t="s">
        <v>2988</v>
      </c>
    </row>
    <row r="3958" spans="1:1" x14ac:dyDescent="0.45">
      <c r="A3958" s="21">
        <v>3300</v>
      </c>
    </row>
    <row r="3959" spans="1:1" x14ac:dyDescent="0.45">
      <c r="A3959" s="22" t="s">
        <v>3363</v>
      </c>
    </row>
    <row r="3960" spans="1:1" x14ac:dyDescent="0.45">
      <c r="A3960" s="21">
        <v>3100</v>
      </c>
    </row>
    <row r="3961" spans="1:1" x14ac:dyDescent="0.45">
      <c r="A3961" s="22" t="s">
        <v>3616</v>
      </c>
    </row>
    <row r="3962" spans="1:1" x14ac:dyDescent="0.45">
      <c r="A3962" s="22" t="s">
        <v>3610</v>
      </c>
    </row>
    <row r="3963" spans="1:1" x14ac:dyDescent="0.45">
      <c r="A3963" s="21">
        <v>2900</v>
      </c>
    </row>
    <row r="3964" spans="1:1" x14ac:dyDescent="0.45">
      <c r="A3964" s="22" t="s">
        <v>3795</v>
      </c>
    </row>
    <row r="3965" spans="1:1" x14ac:dyDescent="0.45">
      <c r="A3965" s="21">
        <v>2800</v>
      </c>
    </row>
    <row r="3966" spans="1:1" x14ac:dyDescent="0.45">
      <c r="A3966" s="22" t="s">
        <v>3925</v>
      </c>
    </row>
    <row r="3967" spans="1:1" x14ac:dyDescent="0.45">
      <c r="A3967" s="22" t="s">
        <v>3888</v>
      </c>
    </row>
    <row r="3968" spans="1:1" x14ac:dyDescent="0.45">
      <c r="A3968" s="21">
        <v>2700</v>
      </c>
    </row>
    <row r="3969" spans="1:1" x14ac:dyDescent="0.45">
      <c r="A3969" s="22" t="s">
        <v>4012</v>
      </c>
    </row>
    <row r="3970" spans="1:1" x14ac:dyDescent="0.45">
      <c r="A3970" s="21">
        <v>2500</v>
      </c>
    </row>
    <row r="3971" spans="1:1" x14ac:dyDescent="0.45">
      <c r="A3971" s="22" t="s">
        <v>4399</v>
      </c>
    </row>
    <row r="3972" spans="1:1" x14ac:dyDescent="0.45">
      <c r="A3972" s="22" t="s">
        <v>4327</v>
      </c>
    </row>
    <row r="3973" spans="1:1" x14ac:dyDescent="0.45">
      <c r="A3973" s="22" t="s">
        <v>4394</v>
      </c>
    </row>
    <row r="3974" spans="1:1" x14ac:dyDescent="0.45">
      <c r="A3974" s="22" t="s">
        <v>4470</v>
      </c>
    </row>
    <row r="3975" spans="1:1" x14ac:dyDescent="0.45">
      <c r="A3975" s="21">
        <v>2400</v>
      </c>
    </row>
    <row r="3976" spans="1:1" x14ac:dyDescent="0.45">
      <c r="A3976" s="22" t="s">
        <v>4503</v>
      </c>
    </row>
    <row r="3977" spans="1:1" x14ac:dyDescent="0.45">
      <c r="A3977" s="21">
        <v>2300</v>
      </c>
    </row>
    <row r="3978" spans="1:1" x14ac:dyDescent="0.45">
      <c r="A3978" s="22" t="s">
        <v>4727</v>
      </c>
    </row>
    <row r="3979" spans="1:1" x14ac:dyDescent="0.45">
      <c r="A3979" s="21">
        <v>2100</v>
      </c>
    </row>
    <row r="3980" spans="1:1" x14ac:dyDescent="0.45">
      <c r="A3980" s="22" t="s">
        <v>5135</v>
      </c>
    </row>
    <row r="3981" spans="1:1" x14ac:dyDescent="0.45">
      <c r="A3981" s="21">
        <v>1900</v>
      </c>
    </row>
    <row r="3982" spans="1:1" x14ac:dyDescent="0.45">
      <c r="A3982" s="22" t="s">
        <v>5467</v>
      </c>
    </row>
    <row r="3983" spans="1:1" x14ac:dyDescent="0.45">
      <c r="A3983" s="22" t="s">
        <v>5371</v>
      </c>
    </row>
    <row r="3984" spans="1:1" x14ac:dyDescent="0.45">
      <c r="A3984" s="22" t="s">
        <v>5338</v>
      </c>
    </row>
    <row r="3985" spans="1:1" x14ac:dyDescent="0.45">
      <c r="A3985" s="21">
        <v>1800</v>
      </c>
    </row>
    <row r="3986" spans="1:1" x14ac:dyDescent="0.45">
      <c r="A3986" s="22" t="s">
        <v>5659</v>
      </c>
    </row>
    <row r="3987" spans="1:1" x14ac:dyDescent="0.45">
      <c r="A3987" s="22" t="s">
        <v>5580</v>
      </c>
    </row>
    <row r="3988" spans="1:1" x14ac:dyDescent="0.45">
      <c r="A3988" s="21">
        <v>1700</v>
      </c>
    </row>
    <row r="3989" spans="1:1" x14ac:dyDescent="0.45">
      <c r="A3989" s="22" t="s">
        <v>5813</v>
      </c>
    </row>
    <row r="3990" spans="1:1" x14ac:dyDescent="0.45">
      <c r="A3990" s="22" t="s">
        <v>5915</v>
      </c>
    </row>
    <row r="3991" spans="1:1" x14ac:dyDescent="0.45">
      <c r="A3991" s="22" t="s">
        <v>5985</v>
      </c>
    </row>
    <row r="3992" spans="1:1" x14ac:dyDescent="0.45">
      <c r="A3992" s="21">
        <v>1600</v>
      </c>
    </row>
    <row r="3993" spans="1:1" x14ac:dyDescent="0.45">
      <c r="A3993" s="22" t="s">
        <v>6169</v>
      </c>
    </row>
    <row r="3994" spans="1:1" x14ac:dyDescent="0.45">
      <c r="A3994" s="22" t="s">
        <v>6152</v>
      </c>
    </row>
    <row r="3995" spans="1:1" x14ac:dyDescent="0.45">
      <c r="A3995" s="22" t="s">
        <v>6073</v>
      </c>
    </row>
    <row r="3996" spans="1:1" x14ac:dyDescent="0.45">
      <c r="A3996" s="22" t="s">
        <v>6125</v>
      </c>
    </row>
    <row r="3997" spans="1:1" x14ac:dyDescent="0.45">
      <c r="A3997" s="22" t="s">
        <v>6204</v>
      </c>
    </row>
    <row r="3998" spans="1:1" x14ac:dyDescent="0.45">
      <c r="A3998" s="21">
        <v>1500</v>
      </c>
    </row>
    <row r="3999" spans="1:1" x14ac:dyDescent="0.45">
      <c r="A3999" s="22" t="s">
        <v>6457</v>
      </c>
    </row>
    <row r="4000" spans="1:1" x14ac:dyDescent="0.45">
      <c r="A4000" s="22" t="s">
        <v>6530</v>
      </c>
    </row>
    <row r="4001" spans="1:1" x14ac:dyDescent="0.45">
      <c r="A4001" s="21">
        <v>1400</v>
      </c>
    </row>
    <row r="4002" spans="1:1" x14ac:dyDescent="0.45">
      <c r="A4002" s="22" t="s">
        <v>6626</v>
      </c>
    </row>
    <row r="4003" spans="1:1" x14ac:dyDescent="0.45">
      <c r="A4003" s="22" t="s">
        <v>6679</v>
      </c>
    </row>
    <row r="4004" spans="1:1" x14ac:dyDescent="0.45">
      <c r="A4004" s="21">
        <v>1300</v>
      </c>
    </row>
    <row r="4005" spans="1:1" x14ac:dyDescent="0.45">
      <c r="A4005" s="22" t="s">
        <v>6979</v>
      </c>
    </row>
    <row r="4006" spans="1:1" x14ac:dyDescent="0.45">
      <c r="A4006" s="22" t="s">
        <v>7205</v>
      </c>
    </row>
    <row r="4007" spans="1:1" x14ac:dyDescent="0.45">
      <c r="A4007" s="21">
        <v>1100</v>
      </c>
    </row>
    <row r="4008" spans="1:1" x14ac:dyDescent="0.45">
      <c r="A4008" s="22" t="s">
        <v>7712</v>
      </c>
    </row>
    <row r="4009" spans="1:1" x14ac:dyDescent="0.45">
      <c r="A4009" s="22" t="s">
        <v>7743</v>
      </c>
    </row>
    <row r="4010" spans="1:1" x14ac:dyDescent="0.45">
      <c r="A4010" s="22" t="s">
        <v>7778</v>
      </c>
    </row>
    <row r="4011" spans="1:1" x14ac:dyDescent="0.45">
      <c r="A4011" s="21">
        <v>1000</v>
      </c>
    </row>
    <row r="4012" spans="1:1" x14ac:dyDescent="0.45">
      <c r="A4012" s="22" t="s">
        <v>8106</v>
      </c>
    </row>
    <row r="4013" spans="1:1" x14ac:dyDescent="0.45">
      <c r="A4013" s="22" t="s">
        <v>8123</v>
      </c>
    </row>
    <row r="4014" spans="1:1" x14ac:dyDescent="0.45">
      <c r="A4014" s="22" t="s">
        <v>8157</v>
      </c>
    </row>
    <row r="4015" spans="1:1" x14ac:dyDescent="0.45">
      <c r="A4015" s="19">
        <v>73</v>
      </c>
    </row>
    <row r="4016" spans="1:1" x14ac:dyDescent="0.45">
      <c r="A4016" s="21">
        <v>56700</v>
      </c>
    </row>
    <row r="4017" spans="1:1" x14ac:dyDescent="0.45">
      <c r="A4017" s="22" t="s">
        <v>158</v>
      </c>
    </row>
    <row r="4018" spans="1:1" x14ac:dyDescent="0.45">
      <c r="A4018" s="21">
        <v>19100</v>
      </c>
    </row>
    <row r="4019" spans="1:1" x14ac:dyDescent="0.45">
      <c r="A4019" s="22" t="s">
        <v>473</v>
      </c>
    </row>
    <row r="4020" spans="1:1" x14ac:dyDescent="0.45">
      <c r="A4020" s="21">
        <v>17500</v>
      </c>
    </row>
    <row r="4021" spans="1:1" x14ac:dyDescent="0.45">
      <c r="A4021" s="22" t="s">
        <v>535</v>
      </c>
    </row>
    <row r="4022" spans="1:1" x14ac:dyDescent="0.45">
      <c r="A4022" s="21">
        <v>11500</v>
      </c>
    </row>
    <row r="4023" spans="1:1" x14ac:dyDescent="0.45">
      <c r="A4023" s="22" t="s">
        <v>771</v>
      </c>
    </row>
    <row r="4024" spans="1:1" x14ac:dyDescent="0.45">
      <c r="A4024" s="22" t="s">
        <v>775</v>
      </c>
    </row>
    <row r="4025" spans="1:1" x14ac:dyDescent="0.45">
      <c r="A4025" s="21">
        <v>10600</v>
      </c>
    </row>
    <row r="4026" spans="1:1" x14ac:dyDescent="0.45">
      <c r="A4026" s="22" t="s">
        <v>838</v>
      </c>
    </row>
    <row r="4027" spans="1:1" x14ac:dyDescent="0.45">
      <c r="A4027" s="21">
        <v>9000</v>
      </c>
    </row>
    <row r="4028" spans="1:1" x14ac:dyDescent="0.45">
      <c r="A4028" s="22" t="s">
        <v>1041</v>
      </c>
    </row>
    <row r="4029" spans="1:1" x14ac:dyDescent="0.45">
      <c r="A4029" s="21">
        <v>8600</v>
      </c>
    </row>
    <row r="4030" spans="1:1" x14ac:dyDescent="0.45">
      <c r="A4030" s="22" t="s">
        <v>1110</v>
      </c>
    </row>
    <row r="4031" spans="1:1" x14ac:dyDescent="0.45">
      <c r="A4031" s="21">
        <v>7800</v>
      </c>
    </row>
    <row r="4032" spans="1:1" x14ac:dyDescent="0.45">
      <c r="A4032" s="22" t="s">
        <v>1250</v>
      </c>
    </row>
    <row r="4033" spans="1:1" x14ac:dyDescent="0.45">
      <c r="A4033" s="21">
        <v>5500</v>
      </c>
    </row>
    <row r="4034" spans="1:1" x14ac:dyDescent="0.45">
      <c r="A4034" s="22" t="s">
        <v>1925</v>
      </c>
    </row>
    <row r="4035" spans="1:1" x14ac:dyDescent="0.45">
      <c r="A4035" s="21">
        <v>5400</v>
      </c>
    </row>
    <row r="4036" spans="1:1" x14ac:dyDescent="0.45">
      <c r="A4036" s="22" t="s">
        <v>2016</v>
      </c>
    </row>
    <row r="4037" spans="1:1" x14ac:dyDescent="0.45">
      <c r="A4037" s="21">
        <v>5200</v>
      </c>
    </row>
    <row r="4038" spans="1:1" x14ac:dyDescent="0.45">
      <c r="A4038" s="22" t="s">
        <v>2098</v>
      </c>
    </row>
    <row r="4039" spans="1:1" x14ac:dyDescent="0.45">
      <c r="A4039" s="21">
        <v>4200</v>
      </c>
    </row>
    <row r="4040" spans="1:1" x14ac:dyDescent="0.45">
      <c r="A4040" s="22" t="s">
        <v>2628</v>
      </c>
    </row>
    <row r="4041" spans="1:1" x14ac:dyDescent="0.45">
      <c r="A4041" s="22" t="s">
        <v>2619</v>
      </c>
    </row>
    <row r="4042" spans="1:1" x14ac:dyDescent="0.45">
      <c r="A4042" s="21">
        <v>4100</v>
      </c>
    </row>
    <row r="4043" spans="1:1" x14ac:dyDescent="0.45">
      <c r="A4043" s="22" t="s">
        <v>2677</v>
      </c>
    </row>
    <row r="4044" spans="1:1" x14ac:dyDescent="0.45">
      <c r="A4044" s="21">
        <v>4000</v>
      </c>
    </row>
    <row r="4045" spans="1:1" x14ac:dyDescent="0.45">
      <c r="A4045" s="22" t="s">
        <v>2727</v>
      </c>
    </row>
    <row r="4046" spans="1:1" x14ac:dyDescent="0.45">
      <c r="A4046" s="22" t="s">
        <v>2784</v>
      </c>
    </row>
    <row r="4047" spans="1:1" x14ac:dyDescent="0.45">
      <c r="A4047" s="21">
        <v>3900</v>
      </c>
    </row>
    <row r="4048" spans="1:1" x14ac:dyDescent="0.45">
      <c r="A4048" s="22" t="s">
        <v>2795</v>
      </c>
    </row>
    <row r="4049" spans="1:1" x14ac:dyDescent="0.45">
      <c r="A4049" s="22" t="s">
        <v>2866</v>
      </c>
    </row>
    <row r="4050" spans="1:1" x14ac:dyDescent="0.45">
      <c r="A4050" s="21">
        <v>3800</v>
      </c>
    </row>
    <row r="4051" spans="1:1" x14ac:dyDescent="0.45">
      <c r="A4051" s="22" t="s">
        <v>2924</v>
      </c>
    </row>
    <row r="4052" spans="1:1" x14ac:dyDescent="0.45">
      <c r="A4052" s="21">
        <v>3600</v>
      </c>
    </row>
    <row r="4053" spans="1:1" x14ac:dyDescent="0.45">
      <c r="A4053" s="22" t="s">
        <v>3065</v>
      </c>
    </row>
    <row r="4054" spans="1:1" x14ac:dyDescent="0.45">
      <c r="A4054" s="21">
        <v>3300</v>
      </c>
    </row>
    <row r="4055" spans="1:1" x14ac:dyDescent="0.45">
      <c r="A4055" s="22" t="s">
        <v>3368</v>
      </c>
    </row>
    <row r="4056" spans="1:1" x14ac:dyDescent="0.45">
      <c r="A4056" s="21">
        <v>3200</v>
      </c>
    </row>
    <row r="4057" spans="1:1" x14ac:dyDescent="0.45">
      <c r="A4057" s="22" t="s">
        <v>3466</v>
      </c>
    </row>
    <row r="4058" spans="1:1" x14ac:dyDescent="0.45">
      <c r="A4058" s="21">
        <v>3100</v>
      </c>
    </row>
    <row r="4059" spans="1:1" x14ac:dyDescent="0.45">
      <c r="A4059" s="22" t="s">
        <v>3558</v>
      </c>
    </row>
    <row r="4060" spans="1:1" x14ac:dyDescent="0.45">
      <c r="A4060" s="22" t="s">
        <v>3553</v>
      </c>
    </row>
    <row r="4061" spans="1:1" x14ac:dyDescent="0.45">
      <c r="A4061" s="21">
        <v>3000</v>
      </c>
    </row>
    <row r="4062" spans="1:1" x14ac:dyDescent="0.45">
      <c r="A4062" s="22" t="s">
        <v>3706</v>
      </c>
    </row>
    <row r="4063" spans="1:1" x14ac:dyDescent="0.45">
      <c r="A4063" s="22" t="s">
        <v>3744</v>
      </c>
    </row>
    <row r="4064" spans="1:1" x14ac:dyDescent="0.45">
      <c r="A4064" s="22" t="s">
        <v>3658</v>
      </c>
    </row>
    <row r="4065" spans="1:1" x14ac:dyDescent="0.45">
      <c r="A4065" s="21">
        <v>2900</v>
      </c>
    </row>
    <row r="4066" spans="1:1" x14ac:dyDescent="0.45">
      <c r="A4066" s="22" t="s">
        <v>3811</v>
      </c>
    </row>
    <row r="4067" spans="1:1" x14ac:dyDescent="0.45">
      <c r="A4067" s="22" t="s">
        <v>3800</v>
      </c>
    </row>
    <row r="4068" spans="1:1" x14ac:dyDescent="0.45">
      <c r="A4068" s="22" t="s">
        <v>3860</v>
      </c>
    </row>
    <row r="4069" spans="1:1" x14ac:dyDescent="0.45">
      <c r="A4069" s="22" t="s">
        <v>3847</v>
      </c>
    </row>
    <row r="4070" spans="1:1" x14ac:dyDescent="0.45">
      <c r="A4070" s="21">
        <v>2800</v>
      </c>
    </row>
    <row r="4071" spans="1:1" x14ac:dyDescent="0.45">
      <c r="A4071" s="22" t="s">
        <v>3978</v>
      </c>
    </row>
    <row r="4072" spans="1:1" x14ac:dyDescent="0.45">
      <c r="A4072" s="21">
        <v>2500</v>
      </c>
    </row>
    <row r="4073" spans="1:1" x14ac:dyDescent="0.45">
      <c r="A4073" s="22" t="s">
        <v>4381</v>
      </c>
    </row>
    <row r="4074" spans="1:1" x14ac:dyDescent="0.45">
      <c r="A4074" s="22" t="s">
        <v>4385</v>
      </c>
    </row>
    <row r="4075" spans="1:1" x14ac:dyDescent="0.45">
      <c r="A4075" s="21">
        <v>2300</v>
      </c>
    </row>
    <row r="4076" spans="1:1" x14ac:dyDescent="0.45">
      <c r="A4076" s="22" t="s">
        <v>4618</v>
      </c>
    </row>
    <row r="4077" spans="1:1" x14ac:dyDescent="0.45">
      <c r="A4077" s="22" t="s">
        <v>4609</v>
      </c>
    </row>
    <row r="4078" spans="1:1" x14ac:dyDescent="0.45">
      <c r="A4078" s="21">
        <v>2200</v>
      </c>
    </row>
    <row r="4079" spans="1:1" x14ac:dyDescent="0.45">
      <c r="A4079" s="22" t="s">
        <v>4810</v>
      </c>
    </row>
    <row r="4080" spans="1:1" x14ac:dyDescent="0.45">
      <c r="A4080" s="22" t="s">
        <v>4907</v>
      </c>
    </row>
    <row r="4081" spans="1:1" x14ac:dyDescent="0.45">
      <c r="A4081" s="22" t="s">
        <v>4857</v>
      </c>
    </row>
    <row r="4082" spans="1:1" x14ac:dyDescent="0.45">
      <c r="A4082" s="22" t="s">
        <v>4759</v>
      </c>
    </row>
    <row r="4083" spans="1:1" x14ac:dyDescent="0.45">
      <c r="A4083" s="21">
        <v>2100</v>
      </c>
    </row>
    <row r="4084" spans="1:1" x14ac:dyDescent="0.45">
      <c r="A4084" s="22" t="s">
        <v>5160</v>
      </c>
    </row>
    <row r="4085" spans="1:1" x14ac:dyDescent="0.45">
      <c r="A4085" s="22" t="s">
        <v>5125</v>
      </c>
    </row>
    <row r="4086" spans="1:1" x14ac:dyDescent="0.45">
      <c r="A4086" s="22" t="s">
        <v>5110</v>
      </c>
    </row>
    <row r="4087" spans="1:1" x14ac:dyDescent="0.45">
      <c r="A4087" s="21">
        <v>2000</v>
      </c>
    </row>
    <row r="4088" spans="1:1" x14ac:dyDescent="0.45">
      <c r="A4088" s="22" t="s">
        <v>5249</v>
      </c>
    </row>
    <row r="4089" spans="1:1" x14ac:dyDescent="0.45">
      <c r="A4089" s="22" t="s">
        <v>5253</v>
      </c>
    </row>
    <row r="4090" spans="1:1" x14ac:dyDescent="0.45">
      <c r="A4090" s="22" t="s">
        <v>5330</v>
      </c>
    </row>
    <row r="4091" spans="1:1" x14ac:dyDescent="0.45">
      <c r="A4091" s="21">
        <v>1900</v>
      </c>
    </row>
    <row r="4092" spans="1:1" x14ac:dyDescent="0.45">
      <c r="A4092" s="22" t="s">
        <v>5393</v>
      </c>
    </row>
    <row r="4093" spans="1:1" x14ac:dyDescent="0.45">
      <c r="A4093" s="22" t="s">
        <v>5500</v>
      </c>
    </row>
    <row r="4094" spans="1:1" x14ac:dyDescent="0.45">
      <c r="A4094" s="21">
        <v>1800</v>
      </c>
    </row>
    <row r="4095" spans="1:1" x14ac:dyDescent="0.45">
      <c r="A4095" s="22" t="s">
        <v>5729</v>
      </c>
    </row>
    <row r="4096" spans="1:1" x14ac:dyDescent="0.45">
      <c r="A4096" s="21">
        <v>1700</v>
      </c>
    </row>
    <row r="4097" spans="1:1" x14ac:dyDescent="0.45">
      <c r="A4097" s="22" t="s">
        <v>5918</v>
      </c>
    </row>
    <row r="4098" spans="1:1" x14ac:dyDescent="0.45">
      <c r="A4098" s="22" t="s">
        <v>5828</v>
      </c>
    </row>
    <row r="4099" spans="1:1" x14ac:dyDescent="0.45">
      <c r="A4099" s="22" t="s">
        <v>5927</v>
      </c>
    </row>
    <row r="4100" spans="1:1" x14ac:dyDescent="0.45">
      <c r="A4100" s="22" t="s">
        <v>5836</v>
      </c>
    </row>
    <row r="4101" spans="1:1" x14ac:dyDescent="0.45">
      <c r="A4101" s="21">
        <v>1600</v>
      </c>
    </row>
    <row r="4102" spans="1:1" x14ac:dyDescent="0.45">
      <c r="A4102" s="22" t="s">
        <v>6119</v>
      </c>
    </row>
    <row r="4103" spans="1:1" x14ac:dyDescent="0.45">
      <c r="A4103" s="22" t="s">
        <v>6084</v>
      </c>
    </row>
    <row r="4104" spans="1:1" x14ac:dyDescent="0.45">
      <c r="A4104" s="21">
        <v>1500</v>
      </c>
    </row>
    <row r="4105" spans="1:1" x14ac:dyDescent="0.45">
      <c r="A4105" s="22" t="s">
        <v>6397</v>
      </c>
    </row>
    <row r="4106" spans="1:1" x14ac:dyDescent="0.45">
      <c r="A4106" s="22" t="s">
        <v>6511</v>
      </c>
    </row>
    <row r="4107" spans="1:1" x14ac:dyDescent="0.45">
      <c r="A4107" s="22" t="s">
        <v>6367</v>
      </c>
    </row>
    <row r="4108" spans="1:1" x14ac:dyDescent="0.45">
      <c r="A4108" s="22" t="s">
        <v>6458</v>
      </c>
    </row>
    <row r="4109" spans="1:1" x14ac:dyDescent="0.45">
      <c r="A4109" s="21">
        <v>1300</v>
      </c>
    </row>
    <row r="4110" spans="1:1" x14ac:dyDescent="0.45">
      <c r="A4110" s="22" t="s">
        <v>7062</v>
      </c>
    </row>
    <row r="4111" spans="1:1" x14ac:dyDescent="0.45">
      <c r="A4111" s="22" t="s">
        <v>7065</v>
      </c>
    </row>
    <row r="4112" spans="1:1" x14ac:dyDescent="0.45">
      <c r="A4112" s="21">
        <v>1200</v>
      </c>
    </row>
    <row r="4113" spans="1:1" x14ac:dyDescent="0.45">
      <c r="A4113" s="22" t="s">
        <v>7495</v>
      </c>
    </row>
    <row r="4114" spans="1:1" x14ac:dyDescent="0.45">
      <c r="A4114" s="22" t="s">
        <v>7401</v>
      </c>
    </row>
    <row r="4115" spans="1:1" x14ac:dyDescent="0.45">
      <c r="A4115" s="22" t="s">
        <v>7338</v>
      </c>
    </row>
    <row r="4116" spans="1:1" x14ac:dyDescent="0.45">
      <c r="A4116" s="21">
        <v>1100</v>
      </c>
    </row>
    <row r="4117" spans="1:1" x14ac:dyDescent="0.45">
      <c r="A4117" s="22" t="s">
        <v>7912</v>
      </c>
    </row>
    <row r="4118" spans="1:1" x14ac:dyDescent="0.45">
      <c r="A4118" s="22" t="s">
        <v>7780</v>
      </c>
    </row>
    <row r="4119" spans="1:1" x14ac:dyDescent="0.45">
      <c r="A4119" s="22" t="s">
        <v>7869</v>
      </c>
    </row>
    <row r="4120" spans="1:1" x14ac:dyDescent="0.45">
      <c r="A4120" s="22" t="s">
        <v>7671</v>
      </c>
    </row>
    <row r="4121" spans="1:1" x14ac:dyDescent="0.45">
      <c r="A4121" s="21">
        <v>1000</v>
      </c>
    </row>
    <row r="4122" spans="1:1" x14ac:dyDescent="0.45">
      <c r="A4122" s="22" t="s">
        <v>8115</v>
      </c>
    </row>
    <row r="4123" spans="1:1" x14ac:dyDescent="0.45">
      <c r="A4123" s="22" t="s">
        <v>8170</v>
      </c>
    </row>
    <row r="4124" spans="1:1" x14ac:dyDescent="0.45">
      <c r="A4124" s="19">
        <v>72</v>
      </c>
    </row>
    <row r="4125" spans="1:1" x14ac:dyDescent="0.45">
      <c r="A4125" s="21">
        <v>31600</v>
      </c>
    </row>
    <row r="4126" spans="1:1" x14ac:dyDescent="0.45">
      <c r="A4126" s="22" t="s">
        <v>281</v>
      </c>
    </row>
    <row r="4127" spans="1:1" x14ac:dyDescent="0.45">
      <c r="A4127" s="21">
        <v>20500</v>
      </c>
    </row>
    <row r="4128" spans="1:1" x14ac:dyDescent="0.45">
      <c r="A4128" s="22" t="s">
        <v>461</v>
      </c>
    </row>
    <row r="4129" spans="1:1" x14ac:dyDescent="0.45">
      <c r="A4129" s="21">
        <v>18900</v>
      </c>
    </row>
    <row r="4130" spans="1:1" x14ac:dyDescent="0.45">
      <c r="A4130" s="22" t="s">
        <v>486</v>
      </c>
    </row>
    <row r="4131" spans="1:1" x14ac:dyDescent="0.45">
      <c r="A4131" s="21">
        <v>17700</v>
      </c>
    </row>
    <row r="4132" spans="1:1" x14ac:dyDescent="0.45">
      <c r="A4132" s="22" t="s">
        <v>522</v>
      </c>
    </row>
    <row r="4133" spans="1:1" x14ac:dyDescent="0.45">
      <c r="A4133" s="21">
        <v>16500</v>
      </c>
    </row>
    <row r="4134" spans="1:1" x14ac:dyDescent="0.45">
      <c r="A4134" s="22" t="s">
        <v>561</v>
      </c>
    </row>
    <row r="4135" spans="1:1" x14ac:dyDescent="0.45">
      <c r="A4135" s="21">
        <v>16300</v>
      </c>
    </row>
    <row r="4136" spans="1:1" x14ac:dyDescent="0.45">
      <c r="A4136" s="22" t="s">
        <v>572</v>
      </c>
    </row>
    <row r="4137" spans="1:1" x14ac:dyDescent="0.45">
      <c r="A4137" s="21">
        <v>12100</v>
      </c>
    </row>
    <row r="4138" spans="1:1" x14ac:dyDescent="0.45">
      <c r="A4138" s="22" t="s">
        <v>750</v>
      </c>
    </row>
    <row r="4139" spans="1:1" x14ac:dyDescent="0.45">
      <c r="A4139" s="21">
        <v>11100</v>
      </c>
    </row>
    <row r="4140" spans="1:1" x14ac:dyDescent="0.45">
      <c r="A4140" s="22" t="s">
        <v>805</v>
      </c>
    </row>
    <row r="4141" spans="1:1" x14ac:dyDescent="0.45">
      <c r="A4141" s="21">
        <v>9000</v>
      </c>
    </row>
    <row r="4142" spans="1:1" x14ac:dyDescent="0.45">
      <c r="A4142" s="22" t="s">
        <v>1029</v>
      </c>
    </row>
    <row r="4143" spans="1:1" x14ac:dyDescent="0.45">
      <c r="A4143" s="21">
        <v>8800</v>
      </c>
    </row>
    <row r="4144" spans="1:1" x14ac:dyDescent="0.45">
      <c r="A4144" s="22" t="s">
        <v>1082</v>
      </c>
    </row>
    <row r="4145" spans="1:1" x14ac:dyDescent="0.45">
      <c r="A4145" s="21">
        <v>8400</v>
      </c>
    </row>
    <row r="4146" spans="1:1" x14ac:dyDescent="0.45">
      <c r="A4146" s="22" t="s">
        <v>1140</v>
      </c>
    </row>
    <row r="4147" spans="1:1" x14ac:dyDescent="0.45">
      <c r="A4147" s="21">
        <v>7900</v>
      </c>
    </row>
    <row r="4148" spans="1:1" x14ac:dyDescent="0.45">
      <c r="A4148" s="22" t="s">
        <v>1240</v>
      </c>
    </row>
    <row r="4149" spans="1:1" x14ac:dyDescent="0.45">
      <c r="A4149" s="21">
        <v>7400</v>
      </c>
    </row>
    <row r="4150" spans="1:1" x14ac:dyDescent="0.45">
      <c r="A4150" s="22" t="s">
        <v>1358</v>
      </c>
    </row>
    <row r="4151" spans="1:1" x14ac:dyDescent="0.45">
      <c r="A4151" s="21">
        <v>7200</v>
      </c>
    </row>
    <row r="4152" spans="1:1" x14ac:dyDescent="0.45">
      <c r="A4152" s="22" t="s">
        <v>1399</v>
      </c>
    </row>
    <row r="4153" spans="1:1" x14ac:dyDescent="0.45">
      <c r="A4153" s="21">
        <v>7100</v>
      </c>
    </row>
    <row r="4154" spans="1:1" x14ac:dyDescent="0.45">
      <c r="A4154" s="22" t="s">
        <v>1448</v>
      </c>
    </row>
    <row r="4155" spans="1:1" x14ac:dyDescent="0.45">
      <c r="A4155" s="21">
        <v>6700</v>
      </c>
    </row>
    <row r="4156" spans="1:1" x14ac:dyDescent="0.45">
      <c r="A4156" s="22" t="s">
        <v>1579</v>
      </c>
    </row>
    <row r="4157" spans="1:1" x14ac:dyDescent="0.45">
      <c r="A4157" s="22" t="s">
        <v>1610</v>
      </c>
    </row>
    <row r="4158" spans="1:1" x14ac:dyDescent="0.45">
      <c r="A4158" s="21">
        <v>6100</v>
      </c>
    </row>
    <row r="4159" spans="1:1" x14ac:dyDescent="0.45">
      <c r="A4159" s="22" t="s">
        <v>1774</v>
      </c>
    </row>
    <row r="4160" spans="1:1" x14ac:dyDescent="0.45">
      <c r="A4160" s="21">
        <v>5300</v>
      </c>
    </row>
    <row r="4161" spans="1:1" x14ac:dyDescent="0.45">
      <c r="A4161" s="22" t="s">
        <v>2050</v>
      </c>
    </row>
    <row r="4162" spans="1:1" x14ac:dyDescent="0.45">
      <c r="A4162" s="21">
        <v>5100</v>
      </c>
    </row>
    <row r="4163" spans="1:1" x14ac:dyDescent="0.45">
      <c r="A4163" s="22" t="s">
        <v>2154</v>
      </c>
    </row>
    <row r="4164" spans="1:1" x14ac:dyDescent="0.45">
      <c r="A4164" s="21">
        <v>4900</v>
      </c>
    </row>
    <row r="4165" spans="1:1" x14ac:dyDescent="0.45">
      <c r="A4165" s="22" t="s">
        <v>2256</v>
      </c>
    </row>
    <row r="4166" spans="1:1" x14ac:dyDescent="0.45">
      <c r="A4166" s="22" t="s">
        <v>2222</v>
      </c>
    </row>
    <row r="4167" spans="1:1" x14ac:dyDescent="0.45">
      <c r="A4167" s="21">
        <v>4500</v>
      </c>
    </row>
    <row r="4168" spans="1:1" x14ac:dyDescent="0.45">
      <c r="A4168" s="22" t="s">
        <v>2455</v>
      </c>
    </row>
    <row r="4169" spans="1:1" x14ac:dyDescent="0.45">
      <c r="A4169" s="21">
        <v>4200</v>
      </c>
    </row>
    <row r="4170" spans="1:1" x14ac:dyDescent="0.45">
      <c r="A4170" s="22" t="s">
        <v>2599</v>
      </c>
    </row>
    <row r="4171" spans="1:1" x14ac:dyDescent="0.45">
      <c r="A4171" s="21">
        <v>3900</v>
      </c>
    </row>
    <row r="4172" spans="1:1" x14ac:dyDescent="0.45">
      <c r="A4172" s="22" t="s">
        <v>2792</v>
      </c>
    </row>
    <row r="4173" spans="1:1" x14ac:dyDescent="0.45">
      <c r="A4173" s="21">
        <v>3400</v>
      </c>
    </row>
    <row r="4174" spans="1:1" x14ac:dyDescent="0.45">
      <c r="A4174" s="22" t="s">
        <v>3250</v>
      </c>
    </row>
    <row r="4175" spans="1:1" x14ac:dyDescent="0.45">
      <c r="A4175" s="22" t="s">
        <v>3217</v>
      </c>
    </row>
    <row r="4176" spans="1:1" x14ac:dyDescent="0.45">
      <c r="A4176" s="21">
        <v>3300</v>
      </c>
    </row>
    <row r="4177" spans="1:1" x14ac:dyDescent="0.45">
      <c r="A4177" s="22" t="s">
        <v>3314</v>
      </c>
    </row>
    <row r="4178" spans="1:1" x14ac:dyDescent="0.45">
      <c r="A4178" s="21">
        <v>3200</v>
      </c>
    </row>
    <row r="4179" spans="1:1" x14ac:dyDescent="0.45">
      <c r="A4179" s="22" t="s">
        <v>3456</v>
      </c>
    </row>
    <row r="4180" spans="1:1" x14ac:dyDescent="0.45">
      <c r="A4180" s="21">
        <v>3100</v>
      </c>
    </row>
    <row r="4181" spans="1:1" x14ac:dyDescent="0.45">
      <c r="A4181" s="22" t="s">
        <v>3528</v>
      </c>
    </row>
    <row r="4182" spans="1:1" x14ac:dyDescent="0.45">
      <c r="A4182" s="21">
        <v>2800</v>
      </c>
    </row>
    <row r="4183" spans="1:1" x14ac:dyDescent="0.45">
      <c r="A4183" s="22" t="s">
        <v>3906</v>
      </c>
    </row>
    <row r="4184" spans="1:1" x14ac:dyDescent="0.45">
      <c r="A4184" s="21">
        <v>2700</v>
      </c>
    </row>
    <row r="4185" spans="1:1" x14ac:dyDescent="0.45">
      <c r="A4185" s="22" t="s">
        <v>4014</v>
      </c>
    </row>
    <row r="4186" spans="1:1" x14ac:dyDescent="0.45">
      <c r="A4186" s="22" t="s">
        <v>4053</v>
      </c>
    </row>
    <row r="4187" spans="1:1" x14ac:dyDescent="0.45">
      <c r="A4187" s="22" t="s">
        <v>4046</v>
      </c>
    </row>
    <row r="4188" spans="1:1" x14ac:dyDescent="0.45">
      <c r="A4188" s="21">
        <v>2500</v>
      </c>
    </row>
    <row r="4189" spans="1:1" x14ac:dyDescent="0.45">
      <c r="A4189" s="22" t="s">
        <v>4366</v>
      </c>
    </row>
    <row r="4190" spans="1:1" x14ac:dyDescent="0.45">
      <c r="A4190" s="21">
        <v>2400</v>
      </c>
    </row>
    <row r="4191" spans="1:1" x14ac:dyDescent="0.45">
      <c r="A4191" s="22" t="s">
        <v>4578</v>
      </c>
    </row>
    <row r="4192" spans="1:1" x14ac:dyDescent="0.45">
      <c r="A4192" s="21">
        <v>2300</v>
      </c>
    </row>
    <row r="4193" spans="1:1" x14ac:dyDescent="0.45">
      <c r="A4193" s="22" t="s">
        <v>4698</v>
      </c>
    </row>
    <row r="4194" spans="1:1" x14ac:dyDescent="0.45">
      <c r="A4194" s="21">
        <v>2200</v>
      </c>
    </row>
    <row r="4195" spans="1:1" x14ac:dyDescent="0.45">
      <c r="A4195" s="22" t="s">
        <v>4778</v>
      </c>
    </row>
    <row r="4196" spans="1:1" x14ac:dyDescent="0.45">
      <c r="A4196" s="22" t="s">
        <v>4897</v>
      </c>
    </row>
    <row r="4197" spans="1:1" x14ac:dyDescent="0.45">
      <c r="A4197" s="21">
        <v>2100</v>
      </c>
    </row>
    <row r="4198" spans="1:1" x14ac:dyDescent="0.45">
      <c r="A4198" s="22" t="s">
        <v>5013</v>
      </c>
    </row>
    <row r="4199" spans="1:1" x14ac:dyDescent="0.45">
      <c r="A4199" s="22" t="s">
        <v>4947</v>
      </c>
    </row>
    <row r="4200" spans="1:1" x14ac:dyDescent="0.45">
      <c r="A4200" s="22" t="s">
        <v>5060</v>
      </c>
    </row>
    <row r="4201" spans="1:1" x14ac:dyDescent="0.45">
      <c r="A4201" s="22" t="s">
        <v>5164</v>
      </c>
    </row>
    <row r="4202" spans="1:1" x14ac:dyDescent="0.45">
      <c r="A4202" s="21">
        <v>1900</v>
      </c>
    </row>
    <row r="4203" spans="1:1" x14ac:dyDescent="0.45">
      <c r="A4203" s="22" t="s">
        <v>5429</v>
      </c>
    </row>
    <row r="4204" spans="1:1" x14ac:dyDescent="0.45">
      <c r="A4204" s="22" t="s">
        <v>5473</v>
      </c>
    </row>
    <row r="4205" spans="1:1" x14ac:dyDescent="0.45">
      <c r="A4205" s="22" t="s">
        <v>5533</v>
      </c>
    </row>
    <row r="4206" spans="1:1" x14ac:dyDescent="0.45">
      <c r="A4206" s="21">
        <v>1800</v>
      </c>
    </row>
    <row r="4207" spans="1:1" x14ac:dyDescent="0.45">
      <c r="A4207" s="22" t="s">
        <v>5684</v>
      </c>
    </row>
    <row r="4208" spans="1:1" x14ac:dyDescent="0.45">
      <c r="A4208" s="22" t="s">
        <v>5758</v>
      </c>
    </row>
    <row r="4209" spans="1:1" x14ac:dyDescent="0.45">
      <c r="A4209" s="22" t="s">
        <v>5626</v>
      </c>
    </row>
    <row r="4210" spans="1:1" x14ac:dyDescent="0.45">
      <c r="A4210" s="21">
        <v>1700</v>
      </c>
    </row>
    <row r="4211" spans="1:1" x14ac:dyDescent="0.45">
      <c r="A4211" s="22" t="s">
        <v>5852</v>
      </c>
    </row>
    <row r="4212" spans="1:1" x14ac:dyDescent="0.45">
      <c r="A4212" s="22" t="s">
        <v>5968</v>
      </c>
    </row>
    <row r="4213" spans="1:1" x14ac:dyDescent="0.45">
      <c r="A4213" s="21">
        <v>1600</v>
      </c>
    </row>
    <row r="4214" spans="1:1" x14ac:dyDescent="0.45">
      <c r="A4214" s="22" t="s">
        <v>6203</v>
      </c>
    </row>
    <row r="4215" spans="1:1" x14ac:dyDescent="0.45">
      <c r="A4215" s="22" t="s">
        <v>6089</v>
      </c>
    </row>
    <row r="4216" spans="1:1" x14ac:dyDescent="0.45">
      <c r="A4216" s="21">
        <v>1500</v>
      </c>
    </row>
    <row r="4217" spans="1:1" x14ac:dyDescent="0.45">
      <c r="A4217" s="22" t="s">
        <v>6521</v>
      </c>
    </row>
    <row r="4218" spans="1:1" x14ac:dyDescent="0.45">
      <c r="A4218" s="21">
        <v>1400</v>
      </c>
    </row>
    <row r="4219" spans="1:1" x14ac:dyDescent="0.45">
      <c r="A4219" s="22" t="s">
        <v>6714</v>
      </c>
    </row>
    <row r="4220" spans="1:1" x14ac:dyDescent="0.45">
      <c r="A4220" s="21">
        <v>1300</v>
      </c>
    </row>
    <row r="4221" spans="1:1" x14ac:dyDescent="0.45">
      <c r="A4221" s="22" t="s">
        <v>6902</v>
      </c>
    </row>
    <row r="4222" spans="1:1" x14ac:dyDescent="0.45">
      <c r="A4222" s="22" t="s">
        <v>7129</v>
      </c>
    </row>
    <row r="4223" spans="1:1" x14ac:dyDescent="0.45">
      <c r="A4223" s="22" t="s">
        <v>7010</v>
      </c>
    </row>
    <row r="4224" spans="1:1" x14ac:dyDescent="0.45">
      <c r="A4224" s="22" t="s">
        <v>6983</v>
      </c>
    </row>
    <row r="4225" spans="1:1" x14ac:dyDescent="0.45">
      <c r="A4225" s="21">
        <v>1200</v>
      </c>
    </row>
    <row r="4226" spans="1:1" x14ac:dyDescent="0.45">
      <c r="A4226" s="22" t="s">
        <v>7326</v>
      </c>
    </row>
    <row r="4227" spans="1:1" x14ac:dyDescent="0.45">
      <c r="A4227" s="21">
        <v>1100</v>
      </c>
    </row>
    <row r="4228" spans="1:1" x14ac:dyDescent="0.45">
      <c r="A4228" s="22" t="s">
        <v>7684</v>
      </c>
    </row>
    <row r="4229" spans="1:1" x14ac:dyDescent="0.45">
      <c r="A4229" s="22" t="s">
        <v>7646</v>
      </c>
    </row>
    <row r="4230" spans="1:1" x14ac:dyDescent="0.45">
      <c r="A4230" s="22" t="s">
        <v>7937</v>
      </c>
    </row>
    <row r="4231" spans="1:1" x14ac:dyDescent="0.45">
      <c r="A4231" s="21">
        <v>1000</v>
      </c>
    </row>
    <row r="4232" spans="1:1" x14ac:dyDescent="0.45">
      <c r="A4232" s="22" t="s">
        <v>8008</v>
      </c>
    </row>
    <row r="4233" spans="1:1" x14ac:dyDescent="0.45">
      <c r="A4233" s="22" t="s">
        <v>8203</v>
      </c>
    </row>
    <row r="4234" spans="1:1" x14ac:dyDescent="0.45">
      <c r="A4234" s="19">
        <v>71</v>
      </c>
    </row>
    <row r="4235" spans="1:1" x14ac:dyDescent="0.45">
      <c r="A4235" s="21">
        <v>13300</v>
      </c>
    </row>
    <row r="4236" spans="1:1" x14ac:dyDescent="0.45">
      <c r="A4236" s="22" t="s">
        <v>715</v>
      </c>
    </row>
    <row r="4237" spans="1:1" x14ac:dyDescent="0.45">
      <c r="A4237" s="21">
        <v>9500</v>
      </c>
    </row>
    <row r="4238" spans="1:1" x14ac:dyDescent="0.45">
      <c r="A4238" s="22" t="s">
        <v>974</v>
      </c>
    </row>
    <row r="4239" spans="1:1" x14ac:dyDescent="0.45">
      <c r="A4239" s="21">
        <v>8800</v>
      </c>
    </row>
    <row r="4240" spans="1:1" x14ac:dyDescent="0.45">
      <c r="A4240" s="22" t="s">
        <v>1063</v>
      </c>
    </row>
    <row r="4241" spans="1:1" x14ac:dyDescent="0.45">
      <c r="A4241" s="21">
        <v>8600</v>
      </c>
    </row>
    <row r="4242" spans="1:1" x14ac:dyDescent="0.45">
      <c r="A4242" s="22" t="s">
        <v>1090</v>
      </c>
    </row>
    <row r="4243" spans="1:1" x14ac:dyDescent="0.45">
      <c r="A4243" s="21">
        <v>7900</v>
      </c>
    </row>
    <row r="4244" spans="1:1" x14ac:dyDescent="0.45">
      <c r="A4244" s="22" t="s">
        <v>1230</v>
      </c>
    </row>
    <row r="4245" spans="1:1" x14ac:dyDescent="0.45">
      <c r="A4245" s="21">
        <v>7700</v>
      </c>
    </row>
    <row r="4246" spans="1:1" x14ac:dyDescent="0.45">
      <c r="A4246" s="22" t="s">
        <v>1287</v>
      </c>
    </row>
    <row r="4247" spans="1:1" x14ac:dyDescent="0.45">
      <c r="A4247" s="21">
        <v>7400</v>
      </c>
    </row>
    <row r="4248" spans="1:1" x14ac:dyDescent="0.45">
      <c r="A4248" s="22" t="s">
        <v>1357</v>
      </c>
    </row>
    <row r="4249" spans="1:1" x14ac:dyDescent="0.45">
      <c r="A4249" s="21">
        <v>7100</v>
      </c>
    </row>
    <row r="4250" spans="1:1" x14ac:dyDescent="0.45">
      <c r="A4250" s="22" t="s">
        <v>1456</v>
      </c>
    </row>
    <row r="4251" spans="1:1" x14ac:dyDescent="0.45">
      <c r="A4251" s="21">
        <v>7000</v>
      </c>
    </row>
    <row r="4252" spans="1:1" x14ac:dyDescent="0.45">
      <c r="A4252" s="22" t="s">
        <v>1497</v>
      </c>
    </row>
    <row r="4253" spans="1:1" x14ac:dyDescent="0.45">
      <c r="A4253" s="21">
        <v>6700</v>
      </c>
    </row>
    <row r="4254" spans="1:1" x14ac:dyDescent="0.45">
      <c r="A4254" s="22" t="s">
        <v>1628</v>
      </c>
    </row>
    <row r="4255" spans="1:1" x14ac:dyDescent="0.45">
      <c r="A4255" s="21">
        <v>6400</v>
      </c>
    </row>
    <row r="4256" spans="1:1" x14ac:dyDescent="0.45">
      <c r="A4256" s="22" t="s">
        <v>1691</v>
      </c>
    </row>
    <row r="4257" spans="1:1" x14ac:dyDescent="0.45">
      <c r="A4257" s="21">
        <v>6000</v>
      </c>
    </row>
    <row r="4258" spans="1:1" x14ac:dyDescent="0.45">
      <c r="A4258" s="22" t="s">
        <v>1820</v>
      </c>
    </row>
    <row r="4259" spans="1:1" x14ac:dyDescent="0.45">
      <c r="A4259" s="21">
        <v>5700</v>
      </c>
    </row>
    <row r="4260" spans="1:1" x14ac:dyDescent="0.45">
      <c r="A4260" s="22" t="s">
        <v>1871</v>
      </c>
    </row>
    <row r="4261" spans="1:1" x14ac:dyDescent="0.45">
      <c r="A4261" s="21">
        <v>5400</v>
      </c>
    </row>
    <row r="4262" spans="1:1" x14ac:dyDescent="0.45">
      <c r="A4262" s="22" t="s">
        <v>2028</v>
      </c>
    </row>
    <row r="4263" spans="1:1" x14ac:dyDescent="0.45">
      <c r="A4263" s="21">
        <v>5200</v>
      </c>
    </row>
    <row r="4264" spans="1:1" x14ac:dyDescent="0.45">
      <c r="A4264" s="22" t="s">
        <v>2089</v>
      </c>
    </row>
    <row r="4265" spans="1:1" x14ac:dyDescent="0.45">
      <c r="A4265" s="22" t="s">
        <v>2092</v>
      </c>
    </row>
    <row r="4266" spans="1:1" x14ac:dyDescent="0.45">
      <c r="A4266" s="21">
        <v>5100</v>
      </c>
    </row>
    <row r="4267" spans="1:1" x14ac:dyDescent="0.45">
      <c r="A4267" s="22" t="s">
        <v>2144</v>
      </c>
    </row>
    <row r="4268" spans="1:1" x14ac:dyDescent="0.45">
      <c r="A4268" s="21">
        <v>4600</v>
      </c>
    </row>
    <row r="4269" spans="1:1" x14ac:dyDescent="0.45">
      <c r="A4269" s="22" t="s">
        <v>2394</v>
      </c>
    </row>
    <row r="4270" spans="1:1" x14ac:dyDescent="0.45">
      <c r="A4270" s="21">
        <v>4500</v>
      </c>
    </row>
    <row r="4271" spans="1:1" x14ac:dyDescent="0.45">
      <c r="A4271" s="22" t="s">
        <v>2442</v>
      </c>
    </row>
    <row r="4272" spans="1:1" x14ac:dyDescent="0.45">
      <c r="A4272" s="21">
        <v>4400</v>
      </c>
    </row>
    <row r="4273" spans="1:1" x14ac:dyDescent="0.45">
      <c r="A4273" s="22" t="s">
        <v>2494</v>
      </c>
    </row>
    <row r="4274" spans="1:1" x14ac:dyDescent="0.45">
      <c r="A4274" s="21">
        <v>4200</v>
      </c>
    </row>
    <row r="4275" spans="1:1" x14ac:dyDescent="0.45">
      <c r="A4275" s="22" t="s">
        <v>2631</v>
      </c>
    </row>
    <row r="4276" spans="1:1" x14ac:dyDescent="0.45">
      <c r="A4276" s="21">
        <v>3800</v>
      </c>
    </row>
    <row r="4277" spans="1:1" x14ac:dyDescent="0.45">
      <c r="A4277" s="22" t="s">
        <v>2913</v>
      </c>
    </row>
    <row r="4278" spans="1:1" x14ac:dyDescent="0.45">
      <c r="A4278" s="21">
        <v>3700</v>
      </c>
    </row>
    <row r="4279" spans="1:1" x14ac:dyDescent="0.45">
      <c r="A4279" s="22" t="s">
        <v>2944</v>
      </c>
    </row>
    <row r="4280" spans="1:1" x14ac:dyDescent="0.45">
      <c r="A4280" s="21">
        <v>3600</v>
      </c>
    </row>
    <row r="4281" spans="1:1" x14ac:dyDescent="0.45">
      <c r="A4281" s="22" t="s">
        <v>3041</v>
      </c>
    </row>
    <row r="4282" spans="1:1" x14ac:dyDescent="0.45">
      <c r="A4282" s="22" t="s">
        <v>3000</v>
      </c>
    </row>
    <row r="4283" spans="1:1" x14ac:dyDescent="0.45">
      <c r="A4283" s="21">
        <v>3500</v>
      </c>
    </row>
    <row r="4284" spans="1:1" x14ac:dyDescent="0.45">
      <c r="A4284" s="22" t="s">
        <v>3160</v>
      </c>
    </row>
    <row r="4285" spans="1:1" x14ac:dyDescent="0.45">
      <c r="A4285" s="21">
        <v>3300</v>
      </c>
    </row>
    <row r="4286" spans="1:1" x14ac:dyDescent="0.45">
      <c r="A4286" s="22" t="s">
        <v>3354</v>
      </c>
    </row>
    <row r="4287" spans="1:1" x14ac:dyDescent="0.45">
      <c r="A4287" s="21">
        <v>3200</v>
      </c>
    </row>
    <row r="4288" spans="1:1" x14ac:dyDescent="0.45">
      <c r="A4288" s="22" t="s">
        <v>3436</v>
      </c>
    </row>
    <row r="4289" spans="1:1" x14ac:dyDescent="0.45">
      <c r="A4289" s="22" t="s">
        <v>3474</v>
      </c>
    </row>
    <row r="4290" spans="1:1" x14ac:dyDescent="0.45">
      <c r="A4290" s="21">
        <v>3100</v>
      </c>
    </row>
    <row r="4291" spans="1:1" x14ac:dyDescent="0.45">
      <c r="A4291" s="22" t="s">
        <v>3588</v>
      </c>
    </row>
    <row r="4292" spans="1:1" x14ac:dyDescent="0.45">
      <c r="A4292" s="22" t="s">
        <v>3568</v>
      </c>
    </row>
    <row r="4293" spans="1:1" x14ac:dyDescent="0.45">
      <c r="A4293" s="21">
        <v>3000</v>
      </c>
    </row>
    <row r="4294" spans="1:1" x14ac:dyDescent="0.45">
      <c r="A4294" s="22" t="s">
        <v>3698</v>
      </c>
    </row>
    <row r="4295" spans="1:1" x14ac:dyDescent="0.45">
      <c r="A4295" s="22" t="s">
        <v>3726</v>
      </c>
    </row>
    <row r="4296" spans="1:1" x14ac:dyDescent="0.45">
      <c r="A4296" s="22" t="s">
        <v>3710</v>
      </c>
    </row>
    <row r="4297" spans="1:1" x14ac:dyDescent="0.45">
      <c r="A4297" s="21">
        <v>2800</v>
      </c>
    </row>
    <row r="4298" spans="1:1" x14ac:dyDescent="0.45">
      <c r="A4298" s="22" t="s">
        <v>3950</v>
      </c>
    </row>
    <row r="4299" spans="1:1" x14ac:dyDescent="0.45">
      <c r="A4299" s="21">
        <v>2700</v>
      </c>
    </row>
    <row r="4300" spans="1:1" x14ac:dyDescent="0.45">
      <c r="A4300" s="22" t="s">
        <v>4077</v>
      </c>
    </row>
    <row r="4301" spans="1:1" x14ac:dyDescent="0.45">
      <c r="A4301" s="22" t="s">
        <v>4071</v>
      </c>
    </row>
    <row r="4302" spans="1:1" x14ac:dyDescent="0.45">
      <c r="A4302" s="21">
        <v>2600</v>
      </c>
    </row>
    <row r="4303" spans="1:1" x14ac:dyDescent="0.45">
      <c r="A4303" s="22" t="s">
        <v>4211</v>
      </c>
    </row>
    <row r="4304" spans="1:1" x14ac:dyDescent="0.45">
      <c r="A4304" s="21">
        <v>2500</v>
      </c>
    </row>
    <row r="4305" spans="1:1" x14ac:dyDescent="0.45">
      <c r="A4305" s="22" t="s">
        <v>4457</v>
      </c>
    </row>
    <row r="4306" spans="1:1" x14ac:dyDescent="0.45">
      <c r="A4306" s="22" t="s">
        <v>4336</v>
      </c>
    </row>
    <row r="4307" spans="1:1" x14ac:dyDescent="0.45">
      <c r="A4307" s="21">
        <v>2300</v>
      </c>
    </row>
    <row r="4308" spans="1:1" x14ac:dyDescent="0.45">
      <c r="A4308" s="22" t="s">
        <v>4663</v>
      </c>
    </row>
    <row r="4309" spans="1:1" x14ac:dyDescent="0.45">
      <c r="A4309" s="21">
        <v>2200</v>
      </c>
    </row>
    <row r="4310" spans="1:1" x14ac:dyDescent="0.45">
      <c r="A4310" s="22" t="s">
        <v>4775</v>
      </c>
    </row>
    <row r="4311" spans="1:1" x14ac:dyDescent="0.45">
      <c r="A4311" s="22" t="s">
        <v>4848</v>
      </c>
    </row>
    <row r="4312" spans="1:1" x14ac:dyDescent="0.45">
      <c r="A4312" s="21">
        <v>2100</v>
      </c>
    </row>
    <row r="4313" spans="1:1" x14ac:dyDescent="0.45">
      <c r="A4313" s="22" t="s">
        <v>4954</v>
      </c>
    </row>
    <row r="4314" spans="1:1" x14ac:dyDescent="0.45">
      <c r="A4314" s="22" t="s">
        <v>5033</v>
      </c>
    </row>
    <row r="4315" spans="1:1" x14ac:dyDescent="0.45">
      <c r="A4315" s="21">
        <v>2000</v>
      </c>
    </row>
    <row r="4316" spans="1:1" x14ac:dyDescent="0.45">
      <c r="A4316" s="22" t="s">
        <v>5286</v>
      </c>
    </row>
    <row r="4317" spans="1:1" x14ac:dyDescent="0.45">
      <c r="A4317" s="22" t="s">
        <v>5192</v>
      </c>
    </row>
    <row r="4318" spans="1:1" x14ac:dyDescent="0.45">
      <c r="A4318" s="21">
        <v>1900</v>
      </c>
    </row>
    <row r="4319" spans="1:1" x14ac:dyDescent="0.45">
      <c r="A4319" s="22" t="s">
        <v>5545</v>
      </c>
    </row>
    <row r="4320" spans="1:1" x14ac:dyDescent="0.45">
      <c r="A4320" s="22" t="s">
        <v>5356</v>
      </c>
    </row>
    <row r="4321" spans="1:1" x14ac:dyDescent="0.45">
      <c r="A4321" s="21">
        <v>1700</v>
      </c>
    </row>
    <row r="4322" spans="1:1" x14ac:dyDescent="0.45">
      <c r="A4322" s="22" t="s">
        <v>5850</v>
      </c>
    </row>
    <row r="4323" spans="1:1" x14ac:dyDescent="0.45">
      <c r="A4323" s="21">
        <v>1600</v>
      </c>
    </row>
    <row r="4324" spans="1:1" x14ac:dyDescent="0.45">
      <c r="A4324" s="22" t="s">
        <v>6001</v>
      </c>
    </row>
    <row r="4325" spans="1:1" x14ac:dyDescent="0.45">
      <c r="A4325" s="22" t="s">
        <v>6007</v>
      </c>
    </row>
    <row r="4326" spans="1:1" x14ac:dyDescent="0.45">
      <c r="A4326" s="21">
        <v>1500</v>
      </c>
    </row>
    <row r="4327" spans="1:1" x14ac:dyDescent="0.45">
      <c r="A4327" s="22" t="s">
        <v>6574</v>
      </c>
    </row>
    <row r="4328" spans="1:1" x14ac:dyDescent="0.45">
      <c r="A4328" s="22" t="s">
        <v>6415</v>
      </c>
    </row>
    <row r="4329" spans="1:1" x14ac:dyDescent="0.45">
      <c r="A4329" s="21">
        <v>1400</v>
      </c>
    </row>
    <row r="4330" spans="1:1" x14ac:dyDescent="0.45">
      <c r="A4330" s="22" t="s">
        <v>6705</v>
      </c>
    </row>
    <row r="4331" spans="1:1" x14ac:dyDescent="0.45">
      <c r="A4331" s="22" t="s">
        <v>6611</v>
      </c>
    </row>
    <row r="4332" spans="1:1" x14ac:dyDescent="0.45">
      <c r="A4332" s="21">
        <v>1300</v>
      </c>
    </row>
    <row r="4333" spans="1:1" x14ac:dyDescent="0.45">
      <c r="A4333" s="22" t="s">
        <v>6936</v>
      </c>
    </row>
    <row r="4334" spans="1:1" x14ac:dyDescent="0.45">
      <c r="A4334" s="22" t="s">
        <v>7077</v>
      </c>
    </row>
    <row r="4335" spans="1:1" x14ac:dyDescent="0.45">
      <c r="A4335" s="21">
        <v>1200</v>
      </c>
    </row>
    <row r="4336" spans="1:1" x14ac:dyDescent="0.45">
      <c r="A4336" s="22" t="s">
        <v>7283</v>
      </c>
    </row>
    <row r="4337" spans="1:1" x14ac:dyDescent="0.45">
      <c r="A4337" s="22" t="s">
        <v>7403</v>
      </c>
    </row>
    <row r="4338" spans="1:1" x14ac:dyDescent="0.45">
      <c r="A4338" s="22" t="s">
        <v>7286</v>
      </c>
    </row>
    <row r="4339" spans="1:1" x14ac:dyDescent="0.45">
      <c r="A4339" s="21">
        <v>1100</v>
      </c>
    </row>
    <row r="4340" spans="1:1" x14ac:dyDescent="0.45">
      <c r="A4340" s="22" t="s">
        <v>7747</v>
      </c>
    </row>
    <row r="4341" spans="1:1" x14ac:dyDescent="0.45">
      <c r="A4341" s="22" t="s">
        <v>7899</v>
      </c>
    </row>
    <row r="4342" spans="1:1" x14ac:dyDescent="0.45">
      <c r="A4342" s="21">
        <v>1000</v>
      </c>
    </row>
    <row r="4343" spans="1:1" x14ac:dyDescent="0.45">
      <c r="A4343" s="22" t="s">
        <v>8233</v>
      </c>
    </row>
    <row r="4344" spans="1:1" x14ac:dyDescent="0.45">
      <c r="A4344" s="19">
        <v>70</v>
      </c>
    </row>
    <row r="4345" spans="1:1" x14ac:dyDescent="0.45">
      <c r="A4345" s="21">
        <v>22900</v>
      </c>
    </row>
    <row r="4346" spans="1:1" x14ac:dyDescent="0.45">
      <c r="A4346" s="22" t="s">
        <v>398</v>
      </c>
    </row>
    <row r="4347" spans="1:1" x14ac:dyDescent="0.45">
      <c r="A4347" s="21">
        <v>18500</v>
      </c>
    </row>
    <row r="4348" spans="1:1" x14ac:dyDescent="0.45">
      <c r="A4348" s="22" t="s">
        <v>512</v>
      </c>
    </row>
    <row r="4349" spans="1:1" x14ac:dyDescent="0.45">
      <c r="A4349" s="21">
        <v>16700</v>
      </c>
    </row>
    <row r="4350" spans="1:1" x14ac:dyDescent="0.45">
      <c r="A4350" s="22" t="s">
        <v>555</v>
      </c>
    </row>
    <row r="4351" spans="1:1" x14ac:dyDescent="0.45">
      <c r="A4351" s="21">
        <v>10300</v>
      </c>
    </row>
    <row r="4352" spans="1:1" x14ac:dyDescent="0.45">
      <c r="A4352" s="22" t="s">
        <v>852</v>
      </c>
    </row>
    <row r="4353" spans="1:1" x14ac:dyDescent="0.45">
      <c r="A4353" s="21">
        <v>9600</v>
      </c>
    </row>
    <row r="4354" spans="1:1" x14ac:dyDescent="0.45">
      <c r="A4354" s="22" t="s">
        <v>954</v>
      </c>
    </row>
    <row r="4355" spans="1:1" x14ac:dyDescent="0.45">
      <c r="A4355" s="22" t="s">
        <v>947</v>
      </c>
    </row>
    <row r="4356" spans="1:1" x14ac:dyDescent="0.45">
      <c r="A4356" s="21">
        <v>8900</v>
      </c>
    </row>
    <row r="4357" spans="1:1" x14ac:dyDescent="0.45">
      <c r="A4357" s="22" t="s">
        <v>1055</v>
      </c>
    </row>
    <row r="4358" spans="1:1" x14ac:dyDescent="0.45">
      <c r="A4358" s="21">
        <v>7400</v>
      </c>
    </row>
    <row r="4359" spans="1:1" x14ac:dyDescent="0.45">
      <c r="A4359" s="22" t="s">
        <v>1351</v>
      </c>
    </row>
    <row r="4360" spans="1:1" x14ac:dyDescent="0.45">
      <c r="A4360" s="21">
        <v>6600</v>
      </c>
    </row>
    <row r="4361" spans="1:1" x14ac:dyDescent="0.45">
      <c r="A4361" s="22" t="s">
        <v>1651</v>
      </c>
    </row>
    <row r="4362" spans="1:1" x14ac:dyDescent="0.45">
      <c r="A4362" s="21">
        <v>5800</v>
      </c>
    </row>
    <row r="4363" spans="1:1" x14ac:dyDescent="0.45">
      <c r="A4363" s="22" t="s">
        <v>1852</v>
      </c>
    </row>
    <row r="4364" spans="1:1" x14ac:dyDescent="0.45">
      <c r="A4364" s="21">
        <v>5400</v>
      </c>
    </row>
    <row r="4365" spans="1:1" x14ac:dyDescent="0.45">
      <c r="A4365" s="22" t="s">
        <v>2020</v>
      </c>
    </row>
    <row r="4366" spans="1:1" x14ac:dyDescent="0.45">
      <c r="A4366" s="21">
        <v>4800</v>
      </c>
    </row>
    <row r="4367" spans="1:1" x14ac:dyDescent="0.45">
      <c r="A4367" s="22" t="s">
        <v>2307</v>
      </c>
    </row>
    <row r="4368" spans="1:1" x14ac:dyDescent="0.45">
      <c r="A4368" s="21">
        <v>4500</v>
      </c>
    </row>
    <row r="4369" spans="1:1" x14ac:dyDescent="0.45">
      <c r="A4369" s="22" t="s">
        <v>2448</v>
      </c>
    </row>
    <row r="4370" spans="1:1" x14ac:dyDescent="0.45">
      <c r="A4370" s="21">
        <v>4100</v>
      </c>
    </row>
    <row r="4371" spans="1:1" x14ac:dyDescent="0.45">
      <c r="A4371" s="22" t="s">
        <v>2654</v>
      </c>
    </row>
    <row r="4372" spans="1:1" x14ac:dyDescent="0.45">
      <c r="A4372" s="21">
        <v>3900</v>
      </c>
    </row>
    <row r="4373" spans="1:1" x14ac:dyDescent="0.45">
      <c r="A4373" s="22" t="s">
        <v>2861</v>
      </c>
    </row>
    <row r="4374" spans="1:1" x14ac:dyDescent="0.45">
      <c r="A4374" s="21">
        <v>3500</v>
      </c>
    </row>
    <row r="4375" spans="1:1" x14ac:dyDescent="0.45">
      <c r="A4375" s="22" t="s">
        <v>3179</v>
      </c>
    </row>
    <row r="4376" spans="1:1" x14ac:dyDescent="0.45">
      <c r="A4376" s="22" t="s">
        <v>3121</v>
      </c>
    </row>
    <row r="4377" spans="1:1" x14ac:dyDescent="0.45">
      <c r="A4377" s="21">
        <v>3200</v>
      </c>
    </row>
    <row r="4378" spans="1:1" x14ac:dyDescent="0.45">
      <c r="A4378" s="22" t="s">
        <v>3407</v>
      </c>
    </row>
    <row r="4379" spans="1:1" x14ac:dyDescent="0.45">
      <c r="A4379" s="22" t="s">
        <v>3471</v>
      </c>
    </row>
    <row r="4380" spans="1:1" x14ac:dyDescent="0.45">
      <c r="A4380" s="22" t="s">
        <v>3384</v>
      </c>
    </row>
    <row r="4381" spans="1:1" x14ac:dyDescent="0.45">
      <c r="A4381" s="21">
        <v>3000</v>
      </c>
    </row>
    <row r="4382" spans="1:1" x14ac:dyDescent="0.45">
      <c r="A4382" s="22" t="s">
        <v>3644</v>
      </c>
    </row>
    <row r="4383" spans="1:1" x14ac:dyDescent="0.45">
      <c r="A4383" s="21">
        <v>2900</v>
      </c>
    </row>
    <row r="4384" spans="1:1" x14ac:dyDescent="0.45">
      <c r="A4384" s="22" t="s">
        <v>3774</v>
      </c>
    </row>
    <row r="4385" spans="1:1" x14ac:dyDescent="0.45">
      <c r="A4385" s="21">
        <v>2700</v>
      </c>
    </row>
    <row r="4386" spans="1:1" x14ac:dyDescent="0.45">
      <c r="A4386" s="22" t="s">
        <v>4008</v>
      </c>
    </row>
    <row r="4387" spans="1:1" x14ac:dyDescent="0.45">
      <c r="A4387" s="22" t="s">
        <v>4126</v>
      </c>
    </row>
    <row r="4388" spans="1:1" x14ac:dyDescent="0.45">
      <c r="A4388" s="21">
        <v>2600</v>
      </c>
    </row>
    <row r="4389" spans="1:1" x14ac:dyDescent="0.45">
      <c r="A4389" s="22" t="s">
        <v>4293</v>
      </c>
    </row>
    <row r="4390" spans="1:1" x14ac:dyDescent="0.45">
      <c r="A4390" s="21">
        <v>2500</v>
      </c>
    </row>
    <row r="4391" spans="1:1" x14ac:dyDescent="0.45">
      <c r="A4391" s="22" t="s">
        <v>4391</v>
      </c>
    </row>
    <row r="4392" spans="1:1" x14ac:dyDescent="0.45">
      <c r="A4392" s="22" t="s">
        <v>4410</v>
      </c>
    </row>
    <row r="4393" spans="1:1" x14ac:dyDescent="0.45">
      <c r="A4393" s="22" t="s">
        <v>4407</v>
      </c>
    </row>
    <row r="4394" spans="1:1" x14ac:dyDescent="0.45">
      <c r="A4394" s="21">
        <v>2400</v>
      </c>
    </row>
    <row r="4395" spans="1:1" x14ac:dyDescent="0.45">
      <c r="A4395" s="22" t="s">
        <v>4494</v>
      </c>
    </row>
    <row r="4396" spans="1:1" x14ac:dyDescent="0.45">
      <c r="A4396" s="21">
        <v>2300</v>
      </c>
    </row>
    <row r="4397" spans="1:1" x14ac:dyDescent="0.45">
      <c r="A4397" s="22" t="s">
        <v>4653</v>
      </c>
    </row>
    <row r="4398" spans="1:1" x14ac:dyDescent="0.45">
      <c r="A4398" s="22" t="s">
        <v>4714</v>
      </c>
    </row>
    <row r="4399" spans="1:1" x14ac:dyDescent="0.45">
      <c r="A4399" s="21">
        <v>2100</v>
      </c>
    </row>
    <row r="4400" spans="1:1" x14ac:dyDescent="0.45">
      <c r="A4400" s="22" t="s">
        <v>4952</v>
      </c>
    </row>
    <row r="4401" spans="1:1" x14ac:dyDescent="0.45">
      <c r="A4401" s="22" t="s">
        <v>5067</v>
      </c>
    </row>
    <row r="4402" spans="1:1" x14ac:dyDescent="0.45">
      <c r="A4402" s="22" t="s">
        <v>5117</v>
      </c>
    </row>
    <row r="4403" spans="1:1" x14ac:dyDescent="0.45">
      <c r="A4403" s="21">
        <v>1900</v>
      </c>
    </row>
    <row r="4404" spans="1:1" x14ac:dyDescent="0.45">
      <c r="A4404" s="22" t="s">
        <v>5506</v>
      </c>
    </row>
    <row r="4405" spans="1:1" x14ac:dyDescent="0.45">
      <c r="A4405" s="21">
        <v>1800</v>
      </c>
    </row>
    <row r="4406" spans="1:1" x14ac:dyDescent="0.45">
      <c r="A4406" s="22" t="s">
        <v>5676</v>
      </c>
    </row>
    <row r="4407" spans="1:1" x14ac:dyDescent="0.45">
      <c r="A4407" s="22" t="s">
        <v>5703</v>
      </c>
    </row>
    <row r="4408" spans="1:1" x14ac:dyDescent="0.45">
      <c r="A4408" s="22" t="s">
        <v>5769</v>
      </c>
    </row>
    <row r="4409" spans="1:1" x14ac:dyDescent="0.45">
      <c r="A4409" s="21">
        <v>1700</v>
      </c>
    </row>
    <row r="4410" spans="1:1" x14ac:dyDescent="0.45">
      <c r="A4410" s="22" t="s">
        <v>5882</v>
      </c>
    </row>
    <row r="4411" spans="1:1" x14ac:dyDescent="0.45">
      <c r="A4411" s="21">
        <v>1600</v>
      </c>
    </row>
    <row r="4412" spans="1:1" x14ac:dyDescent="0.45">
      <c r="A4412" s="22" t="s">
        <v>6217</v>
      </c>
    </row>
    <row r="4413" spans="1:1" x14ac:dyDescent="0.45">
      <c r="A4413" s="22" t="s">
        <v>6093</v>
      </c>
    </row>
    <row r="4414" spans="1:1" x14ac:dyDescent="0.45">
      <c r="A4414" s="22" t="s">
        <v>6129</v>
      </c>
    </row>
    <row r="4415" spans="1:1" x14ac:dyDescent="0.45">
      <c r="A4415" s="21">
        <v>1500</v>
      </c>
    </row>
    <row r="4416" spans="1:1" x14ac:dyDescent="0.45">
      <c r="A4416" s="22" t="s">
        <v>6372</v>
      </c>
    </row>
    <row r="4417" spans="1:1" x14ac:dyDescent="0.45">
      <c r="A4417" s="22" t="s">
        <v>6328</v>
      </c>
    </row>
    <row r="4418" spans="1:1" x14ac:dyDescent="0.45">
      <c r="A4418" s="22" t="s">
        <v>6444</v>
      </c>
    </row>
    <row r="4419" spans="1:1" x14ac:dyDescent="0.45">
      <c r="A4419" s="22" t="s">
        <v>6291</v>
      </c>
    </row>
    <row r="4420" spans="1:1" x14ac:dyDescent="0.45">
      <c r="A4420" s="22" t="s">
        <v>6315</v>
      </c>
    </row>
    <row r="4421" spans="1:1" x14ac:dyDescent="0.45">
      <c r="A4421" s="21">
        <v>1400</v>
      </c>
    </row>
    <row r="4422" spans="1:1" x14ac:dyDescent="0.45">
      <c r="A4422" s="22" t="s">
        <v>6737</v>
      </c>
    </row>
    <row r="4423" spans="1:1" x14ac:dyDescent="0.45">
      <c r="A4423" s="22" t="s">
        <v>6701</v>
      </c>
    </row>
    <row r="4424" spans="1:1" x14ac:dyDescent="0.45">
      <c r="A4424" s="21">
        <v>1300</v>
      </c>
    </row>
    <row r="4425" spans="1:1" x14ac:dyDescent="0.45">
      <c r="A4425" s="22" t="s">
        <v>7156</v>
      </c>
    </row>
    <row r="4426" spans="1:1" x14ac:dyDescent="0.45">
      <c r="A4426" s="22" t="s">
        <v>6920</v>
      </c>
    </row>
    <row r="4427" spans="1:1" x14ac:dyDescent="0.45">
      <c r="A4427" s="22" t="s">
        <v>7153</v>
      </c>
    </row>
    <row r="4428" spans="1:1" x14ac:dyDescent="0.45">
      <c r="A4428" s="22" t="s">
        <v>7049</v>
      </c>
    </row>
    <row r="4429" spans="1:1" x14ac:dyDescent="0.45">
      <c r="A4429" s="22" t="s">
        <v>7000</v>
      </c>
    </row>
    <row r="4430" spans="1:1" x14ac:dyDescent="0.45">
      <c r="A4430" s="22" t="s">
        <v>6928</v>
      </c>
    </row>
    <row r="4431" spans="1:1" x14ac:dyDescent="0.45">
      <c r="A4431" s="21">
        <v>1200</v>
      </c>
    </row>
    <row r="4432" spans="1:1" x14ac:dyDescent="0.45">
      <c r="A4432" s="22" t="s">
        <v>7232</v>
      </c>
    </row>
    <row r="4433" spans="1:1" x14ac:dyDescent="0.45">
      <c r="A4433" s="22" t="s">
        <v>7301</v>
      </c>
    </row>
    <row r="4434" spans="1:1" x14ac:dyDescent="0.45">
      <c r="A4434" s="22" t="s">
        <v>7522</v>
      </c>
    </row>
    <row r="4435" spans="1:1" x14ac:dyDescent="0.45">
      <c r="A4435" s="21">
        <v>1100</v>
      </c>
    </row>
    <row r="4436" spans="1:1" x14ac:dyDescent="0.45">
      <c r="A4436" s="22" t="s">
        <v>7715</v>
      </c>
    </row>
    <row r="4437" spans="1:1" x14ac:dyDescent="0.45">
      <c r="A4437" s="22" t="s">
        <v>7819</v>
      </c>
    </row>
    <row r="4438" spans="1:1" x14ac:dyDescent="0.45">
      <c r="A4438" s="21">
        <v>1000</v>
      </c>
    </row>
    <row r="4439" spans="1:1" x14ac:dyDescent="0.45">
      <c r="A4439" s="22" t="s">
        <v>7987</v>
      </c>
    </row>
    <row r="4440" spans="1:1" x14ac:dyDescent="0.45">
      <c r="A4440" s="22" t="s">
        <v>8055</v>
      </c>
    </row>
    <row r="4441" spans="1:1" x14ac:dyDescent="0.45">
      <c r="A4441" s="22" t="s">
        <v>8068</v>
      </c>
    </row>
    <row r="4442" spans="1:1" x14ac:dyDescent="0.45">
      <c r="A4442" s="22" t="s">
        <v>8193</v>
      </c>
    </row>
    <row r="4443" spans="1:1" x14ac:dyDescent="0.45">
      <c r="A4443" s="22" t="s">
        <v>8180</v>
      </c>
    </row>
    <row r="4444" spans="1:1" x14ac:dyDescent="0.45">
      <c r="A4444" s="19">
        <v>69</v>
      </c>
    </row>
    <row r="4445" spans="1:1" x14ac:dyDescent="0.45">
      <c r="A4445" s="21">
        <v>80500</v>
      </c>
    </row>
    <row r="4446" spans="1:1" x14ac:dyDescent="0.45">
      <c r="A4446" s="22" t="s">
        <v>105</v>
      </c>
    </row>
    <row r="4447" spans="1:1" x14ac:dyDescent="0.45">
      <c r="A4447" s="21">
        <v>27000</v>
      </c>
    </row>
    <row r="4448" spans="1:1" x14ac:dyDescent="0.45">
      <c r="A4448" s="22" t="s">
        <v>327</v>
      </c>
    </row>
    <row r="4449" spans="1:1" x14ac:dyDescent="0.45">
      <c r="A4449" s="21">
        <v>26600</v>
      </c>
    </row>
    <row r="4450" spans="1:1" x14ac:dyDescent="0.45">
      <c r="A4450" s="22" t="s">
        <v>339</v>
      </c>
    </row>
    <row r="4451" spans="1:1" x14ac:dyDescent="0.45">
      <c r="A4451" s="21">
        <v>14400</v>
      </c>
    </row>
    <row r="4452" spans="1:1" x14ac:dyDescent="0.45">
      <c r="A4452" s="22" t="s">
        <v>651</v>
      </c>
    </row>
    <row r="4453" spans="1:1" x14ac:dyDescent="0.45">
      <c r="A4453" s="21">
        <v>12200</v>
      </c>
    </row>
    <row r="4454" spans="1:1" x14ac:dyDescent="0.45">
      <c r="A4454" s="22" t="s">
        <v>746</v>
      </c>
    </row>
    <row r="4455" spans="1:1" x14ac:dyDescent="0.45">
      <c r="A4455" s="21">
        <v>11300</v>
      </c>
    </row>
    <row r="4456" spans="1:1" x14ac:dyDescent="0.45">
      <c r="A4456" s="22" t="s">
        <v>789</v>
      </c>
    </row>
    <row r="4457" spans="1:1" x14ac:dyDescent="0.45">
      <c r="A4457" s="21">
        <v>8100</v>
      </c>
    </row>
    <row r="4458" spans="1:1" x14ac:dyDescent="0.45">
      <c r="A4458" s="22" t="s">
        <v>1181</v>
      </c>
    </row>
    <row r="4459" spans="1:1" x14ac:dyDescent="0.45">
      <c r="A4459" s="21">
        <v>7000</v>
      </c>
    </row>
    <row r="4460" spans="1:1" x14ac:dyDescent="0.45">
      <c r="A4460" s="22" t="s">
        <v>1488</v>
      </c>
    </row>
    <row r="4461" spans="1:1" x14ac:dyDescent="0.45">
      <c r="A4461" s="21">
        <v>6400</v>
      </c>
    </row>
    <row r="4462" spans="1:1" x14ac:dyDescent="0.45">
      <c r="A4462" s="22" t="s">
        <v>1698</v>
      </c>
    </row>
    <row r="4463" spans="1:1" x14ac:dyDescent="0.45">
      <c r="A4463" s="21">
        <v>6100</v>
      </c>
    </row>
    <row r="4464" spans="1:1" x14ac:dyDescent="0.45">
      <c r="A4464" s="22" t="s">
        <v>1765</v>
      </c>
    </row>
    <row r="4465" spans="1:1" x14ac:dyDescent="0.45">
      <c r="A4465" s="21">
        <v>5600</v>
      </c>
    </row>
    <row r="4466" spans="1:1" x14ac:dyDescent="0.45">
      <c r="A4466" s="22" t="s">
        <v>1912</v>
      </c>
    </row>
    <row r="4467" spans="1:1" x14ac:dyDescent="0.45">
      <c r="A4467" s="21">
        <v>5000</v>
      </c>
    </row>
    <row r="4468" spans="1:1" x14ac:dyDescent="0.45">
      <c r="A4468" s="22" t="s">
        <v>2170</v>
      </c>
    </row>
    <row r="4469" spans="1:1" x14ac:dyDescent="0.45">
      <c r="A4469" s="21">
        <v>4800</v>
      </c>
    </row>
    <row r="4470" spans="1:1" x14ac:dyDescent="0.45">
      <c r="A4470" s="22" t="s">
        <v>2282</v>
      </c>
    </row>
    <row r="4471" spans="1:1" x14ac:dyDescent="0.45">
      <c r="A4471" s="21">
        <v>4600</v>
      </c>
    </row>
    <row r="4472" spans="1:1" x14ac:dyDescent="0.45">
      <c r="A4472" s="22" t="s">
        <v>2390</v>
      </c>
    </row>
    <row r="4473" spans="1:1" x14ac:dyDescent="0.45">
      <c r="A4473" s="21">
        <v>4000</v>
      </c>
    </row>
    <row r="4474" spans="1:1" x14ac:dyDescent="0.45">
      <c r="A4474" s="22" t="s">
        <v>2777</v>
      </c>
    </row>
    <row r="4475" spans="1:1" x14ac:dyDescent="0.45">
      <c r="A4475" s="21">
        <v>3900</v>
      </c>
    </row>
    <row r="4476" spans="1:1" x14ac:dyDescent="0.45">
      <c r="A4476" s="22" t="s">
        <v>2830</v>
      </c>
    </row>
    <row r="4477" spans="1:1" x14ac:dyDescent="0.45">
      <c r="A4477" s="21">
        <v>3800</v>
      </c>
    </row>
    <row r="4478" spans="1:1" x14ac:dyDescent="0.45">
      <c r="A4478" s="22" t="s">
        <v>2892</v>
      </c>
    </row>
    <row r="4479" spans="1:1" x14ac:dyDescent="0.45">
      <c r="A4479" s="21">
        <v>3700</v>
      </c>
    </row>
    <row r="4480" spans="1:1" x14ac:dyDescent="0.45">
      <c r="A4480" s="22" t="s">
        <v>2980</v>
      </c>
    </row>
    <row r="4481" spans="1:1" x14ac:dyDescent="0.45">
      <c r="A4481" s="21">
        <v>3400</v>
      </c>
    </row>
    <row r="4482" spans="1:1" x14ac:dyDescent="0.45">
      <c r="A4482" s="22" t="s">
        <v>3208</v>
      </c>
    </row>
    <row r="4483" spans="1:1" x14ac:dyDescent="0.45">
      <c r="A4483" s="21">
        <v>3200</v>
      </c>
    </row>
    <row r="4484" spans="1:1" x14ac:dyDescent="0.45">
      <c r="A4484" s="22" t="s">
        <v>3391</v>
      </c>
    </row>
    <row r="4485" spans="1:1" x14ac:dyDescent="0.45">
      <c r="A4485" s="22" t="s">
        <v>3430</v>
      </c>
    </row>
    <row r="4486" spans="1:1" x14ac:dyDescent="0.45">
      <c r="A4486" s="22" t="s">
        <v>3464</v>
      </c>
    </row>
    <row r="4487" spans="1:1" x14ac:dyDescent="0.45">
      <c r="A4487" s="21">
        <v>2900</v>
      </c>
    </row>
    <row r="4488" spans="1:1" x14ac:dyDescent="0.45">
      <c r="A4488" s="22" t="s">
        <v>3758</v>
      </c>
    </row>
    <row r="4489" spans="1:1" x14ac:dyDescent="0.45">
      <c r="A4489" s="21">
        <v>2800</v>
      </c>
    </row>
    <row r="4490" spans="1:1" x14ac:dyDescent="0.45">
      <c r="A4490" s="22" t="s">
        <v>3900</v>
      </c>
    </row>
    <row r="4491" spans="1:1" x14ac:dyDescent="0.45">
      <c r="A4491" s="22" t="s">
        <v>3953</v>
      </c>
    </row>
    <row r="4492" spans="1:1" x14ac:dyDescent="0.45">
      <c r="A4492" s="21">
        <v>2700</v>
      </c>
    </row>
    <row r="4493" spans="1:1" x14ac:dyDescent="0.45">
      <c r="A4493" s="22" t="s">
        <v>4112</v>
      </c>
    </row>
    <row r="4494" spans="1:1" x14ac:dyDescent="0.45">
      <c r="A4494" s="21">
        <v>2600</v>
      </c>
    </row>
    <row r="4495" spans="1:1" x14ac:dyDescent="0.45">
      <c r="A4495" s="22" t="s">
        <v>4237</v>
      </c>
    </row>
    <row r="4496" spans="1:1" x14ac:dyDescent="0.45">
      <c r="A4496" s="22" t="s">
        <v>4306</v>
      </c>
    </row>
    <row r="4497" spans="1:1" x14ac:dyDescent="0.45">
      <c r="A4497" s="22" t="s">
        <v>4255</v>
      </c>
    </row>
    <row r="4498" spans="1:1" x14ac:dyDescent="0.45">
      <c r="A4498" s="21">
        <v>2500</v>
      </c>
    </row>
    <row r="4499" spans="1:1" x14ac:dyDescent="0.45">
      <c r="A4499" s="22" t="s">
        <v>4455</v>
      </c>
    </row>
    <row r="4500" spans="1:1" x14ac:dyDescent="0.45">
      <c r="A4500" s="22" t="s">
        <v>4439</v>
      </c>
    </row>
    <row r="4501" spans="1:1" x14ac:dyDescent="0.45">
      <c r="A4501" s="22" t="s">
        <v>4472</v>
      </c>
    </row>
    <row r="4502" spans="1:1" x14ac:dyDescent="0.45">
      <c r="A4502" s="21">
        <v>2300</v>
      </c>
    </row>
    <row r="4503" spans="1:1" x14ac:dyDescent="0.45">
      <c r="A4503" s="22" t="s">
        <v>4693</v>
      </c>
    </row>
    <row r="4504" spans="1:1" x14ac:dyDescent="0.45">
      <c r="A4504" s="22" t="s">
        <v>4685</v>
      </c>
    </row>
    <row r="4505" spans="1:1" x14ac:dyDescent="0.45">
      <c r="A4505" s="22" t="s">
        <v>4710</v>
      </c>
    </row>
    <row r="4506" spans="1:1" x14ac:dyDescent="0.45">
      <c r="A4506" s="21">
        <v>2200</v>
      </c>
    </row>
    <row r="4507" spans="1:1" x14ac:dyDescent="0.45">
      <c r="A4507" s="22" t="s">
        <v>4783</v>
      </c>
    </row>
    <row r="4508" spans="1:1" x14ac:dyDescent="0.45">
      <c r="A4508" s="21">
        <v>2100</v>
      </c>
    </row>
    <row r="4509" spans="1:1" x14ac:dyDescent="0.45">
      <c r="A4509" s="22" t="s">
        <v>5146</v>
      </c>
    </row>
    <row r="4510" spans="1:1" x14ac:dyDescent="0.45">
      <c r="A4510" s="21">
        <v>2000</v>
      </c>
    </row>
    <row r="4511" spans="1:1" x14ac:dyDescent="0.45">
      <c r="A4511" s="22" t="s">
        <v>5266</v>
      </c>
    </row>
    <row r="4512" spans="1:1" x14ac:dyDescent="0.45">
      <c r="A4512" s="22" t="s">
        <v>5194</v>
      </c>
    </row>
    <row r="4513" spans="1:1" x14ac:dyDescent="0.45">
      <c r="A4513" s="22" t="s">
        <v>5272</v>
      </c>
    </row>
    <row r="4514" spans="1:1" x14ac:dyDescent="0.45">
      <c r="A4514" s="22" t="s">
        <v>5301</v>
      </c>
    </row>
    <row r="4515" spans="1:1" x14ac:dyDescent="0.45">
      <c r="A4515" s="21">
        <v>1900</v>
      </c>
    </row>
    <row r="4516" spans="1:1" x14ac:dyDescent="0.45">
      <c r="A4516" s="22" t="s">
        <v>5455</v>
      </c>
    </row>
    <row r="4517" spans="1:1" x14ac:dyDescent="0.45">
      <c r="A4517" s="21">
        <v>1800</v>
      </c>
    </row>
    <row r="4518" spans="1:1" x14ac:dyDescent="0.45">
      <c r="A4518" s="22" t="s">
        <v>5652</v>
      </c>
    </row>
    <row r="4519" spans="1:1" x14ac:dyDescent="0.45">
      <c r="A4519" s="22" t="s">
        <v>5746</v>
      </c>
    </row>
    <row r="4520" spans="1:1" x14ac:dyDescent="0.45">
      <c r="A4520" s="21">
        <v>1700</v>
      </c>
    </row>
    <row r="4521" spans="1:1" x14ac:dyDescent="0.45">
      <c r="A4521" s="22" t="s">
        <v>5957</v>
      </c>
    </row>
    <row r="4522" spans="1:1" x14ac:dyDescent="0.45">
      <c r="A4522" s="21">
        <v>1600</v>
      </c>
    </row>
    <row r="4523" spans="1:1" x14ac:dyDescent="0.45">
      <c r="A4523" s="22" t="s">
        <v>6101</v>
      </c>
    </row>
    <row r="4524" spans="1:1" x14ac:dyDescent="0.45">
      <c r="A4524" s="22" t="s">
        <v>6052</v>
      </c>
    </row>
    <row r="4525" spans="1:1" x14ac:dyDescent="0.45">
      <c r="A4525" s="22" t="s">
        <v>6159</v>
      </c>
    </row>
    <row r="4526" spans="1:1" x14ac:dyDescent="0.45">
      <c r="A4526" s="22" t="s">
        <v>6114</v>
      </c>
    </row>
    <row r="4527" spans="1:1" x14ac:dyDescent="0.45">
      <c r="A4527" s="21">
        <v>1500</v>
      </c>
    </row>
    <row r="4528" spans="1:1" x14ac:dyDescent="0.45">
      <c r="A4528" s="22" t="s">
        <v>6365</v>
      </c>
    </row>
    <row r="4529" spans="1:1" x14ac:dyDescent="0.45">
      <c r="A4529" s="22" t="s">
        <v>6347</v>
      </c>
    </row>
    <row r="4530" spans="1:1" x14ac:dyDescent="0.45">
      <c r="A4530" s="21">
        <v>1400</v>
      </c>
    </row>
    <row r="4531" spans="1:1" x14ac:dyDescent="0.45">
      <c r="A4531" s="22" t="s">
        <v>6745</v>
      </c>
    </row>
    <row r="4532" spans="1:1" x14ac:dyDescent="0.45">
      <c r="A4532" s="22" t="s">
        <v>6733</v>
      </c>
    </row>
    <row r="4533" spans="1:1" x14ac:dyDescent="0.45">
      <c r="A4533" s="22" t="s">
        <v>6717</v>
      </c>
    </row>
    <row r="4534" spans="1:1" x14ac:dyDescent="0.45">
      <c r="A4534" s="22" t="s">
        <v>6709</v>
      </c>
    </row>
    <row r="4535" spans="1:1" x14ac:dyDescent="0.45">
      <c r="A4535" s="21">
        <v>1300</v>
      </c>
    </row>
    <row r="4536" spans="1:1" x14ac:dyDescent="0.45">
      <c r="A4536" s="22" t="s">
        <v>7046</v>
      </c>
    </row>
    <row r="4537" spans="1:1" x14ac:dyDescent="0.45">
      <c r="A4537" s="22" t="s">
        <v>7177</v>
      </c>
    </row>
    <row r="4538" spans="1:1" x14ac:dyDescent="0.45">
      <c r="A4538" s="21">
        <v>1200</v>
      </c>
    </row>
    <row r="4539" spans="1:1" x14ac:dyDescent="0.45">
      <c r="A4539" s="22" t="s">
        <v>7279</v>
      </c>
    </row>
    <row r="4540" spans="1:1" x14ac:dyDescent="0.45">
      <c r="A4540" s="21">
        <v>1100</v>
      </c>
    </row>
    <row r="4541" spans="1:1" x14ac:dyDescent="0.45">
      <c r="A4541" s="22" t="s">
        <v>7831</v>
      </c>
    </row>
    <row r="4542" spans="1:1" x14ac:dyDescent="0.45">
      <c r="A4542" s="22" t="s">
        <v>7704</v>
      </c>
    </row>
    <row r="4543" spans="1:1" x14ac:dyDescent="0.45">
      <c r="A4543" s="21">
        <v>1000</v>
      </c>
    </row>
    <row r="4544" spans="1:1" x14ac:dyDescent="0.45">
      <c r="A4544" s="22" t="s">
        <v>8162</v>
      </c>
    </row>
    <row r="4545" spans="1:1" x14ac:dyDescent="0.45">
      <c r="A4545" s="22" t="s">
        <v>8121</v>
      </c>
    </row>
    <row r="4546" spans="1:1" x14ac:dyDescent="0.45">
      <c r="A4546" s="19">
        <v>68</v>
      </c>
    </row>
    <row r="4547" spans="1:1" x14ac:dyDescent="0.45">
      <c r="A4547" s="21">
        <v>68000</v>
      </c>
    </row>
    <row r="4548" spans="1:1" x14ac:dyDescent="0.45">
      <c r="A4548" s="22" t="s">
        <v>127</v>
      </c>
    </row>
    <row r="4549" spans="1:1" x14ac:dyDescent="0.45">
      <c r="A4549" s="21">
        <v>15300</v>
      </c>
    </row>
    <row r="4550" spans="1:1" x14ac:dyDescent="0.45">
      <c r="A4550" s="22" t="s">
        <v>621</v>
      </c>
    </row>
    <row r="4551" spans="1:1" x14ac:dyDescent="0.45">
      <c r="A4551" s="21">
        <v>14700</v>
      </c>
    </row>
    <row r="4552" spans="1:1" x14ac:dyDescent="0.45">
      <c r="A4552" s="22" t="s">
        <v>639</v>
      </c>
    </row>
    <row r="4553" spans="1:1" x14ac:dyDescent="0.45">
      <c r="A4553" s="21">
        <v>8900</v>
      </c>
    </row>
    <row r="4554" spans="1:1" x14ac:dyDescent="0.45">
      <c r="A4554" s="22" t="s">
        <v>1048</v>
      </c>
    </row>
    <row r="4555" spans="1:1" x14ac:dyDescent="0.45">
      <c r="A4555" s="21">
        <v>8600</v>
      </c>
    </row>
    <row r="4556" spans="1:1" x14ac:dyDescent="0.45">
      <c r="A4556" s="22" t="s">
        <v>1098</v>
      </c>
    </row>
    <row r="4557" spans="1:1" x14ac:dyDescent="0.45">
      <c r="A4557" s="21">
        <v>8200</v>
      </c>
    </row>
    <row r="4558" spans="1:1" x14ac:dyDescent="0.45">
      <c r="A4558" s="22" t="s">
        <v>1175</v>
      </c>
    </row>
    <row r="4559" spans="1:1" x14ac:dyDescent="0.45">
      <c r="A4559" s="21">
        <v>7700</v>
      </c>
    </row>
    <row r="4560" spans="1:1" x14ac:dyDescent="0.45">
      <c r="A4560" s="22" t="s">
        <v>1289</v>
      </c>
    </row>
    <row r="4561" spans="1:1" x14ac:dyDescent="0.45">
      <c r="A4561" s="22" t="s">
        <v>1294</v>
      </c>
    </row>
    <row r="4562" spans="1:1" x14ac:dyDescent="0.45">
      <c r="A4562" s="21">
        <v>7500</v>
      </c>
    </row>
    <row r="4563" spans="1:1" x14ac:dyDescent="0.45">
      <c r="A4563" s="22" t="s">
        <v>1336</v>
      </c>
    </row>
    <row r="4564" spans="1:1" x14ac:dyDescent="0.45">
      <c r="A4564" s="21">
        <v>7200</v>
      </c>
    </row>
    <row r="4565" spans="1:1" x14ac:dyDescent="0.45">
      <c r="A4565" s="22" t="s">
        <v>1404</v>
      </c>
    </row>
    <row r="4566" spans="1:1" x14ac:dyDescent="0.45">
      <c r="A4566" s="21">
        <v>6900</v>
      </c>
    </row>
    <row r="4567" spans="1:1" x14ac:dyDescent="0.45">
      <c r="A4567" s="22" t="s">
        <v>1527</v>
      </c>
    </row>
    <row r="4568" spans="1:1" x14ac:dyDescent="0.45">
      <c r="A4568" s="21">
        <v>6600</v>
      </c>
    </row>
    <row r="4569" spans="1:1" x14ac:dyDescent="0.45">
      <c r="A4569" s="22" t="s">
        <v>1647</v>
      </c>
    </row>
    <row r="4570" spans="1:1" x14ac:dyDescent="0.45">
      <c r="A4570" s="21">
        <v>5500</v>
      </c>
    </row>
    <row r="4571" spans="1:1" x14ac:dyDescent="0.45">
      <c r="A4571" s="22" t="s">
        <v>1956</v>
      </c>
    </row>
    <row r="4572" spans="1:1" x14ac:dyDescent="0.45">
      <c r="A4572" s="22" t="s">
        <v>1987</v>
      </c>
    </row>
    <row r="4573" spans="1:1" x14ac:dyDescent="0.45">
      <c r="A4573" s="21">
        <v>5400</v>
      </c>
    </row>
    <row r="4574" spans="1:1" x14ac:dyDescent="0.45">
      <c r="A4574" s="22" t="s">
        <v>2002</v>
      </c>
    </row>
    <row r="4575" spans="1:1" x14ac:dyDescent="0.45">
      <c r="A4575" s="21">
        <v>4800</v>
      </c>
    </row>
    <row r="4576" spans="1:1" x14ac:dyDescent="0.45">
      <c r="A4576" s="22" t="s">
        <v>2297</v>
      </c>
    </row>
    <row r="4577" spans="1:1" x14ac:dyDescent="0.45">
      <c r="A4577" s="21">
        <v>4700</v>
      </c>
    </row>
    <row r="4578" spans="1:1" x14ac:dyDescent="0.45">
      <c r="A4578" s="22" t="s">
        <v>2335</v>
      </c>
    </row>
    <row r="4579" spans="1:1" x14ac:dyDescent="0.45">
      <c r="A4579" s="22" t="s">
        <v>2345</v>
      </c>
    </row>
    <row r="4580" spans="1:1" x14ac:dyDescent="0.45">
      <c r="A4580" s="21">
        <v>4200</v>
      </c>
    </row>
    <row r="4581" spans="1:1" x14ac:dyDescent="0.45">
      <c r="A4581" s="22" t="s">
        <v>2615</v>
      </c>
    </row>
    <row r="4582" spans="1:1" x14ac:dyDescent="0.45">
      <c r="A4582" s="22" t="s">
        <v>2584</v>
      </c>
    </row>
    <row r="4583" spans="1:1" x14ac:dyDescent="0.45">
      <c r="A4583" s="21">
        <v>4100</v>
      </c>
    </row>
    <row r="4584" spans="1:1" x14ac:dyDescent="0.45">
      <c r="A4584" s="22" t="s">
        <v>2637</v>
      </c>
    </row>
    <row r="4585" spans="1:1" x14ac:dyDescent="0.45">
      <c r="A4585" s="21">
        <v>4000</v>
      </c>
    </row>
    <row r="4586" spans="1:1" x14ac:dyDescent="0.45">
      <c r="A4586" s="22" t="s">
        <v>2766</v>
      </c>
    </row>
    <row r="4587" spans="1:1" x14ac:dyDescent="0.45">
      <c r="A4587" s="21">
        <v>3700</v>
      </c>
    </row>
    <row r="4588" spans="1:1" x14ac:dyDescent="0.45">
      <c r="A4588" s="22" t="s">
        <v>2963</v>
      </c>
    </row>
    <row r="4589" spans="1:1" x14ac:dyDescent="0.45">
      <c r="A4589" s="21">
        <v>3400</v>
      </c>
    </row>
    <row r="4590" spans="1:1" x14ac:dyDescent="0.45">
      <c r="A4590" s="22" t="s">
        <v>3244</v>
      </c>
    </row>
    <row r="4591" spans="1:1" x14ac:dyDescent="0.45">
      <c r="A4591" s="21">
        <v>3300</v>
      </c>
    </row>
    <row r="4592" spans="1:1" x14ac:dyDescent="0.45">
      <c r="A4592" s="22" t="s">
        <v>3346</v>
      </c>
    </row>
    <row r="4593" spans="1:1" x14ac:dyDescent="0.45">
      <c r="A4593" s="22" t="s">
        <v>3302</v>
      </c>
    </row>
    <row r="4594" spans="1:1" x14ac:dyDescent="0.45">
      <c r="A4594" s="21">
        <v>3200</v>
      </c>
    </row>
    <row r="4595" spans="1:1" x14ac:dyDescent="0.45">
      <c r="A4595" s="22" t="s">
        <v>3450</v>
      </c>
    </row>
    <row r="4596" spans="1:1" x14ac:dyDescent="0.45">
      <c r="A4596" s="21">
        <v>3000</v>
      </c>
    </row>
    <row r="4597" spans="1:1" x14ac:dyDescent="0.45">
      <c r="A4597" s="22" t="s">
        <v>3717</v>
      </c>
    </row>
    <row r="4598" spans="1:1" x14ac:dyDescent="0.45">
      <c r="A4598" s="21">
        <v>2900</v>
      </c>
    </row>
    <row r="4599" spans="1:1" x14ac:dyDescent="0.45">
      <c r="A4599" s="22" t="s">
        <v>3807</v>
      </c>
    </row>
    <row r="4600" spans="1:1" x14ac:dyDescent="0.45">
      <c r="A4600" s="21">
        <v>2700</v>
      </c>
    </row>
    <row r="4601" spans="1:1" x14ac:dyDescent="0.45">
      <c r="A4601" s="22" t="s">
        <v>4132</v>
      </c>
    </row>
    <row r="4602" spans="1:1" x14ac:dyDescent="0.45">
      <c r="A4602" s="22" t="s">
        <v>4010</v>
      </c>
    </row>
    <row r="4603" spans="1:1" x14ac:dyDescent="0.45">
      <c r="A4603" s="21">
        <v>2400</v>
      </c>
    </row>
    <row r="4604" spans="1:1" x14ac:dyDescent="0.45">
      <c r="A4604" s="22" t="s">
        <v>4538</v>
      </c>
    </row>
    <row r="4605" spans="1:1" x14ac:dyDescent="0.45">
      <c r="A4605" s="22" t="s">
        <v>4568</v>
      </c>
    </row>
    <row r="4606" spans="1:1" x14ac:dyDescent="0.45">
      <c r="A4606" s="21">
        <v>2300</v>
      </c>
    </row>
    <row r="4607" spans="1:1" x14ac:dyDescent="0.45">
      <c r="A4607" s="22" t="s">
        <v>4621</v>
      </c>
    </row>
    <row r="4608" spans="1:1" x14ac:dyDescent="0.45">
      <c r="A4608" s="21">
        <v>2200</v>
      </c>
    </row>
    <row r="4609" spans="1:1" x14ac:dyDescent="0.45">
      <c r="A4609" s="22" t="s">
        <v>4827</v>
      </c>
    </row>
    <row r="4610" spans="1:1" x14ac:dyDescent="0.45">
      <c r="A4610" s="21">
        <v>2100</v>
      </c>
    </row>
    <row r="4611" spans="1:1" x14ac:dyDescent="0.45">
      <c r="A4611" s="22" t="s">
        <v>5121</v>
      </c>
    </row>
    <row r="4612" spans="1:1" x14ac:dyDescent="0.45">
      <c r="A4612" s="22" t="s">
        <v>5152</v>
      </c>
    </row>
    <row r="4613" spans="1:1" x14ac:dyDescent="0.45">
      <c r="A4613" s="21">
        <v>2000</v>
      </c>
    </row>
    <row r="4614" spans="1:1" x14ac:dyDescent="0.45">
      <c r="A4614" s="22" t="s">
        <v>5207</v>
      </c>
    </row>
    <row r="4615" spans="1:1" x14ac:dyDescent="0.45">
      <c r="A4615" s="21">
        <v>1900</v>
      </c>
    </row>
    <row r="4616" spans="1:1" x14ac:dyDescent="0.45">
      <c r="A4616" s="22" t="s">
        <v>5397</v>
      </c>
    </row>
    <row r="4617" spans="1:1" x14ac:dyDescent="0.45">
      <c r="A4617" s="22" t="s">
        <v>5494</v>
      </c>
    </row>
    <row r="4618" spans="1:1" x14ac:dyDescent="0.45">
      <c r="A4618" s="22" t="s">
        <v>5543</v>
      </c>
    </row>
    <row r="4619" spans="1:1" x14ac:dyDescent="0.45">
      <c r="A4619" s="21">
        <v>1800</v>
      </c>
    </row>
    <row r="4620" spans="1:1" x14ac:dyDescent="0.45">
      <c r="A4620" s="22" t="s">
        <v>5630</v>
      </c>
    </row>
    <row r="4621" spans="1:1" x14ac:dyDescent="0.45">
      <c r="A4621" s="22" t="s">
        <v>5595</v>
      </c>
    </row>
    <row r="4622" spans="1:1" x14ac:dyDescent="0.45">
      <c r="A4622" s="22" t="s">
        <v>5718</v>
      </c>
    </row>
    <row r="4623" spans="1:1" x14ac:dyDescent="0.45">
      <c r="A4623" s="21">
        <v>1700</v>
      </c>
    </row>
    <row r="4624" spans="1:1" x14ac:dyDescent="0.45">
      <c r="A4624" s="22" t="s">
        <v>5843</v>
      </c>
    </row>
    <row r="4625" spans="1:1" x14ac:dyDescent="0.45">
      <c r="A4625" s="22" t="s">
        <v>5823</v>
      </c>
    </row>
    <row r="4626" spans="1:1" x14ac:dyDescent="0.45">
      <c r="A4626" s="21">
        <v>1600</v>
      </c>
    </row>
    <row r="4627" spans="1:1" x14ac:dyDescent="0.45">
      <c r="A4627" s="22" t="s">
        <v>6126</v>
      </c>
    </row>
    <row r="4628" spans="1:1" x14ac:dyDescent="0.45">
      <c r="A4628" s="22" t="s">
        <v>6055</v>
      </c>
    </row>
    <row r="4629" spans="1:1" x14ac:dyDescent="0.45">
      <c r="A4629" s="22" t="s">
        <v>6180</v>
      </c>
    </row>
    <row r="4630" spans="1:1" x14ac:dyDescent="0.45">
      <c r="A4630" s="21">
        <v>1500</v>
      </c>
    </row>
    <row r="4631" spans="1:1" x14ac:dyDescent="0.45">
      <c r="A4631" s="22" t="s">
        <v>6311</v>
      </c>
    </row>
    <row r="4632" spans="1:1" x14ac:dyDescent="0.45">
      <c r="A4632" s="22" t="s">
        <v>6279</v>
      </c>
    </row>
    <row r="4633" spans="1:1" x14ac:dyDescent="0.45">
      <c r="A4633" s="22" t="s">
        <v>6289</v>
      </c>
    </row>
    <row r="4634" spans="1:1" x14ac:dyDescent="0.45">
      <c r="A4634" s="22" t="s">
        <v>6398</v>
      </c>
    </row>
    <row r="4635" spans="1:1" x14ac:dyDescent="0.45">
      <c r="A4635" s="21">
        <v>1400</v>
      </c>
    </row>
    <row r="4636" spans="1:1" x14ac:dyDescent="0.45">
      <c r="A4636" s="22" t="s">
        <v>6854</v>
      </c>
    </row>
    <row r="4637" spans="1:1" x14ac:dyDescent="0.45">
      <c r="A4637" s="22" t="s">
        <v>6682</v>
      </c>
    </row>
    <row r="4638" spans="1:1" x14ac:dyDescent="0.45">
      <c r="A4638" s="22" t="s">
        <v>6758</v>
      </c>
    </row>
    <row r="4639" spans="1:1" x14ac:dyDescent="0.45">
      <c r="A4639" s="22" t="s">
        <v>6840</v>
      </c>
    </row>
    <row r="4640" spans="1:1" x14ac:dyDescent="0.45">
      <c r="A4640" s="21">
        <v>1300</v>
      </c>
    </row>
    <row r="4641" spans="1:1" x14ac:dyDescent="0.45">
      <c r="A4641" s="22" t="s">
        <v>7079</v>
      </c>
    </row>
    <row r="4642" spans="1:1" x14ac:dyDescent="0.45">
      <c r="A4642" s="21">
        <v>1200</v>
      </c>
    </row>
    <row r="4643" spans="1:1" x14ac:dyDescent="0.45">
      <c r="A4643" s="22" t="s">
        <v>7394</v>
      </c>
    </row>
    <row r="4644" spans="1:1" x14ac:dyDescent="0.45">
      <c r="A4644" s="22" t="s">
        <v>7426</v>
      </c>
    </row>
    <row r="4645" spans="1:1" x14ac:dyDescent="0.45">
      <c r="A4645" s="22" t="s">
        <v>7346</v>
      </c>
    </row>
    <row r="4646" spans="1:1" x14ac:dyDescent="0.45">
      <c r="A4646" s="22" t="s">
        <v>7405</v>
      </c>
    </row>
    <row r="4647" spans="1:1" x14ac:dyDescent="0.45">
      <c r="A4647" s="21">
        <v>1100</v>
      </c>
    </row>
    <row r="4648" spans="1:1" x14ac:dyDescent="0.45">
      <c r="A4648" s="22" t="s">
        <v>7799</v>
      </c>
    </row>
    <row r="4649" spans="1:1" x14ac:dyDescent="0.45">
      <c r="A4649" s="22" t="s">
        <v>7627</v>
      </c>
    </row>
    <row r="4650" spans="1:1" x14ac:dyDescent="0.45">
      <c r="A4650" s="22" t="s">
        <v>7813</v>
      </c>
    </row>
    <row r="4651" spans="1:1" x14ac:dyDescent="0.45">
      <c r="A4651" s="22" t="s">
        <v>7817</v>
      </c>
    </row>
    <row r="4652" spans="1:1" x14ac:dyDescent="0.45">
      <c r="A4652" s="22" t="s">
        <v>7930</v>
      </c>
    </row>
    <row r="4653" spans="1:1" x14ac:dyDescent="0.45">
      <c r="A4653" s="22" t="s">
        <v>7942</v>
      </c>
    </row>
    <row r="4654" spans="1:1" x14ac:dyDescent="0.45">
      <c r="A4654" s="21">
        <v>1000</v>
      </c>
    </row>
    <row r="4655" spans="1:1" x14ac:dyDescent="0.45">
      <c r="A4655" s="22" t="s">
        <v>8032</v>
      </c>
    </row>
    <row r="4656" spans="1:1" x14ac:dyDescent="0.45">
      <c r="A4656" s="22" t="s">
        <v>8065</v>
      </c>
    </row>
    <row r="4657" spans="1:1" x14ac:dyDescent="0.45">
      <c r="A4657" s="22" t="s">
        <v>7967</v>
      </c>
    </row>
    <row r="4658" spans="1:1" x14ac:dyDescent="0.45">
      <c r="A4658" s="22" t="s">
        <v>8095</v>
      </c>
    </row>
    <row r="4659" spans="1:1" x14ac:dyDescent="0.45">
      <c r="A4659" s="22" t="s">
        <v>8166</v>
      </c>
    </row>
    <row r="4660" spans="1:1" x14ac:dyDescent="0.45">
      <c r="A4660" s="19">
        <v>67</v>
      </c>
    </row>
    <row r="4661" spans="1:1" x14ac:dyDescent="0.45">
      <c r="A4661" s="21">
        <v>104000</v>
      </c>
    </row>
    <row r="4662" spans="1:1" x14ac:dyDescent="0.45">
      <c r="A4662" s="22" t="s">
        <v>70</v>
      </c>
    </row>
    <row r="4663" spans="1:1" x14ac:dyDescent="0.45">
      <c r="A4663" s="21">
        <v>80700</v>
      </c>
    </row>
    <row r="4664" spans="1:1" x14ac:dyDescent="0.45">
      <c r="A4664" s="22" t="s">
        <v>99</v>
      </c>
    </row>
    <row r="4665" spans="1:1" x14ac:dyDescent="0.45">
      <c r="A4665" s="21">
        <v>21600</v>
      </c>
    </row>
    <row r="4666" spans="1:1" x14ac:dyDescent="0.45">
      <c r="A4666" s="22" t="s">
        <v>428</v>
      </c>
    </row>
    <row r="4667" spans="1:1" x14ac:dyDescent="0.45">
      <c r="A4667" s="21">
        <v>16200</v>
      </c>
    </row>
    <row r="4668" spans="1:1" x14ac:dyDescent="0.45">
      <c r="A4668" s="22" t="s">
        <v>582</v>
      </c>
    </row>
    <row r="4669" spans="1:1" x14ac:dyDescent="0.45">
      <c r="A4669" s="21">
        <v>15900</v>
      </c>
    </row>
    <row r="4670" spans="1:1" x14ac:dyDescent="0.45">
      <c r="A4670" s="22" t="s">
        <v>589</v>
      </c>
    </row>
    <row r="4671" spans="1:1" x14ac:dyDescent="0.45">
      <c r="A4671" s="21">
        <v>15600</v>
      </c>
    </row>
    <row r="4672" spans="1:1" x14ac:dyDescent="0.45">
      <c r="A4672" s="22" t="s">
        <v>609</v>
      </c>
    </row>
    <row r="4673" spans="1:1" x14ac:dyDescent="0.45">
      <c r="A4673" s="21">
        <v>14000</v>
      </c>
    </row>
    <row r="4674" spans="1:1" x14ac:dyDescent="0.45">
      <c r="A4674" s="22" t="s">
        <v>675</v>
      </c>
    </row>
    <row r="4675" spans="1:1" x14ac:dyDescent="0.45">
      <c r="A4675" s="21">
        <v>10900</v>
      </c>
    </row>
    <row r="4676" spans="1:1" x14ac:dyDescent="0.45">
      <c r="A4676" s="22" t="s">
        <v>826</v>
      </c>
    </row>
    <row r="4677" spans="1:1" x14ac:dyDescent="0.45">
      <c r="A4677" s="21">
        <v>9600</v>
      </c>
    </row>
    <row r="4678" spans="1:1" x14ac:dyDescent="0.45">
      <c r="A4678" s="22" t="s">
        <v>959</v>
      </c>
    </row>
    <row r="4679" spans="1:1" x14ac:dyDescent="0.45">
      <c r="A4679" s="21">
        <v>8600</v>
      </c>
    </row>
    <row r="4680" spans="1:1" x14ac:dyDescent="0.45">
      <c r="A4680" s="22" t="s">
        <v>1115</v>
      </c>
    </row>
    <row r="4681" spans="1:1" x14ac:dyDescent="0.45">
      <c r="A4681" s="22" t="s">
        <v>1093</v>
      </c>
    </row>
    <row r="4682" spans="1:1" x14ac:dyDescent="0.45">
      <c r="A4682" s="21">
        <v>7600</v>
      </c>
    </row>
    <row r="4683" spans="1:1" x14ac:dyDescent="0.45">
      <c r="A4683" s="22" t="s">
        <v>1309</v>
      </c>
    </row>
    <row r="4684" spans="1:1" x14ac:dyDescent="0.45">
      <c r="A4684" s="21">
        <v>7000</v>
      </c>
    </row>
    <row r="4685" spans="1:1" x14ac:dyDescent="0.45">
      <c r="A4685" s="22" t="s">
        <v>1495</v>
      </c>
    </row>
    <row r="4686" spans="1:1" x14ac:dyDescent="0.45">
      <c r="A4686" s="21">
        <v>6600</v>
      </c>
    </row>
    <row r="4687" spans="1:1" x14ac:dyDescent="0.45">
      <c r="A4687" s="22" t="s">
        <v>1653</v>
      </c>
    </row>
    <row r="4688" spans="1:1" x14ac:dyDescent="0.45">
      <c r="A4688" s="21">
        <v>5300</v>
      </c>
    </row>
    <row r="4689" spans="1:1" x14ac:dyDescent="0.45">
      <c r="A4689" s="22" t="s">
        <v>2074</v>
      </c>
    </row>
    <row r="4690" spans="1:1" x14ac:dyDescent="0.45">
      <c r="A4690" s="21">
        <v>4900</v>
      </c>
    </row>
    <row r="4691" spans="1:1" x14ac:dyDescent="0.45">
      <c r="A4691" s="22" t="s">
        <v>2241</v>
      </c>
    </row>
    <row r="4692" spans="1:1" x14ac:dyDescent="0.45">
      <c r="A4692" s="22" t="s">
        <v>2267</v>
      </c>
    </row>
    <row r="4693" spans="1:1" x14ac:dyDescent="0.45">
      <c r="A4693" s="21">
        <v>4800</v>
      </c>
    </row>
    <row r="4694" spans="1:1" x14ac:dyDescent="0.45">
      <c r="A4694" s="22" t="s">
        <v>2292</v>
      </c>
    </row>
    <row r="4695" spans="1:1" x14ac:dyDescent="0.45">
      <c r="A4695" s="21">
        <v>4400</v>
      </c>
    </row>
    <row r="4696" spans="1:1" x14ac:dyDescent="0.45">
      <c r="A4696" s="22" t="s">
        <v>2491</v>
      </c>
    </row>
    <row r="4697" spans="1:1" x14ac:dyDescent="0.45">
      <c r="A4697" s="21">
        <v>4000</v>
      </c>
    </row>
    <row r="4698" spans="1:1" x14ac:dyDescent="0.45">
      <c r="A4698" s="22" t="s">
        <v>2755</v>
      </c>
    </row>
    <row r="4699" spans="1:1" x14ac:dyDescent="0.45">
      <c r="A4699" s="21">
        <v>3900</v>
      </c>
    </row>
    <row r="4700" spans="1:1" x14ac:dyDescent="0.45">
      <c r="A4700" s="22" t="s">
        <v>2807</v>
      </c>
    </row>
    <row r="4701" spans="1:1" x14ac:dyDescent="0.45">
      <c r="A4701" s="21">
        <v>3600</v>
      </c>
    </row>
    <row r="4702" spans="1:1" x14ac:dyDescent="0.45">
      <c r="A4702" s="22" t="s">
        <v>3050</v>
      </c>
    </row>
    <row r="4703" spans="1:1" x14ac:dyDescent="0.45">
      <c r="A4703" s="22" t="s">
        <v>3044</v>
      </c>
    </row>
    <row r="4704" spans="1:1" x14ac:dyDescent="0.45">
      <c r="A4704" s="21">
        <v>3200</v>
      </c>
    </row>
    <row r="4705" spans="1:1" x14ac:dyDescent="0.45">
      <c r="A4705" s="22" t="s">
        <v>3424</v>
      </c>
    </row>
    <row r="4706" spans="1:1" x14ac:dyDescent="0.45">
      <c r="A4706" s="22" t="s">
        <v>3504</v>
      </c>
    </row>
    <row r="4707" spans="1:1" x14ac:dyDescent="0.45">
      <c r="A4707" s="22" t="s">
        <v>3507</v>
      </c>
    </row>
    <row r="4708" spans="1:1" x14ac:dyDescent="0.45">
      <c r="A4708" s="21">
        <v>3100</v>
      </c>
    </row>
    <row r="4709" spans="1:1" x14ac:dyDescent="0.45">
      <c r="A4709" s="22" t="s">
        <v>3579</v>
      </c>
    </row>
    <row r="4710" spans="1:1" x14ac:dyDescent="0.45">
      <c r="A4710" s="22" t="s">
        <v>3602</v>
      </c>
    </row>
    <row r="4711" spans="1:1" x14ac:dyDescent="0.45">
      <c r="A4711" s="22" t="s">
        <v>3570</v>
      </c>
    </row>
    <row r="4712" spans="1:1" x14ac:dyDescent="0.45">
      <c r="A4712" s="21">
        <v>3000</v>
      </c>
    </row>
    <row r="4713" spans="1:1" x14ac:dyDescent="0.45">
      <c r="A4713" s="22" t="s">
        <v>3723</v>
      </c>
    </row>
    <row r="4714" spans="1:1" x14ac:dyDescent="0.45">
      <c r="A4714" s="22" t="s">
        <v>3720</v>
      </c>
    </row>
    <row r="4715" spans="1:1" x14ac:dyDescent="0.45">
      <c r="A4715" s="22" t="s">
        <v>3708</v>
      </c>
    </row>
    <row r="4716" spans="1:1" x14ac:dyDescent="0.45">
      <c r="A4716" s="22" t="s">
        <v>3695</v>
      </c>
    </row>
    <row r="4717" spans="1:1" x14ac:dyDescent="0.45">
      <c r="A4717" s="21">
        <v>2800</v>
      </c>
    </row>
    <row r="4718" spans="1:1" x14ac:dyDescent="0.45">
      <c r="A4718" s="22" t="s">
        <v>3940</v>
      </c>
    </row>
    <row r="4719" spans="1:1" x14ac:dyDescent="0.45">
      <c r="A4719" s="22" t="s">
        <v>3956</v>
      </c>
    </row>
    <row r="4720" spans="1:1" x14ac:dyDescent="0.45">
      <c r="A4720" s="21">
        <v>2600</v>
      </c>
    </row>
    <row r="4721" spans="1:1" x14ac:dyDescent="0.45">
      <c r="A4721" s="22" t="s">
        <v>4216</v>
      </c>
    </row>
    <row r="4722" spans="1:1" x14ac:dyDescent="0.45">
      <c r="A4722" s="22" t="s">
        <v>4300</v>
      </c>
    </row>
    <row r="4723" spans="1:1" x14ac:dyDescent="0.45">
      <c r="A4723" s="21">
        <v>2500</v>
      </c>
    </row>
    <row r="4724" spans="1:1" x14ac:dyDescent="0.45">
      <c r="A4724" s="22" t="s">
        <v>4374</v>
      </c>
    </row>
    <row r="4725" spans="1:1" x14ac:dyDescent="0.45">
      <c r="A4725" s="21">
        <v>2400</v>
      </c>
    </row>
    <row r="4726" spans="1:1" x14ac:dyDescent="0.45">
      <c r="A4726" s="22" t="s">
        <v>4574</v>
      </c>
    </row>
    <row r="4727" spans="1:1" x14ac:dyDescent="0.45">
      <c r="A4727" s="21">
        <v>2300</v>
      </c>
    </row>
    <row r="4728" spans="1:1" x14ac:dyDescent="0.45">
      <c r="A4728" s="22" t="s">
        <v>4643</v>
      </c>
    </row>
    <row r="4729" spans="1:1" x14ac:dyDescent="0.45">
      <c r="A4729" s="21">
        <v>2200</v>
      </c>
    </row>
    <row r="4730" spans="1:1" x14ac:dyDescent="0.45">
      <c r="A4730" s="22" t="s">
        <v>4793</v>
      </c>
    </row>
    <row r="4731" spans="1:1" x14ac:dyDescent="0.45">
      <c r="A4731" s="22" t="s">
        <v>4903</v>
      </c>
    </row>
    <row r="4732" spans="1:1" x14ac:dyDescent="0.45">
      <c r="A4732" s="22" t="s">
        <v>4889</v>
      </c>
    </row>
    <row r="4733" spans="1:1" x14ac:dyDescent="0.45">
      <c r="A4733" s="21">
        <v>2100</v>
      </c>
    </row>
    <row r="4734" spans="1:1" x14ac:dyDescent="0.45">
      <c r="A4734" s="22" t="s">
        <v>5058</v>
      </c>
    </row>
    <row r="4735" spans="1:1" x14ac:dyDescent="0.45">
      <c r="A4735" s="22" t="s">
        <v>5006</v>
      </c>
    </row>
    <row r="4736" spans="1:1" x14ac:dyDescent="0.45">
      <c r="A4736" s="22" t="s">
        <v>5043</v>
      </c>
    </row>
    <row r="4737" spans="1:1" x14ac:dyDescent="0.45">
      <c r="A4737" s="21">
        <v>2000</v>
      </c>
    </row>
    <row r="4738" spans="1:1" x14ac:dyDescent="0.45">
      <c r="A4738" s="22" t="s">
        <v>5297</v>
      </c>
    </row>
    <row r="4739" spans="1:1" x14ac:dyDescent="0.45">
      <c r="A4739" s="21">
        <v>1900</v>
      </c>
    </row>
    <row r="4740" spans="1:1" x14ac:dyDescent="0.45">
      <c r="A4740" s="22" t="s">
        <v>5381</v>
      </c>
    </row>
    <row r="4741" spans="1:1" x14ac:dyDescent="0.45">
      <c r="A4741" s="22" t="s">
        <v>5357</v>
      </c>
    </row>
    <row r="4742" spans="1:1" x14ac:dyDescent="0.45">
      <c r="A4742" s="22" t="s">
        <v>5525</v>
      </c>
    </row>
    <row r="4743" spans="1:1" x14ac:dyDescent="0.45">
      <c r="A4743" s="21">
        <v>1800</v>
      </c>
    </row>
    <row r="4744" spans="1:1" x14ac:dyDescent="0.45">
      <c r="A4744" s="22" t="s">
        <v>5738</v>
      </c>
    </row>
    <row r="4745" spans="1:1" x14ac:dyDescent="0.45">
      <c r="A4745" s="22" t="s">
        <v>5583</v>
      </c>
    </row>
    <row r="4746" spans="1:1" x14ac:dyDescent="0.45">
      <c r="A4746" s="22" t="s">
        <v>5640</v>
      </c>
    </row>
    <row r="4747" spans="1:1" x14ac:dyDescent="0.45">
      <c r="A4747" s="22" t="s">
        <v>5655</v>
      </c>
    </row>
    <row r="4748" spans="1:1" x14ac:dyDescent="0.45">
      <c r="A4748" s="21">
        <v>1700</v>
      </c>
    </row>
    <row r="4749" spans="1:1" x14ac:dyDescent="0.45">
      <c r="A4749" s="22" t="s">
        <v>5770</v>
      </c>
    </row>
    <row r="4750" spans="1:1" x14ac:dyDescent="0.45">
      <c r="A4750" s="22" t="s">
        <v>5826</v>
      </c>
    </row>
    <row r="4751" spans="1:1" x14ac:dyDescent="0.45">
      <c r="A4751" s="22" t="s">
        <v>5940</v>
      </c>
    </row>
    <row r="4752" spans="1:1" x14ac:dyDescent="0.45">
      <c r="A4752" s="21">
        <v>1600</v>
      </c>
    </row>
    <row r="4753" spans="1:1" x14ac:dyDescent="0.45">
      <c r="A4753" s="22" t="s">
        <v>6208</v>
      </c>
    </row>
    <row r="4754" spans="1:1" x14ac:dyDescent="0.45">
      <c r="A4754" s="22" t="s">
        <v>6059</v>
      </c>
    </row>
    <row r="4755" spans="1:1" x14ac:dyDescent="0.45">
      <c r="A4755" s="22" t="s">
        <v>6224</v>
      </c>
    </row>
    <row r="4756" spans="1:1" x14ac:dyDescent="0.45">
      <c r="A4756" s="21">
        <v>1500</v>
      </c>
    </row>
    <row r="4757" spans="1:1" x14ac:dyDescent="0.45">
      <c r="A4757" s="22" t="s">
        <v>6553</v>
      </c>
    </row>
    <row r="4758" spans="1:1" x14ac:dyDescent="0.45">
      <c r="A4758" s="22" t="s">
        <v>6358</v>
      </c>
    </row>
    <row r="4759" spans="1:1" x14ac:dyDescent="0.45">
      <c r="A4759" s="22" t="s">
        <v>6386</v>
      </c>
    </row>
    <row r="4760" spans="1:1" x14ac:dyDescent="0.45">
      <c r="A4760" s="21">
        <v>1400</v>
      </c>
    </row>
    <row r="4761" spans="1:1" x14ac:dyDescent="0.45">
      <c r="A4761" s="22" t="s">
        <v>6707</v>
      </c>
    </row>
    <row r="4762" spans="1:1" x14ac:dyDescent="0.45">
      <c r="A4762" s="21">
        <v>1300</v>
      </c>
    </row>
    <row r="4763" spans="1:1" x14ac:dyDescent="0.45">
      <c r="A4763" s="22" t="s">
        <v>7126</v>
      </c>
    </row>
    <row r="4764" spans="1:1" x14ac:dyDescent="0.45">
      <c r="A4764" s="22" t="s">
        <v>7107</v>
      </c>
    </row>
    <row r="4765" spans="1:1" x14ac:dyDescent="0.45">
      <c r="A4765" s="22" t="s">
        <v>6977</v>
      </c>
    </row>
    <row r="4766" spans="1:1" x14ac:dyDescent="0.45">
      <c r="A4766" s="21">
        <v>1200</v>
      </c>
    </row>
    <row r="4767" spans="1:1" x14ac:dyDescent="0.45">
      <c r="A4767" s="22" t="s">
        <v>7329</v>
      </c>
    </row>
    <row r="4768" spans="1:1" x14ac:dyDescent="0.45">
      <c r="A4768" s="22" t="s">
        <v>7564</v>
      </c>
    </row>
    <row r="4769" spans="1:1" x14ac:dyDescent="0.45">
      <c r="A4769" s="22" t="s">
        <v>7572</v>
      </c>
    </row>
    <row r="4770" spans="1:1" x14ac:dyDescent="0.45">
      <c r="A4770" s="21">
        <v>1100</v>
      </c>
    </row>
    <row r="4771" spans="1:1" x14ac:dyDescent="0.45">
      <c r="A4771" s="22" t="s">
        <v>7613</v>
      </c>
    </row>
    <row r="4772" spans="1:1" x14ac:dyDescent="0.45">
      <c r="A4772" s="22" t="s">
        <v>7861</v>
      </c>
    </row>
    <row r="4773" spans="1:1" x14ac:dyDescent="0.45">
      <c r="A4773" s="21">
        <v>1000</v>
      </c>
    </row>
    <row r="4774" spans="1:1" x14ac:dyDescent="0.45">
      <c r="A4774" s="22" t="s">
        <v>8018</v>
      </c>
    </row>
    <row r="4775" spans="1:1" x14ac:dyDescent="0.45">
      <c r="A4775" s="19">
        <v>66</v>
      </c>
    </row>
    <row r="4776" spans="1:1" x14ac:dyDescent="0.45">
      <c r="A4776" s="21">
        <v>22100</v>
      </c>
    </row>
    <row r="4777" spans="1:1" x14ac:dyDescent="0.45">
      <c r="A4777" s="22" t="s">
        <v>413</v>
      </c>
    </row>
    <row r="4778" spans="1:1" x14ac:dyDescent="0.45">
      <c r="A4778" s="21">
        <v>17500</v>
      </c>
    </row>
    <row r="4779" spans="1:1" x14ac:dyDescent="0.45">
      <c r="A4779" s="22" t="s">
        <v>527</v>
      </c>
    </row>
    <row r="4780" spans="1:1" x14ac:dyDescent="0.45">
      <c r="A4780" s="21">
        <v>9600</v>
      </c>
    </row>
    <row r="4781" spans="1:1" x14ac:dyDescent="0.45">
      <c r="A4781" s="22" t="s">
        <v>971</v>
      </c>
    </row>
    <row r="4782" spans="1:1" x14ac:dyDescent="0.45">
      <c r="A4782" s="21">
        <v>9000</v>
      </c>
    </row>
    <row r="4783" spans="1:1" x14ac:dyDescent="0.45">
      <c r="A4783" s="22" t="s">
        <v>1033</v>
      </c>
    </row>
    <row r="4784" spans="1:1" x14ac:dyDescent="0.45">
      <c r="A4784" s="21">
        <v>8100</v>
      </c>
    </row>
    <row r="4785" spans="1:1" x14ac:dyDescent="0.45">
      <c r="A4785" s="22" t="s">
        <v>1184</v>
      </c>
    </row>
    <row r="4786" spans="1:1" x14ac:dyDescent="0.45">
      <c r="A4786" s="21">
        <v>8000</v>
      </c>
    </row>
    <row r="4787" spans="1:1" x14ac:dyDescent="0.45">
      <c r="A4787" s="22" t="s">
        <v>1202</v>
      </c>
    </row>
    <row r="4788" spans="1:1" x14ac:dyDescent="0.45">
      <c r="A4788" s="21">
        <v>7800</v>
      </c>
    </row>
    <row r="4789" spans="1:1" x14ac:dyDescent="0.45">
      <c r="A4789" s="22" t="s">
        <v>1255</v>
      </c>
    </row>
    <row r="4790" spans="1:1" x14ac:dyDescent="0.45">
      <c r="A4790" s="21">
        <v>7600</v>
      </c>
    </row>
    <row r="4791" spans="1:1" x14ac:dyDescent="0.45">
      <c r="A4791" s="22" t="s">
        <v>1317</v>
      </c>
    </row>
    <row r="4792" spans="1:1" x14ac:dyDescent="0.45">
      <c r="A4792" s="21">
        <v>7100</v>
      </c>
    </row>
    <row r="4793" spans="1:1" x14ac:dyDescent="0.45">
      <c r="A4793" s="22" t="s">
        <v>1444</v>
      </c>
    </row>
    <row r="4794" spans="1:1" x14ac:dyDescent="0.45">
      <c r="A4794" s="21">
        <v>6300</v>
      </c>
    </row>
    <row r="4795" spans="1:1" x14ac:dyDescent="0.45">
      <c r="A4795" s="22" t="s">
        <v>1727</v>
      </c>
    </row>
    <row r="4796" spans="1:1" x14ac:dyDescent="0.45">
      <c r="A4796" s="21">
        <v>5900</v>
      </c>
    </row>
    <row r="4797" spans="1:1" x14ac:dyDescent="0.45">
      <c r="A4797" s="22" t="s">
        <v>1842</v>
      </c>
    </row>
    <row r="4798" spans="1:1" x14ac:dyDescent="0.45">
      <c r="A4798" s="21">
        <v>5500</v>
      </c>
    </row>
    <row r="4799" spans="1:1" x14ac:dyDescent="0.45">
      <c r="A4799" s="22" t="s">
        <v>1964</v>
      </c>
    </row>
    <row r="4800" spans="1:1" x14ac:dyDescent="0.45">
      <c r="A4800" s="22" t="s">
        <v>1934</v>
      </c>
    </row>
    <row r="4801" spans="1:1" x14ac:dyDescent="0.45">
      <c r="A4801" s="21">
        <v>5000</v>
      </c>
    </row>
    <row r="4802" spans="1:1" x14ac:dyDescent="0.45">
      <c r="A4802" s="22" t="s">
        <v>2213</v>
      </c>
    </row>
    <row r="4803" spans="1:1" x14ac:dyDescent="0.45">
      <c r="A4803" s="21">
        <v>4800</v>
      </c>
    </row>
    <row r="4804" spans="1:1" x14ac:dyDescent="0.45">
      <c r="A4804" s="22" t="s">
        <v>2294</v>
      </c>
    </row>
    <row r="4805" spans="1:1" x14ac:dyDescent="0.45">
      <c r="A4805" s="21">
        <v>4600</v>
      </c>
    </row>
    <row r="4806" spans="1:1" x14ac:dyDescent="0.45">
      <c r="A4806" s="22" t="s">
        <v>2419</v>
      </c>
    </row>
    <row r="4807" spans="1:1" x14ac:dyDescent="0.45">
      <c r="A4807" s="21">
        <v>4400</v>
      </c>
    </row>
    <row r="4808" spans="1:1" x14ac:dyDescent="0.45">
      <c r="A4808" s="22" t="s">
        <v>2499</v>
      </c>
    </row>
    <row r="4809" spans="1:1" x14ac:dyDescent="0.45">
      <c r="A4809" s="21">
        <v>4300</v>
      </c>
    </row>
    <row r="4810" spans="1:1" x14ac:dyDescent="0.45">
      <c r="A4810" s="22" t="s">
        <v>2568</v>
      </c>
    </row>
    <row r="4811" spans="1:1" x14ac:dyDescent="0.45">
      <c r="A4811" s="21">
        <v>4100</v>
      </c>
    </row>
    <row r="4812" spans="1:1" x14ac:dyDescent="0.45">
      <c r="A4812" s="22" t="s">
        <v>2659</v>
      </c>
    </row>
    <row r="4813" spans="1:1" x14ac:dyDescent="0.45">
      <c r="A4813" s="22" t="s">
        <v>2686</v>
      </c>
    </row>
    <row r="4814" spans="1:1" x14ac:dyDescent="0.45">
      <c r="A4814" s="21">
        <v>3700</v>
      </c>
    </row>
    <row r="4815" spans="1:1" x14ac:dyDescent="0.45">
      <c r="A4815" s="22" t="s">
        <v>2950</v>
      </c>
    </row>
    <row r="4816" spans="1:1" x14ac:dyDescent="0.45">
      <c r="A4816" s="21">
        <v>3500</v>
      </c>
    </row>
    <row r="4817" spans="1:1" x14ac:dyDescent="0.45">
      <c r="A4817" s="22" t="s">
        <v>3106</v>
      </c>
    </row>
    <row r="4818" spans="1:1" x14ac:dyDescent="0.45">
      <c r="A4818" s="22" t="s">
        <v>3174</v>
      </c>
    </row>
    <row r="4819" spans="1:1" x14ac:dyDescent="0.45">
      <c r="A4819" s="21">
        <v>3400</v>
      </c>
    </row>
    <row r="4820" spans="1:1" x14ac:dyDescent="0.45">
      <c r="A4820" s="22" t="s">
        <v>3240</v>
      </c>
    </row>
    <row r="4821" spans="1:1" x14ac:dyDescent="0.45">
      <c r="A4821" s="21">
        <v>3200</v>
      </c>
    </row>
    <row r="4822" spans="1:1" x14ac:dyDescent="0.45">
      <c r="A4822" s="22" t="s">
        <v>3492</v>
      </c>
    </row>
    <row r="4823" spans="1:1" x14ac:dyDescent="0.45">
      <c r="A4823" s="22" t="s">
        <v>3489</v>
      </c>
    </row>
    <row r="4824" spans="1:1" x14ac:dyDescent="0.45">
      <c r="A4824" s="21">
        <v>3100</v>
      </c>
    </row>
    <row r="4825" spans="1:1" x14ac:dyDescent="0.45">
      <c r="A4825" s="22" t="s">
        <v>3582</v>
      </c>
    </row>
    <row r="4826" spans="1:1" x14ac:dyDescent="0.45">
      <c r="A4826" s="21">
        <v>3000</v>
      </c>
    </row>
    <row r="4827" spans="1:1" x14ac:dyDescent="0.45">
      <c r="A4827" s="22" t="s">
        <v>3641</v>
      </c>
    </row>
    <row r="4828" spans="1:1" x14ac:dyDescent="0.45">
      <c r="A4828" s="22" t="s">
        <v>3689</v>
      </c>
    </row>
    <row r="4829" spans="1:1" x14ac:dyDescent="0.45">
      <c r="A4829" s="21">
        <v>2900</v>
      </c>
    </row>
    <row r="4830" spans="1:1" x14ac:dyDescent="0.45">
      <c r="A4830" s="22" t="s">
        <v>3781</v>
      </c>
    </row>
    <row r="4831" spans="1:1" x14ac:dyDescent="0.45">
      <c r="A4831" s="22" t="s">
        <v>3821</v>
      </c>
    </row>
    <row r="4832" spans="1:1" x14ac:dyDescent="0.45">
      <c r="A4832" s="21">
        <v>2800</v>
      </c>
    </row>
    <row r="4833" spans="1:1" x14ac:dyDescent="0.45">
      <c r="A4833" s="22" t="s">
        <v>3883</v>
      </c>
    </row>
    <row r="4834" spans="1:1" x14ac:dyDescent="0.45">
      <c r="A4834" s="22" t="s">
        <v>3986</v>
      </c>
    </row>
    <row r="4835" spans="1:1" x14ac:dyDescent="0.45">
      <c r="A4835" s="21">
        <v>2600</v>
      </c>
    </row>
    <row r="4836" spans="1:1" x14ac:dyDescent="0.45">
      <c r="A4836" s="22" t="s">
        <v>4249</v>
      </c>
    </row>
    <row r="4837" spans="1:1" x14ac:dyDescent="0.45">
      <c r="A4837" s="21">
        <v>2500</v>
      </c>
    </row>
    <row r="4838" spans="1:1" x14ac:dyDescent="0.45">
      <c r="A4838" s="22" t="s">
        <v>4405</v>
      </c>
    </row>
    <row r="4839" spans="1:1" x14ac:dyDescent="0.45">
      <c r="A4839" s="22" t="s">
        <v>4482</v>
      </c>
    </row>
    <row r="4840" spans="1:1" x14ac:dyDescent="0.45">
      <c r="A4840" s="21">
        <v>2400</v>
      </c>
    </row>
    <row r="4841" spans="1:1" x14ac:dyDescent="0.45">
      <c r="A4841" s="22" t="s">
        <v>4521</v>
      </c>
    </row>
    <row r="4842" spans="1:1" x14ac:dyDescent="0.45">
      <c r="A4842" s="22" t="s">
        <v>4575</v>
      </c>
    </row>
    <row r="4843" spans="1:1" x14ac:dyDescent="0.45">
      <c r="A4843" s="21">
        <v>2300</v>
      </c>
    </row>
    <row r="4844" spans="1:1" x14ac:dyDescent="0.45">
      <c r="A4844" s="22" t="s">
        <v>4602</v>
      </c>
    </row>
    <row r="4845" spans="1:1" x14ac:dyDescent="0.45">
      <c r="A4845" s="22" t="s">
        <v>4629</v>
      </c>
    </row>
    <row r="4846" spans="1:1" x14ac:dyDescent="0.45">
      <c r="A4846" s="21">
        <v>2200</v>
      </c>
    </row>
    <row r="4847" spans="1:1" x14ac:dyDescent="0.45">
      <c r="A4847" s="22" t="s">
        <v>4880</v>
      </c>
    </row>
    <row r="4848" spans="1:1" x14ac:dyDescent="0.45">
      <c r="A4848" s="22" t="s">
        <v>4916</v>
      </c>
    </row>
    <row r="4849" spans="1:1" x14ac:dyDescent="0.45">
      <c r="A4849" s="21">
        <v>2100</v>
      </c>
    </row>
    <row r="4850" spans="1:1" x14ac:dyDescent="0.45">
      <c r="A4850" s="22" t="s">
        <v>5008</v>
      </c>
    </row>
    <row r="4851" spans="1:1" x14ac:dyDescent="0.45">
      <c r="A4851" s="22" t="s">
        <v>5148</v>
      </c>
    </row>
    <row r="4852" spans="1:1" x14ac:dyDescent="0.45">
      <c r="A4852" s="22" t="s">
        <v>5084</v>
      </c>
    </row>
    <row r="4853" spans="1:1" x14ac:dyDescent="0.45">
      <c r="A4853" s="21">
        <v>2000</v>
      </c>
    </row>
    <row r="4854" spans="1:1" x14ac:dyDescent="0.45">
      <c r="A4854" s="22" t="s">
        <v>5184</v>
      </c>
    </row>
    <row r="4855" spans="1:1" x14ac:dyDescent="0.45">
      <c r="A4855" s="22" t="s">
        <v>5289</v>
      </c>
    </row>
    <row r="4856" spans="1:1" x14ac:dyDescent="0.45">
      <c r="A4856" s="21">
        <v>1900</v>
      </c>
    </row>
    <row r="4857" spans="1:1" x14ac:dyDescent="0.45">
      <c r="A4857" s="22" t="s">
        <v>5480</v>
      </c>
    </row>
    <row r="4858" spans="1:1" x14ac:dyDescent="0.45">
      <c r="A4858" s="21">
        <v>1700</v>
      </c>
    </row>
    <row r="4859" spans="1:1" x14ac:dyDescent="0.45">
      <c r="A4859" s="22" t="s">
        <v>5838</v>
      </c>
    </row>
    <row r="4860" spans="1:1" x14ac:dyDescent="0.45">
      <c r="A4860" s="21">
        <v>1600</v>
      </c>
    </row>
    <row r="4861" spans="1:1" x14ac:dyDescent="0.45">
      <c r="A4861" s="22" t="s">
        <v>6228</v>
      </c>
    </row>
    <row r="4862" spans="1:1" x14ac:dyDescent="0.45">
      <c r="A4862" s="22" t="s">
        <v>6135</v>
      </c>
    </row>
    <row r="4863" spans="1:1" x14ac:dyDescent="0.45">
      <c r="A4863" s="22" t="s">
        <v>6014</v>
      </c>
    </row>
    <row r="4864" spans="1:1" x14ac:dyDescent="0.45">
      <c r="A4864" s="22" t="s">
        <v>6161</v>
      </c>
    </row>
    <row r="4865" spans="1:1" x14ac:dyDescent="0.45">
      <c r="A4865" s="21">
        <v>1500</v>
      </c>
    </row>
    <row r="4866" spans="1:1" x14ac:dyDescent="0.45">
      <c r="A4866" s="22" t="s">
        <v>6480</v>
      </c>
    </row>
    <row r="4867" spans="1:1" x14ac:dyDescent="0.45">
      <c r="A4867" s="22" t="s">
        <v>6417</v>
      </c>
    </row>
    <row r="4868" spans="1:1" x14ac:dyDescent="0.45">
      <c r="A4868" s="22" t="s">
        <v>6424</v>
      </c>
    </row>
    <row r="4869" spans="1:1" x14ac:dyDescent="0.45">
      <c r="A4869" s="22" t="s">
        <v>6592</v>
      </c>
    </row>
    <row r="4870" spans="1:1" x14ac:dyDescent="0.45">
      <c r="A4870" s="21">
        <v>1400</v>
      </c>
    </row>
    <row r="4871" spans="1:1" x14ac:dyDescent="0.45">
      <c r="A4871" s="22" t="s">
        <v>6802</v>
      </c>
    </row>
    <row r="4872" spans="1:1" x14ac:dyDescent="0.45">
      <c r="A4872" s="22" t="s">
        <v>6755</v>
      </c>
    </row>
    <row r="4873" spans="1:1" x14ac:dyDescent="0.45">
      <c r="A4873" s="21">
        <v>1300</v>
      </c>
    </row>
    <row r="4874" spans="1:1" x14ac:dyDescent="0.45">
      <c r="A4874" s="22" t="s">
        <v>7086</v>
      </c>
    </row>
    <row r="4875" spans="1:1" x14ac:dyDescent="0.45">
      <c r="A4875" s="22" t="s">
        <v>7180</v>
      </c>
    </row>
    <row r="4876" spans="1:1" x14ac:dyDescent="0.45">
      <c r="A4876" s="22" t="s">
        <v>6925</v>
      </c>
    </row>
    <row r="4877" spans="1:1" x14ac:dyDescent="0.45">
      <c r="A4877" s="22" t="s">
        <v>7150</v>
      </c>
    </row>
    <row r="4878" spans="1:1" x14ac:dyDescent="0.45">
      <c r="A4878" s="21">
        <v>1200</v>
      </c>
    </row>
    <row r="4879" spans="1:1" x14ac:dyDescent="0.45">
      <c r="A4879" s="22" t="s">
        <v>7307</v>
      </c>
    </row>
    <row r="4880" spans="1:1" x14ac:dyDescent="0.45">
      <c r="A4880" s="22" t="s">
        <v>7417</v>
      </c>
    </row>
    <row r="4881" spans="1:1" x14ac:dyDescent="0.45">
      <c r="A4881" s="22" t="s">
        <v>7245</v>
      </c>
    </row>
    <row r="4882" spans="1:1" x14ac:dyDescent="0.45">
      <c r="A4882" s="22" t="s">
        <v>7351</v>
      </c>
    </row>
    <row r="4883" spans="1:1" x14ac:dyDescent="0.45">
      <c r="A4883" s="22" t="s">
        <v>7604</v>
      </c>
    </row>
    <row r="4884" spans="1:1" x14ac:dyDescent="0.45">
      <c r="A4884" s="21">
        <v>1100</v>
      </c>
    </row>
    <row r="4885" spans="1:1" x14ac:dyDescent="0.45">
      <c r="A4885" s="22" t="s">
        <v>7706</v>
      </c>
    </row>
    <row r="4886" spans="1:1" x14ac:dyDescent="0.45">
      <c r="A4886" s="22" t="s">
        <v>7759</v>
      </c>
    </row>
    <row r="4887" spans="1:1" x14ac:dyDescent="0.45">
      <c r="A4887" s="22" t="s">
        <v>7610</v>
      </c>
    </row>
    <row r="4888" spans="1:1" x14ac:dyDescent="0.45">
      <c r="A4888" s="21">
        <v>1000</v>
      </c>
    </row>
    <row r="4889" spans="1:1" x14ac:dyDescent="0.45">
      <c r="A4889" s="22" t="s">
        <v>8049</v>
      </c>
    </row>
    <row r="4890" spans="1:1" x14ac:dyDescent="0.45">
      <c r="A4890" s="22" t="s">
        <v>8235</v>
      </c>
    </row>
    <row r="4891" spans="1:1" x14ac:dyDescent="0.45">
      <c r="A4891" s="22" t="s">
        <v>8036</v>
      </c>
    </row>
    <row r="4892" spans="1:1" x14ac:dyDescent="0.45">
      <c r="A4892" s="19">
        <v>65</v>
      </c>
    </row>
    <row r="4893" spans="1:1" x14ac:dyDescent="0.45">
      <c r="A4893" s="21">
        <v>83400</v>
      </c>
    </row>
    <row r="4894" spans="1:1" x14ac:dyDescent="0.45">
      <c r="A4894" s="22" t="s">
        <v>92</v>
      </c>
    </row>
    <row r="4895" spans="1:1" x14ac:dyDescent="0.45">
      <c r="A4895" s="21">
        <v>54400</v>
      </c>
    </row>
    <row r="4896" spans="1:1" x14ac:dyDescent="0.45">
      <c r="A4896" s="22" t="s">
        <v>163</v>
      </c>
    </row>
    <row r="4897" spans="1:1" x14ac:dyDescent="0.45">
      <c r="A4897" s="21">
        <v>32100</v>
      </c>
    </row>
    <row r="4898" spans="1:1" x14ac:dyDescent="0.45">
      <c r="A4898" s="22" t="s">
        <v>271</v>
      </c>
    </row>
    <row r="4899" spans="1:1" x14ac:dyDescent="0.45">
      <c r="A4899" s="21">
        <v>22400</v>
      </c>
    </row>
    <row r="4900" spans="1:1" x14ac:dyDescent="0.45">
      <c r="A4900" s="22" t="s">
        <v>408</v>
      </c>
    </row>
    <row r="4901" spans="1:1" x14ac:dyDescent="0.45">
      <c r="A4901" s="21">
        <v>18500</v>
      </c>
    </row>
    <row r="4902" spans="1:1" x14ac:dyDescent="0.45">
      <c r="A4902" s="22" t="s">
        <v>508</v>
      </c>
    </row>
    <row r="4903" spans="1:1" x14ac:dyDescent="0.45">
      <c r="A4903" s="21">
        <v>14200</v>
      </c>
    </row>
    <row r="4904" spans="1:1" x14ac:dyDescent="0.45">
      <c r="A4904" s="22" t="s">
        <v>666</v>
      </c>
    </row>
    <row r="4905" spans="1:1" x14ac:dyDescent="0.45">
      <c r="A4905" s="21">
        <v>8100</v>
      </c>
    </row>
    <row r="4906" spans="1:1" x14ac:dyDescent="0.45">
      <c r="A4906" s="22" t="s">
        <v>1186</v>
      </c>
    </row>
    <row r="4907" spans="1:1" x14ac:dyDescent="0.45">
      <c r="A4907" s="21">
        <v>7200</v>
      </c>
    </row>
    <row r="4908" spans="1:1" x14ac:dyDescent="0.45">
      <c r="A4908" s="22" t="s">
        <v>1396</v>
      </c>
    </row>
    <row r="4909" spans="1:1" x14ac:dyDescent="0.45">
      <c r="A4909" s="21">
        <v>6800</v>
      </c>
    </row>
    <row r="4910" spans="1:1" x14ac:dyDescent="0.45">
      <c r="A4910" s="22" t="s">
        <v>1569</v>
      </c>
    </row>
    <row r="4911" spans="1:1" x14ac:dyDescent="0.45">
      <c r="A4911" s="21">
        <v>6700</v>
      </c>
    </row>
    <row r="4912" spans="1:1" x14ac:dyDescent="0.45">
      <c r="A4912" s="22" t="s">
        <v>1640</v>
      </c>
    </row>
    <row r="4913" spans="1:1" x14ac:dyDescent="0.45">
      <c r="A4913" s="21">
        <v>6100</v>
      </c>
    </row>
    <row r="4914" spans="1:1" x14ac:dyDescent="0.45">
      <c r="A4914" s="22" t="s">
        <v>1779</v>
      </c>
    </row>
    <row r="4915" spans="1:1" x14ac:dyDescent="0.45">
      <c r="A4915" s="21">
        <v>6000</v>
      </c>
    </row>
    <row r="4916" spans="1:1" x14ac:dyDescent="0.45">
      <c r="A4916" s="22" t="s">
        <v>1806</v>
      </c>
    </row>
    <row r="4917" spans="1:1" x14ac:dyDescent="0.45">
      <c r="A4917" s="21">
        <v>5600</v>
      </c>
    </row>
    <row r="4918" spans="1:1" x14ac:dyDescent="0.45">
      <c r="A4918" s="22" t="s">
        <v>1907</v>
      </c>
    </row>
    <row r="4919" spans="1:1" x14ac:dyDescent="0.45">
      <c r="A4919" s="22" t="s">
        <v>1918</v>
      </c>
    </row>
    <row r="4920" spans="1:1" x14ac:dyDescent="0.45">
      <c r="A4920" s="21">
        <v>5500</v>
      </c>
    </row>
    <row r="4921" spans="1:1" x14ac:dyDescent="0.45">
      <c r="A4921" s="22" t="s">
        <v>1931</v>
      </c>
    </row>
    <row r="4922" spans="1:1" x14ac:dyDescent="0.45">
      <c r="A4922" s="21">
        <v>5300</v>
      </c>
    </row>
    <row r="4923" spans="1:1" x14ac:dyDescent="0.45">
      <c r="A4923" s="22" t="s">
        <v>2043</v>
      </c>
    </row>
    <row r="4924" spans="1:1" x14ac:dyDescent="0.45">
      <c r="A4924" s="21">
        <v>5100</v>
      </c>
    </row>
    <row r="4925" spans="1:1" x14ac:dyDescent="0.45">
      <c r="A4925" s="22" t="s">
        <v>2141</v>
      </c>
    </row>
    <row r="4926" spans="1:1" x14ac:dyDescent="0.45">
      <c r="A4926" s="21">
        <v>4600</v>
      </c>
    </row>
    <row r="4927" spans="1:1" x14ac:dyDescent="0.45">
      <c r="A4927" s="22" t="s">
        <v>2396</v>
      </c>
    </row>
    <row r="4928" spans="1:1" x14ac:dyDescent="0.45">
      <c r="A4928" s="21">
        <v>4500</v>
      </c>
    </row>
    <row r="4929" spans="1:1" x14ac:dyDescent="0.45">
      <c r="A4929" s="22" t="s">
        <v>2458</v>
      </c>
    </row>
    <row r="4930" spans="1:1" x14ac:dyDescent="0.45">
      <c r="A4930" s="21">
        <v>4400</v>
      </c>
    </row>
    <row r="4931" spans="1:1" x14ac:dyDescent="0.45">
      <c r="A4931" s="22" t="s">
        <v>2504</v>
      </c>
    </row>
    <row r="4932" spans="1:1" x14ac:dyDescent="0.45">
      <c r="A4932" s="21">
        <v>4300</v>
      </c>
    </row>
    <row r="4933" spans="1:1" x14ac:dyDescent="0.45">
      <c r="A4933" s="22" t="s">
        <v>2569</v>
      </c>
    </row>
    <row r="4934" spans="1:1" x14ac:dyDescent="0.45">
      <c r="A4934" s="21">
        <v>4200</v>
      </c>
    </row>
    <row r="4935" spans="1:1" x14ac:dyDescent="0.45">
      <c r="A4935" s="22" t="s">
        <v>2582</v>
      </c>
    </row>
    <row r="4936" spans="1:1" x14ac:dyDescent="0.45">
      <c r="A4936" s="21">
        <v>4000</v>
      </c>
    </row>
    <row r="4937" spans="1:1" x14ac:dyDescent="0.45">
      <c r="A4937" s="22" t="s">
        <v>2740</v>
      </c>
    </row>
    <row r="4938" spans="1:1" x14ac:dyDescent="0.45">
      <c r="A4938" s="21">
        <v>3900</v>
      </c>
    </row>
    <row r="4939" spans="1:1" x14ac:dyDescent="0.45">
      <c r="A4939" s="22" t="s">
        <v>2801</v>
      </c>
    </row>
    <row r="4940" spans="1:1" x14ac:dyDescent="0.45">
      <c r="A4940" s="21">
        <v>3600</v>
      </c>
    </row>
    <row r="4941" spans="1:1" x14ac:dyDescent="0.45">
      <c r="A4941" s="22" t="s">
        <v>3018</v>
      </c>
    </row>
    <row r="4942" spans="1:1" x14ac:dyDescent="0.45">
      <c r="A4942" s="21">
        <v>3500</v>
      </c>
    </row>
    <row r="4943" spans="1:1" x14ac:dyDescent="0.45">
      <c r="A4943" s="22" t="s">
        <v>3093</v>
      </c>
    </row>
    <row r="4944" spans="1:1" x14ac:dyDescent="0.45">
      <c r="A4944" s="22" t="s">
        <v>3134</v>
      </c>
    </row>
    <row r="4945" spans="1:1" x14ac:dyDescent="0.45">
      <c r="A4945" s="22" t="s">
        <v>3192</v>
      </c>
    </row>
    <row r="4946" spans="1:1" x14ac:dyDescent="0.45">
      <c r="A4946" s="22" t="s">
        <v>3189</v>
      </c>
    </row>
    <row r="4947" spans="1:1" x14ac:dyDescent="0.45">
      <c r="A4947" s="21">
        <v>3400</v>
      </c>
    </row>
    <row r="4948" spans="1:1" x14ac:dyDescent="0.45">
      <c r="A4948" s="22" t="s">
        <v>3264</v>
      </c>
    </row>
    <row r="4949" spans="1:1" x14ac:dyDescent="0.45">
      <c r="A4949" s="21">
        <v>3200</v>
      </c>
    </row>
    <row r="4950" spans="1:1" x14ac:dyDescent="0.45">
      <c r="A4950" s="22" t="s">
        <v>3515</v>
      </c>
    </row>
    <row r="4951" spans="1:1" x14ac:dyDescent="0.45">
      <c r="A4951" s="21">
        <v>3000</v>
      </c>
    </row>
    <row r="4952" spans="1:1" x14ac:dyDescent="0.45">
      <c r="A4952" s="22" t="s">
        <v>3680</v>
      </c>
    </row>
    <row r="4953" spans="1:1" x14ac:dyDescent="0.45">
      <c r="A4953" s="22" t="s">
        <v>3747</v>
      </c>
    </row>
    <row r="4954" spans="1:1" x14ac:dyDescent="0.45">
      <c r="A4954" s="22" t="s">
        <v>3755</v>
      </c>
    </row>
    <row r="4955" spans="1:1" x14ac:dyDescent="0.45">
      <c r="A4955" s="21">
        <v>2900</v>
      </c>
    </row>
    <row r="4956" spans="1:1" x14ac:dyDescent="0.45">
      <c r="A4956" s="22" t="s">
        <v>3850</v>
      </c>
    </row>
    <row r="4957" spans="1:1" x14ac:dyDescent="0.45">
      <c r="A4957" s="22" t="s">
        <v>3767</v>
      </c>
    </row>
    <row r="4958" spans="1:1" x14ac:dyDescent="0.45">
      <c r="A4958" s="21">
        <v>2700</v>
      </c>
    </row>
    <row r="4959" spans="1:1" x14ac:dyDescent="0.45">
      <c r="A4959" s="22" t="s">
        <v>4163</v>
      </c>
    </row>
    <row r="4960" spans="1:1" x14ac:dyDescent="0.45">
      <c r="A4960" s="22" t="s">
        <v>4031</v>
      </c>
    </row>
    <row r="4961" spans="1:1" x14ac:dyDescent="0.45">
      <c r="A4961" s="21">
        <v>2400</v>
      </c>
    </row>
    <row r="4962" spans="1:1" x14ac:dyDescent="0.45">
      <c r="A4962" s="22" t="s">
        <v>4554</v>
      </c>
    </row>
    <row r="4963" spans="1:1" x14ac:dyDescent="0.45">
      <c r="A4963" s="21">
        <v>2300</v>
      </c>
    </row>
    <row r="4964" spans="1:1" x14ac:dyDescent="0.45">
      <c r="A4964" s="22" t="s">
        <v>4741</v>
      </c>
    </row>
    <row r="4965" spans="1:1" x14ac:dyDescent="0.45">
      <c r="A4965" s="22" t="s">
        <v>4672</v>
      </c>
    </row>
    <row r="4966" spans="1:1" x14ac:dyDescent="0.45">
      <c r="A4966" s="21">
        <v>2200</v>
      </c>
    </row>
    <row r="4967" spans="1:1" x14ac:dyDescent="0.45">
      <c r="A4967" s="22" t="s">
        <v>4921</v>
      </c>
    </row>
    <row r="4968" spans="1:1" x14ac:dyDescent="0.45">
      <c r="A4968" s="22" t="s">
        <v>4892</v>
      </c>
    </row>
    <row r="4969" spans="1:1" x14ac:dyDescent="0.45">
      <c r="A4969" s="21">
        <v>2100</v>
      </c>
    </row>
    <row r="4970" spans="1:1" x14ac:dyDescent="0.45">
      <c r="A4970" s="22" t="s">
        <v>5003</v>
      </c>
    </row>
    <row r="4971" spans="1:1" x14ac:dyDescent="0.45">
      <c r="A4971" s="22" t="s">
        <v>5071</v>
      </c>
    </row>
    <row r="4972" spans="1:1" x14ac:dyDescent="0.45">
      <c r="A4972" s="22" t="s">
        <v>5101</v>
      </c>
    </row>
    <row r="4973" spans="1:1" x14ac:dyDescent="0.45">
      <c r="A4973" s="22" t="s">
        <v>4981</v>
      </c>
    </row>
    <row r="4974" spans="1:1" x14ac:dyDescent="0.45">
      <c r="A4974" s="21">
        <v>1900</v>
      </c>
    </row>
    <row r="4975" spans="1:1" x14ac:dyDescent="0.45">
      <c r="A4975" s="22" t="s">
        <v>5470</v>
      </c>
    </row>
    <row r="4976" spans="1:1" x14ac:dyDescent="0.45">
      <c r="A4976" s="22" t="s">
        <v>5402</v>
      </c>
    </row>
    <row r="4977" spans="1:1" x14ac:dyDescent="0.45">
      <c r="A4977" s="22" t="s">
        <v>5539</v>
      </c>
    </row>
    <row r="4978" spans="1:1" x14ac:dyDescent="0.45">
      <c r="A4978" s="21">
        <v>1600</v>
      </c>
    </row>
    <row r="4979" spans="1:1" x14ac:dyDescent="0.45">
      <c r="A4979" s="22" t="s">
        <v>6109</v>
      </c>
    </row>
    <row r="4980" spans="1:1" x14ac:dyDescent="0.45">
      <c r="A4980" s="22" t="s">
        <v>6049</v>
      </c>
    </row>
    <row r="4981" spans="1:1" x14ac:dyDescent="0.45">
      <c r="A4981" s="21">
        <v>1500</v>
      </c>
    </row>
    <row r="4982" spans="1:1" x14ac:dyDescent="0.45">
      <c r="A4982" s="22" t="s">
        <v>6304</v>
      </c>
    </row>
    <row r="4983" spans="1:1" x14ac:dyDescent="0.45">
      <c r="A4983" s="22" t="s">
        <v>6525</v>
      </c>
    </row>
    <row r="4984" spans="1:1" x14ac:dyDescent="0.45">
      <c r="A4984" s="21">
        <v>1400</v>
      </c>
    </row>
    <row r="4985" spans="1:1" x14ac:dyDescent="0.45">
      <c r="A4985" s="22" t="s">
        <v>6632</v>
      </c>
    </row>
    <row r="4986" spans="1:1" x14ac:dyDescent="0.45">
      <c r="A4986" s="22" t="s">
        <v>6667</v>
      </c>
    </row>
    <row r="4987" spans="1:1" x14ac:dyDescent="0.45">
      <c r="A4987" s="22" t="s">
        <v>6636</v>
      </c>
    </row>
    <row r="4988" spans="1:1" x14ac:dyDescent="0.45">
      <c r="A4988" s="22" t="s">
        <v>6699</v>
      </c>
    </row>
    <row r="4989" spans="1:1" x14ac:dyDescent="0.45">
      <c r="A4989" s="22" t="s">
        <v>6793</v>
      </c>
    </row>
    <row r="4990" spans="1:1" x14ac:dyDescent="0.45">
      <c r="A4990" s="22" t="s">
        <v>6883</v>
      </c>
    </row>
    <row r="4991" spans="1:1" x14ac:dyDescent="0.45">
      <c r="A4991" s="21">
        <v>1300</v>
      </c>
    </row>
    <row r="4992" spans="1:1" x14ac:dyDescent="0.45">
      <c r="A4992" s="22" t="s">
        <v>6995</v>
      </c>
    </row>
    <row r="4993" spans="1:1" x14ac:dyDescent="0.45">
      <c r="A4993" s="22" t="s">
        <v>7132</v>
      </c>
    </row>
    <row r="4994" spans="1:1" x14ac:dyDescent="0.45">
      <c r="A4994" s="22" t="s">
        <v>7039</v>
      </c>
    </row>
    <row r="4995" spans="1:1" x14ac:dyDescent="0.45">
      <c r="A4995" s="21">
        <v>1200</v>
      </c>
    </row>
    <row r="4996" spans="1:1" x14ac:dyDescent="0.45">
      <c r="A4996" s="22" t="s">
        <v>7315</v>
      </c>
    </row>
    <row r="4997" spans="1:1" x14ac:dyDescent="0.45">
      <c r="A4997" s="22" t="s">
        <v>7299</v>
      </c>
    </row>
    <row r="4998" spans="1:1" x14ac:dyDescent="0.45">
      <c r="A4998" s="22" t="s">
        <v>7431</v>
      </c>
    </row>
    <row r="4999" spans="1:1" x14ac:dyDescent="0.45">
      <c r="A4999" s="22" t="s">
        <v>7546</v>
      </c>
    </row>
    <row r="5000" spans="1:1" x14ac:dyDescent="0.45">
      <c r="A5000" s="21">
        <v>1100</v>
      </c>
    </row>
    <row r="5001" spans="1:1" x14ac:dyDescent="0.45">
      <c r="A5001" s="22" t="s">
        <v>7688</v>
      </c>
    </row>
    <row r="5002" spans="1:1" x14ac:dyDescent="0.45">
      <c r="A5002" s="21">
        <v>1000</v>
      </c>
    </row>
    <row r="5003" spans="1:1" x14ac:dyDescent="0.45">
      <c r="A5003" s="22" t="s">
        <v>8006</v>
      </c>
    </row>
    <row r="5004" spans="1:1" x14ac:dyDescent="0.45">
      <c r="A5004" s="19">
        <v>64</v>
      </c>
    </row>
    <row r="5005" spans="1:1" x14ac:dyDescent="0.45">
      <c r="A5005" s="21">
        <v>28500</v>
      </c>
    </row>
    <row r="5006" spans="1:1" x14ac:dyDescent="0.45">
      <c r="A5006" s="22" t="s">
        <v>307</v>
      </c>
    </row>
    <row r="5007" spans="1:1" x14ac:dyDescent="0.45">
      <c r="A5007" s="21">
        <v>12900</v>
      </c>
    </row>
    <row r="5008" spans="1:1" x14ac:dyDescent="0.45">
      <c r="A5008" s="22" t="s">
        <v>727</v>
      </c>
    </row>
    <row r="5009" spans="1:1" x14ac:dyDescent="0.45">
      <c r="A5009" s="21">
        <v>10200</v>
      </c>
    </row>
    <row r="5010" spans="1:1" x14ac:dyDescent="0.45">
      <c r="A5010" s="22" t="s">
        <v>869</v>
      </c>
    </row>
    <row r="5011" spans="1:1" x14ac:dyDescent="0.45">
      <c r="A5011" s="21">
        <v>9700</v>
      </c>
    </row>
    <row r="5012" spans="1:1" x14ac:dyDescent="0.45">
      <c r="A5012" s="22" t="s">
        <v>943</v>
      </c>
    </row>
    <row r="5013" spans="1:1" x14ac:dyDescent="0.45">
      <c r="A5013" s="21">
        <v>9600</v>
      </c>
    </row>
    <row r="5014" spans="1:1" x14ac:dyDescent="0.45">
      <c r="A5014" s="22" t="s">
        <v>969</v>
      </c>
    </row>
    <row r="5015" spans="1:1" x14ac:dyDescent="0.45">
      <c r="A5015" s="21">
        <v>8800</v>
      </c>
    </row>
    <row r="5016" spans="1:1" x14ac:dyDescent="0.45">
      <c r="A5016" s="22" t="s">
        <v>1079</v>
      </c>
    </row>
    <row r="5017" spans="1:1" x14ac:dyDescent="0.45">
      <c r="A5017" s="21">
        <v>7600</v>
      </c>
    </row>
    <row r="5018" spans="1:1" x14ac:dyDescent="0.45">
      <c r="A5018" s="22" t="s">
        <v>1315</v>
      </c>
    </row>
    <row r="5019" spans="1:1" x14ac:dyDescent="0.45">
      <c r="A5019" s="21">
        <v>6000</v>
      </c>
    </row>
    <row r="5020" spans="1:1" x14ac:dyDescent="0.45">
      <c r="A5020" s="22" t="s">
        <v>1786</v>
      </c>
    </row>
    <row r="5021" spans="1:1" x14ac:dyDescent="0.45">
      <c r="A5021" s="21">
        <v>5300</v>
      </c>
    </row>
    <row r="5022" spans="1:1" x14ac:dyDescent="0.45">
      <c r="A5022" s="22" t="s">
        <v>2034</v>
      </c>
    </row>
    <row r="5023" spans="1:1" x14ac:dyDescent="0.45">
      <c r="A5023" s="21">
        <v>5100</v>
      </c>
    </row>
    <row r="5024" spans="1:1" x14ac:dyDescent="0.45">
      <c r="A5024" s="22" t="s">
        <v>2136</v>
      </c>
    </row>
    <row r="5025" spans="1:1" x14ac:dyDescent="0.45">
      <c r="A5025" s="21">
        <v>5000</v>
      </c>
    </row>
    <row r="5026" spans="1:1" x14ac:dyDescent="0.45">
      <c r="A5026" s="22" t="s">
        <v>2202</v>
      </c>
    </row>
    <row r="5027" spans="1:1" x14ac:dyDescent="0.45">
      <c r="A5027" s="22" t="s">
        <v>2209</v>
      </c>
    </row>
    <row r="5028" spans="1:1" x14ac:dyDescent="0.45">
      <c r="A5028" s="21">
        <v>4800</v>
      </c>
    </row>
    <row r="5029" spans="1:1" x14ac:dyDescent="0.45">
      <c r="A5029" s="22" t="s">
        <v>2288</v>
      </c>
    </row>
    <row r="5030" spans="1:1" x14ac:dyDescent="0.45">
      <c r="A5030" s="22" t="s">
        <v>2301</v>
      </c>
    </row>
    <row r="5031" spans="1:1" x14ac:dyDescent="0.45">
      <c r="A5031" s="21">
        <v>4600</v>
      </c>
    </row>
    <row r="5032" spans="1:1" x14ac:dyDescent="0.45">
      <c r="A5032" s="22" t="s">
        <v>2361</v>
      </c>
    </row>
    <row r="5033" spans="1:1" x14ac:dyDescent="0.45">
      <c r="A5033" s="21">
        <v>4400</v>
      </c>
    </row>
    <row r="5034" spans="1:1" x14ac:dyDescent="0.45">
      <c r="A5034" s="22" t="s">
        <v>2479</v>
      </c>
    </row>
    <row r="5035" spans="1:1" x14ac:dyDescent="0.45">
      <c r="A5035" s="21">
        <v>4300</v>
      </c>
    </row>
    <row r="5036" spans="1:1" x14ac:dyDescent="0.45">
      <c r="A5036" s="22" t="s">
        <v>2566</v>
      </c>
    </row>
    <row r="5037" spans="1:1" x14ac:dyDescent="0.45">
      <c r="A5037" s="21">
        <v>3800</v>
      </c>
    </row>
    <row r="5038" spans="1:1" x14ac:dyDescent="0.45">
      <c r="A5038" s="22" t="s">
        <v>2907</v>
      </c>
    </row>
    <row r="5039" spans="1:1" x14ac:dyDescent="0.45">
      <c r="A5039" s="21">
        <v>3500</v>
      </c>
    </row>
    <row r="5040" spans="1:1" x14ac:dyDescent="0.45">
      <c r="A5040" s="22" t="s">
        <v>3116</v>
      </c>
    </row>
    <row r="5041" spans="1:1" x14ac:dyDescent="0.45">
      <c r="A5041" s="21">
        <v>3400</v>
      </c>
    </row>
    <row r="5042" spans="1:1" x14ac:dyDescent="0.45">
      <c r="A5042" s="22" t="s">
        <v>3222</v>
      </c>
    </row>
    <row r="5043" spans="1:1" x14ac:dyDescent="0.45">
      <c r="A5043" s="21">
        <v>3200</v>
      </c>
    </row>
    <row r="5044" spans="1:1" x14ac:dyDescent="0.45">
      <c r="A5044" s="22" t="s">
        <v>3388</v>
      </c>
    </row>
    <row r="5045" spans="1:1" x14ac:dyDescent="0.45">
      <c r="A5045" s="21">
        <v>3000</v>
      </c>
    </row>
    <row r="5046" spans="1:1" x14ac:dyDescent="0.45">
      <c r="A5046" s="22" t="s">
        <v>3692</v>
      </c>
    </row>
    <row r="5047" spans="1:1" x14ac:dyDescent="0.45">
      <c r="A5047" s="22" t="s">
        <v>3730</v>
      </c>
    </row>
    <row r="5048" spans="1:1" x14ac:dyDescent="0.45">
      <c r="A5048" s="21">
        <v>2700</v>
      </c>
    </row>
    <row r="5049" spans="1:1" x14ac:dyDescent="0.45">
      <c r="A5049" s="22" t="s">
        <v>4101</v>
      </c>
    </row>
    <row r="5050" spans="1:1" x14ac:dyDescent="0.45">
      <c r="A5050" s="21">
        <v>2600</v>
      </c>
    </row>
    <row r="5051" spans="1:1" x14ac:dyDescent="0.45">
      <c r="A5051" s="22" t="s">
        <v>4206</v>
      </c>
    </row>
    <row r="5052" spans="1:1" x14ac:dyDescent="0.45">
      <c r="A5052" s="21">
        <v>2500</v>
      </c>
    </row>
    <row r="5053" spans="1:1" x14ac:dyDescent="0.45">
      <c r="A5053" s="22" t="s">
        <v>4393</v>
      </c>
    </row>
    <row r="5054" spans="1:1" x14ac:dyDescent="0.45">
      <c r="A5054" s="22" t="s">
        <v>4461</v>
      </c>
    </row>
    <row r="5055" spans="1:1" x14ac:dyDescent="0.45">
      <c r="A5055" s="22" t="s">
        <v>4435</v>
      </c>
    </row>
    <row r="5056" spans="1:1" x14ac:dyDescent="0.45">
      <c r="A5056" s="21">
        <v>2200</v>
      </c>
    </row>
    <row r="5057" spans="1:1" x14ac:dyDescent="0.45">
      <c r="A5057" s="22" t="s">
        <v>4807</v>
      </c>
    </row>
    <row r="5058" spans="1:1" x14ac:dyDescent="0.45">
      <c r="A5058" s="22" t="s">
        <v>4790</v>
      </c>
    </row>
    <row r="5059" spans="1:1" x14ac:dyDescent="0.45">
      <c r="A5059" s="21">
        <v>2100</v>
      </c>
    </row>
    <row r="5060" spans="1:1" x14ac:dyDescent="0.45">
      <c r="A5060" s="22" t="s">
        <v>4964</v>
      </c>
    </row>
    <row r="5061" spans="1:1" x14ac:dyDescent="0.45">
      <c r="A5061" s="22" t="s">
        <v>4995</v>
      </c>
    </row>
    <row r="5062" spans="1:1" x14ac:dyDescent="0.45">
      <c r="A5062" s="22" t="s">
        <v>5150</v>
      </c>
    </row>
    <row r="5063" spans="1:1" x14ac:dyDescent="0.45">
      <c r="A5063" s="21">
        <v>2000</v>
      </c>
    </row>
    <row r="5064" spans="1:1" x14ac:dyDescent="0.45">
      <c r="A5064" s="22" t="s">
        <v>5247</v>
      </c>
    </row>
    <row r="5065" spans="1:1" x14ac:dyDescent="0.45">
      <c r="A5065" s="22" t="s">
        <v>5218</v>
      </c>
    </row>
    <row r="5066" spans="1:1" x14ac:dyDescent="0.45">
      <c r="A5066" s="21">
        <v>1900</v>
      </c>
    </row>
    <row r="5067" spans="1:1" x14ac:dyDescent="0.45">
      <c r="A5067" s="22" t="s">
        <v>5422</v>
      </c>
    </row>
    <row r="5068" spans="1:1" x14ac:dyDescent="0.45">
      <c r="A5068" s="22" t="s">
        <v>5510</v>
      </c>
    </row>
    <row r="5069" spans="1:1" x14ac:dyDescent="0.45">
      <c r="A5069" s="22" t="s">
        <v>5431</v>
      </c>
    </row>
    <row r="5070" spans="1:1" x14ac:dyDescent="0.45">
      <c r="A5070" s="21">
        <v>1800</v>
      </c>
    </row>
    <row r="5071" spans="1:1" x14ac:dyDescent="0.45">
      <c r="A5071" s="22" t="s">
        <v>5725</v>
      </c>
    </row>
    <row r="5072" spans="1:1" x14ac:dyDescent="0.45">
      <c r="A5072" s="21">
        <v>1700</v>
      </c>
    </row>
    <row r="5073" spans="1:1" x14ac:dyDescent="0.45">
      <c r="A5073" s="22" t="s">
        <v>5841</v>
      </c>
    </row>
    <row r="5074" spans="1:1" x14ac:dyDescent="0.45">
      <c r="A5074" s="22" t="s">
        <v>5943</v>
      </c>
    </row>
    <row r="5075" spans="1:1" x14ac:dyDescent="0.45">
      <c r="A5075" s="21">
        <v>1600</v>
      </c>
    </row>
    <row r="5076" spans="1:1" x14ac:dyDescent="0.45">
      <c r="A5076" s="22" t="s">
        <v>6046</v>
      </c>
    </row>
    <row r="5077" spans="1:1" x14ac:dyDescent="0.45">
      <c r="A5077" s="22" t="s">
        <v>6246</v>
      </c>
    </row>
    <row r="5078" spans="1:1" x14ac:dyDescent="0.45">
      <c r="A5078" s="21">
        <v>1500</v>
      </c>
    </row>
    <row r="5079" spans="1:1" x14ac:dyDescent="0.45">
      <c r="A5079" s="22" t="s">
        <v>6515</v>
      </c>
    </row>
    <row r="5080" spans="1:1" x14ac:dyDescent="0.45">
      <c r="A5080" s="22" t="s">
        <v>6508</v>
      </c>
    </row>
    <row r="5081" spans="1:1" x14ac:dyDescent="0.45">
      <c r="A5081" s="21">
        <v>1400</v>
      </c>
    </row>
    <row r="5082" spans="1:1" x14ac:dyDescent="0.45">
      <c r="A5082" s="22" t="s">
        <v>6654</v>
      </c>
    </row>
    <row r="5083" spans="1:1" x14ac:dyDescent="0.45">
      <c r="A5083" s="22" t="s">
        <v>6620</v>
      </c>
    </row>
    <row r="5084" spans="1:1" x14ac:dyDescent="0.45">
      <c r="A5084" s="21">
        <v>1300</v>
      </c>
    </row>
    <row r="5085" spans="1:1" x14ac:dyDescent="0.45">
      <c r="A5085" s="22" t="s">
        <v>6952</v>
      </c>
    </row>
    <row r="5086" spans="1:1" x14ac:dyDescent="0.45">
      <c r="A5086" s="22" t="s">
        <v>7016</v>
      </c>
    </row>
    <row r="5087" spans="1:1" x14ac:dyDescent="0.45">
      <c r="A5087" s="22" t="s">
        <v>7172</v>
      </c>
    </row>
    <row r="5088" spans="1:1" x14ac:dyDescent="0.45">
      <c r="A5088" s="22" t="s">
        <v>6895</v>
      </c>
    </row>
    <row r="5089" spans="1:1" x14ac:dyDescent="0.45">
      <c r="A5089" s="22" t="s">
        <v>6908</v>
      </c>
    </row>
    <row r="5090" spans="1:1" x14ac:dyDescent="0.45">
      <c r="A5090" s="21">
        <v>1100</v>
      </c>
    </row>
    <row r="5091" spans="1:1" x14ac:dyDescent="0.45">
      <c r="A5091" s="22" t="s">
        <v>7773</v>
      </c>
    </row>
    <row r="5092" spans="1:1" x14ac:dyDescent="0.45">
      <c r="A5092" s="21">
        <v>1000</v>
      </c>
    </row>
    <row r="5093" spans="1:1" x14ac:dyDescent="0.45">
      <c r="A5093" s="22" t="s">
        <v>7995</v>
      </c>
    </row>
    <row r="5094" spans="1:1" x14ac:dyDescent="0.45">
      <c r="A5094" s="22" t="s">
        <v>8015</v>
      </c>
    </row>
    <row r="5095" spans="1:1" x14ac:dyDescent="0.45">
      <c r="A5095" s="19">
        <v>63</v>
      </c>
    </row>
    <row r="5096" spans="1:1" x14ac:dyDescent="0.45">
      <c r="A5096" s="21">
        <v>9700</v>
      </c>
    </row>
    <row r="5097" spans="1:1" x14ac:dyDescent="0.45">
      <c r="A5097" s="22" t="s">
        <v>923</v>
      </c>
    </row>
    <row r="5098" spans="1:1" x14ac:dyDescent="0.45">
      <c r="A5098" s="21">
        <v>9200</v>
      </c>
    </row>
    <row r="5099" spans="1:1" x14ac:dyDescent="0.45">
      <c r="A5099" s="22" t="s">
        <v>1025</v>
      </c>
    </row>
    <row r="5100" spans="1:1" x14ac:dyDescent="0.45">
      <c r="A5100" s="21">
        <v>8900</v>
      </c>
    </row>
    <row r="5101" spans="1:1" x14ac:dyDescent="0.45">
      <c r="A5101" s="22" t="s">
        <v>1052</v>
      </c>
    </row>
    <row r="5102" spans="1:1" x14ac:dyDescent="0.45">
      <c r="A5102" s="21">
        <v>7300</v>
      </c>
    </row>
    <row r="5103" spans="1:1" x14ac:dyDescent="0.45">
      <c r="A5103" s="22" t="s">
        <v>1389</v>
      </c>
    </row>
    <row r="5104" spans="1:1" x14ac:dyDescent="0.45">
      <c r="A5104" s="21">
        <v>6600</v>
      </c>
    </row>
    <row r="5105" spans="1:1" x14ac:dyDescent="0.45">
      <c r="A5105" s="22" t="s">
        <v>1661</v>
      </c>
    </row>
    <row r="5106" spans="1:1" x14ac:dyDescent="0.45">
      <c r="A5106" s="21">
        <v>6000</v>
      </c>
    </row>
    <row r="5107" spans="1:1" x14ac:dyDescent="0.45">
      <c r="A5107" s="22" t="s">
        <v>1801</v>
      </c>
    </row>
    <row r="5108" spans="1:1" x14ac:dyDescent="0.45">
      <c r="A5108" s="21">
        <v>4800</v>
      </c>
    </row>
    <row r="5109" spans="1:1" x14ac:dyDescent="0.45">
      <c r="A5109" s="22" t="s">
        <v>2303</v>
      </c>
    </row>
    <row r="5110" spans="1:1" x14ac:dyDescent="0.45">
      <c r="A5110" s="21">
        <v>4700</v>
      </c>
    </row>
    <row r="5111" spans="1:1" x14ac:dyDescent="0.45">
      <c r="A5111" s="22" t="s">
        <v>2329</v>
      </c>
    </row>
    <row r="5112" spans="1:1" x14ac:dyDescent="0.45">
      <c r="A5112" s="21">
        <v>4400</v>
      </c>
    </row>
    <row r="5113" spans="1:1" x14ac:dyDescent="0.45">
      <c r="A5113" s="22" t="s">
        <v>2476</v>
      </c>
    </row>
    <row r="5114" spans="1:1" x14ac:dyDescent="0.45">
      <c r="A5114" s="21">
        <v>4300</v>
      </c>
    </row>
    <row r="5115" spans="1:1" x14ac:dyDescent="0.45">
      <c r="A5115" s="22" t="s">
        <v>2517</v>
      </c>
    </row>
    <row r="5116" spans="1:1" x14ac:dyDescent="0.45">
      <c r="A5116" s="21">
        <v>4100</v>
      </c>
    </row>
    <row r="5117" spans="1:1" x14ac:dyDescent="0.45">
      <c r="A5117" s="22" t="s">
        <v>2693</v>
      </c>
    </row>
    <row r="5118" spans="1:1" x14ac:dyDescent="0.45">
      <c r="A5118" s="21">
        <v>4000</v>
      </c>
    </row>
    <row r="5119" spans="1:1" x14ac:dyDescent="0.45">
      <c r="A5119" s="22" t="s">
        <v>2753</v>
      </c>
    </row>
    <row r="5120" spans="1:1" x14ac:dyDescent="0.45">
      <c r="A5120" s="21">
        <v>3900</v>
      </c>
    </row>
    <row r="5121" spans="1:1" x14ac:dyDescent="0.45">
      <c r="A5121" s="22" t="s">
        <v>2823</v>
      </c>
    </row>
    <row r="5122" spans="1:1" x14ac:dyDescent="0.45">
      <c r="A5122" s="22" t="s">
        <v>2858</v>
      </c>
    </row>
    <row r="5123" spans="1:1" x14ac:dyDescent="0.45">
      <c r="A5123" s="22" t="s">
        <v>2839</v>
      </c>
    </row>
    <row r="5124" spans="1:1" x14ac:dyDescent="0.45">
      <c r="A5124" s="21">
        <v>3800</v>
      </c>
    </row>
    <row r="5125" spans="1:1" x14ac:dyDescent="0.45">
      <c r="A5125" s="22" t="s">
        <v>2873</v>
      </c>
    </row>
    <row r="5126" spans="1:1" x14ac:dyDescent="0.45">
      <c r="A5126" s="22" t="s">
        <v>2888</v>
      </c>
    </row>
    <row r="5127" spans="1:1" x14ac:dyDescent="0.45">
      <c r="A5127" s="21">
        <v>3600</v>
      </c>
    </row>
    <row r="5128" spans="1:1" x14ac:dyDescent="0.45">
      <c r="A5128" s="22" t="s">
        <v>3003</v>
      </c>
    </row>
    <row r="5129" spans="1:1" x14ac:dyDescent="0.45">
      <c r="A5129" s="22" t="s">
        <v>3071</v>
      </c>
    </row>
    <row r="5130" spans="1:1" x14ac:dyDescent="0.45">
      <c r="A5130" s="21">
        <v>3400</v>
      </c>
    </row>
    <row r="5131" spans="1:1" x14ac:dyDescent="0.45">
      <c r="A5131" s="22" t="s">
        <v>3226</v>
      </c>
    </row>
    <row r="5132" spans="1:1" x14ac:dyDescent="0.45">
      <c r="A5132" s="21">
        <v>3100</v>
      </c>
    </row>
    <row r="5133" spans="1:1" x14ac:dyDescent="0.45">
      <c r="A5133" s="22" t="s">
        <v>3596</v>
      </c>
    </row>
    <row r="5134" spans="1:1" x14ac:dyDescent="0.45">
      <c r="A5134" s="21">
        <v>3000</v>
      </c>
    </row>
    <row r="5135" spans="1:1" x14ac:dyDescent="0.45">
      <c r="A5135" s="22" t="s">
        <v>3655</v>
      </c>
    </row>
    <row r="5136" spans="1:1" x14ac:dyDescent="0.45">
      <c r="A5136" s="22" t="s">
        <v>3738</v>
      </c>
    </row>
    <row r="5137" spans="1:1" x14ac:dyDescent="0.45">
      <c r="A5137" s="21">
        <v>2700</v>
      </c>
    </row>
    <row r="5138" spans="1:1" x14ac:dyDescent="0.45">
      <c r="A5138" s="22" t="s">
        <v>4082</v>
      </c>
    </row>
    <row r="5139" spans="1:1" x14ac:dyDescent="0.45">
      <c r="A5139" s="22" t="s">
        <v>4034</v>
      </c>
    </row>
    <row r="5140" spans="1:1" x14ac:dyDescent="0.45">
      <c r="A5140" s="22" t="s">
        <v>4135</v>
      </c>
    </row>
    <row r="5141" spans="1:1" x14ac:dyDescent="0.45">
      <c r="A5141" s="21">
        <v>2500</v>
      </c>
    </row>
    <row r="5142" spans="1:1" x14ac:dyDescent="0.45">
      <c r="A5142" s="22" t="s">
        <v>4453</v>
      </c>
    </row>
    <row r="5143" spans="1:1" x14ac:dyDescent="0.45">
      <c r="A5143" s="21">
        <v>2400</v>
      </c>
    </row>
    <row r="5144" spans="1:1" x14ac:dyDescent="0.45">
      <c r="A5144" s="22" t="s">
        <v>4562</v>
      </c>
    </row>
    <row r="5145" spans="1:1" x14ac:dyDescent="0.45">
      <c r="A5145" s="22" t="s">
        <v>4569</v>
      </c>
    </row>
    <row r="5146" spans="1:1" x14ac:dyDescent="0.45">
      <c r="A5146" s="21">
        <v>2300</v>
      </c>
    </row>
    <row r="5147" spans="1:1" x14ac:dyDescent="0.45">
      <c r="A5147" s="22" t="s">
        <v>4599</v>
      </c>
    </row>
    <row r="5148" spans="1:1" x14ac:dyDescent="0.45">
      <c r="A5148" s="21">
        <v>2200</v>
      </c>
    </row>
    <row r="5149" spans="1:1" x14ac:dyDescent="0.45">
      <c r="A5149" s="22" t="s">
        <v>4765</v>
      </c>
    </row>
    <row r="5150" spans="1:1" x14ac:dyDescent="0.45">
      <c r="A5150" s="22" t="s">
        <v>4895</v>
      </c>
    </row>
    <row r="5151" spans="1:1" x14ac:dyDescent="0.45">
      <c r="A5151" s="21">
        <v>2000</v>
      </c>
    </row>
    <row r="5152" spans="1:1" x14ac:dyDescent="0.45">
      <c r="A5152" s="22" t="s">
        <v>5251</v>
      </c>
    </row>
    <row r="5153" spans="1:1" x14ac:dyDescent="0.45">
      <c r="A5153" s="21">
        <v>1900</v>
      </c>
    </row>
    <row r="5154" spans="1:1" x14ac:dyDescent="0.45">
      <c r="A5154" s="22" t="s">
        <v>5425</v>
      </c>
    </row>
    <row r="5155" spans="1:1" x14ac:dyDescent="0.45">
      <c r="A5155" s="22" t="s">
        <v>5383</v>
      </c>
    </row>
    <row r="5156" spans="1:1" x14ac:dyDescent="0.45">
      <c r="A5156" s="22" t="s">
        <v>5503</v>
      </c>
    </row>
    <row r="5157" spans="1:1" x14ac:dyDescent="0.45">
      <c r="A5157" s="21">
        <v>1800</v>
      </c>
    </row>
    <row r="5158" spans="1:1" x14ac:dyDescent="0.45">
      <c r="A5158" s="22" t="s">
        <v>5625</v>
      </c>
    </row>
    <row r="5159" spans="1:1" x14ac:dyDescent="0.45">
      <c r="A5159" s="21">
        <v>1700</v>
      </c>
    </row>
    <row r="5160" spans="1:1" x14ac:dyDescent="0.45">
      <c r="A5160" s="22" t="s">
        <v>5933</v>
      </c>
    </row>
    <row r="5161" spans="1:1" x14ac:dyDescent="0.45">
      <c r="A5161" s="22" t="s">
        <v>5960</v>
      </c>
    </row>
    <row r="5162" spans="1:1" x14ac:dyDescent="0.45">
      <c r="A5162" s="21">
        <v>1600</v>
      </c>
    </row>
    <row r="5163" spans="1:1" x14ac:dyDescent="0.45">
      <c r="A5163" s="22" t="s">
        <v>6247</v>
      </c>
    </row>
    <row r="5164" spans="1:1" x14ac:dyDescent="0.45">
      <c r="A5164" s="22" t="s">
        <v>6201</v>
      </c>
    </row>
    <row r="5165" spans="1:1" x14ac:dyDescent="0.45">
      <c r="A5165" s="22" t="s">
        <v>6167</v>
      </c>
    </row>
    <row r="5166" spans="1:1" x14ac:dyDescent="0.45">
      <c r="A5166" s="21">
        <v>1500</v>
      </c>
    </row>
    <row r="5167" spans="1:1" x14ac:dyDescent="0.45">
      <c r="A5167" s="22" t="s">
        <v>6486</v>
      </c>
    </row>
    <row r="5168" spans="1:1" x14ac:dyDescent="0.45">
      <c r="A5168" s="22" t="s">
        <v>6455</v>
      </c>
    </row>
    <row r="5169" spans="1:1" x14ac:dyDescent="0.45">
      <c r="A5169" s="22" t="s">
        <v>6408</v>
      </c>
    </row>
    <row r="5170" spans="1:1" x14ac:dyDescent="0.45">
      <c r="A5170" s="22" t="s">
        <v>6560</v>
      </c>
    </row>
    <row r="5171" spans="1:1" x14ac:dyDescent="0.45">
      <c r="A5171" s="22" t="s">
        <v>6550</v>
      </c>
    </row>
    <row r="5172" spans="1:1" x14ac:dyDescent="0.45">
      <c r="A5172" s="21">
        <v>1400</v>
      </c>
    </row>
    <row r="5173" spans="1:1" x14ac:dyDescent="0.45">
      <c r="A5173" s="22" t="s">
        <v>6887</v>
      </c>
    </row>
    <row r="5174" spans="1:1" x14ac:dyDescent="0.45">
      <c r="A5174" s="22" t="s">
        <v>6867</v>
      </c>
    </row>
    <row r="5175" spans="1:1" x14ac:dyDescent="0.45">
      <c r="A5175" s="21">
        <v>1300</v>
      </c>
    </row>
    <row r="5176" spans="1:1" x14ac:dyDescent="0.45">
      <c r="A5176" s="22" t="s">
        <v>7096</v>
      </c>
    </row>
    <row r="5177" spans="1:1" x14ac:dyDescent="0.45">
      <c r="A5177" s="22" t="s">
        <v>7170</v>
      </c>
    </row>
    <row r="5178" spans="1:1" x14ac:dyDescent="0.45">
      <c r="A5178" s="22" t="s">
        <v>7190</v>
      </c>
    </row>
    <row r="5179" spans="1:1" x14ac:dyDescent="0.45">
      <c r="A5179" s="21">
        <v>1200</v>
      </c>
    </row>
    <row r="5180" spans="1:1" x14ac:dyDescent="0.45">
      <c r="A5180" s="22" t="s">
        <v>7399</v>
      </c>
    </row>
    <row r="5181" spans="1:1" x14ac:dyDescent="0.45">
      <c r="A5181" s="22" t="s">
        <v>7269</v>
      </c>
    </row>
    <row r="5182" spans="1:1" x14ac:dyDescent="0.45">
      <c r="A5182" s="22" t="s">
        <v>7375</v>
      </c>
    </row>
    <row r="5183" spans="1:1" x14ac:dyDescent="0.45">
      <c r="A5183" s="22" t="s">
        <v>7230</v>
      </c>
    </row>
    <row r="5184" spans="1:1" x14ac:dyDescent="0.45">
      <c r="A5184" s="22" t="s">
        <v>7324</v>
      </c>
    </row>
    <row r="5185" spans="1:1" x14ac:dyDescent="0.45">
      <c r="A5185" s="22" t="s">
        <v>7543</v>
      </c>
    </row>
    <row r="5186" spans="1:1" x14ac:dyDescent="0.45">
      <c r="A5186" s="22" t="s">
        <v>7608</v>
      </c>
    </row>
    <row r="5187" spans="1:1" x14ac:dyDescent="0.45">
      <c r="A5187" s="21">
        <v>1100</v>
      </c>
    </row>
    <row r="5188" spans="1:1" x14ac:dyDescent="0.45">
      <c r="A5188" s="22" t="s">
        <v>7696</v>
      </c>
    </row>
    <row r="5189" spans="1:1" x14ac:dyDescent="0.45">
      <c r="A5189" s="22" t="s">
        <v>7726</v>
      </c>
    </row>
    <row r="5190" spans="1:1" x14ac:dyDescent="0.45">
      <c r="A5190" s="21">
        <v>1000</v>
      </c>
    </row>
    <row r="5191" spans="1:1" x14ac:dyDescent="0.45">
      <c r="A5191" s="22" t="s">
        <v>8025</v>
      </c>
    </row>
    <row r="5192" spans="1:1" x14ac:dyDescent="0.45">
      <c r="A5192" s="22" t="s">
        <v>8221</v>
      </c>
    </row>
    <row r="5193" spans="1:1" x14ac:dyDescent="0.45">
      <c r="A5193" s="19">
        <v>62</v>
      </c>
    </row>
    <row r="5194" spans="1:1" x14ac:dyDescent="0.45">
      <c r="A5194" s="21">
        <v>23700</v>
      </c>
    </row>
    <row r="5195" spans="1:1" x14ac:dyDescent="0.45">
      <c r="A5195" s="22" t="s">
        <v>380</v>
      </c>
    </row>
    <row r="5196" spans="1:1" x14ac:dyDescent="0.45">
      <c r="A5196" s="21">
        <v>11300</v>
      </c>
    </row>
    <row r="5197" spans="1:1" x14ac:dyDescent="0.45">
      <c r="A5197" s="22" t="s">
        <v>794</v>
      </c>
    </row>
    <row r="5198" spans="1:1" x14ac:dyDescent="0.45">
      <c r="A5198" s="21">
        <v>9600</v>
      </c>
    </row>
    <row r="5199" spans="1:1" x14ac:dyDescent="0.45">
      <c r="A5199" s="22" t="s">
        <v>966</v>
      </c>
    </row>
    <row r="5200" spans="1:1" x14ac:dyDescent="0.45">
      <c r="A5200" s="21">
        <v>8200</v>
      </c>
    </row>
    <row r="5201" spans="1:1" x14ac:dyDescent="0.45">
      <c r="A5201" s="22" t="s">
        <v>1167</v>
      </c>
    </row>
    <row r="5202" spans="1:1" x14ac:dyDescent="0.45">
      <c r="A5202" s="21">
        <v>7600</v>
      </c>
    </row>
    <row r="5203" spans="1:1" x14ac:dyDescent="0.45">
      <c r="A5203" s="22" t="s">
        <v>1324</v>
      </c>
    </row>
    <row r="5204" spans="1:1" x14ac:dyDescent="0.45">
      <c r="A5204" s="21">
        <v>7400</v>
      </c>
    </row>
    <row r="5205" spans="1:1" x14ac:dyDescent="0.45">
      <c r="A5205" s="22" t="s">
        <v>1364</v>
      </c>
    </row>
    <row r="5206" spans="1:1" x14ac:dyDescent="0.45">
      <c r="A5206" s="21">
        <v>6900</v>
      </c>
    </row>
    <row r="5207" spans="1:1" x14ac:dyDescent="0.45">
      <c r="A5207" s="22" t="s">
        <v>1500</v>
      </c>
    </row>
    <row r="5208" spans="1:1" x14ac:dyDescent="0.45">
      <c r="A5208" s="21">
        <v>6400</v>
      </c>
    </row>
    <row r="5209" spans="1:1" x14ac:dyDescent="0.45">
      <c r="A5209" s="22" t="s">
        <v>1694</v>
      </c>
    </row>
    <row r="5210" spans="1:1" x14ac:dyDescent="0.45">
      <c r="A5210" s="21">
        <v>5900</v>
      </c>
    </row>
    <row r="5211" spans="1:1" x14ac:dyDescent="0.45">
      <c r="A5211" s="22" t="s">
        <v>1838</v>
      </c>
    </row>
    <row r="5212" spans="1:1" x14ac:dyDescent="0.45">
      <c r="A5212" s="21">
        <v>5300</v>
      </c>
    </row>
    <row r="5213" spans="1:1" x14ac:dyDescent="0.45">
      <c r="A5213" s="22" t="s">
        <v>2061</v>
      </c>
    </row>
    <row r="5214" spans="1:1" x14ac:dyDescent="0.45">
      <c r="A5214" s="21">
        <v>4800</v>
      </c>
    </row>
    <row r="5215" spans="1:1" x14ac:dyDescent="0.45">
      <c r="A5215" s="22" t="s">
        <v>2313</v>
      </c>
    </row>
    <row r="5216" spans="1:1" x14ac:dyDescent="0.45">
      <c r="A5216" s="21">
        <v>4600</v>
      </c>
    </row>
    <row r="5217" spans="1:1" x14ac:dyDescent="0.45">
      <c r="A5217" s="22" t="s">
        <v>2407</v>
      </c>
    </row>
    <row r="5218" spans="1:1" x14ac:dyDescent="0.45">
      <c r="A5218" s="22" t="s">
        <v>2376</v>
      </c>
    </row>
    <row r="5219" spans="1:1" x14ac:dyDescent="0.45">
      <c r="A5219" s="21">
        <v>4300</v>
      </c>
    </row>
    <row r="5220" spans="1:1" x14ac:dyDescent="0.45">
      <c r="A5220" s="22" t="s">
        <v>2543</v>
      </c>
    </row>
    <row r="5221" spans="1:1" x14ac:dyDescent="0.45">
      <c r="A5221" s="21">
        <v>3900</v>
      </c>
    </row>
    <row r="5222" spans="1:1" x14ac:dyDescent="0.45">
      <c r="A5222" s="22" t="s">
        <v>2854</v>
      </c>
    </row>
    <row r="5223" spans="1:1" x14ac:dyDescent="0.45">
      <c r="A5223" s="21">
        <v>3700</v>
      </c>
    </row>
    <row r="5224" spans="1:1" x14ac:dyDescent="0.45">
      <c r="A5224" s="22" t="s">
        <v>2976</v>
      </c>
    </row>
    <row r="5225" spans="1:1" x14ac:dyDescent="0.45">
      <c r="A5225" s="22" t="s">
        <v>2970</v>
      </c>
    </row>
    <row r="5226" spans="1:1" x14ac:dyDescent="0.45">
      <c r="A5226" s="21">
        <v>3500</v>
      </c>
    </row>
    <row r="5227" spans="1:1" x14ac:dyDescent="0.45">
      <c r="A5227" s="22" t="s">
        <v>3097</v>
      </c>
    </row>
    <row r="5228" spans="1:1" x14ac:dyDescent="0.45">
      <c r="A5228" s="21">
        <v>3400</v>
      </c>
    </row>
    <row r="5229" spans="1:1" x14ac:dyDescent="0.45">
      <c r="A5229" s="22" t="s">
        <v>3243</v>
      </c>
    </row>
    <row r="5230" spans="1:1" x14ac:dyDescent="0.45">
      <c r="A5230" s="21">
        <v>3100</v>
      </c>
    </row>
    <row r="5231" spans="1:1" x14ac:dyDescent="0.45">
      <c r="A5231" s="22" t="s">
        <v>3544</v>
      </c>
    </row>
    <row r="5232" spans="1:1" x14ac:dyDescent="0.45">
      <c r="A5232" s="21">
        <v>3000</v>
      </c>
    </row>
    <row r="5233" spans="1:1" x14ac:dyDescent="0.45">
      <c r="A5233" s="22" t="s">
        <v>3676</v>
      </c>
    </row>
    <row r="5234" spans="1:1" x14ac:dyDescent="0.45">
      <c r="A5234" s="21">
        <v>2900</v>
      </c>
    </row>
    <row r="5235" spans="1:1" x14ac:dyDescent="0.45">
      <c r="A5235" s="22" t="s">
        <v>3880</v>
      </c>
    </row>
    <row r="5236" spans="1:1" x14ac:dyDescent="0.45">
      <c r="A5236" s="21">
        <v>2700</v>
      </c>
    </row>
    <row r="5237" spans="1:1" x14ac:dyDescent="0.45">
      <c r="A5237" s="22" t="s">
        <v>4088</v>
      </c>
    </row>
    <row r="5238" spans="1:1" x14ac:dyDescent="0.45">
      <c r="A5238" s="21">
        <v>2500</v>
      </c>
    </row>
    <row r="5239" spans="1:1" x14ac:dyDescent="0.45">
      <c r="A5239" s="22" t="s">
        <v>4402</v>
      </c>
    </row>
    <row r="5240" spans="1:1" x14ac:dyDescent="0.45">
      <c r="A5240" s="21">
        <v>2300</v>
      </c>
    </row>
    <row r="5241" spans="1:1" x14ac:dyDescent="0.45">
      <c r="A5241" s="22" t="s">
        <v>4624</v>
      </c>
    </row>
    <row r="5242" spans="1:1" x14ac:dyDescent="0.45">
      <c r="A5242" s="22" t="s">
        <v>4716</v>
      </c>
    </row>
    <row r="5243" spans="1:1" x14ac:dyDescent="0.45">
      <c r="A5243" s="21">
        <v>2200</v>
      </c>
    </row>
    <row r="5244" spans="1:1" x14ac:dyDescent="0.45">
      <c r="A5244" s="22" t="s">
        <v>4819</v>
      </c>
    </row>
    <row r="5245" spans="1:1" x14ac:dyDescent="0.45">
      <c r="A5245" s="21">
        <v>2100</v>
      </c>
    </row>
    <row r="5246" spans="1:1" x14ac:dyDescent="0.45">
      <c r="A5246" s="22" t="s">
        <v>4959</v>
      </c>
    </row>
    <row r="5247" spans="1:1" x14ac:dyDescent="0.45">
      <c r="A5247" s="22" t="s">
        <v>5037</v>
      </c>
    </row>
    <row r="5248" spans="1:1" x14ac:dyDescent="0.45">
      <c r="A5248" s="22" t="s">
        <v>5005</v>
      </c>
    </row>
    <row r="5249" spans="1:1" x14ac:dyDescent="0.45">
      <c r="A5249" s="22" t="s">
        <v>5090</v>
      </c>
    </row>
    <row r="5250" spans="1:1" x14ac:dyDescent="0.45">
      <c r="A5250" s="21">
        <v>2000</v>
      </c>
    </row>
    <row r="5251" spans="1:1" x14ac:dyDescent="0.45">
      <c r="A5251" s="22" t="s">
        <v>5215</v>
      </c>
    </row>
    <row r="5252" spans="1:1" x14ac:dyDescent="0.45">
      <c r="A5252" s="22" t="s">
        <v>5182</v>
      </c>
    </row>
    <row r="5253" spans="1:1" x14ac:dyDescent="0.45">
      <c r="A5253" s="21">
        <v>1900</v>
      </c>
    </row>
    <row r="5254" spans="1:1" x14ac:dyDescent="0.45">
      <c r="A5254" s="22" t="s">
        <v>5458</v>
      </c>
    </row>
    <row r="5255" spans="1:1" x14ac:dyDescent="0.45">
      <c r="A5255" s="21">
        <v>1800</v>
      </c>
    </row>
    <row r="5256" spans="1:1" x14ac:dyDescent="0.45">
      <c r="A5256" s="22" t="s">
        <v>5593</v>
      </c>
    </row>
    <row r="5257" spans="1:1" x14ac:dyDescent="0.45">
      <c r="A5257" s="22" t="s">
        <v>5590</v>
      </c>
    </row>
    <row r="5258" spans="1:1" x14ac:dyDescent="0.45">
      <c r="A5258" s="22" t="s">
        <v>5752</v>
      </c>
    </row>
    <row r="5259" spans="1:1" x14ac:dyDescent="0.45">
      <c r="A5259" s="22" t="s">
        <v>5736</v>
      </c>
    </row>
    <row r="5260" spans="1:1" x14ac:dyDescent="0.45">
      <c r="A5260" s="21">
        <v>1700</v>
      </c>
    </row>
    <row r="5261" spans="1:1" x14ac:dyDescent="0.45">
      <c r="A5261" s="22" t="s">
        <v>5861</v>
      </c>
    </row>
    <row r="5262" spans="1:1" x14ac:dyDescent="0.45">
      <c r="A5262" s="21">
        <v>1600</v>
      </c>
    </row>
    <row r="5263" spans="1:1" x14ac:dyDescent="0.45">
      <c r="A5263" s="22" t="s">
        <v>6037</v>
      </c>
    </row>
    <row r="5264" spans="1:1" x14ac:dyDescent="0.45">
      <c r="A5264" s="22" t="s">
        <v>6253</v>
      </c>
    </row>
    <row r="5265" spans="1:1" x14ac:dyDescent="0.45">
      <c r="A5265" s="21">
        <v>1500</v>
      </c>
    </row>
    <row r="5266" spans="1:1" x14ac:dyDescent="0.45">
      <c r="A5266" s="22" t="s">
        <v>6499</v>
      </c>
    </row>
    <row r="5267" spans="1:1" x14ac:dyDescent="0.45">
      <c r="A5267" s="22" t="s">
        <v>6273</v>
      </c>
    </row>
    <row r="5268" spans="1:1" x14ac:dyDescent="0.45">
      <c r="A5268" s="22" t="s">
        <v>6388</v>
      </c>
    </row>
    <row r="5269" spans="1:1" x14ac:dyDescent="0.45">
      <c r="A5269" s="22" t="s">
        <v>6582</v>
      </c>
    </row>
    <row r="5270" spans="1:1" x14ac:dyDescent="0.45">
      <c r="A5270" s="21">
        <v>1400</v>
      </c>
    </row>
    <row r="5271" spans="1:1" x14ac:dyDescent="0.45">
      <c r="A5271" s="22" t="s">
        <v>6873</v>
      </c>
    </row>
    <row r="5272" spans="1:1" x14ac:dyDescent="0.45">
      <c r="A5272" s="22" t="s">
        <v>6881</v>
      </c>
    </row>
    <row r="5273" spans="1:1" x14ac:dyDescent="0.45">
      <c r="A5273" s="21">
        <v>1300</v>
      </c>
    </row>
    <row r="5274" spans="1:1" x14ac:dyDescent="0.45">
      <c r="A5274" s="22" t="s">
        <v>6946</v>
      </c>
    </row>
    <row r="5275" spans="1:1" x14ac:dyDescent="0.45">
      <c r="A5275" s="22" t="s">
        <v>7021</v>
      </c>
    </row>
    <row r="5276" spans="1:1" x14ac:dyDescent="0.45">
      <c r="A5276" s="21">
        <v>1200</v>
      </c>
    </row>
    <row r="5277" spans="1:1" x14ac:dyDescent="0.45">
      <c r="A5277" s="22" t="s">
        <v>7253</v>
      </c>
    </row>
    <row r="5278" spans="1:1" x14ac:dyDescent="0.45">
      <c r="A5278" s="22" t="s">
        <v>7472</v>
      </c>
    </row>
    <row r="5279" spans="1:1" x14ac:dyDescent="0.45">
      <c r="A5279" s="21">
        <v>1100</v>
      </c>
    </row>
    <row r="5280" spans="1:1" x14ac:dyDescent="0.45">
      <c r="A5280" s="22" t="s">
        <v>7776</v>
      </c>
    </row>
    <row r="5281" spans="1:1" x14ac:dyDescent="0.45">
      <c r="A5281" s="22" t="s">
        <v>7838</v>
      </c>
    </row>
    <row r="5282" spans="1:1" x14ac:dyDescent="0.45">
      <c r="A5282" s="22" t="s">
        <v>7789</v>
      </c>
    </row>
    <row r="5283" spans="1:1" x14ac:dyDescent="0.45">
      <c r="A5283" s="19">
        <v>61</v>
      </c>
    </row>
    <row r="5284" spans="1:1" x14ac:dyDescent="0.45">
      <c r="A5284" s="21">
        <v>21600</v>
      </c>
    </row>
    <row r="5285" spans="1:1" x14ac:dyDescent="0.45">
      <c r="A5285" s="22" t="s">
        <v>421</v>
      </c>
    </row>
    <row r="5286" spans="1:1" x14ac:dyDescent="0.45">
      <c r="A5286" s="21">
        <v>19600</v>
      </c>
    </row>
    <row r="5287" spans="1:1" x14ac:dyDescent="0.45">
      <c r="A5287" s="22" t="s">
        <v>470</v>
      </c>
    </row>
    <row r="5288" spans="1:1" x14ac:dyDescent="0.45">
      <c r="A5288" s="21">
        <v>18000</v>
      </c>
    </row>
    <row r="5289" spans="1:1" x14ac:dyDescent="0.45">
      <c r="A5289" s="22" t="s">
        <v>516</v>
      </c>
    </row>
    <row r="5290" spans="1:1" x14ac:dyDescent="0.45">
      <c r="A5290" s="21">
        <v>8200</v>
      </c>
    </row>
    <row r="5291" spans="1:1" x14ac:dyDescent="0.45">
      <c r="A5291" s="22" t="s">
        <v>1165</v>
      </c>
    </row>
    <row r="5292" spans="1:1" x14ac:dyDescent="0.45">
      <c r="A5292" s="21">
        <v>7700</v>
      </c>
    </row>
    <row r="5293" spans="1:1" x14ac:dyDescent="0.45">
      <c r="A5293" s="22" t="s">
        <v>1296</v>
      </c>
    </row>
    <row r="5294" spans="1:1" x14ac:dyDescent="0.45">
      <c r="A5294" s="21">
        <v>7200</v>
      </c>
    </row>
    <row r="5295" spans="1:1" x14ac:dyDescent="0.45">
      <c r="A5295" s="22" t="s">
        <v>1421</v>
      </c>
    </row>
    <row r="5296" spans="1:1" x14ac:dyDescent="0.45">
      <c r="A5296" s="21">
        <v>7100</v>
      </c>
    </row>
    <row r="5297" spans="1:1" x14ac:dyDescent="0.45">
      <c r="A5297" s="22" t="s">
        <v>1438</v>
      </c>
    </row>
    <row r="5298" spans="1:1" x14ac:dyDescent="0.45">
      <c r="A5298" s="21">
        <v>6800</v>
      </c>
    </row>
    <row r="5299" spans="1:1" x14ac:dyDescent="0.45">
      <c r="A5299" s="22" t="s">
        <v>1566</v>
      </c>
    </row>
    <row r="5300" spans="1:1" x14ac:dyDescent="0.45">
      <c r="A5300" s="22" t="s">
        <v>1574</v>
      </c>
    </row>
    <row r="5301" spans="1:1" x14ac:dyDescent="0.45">
      <c r="A5301" s="22" t="s">
        <v>1551</v>
      </c>
    </row>
    <row r="5302" spans="1:1" x14ac:dyDescent="0.45">
      <c r="A5302" s="21">
        <v>5900</v>
      </c>
    </row>
    <row r="5303" spans="1:1" x14ac:dyDescent="0.45">
      <c r="A5303" s="22" t="s">
        <v>1834</v>
      </c>
    </row>
    <row r="5304" spans="1:1" x14ac:dyDescent="0.45">
      <c r="A5304" s="21">
        <v>5100</v>
      </c>
    </row>
    <row r="5305" spans="1:1" x14ac:dyDescent="0.45">
      <c r="A5305" s="22" t="s">
        <v>2133</v>
      </c>
    </row>
    <row r="5306" spans="1:1" x14ac:dyDescent="0.45">
      <c r="A5306" s="21">
        <v>4600</v>
      </c>
    </row>
    <row r="5307" spans="1:1" x14ac:dyDescent="0.45">
      <c r="A5307" s="22" t="s">
        <v>2357</v>
      </c>
    </row>
    <row r="5308" spans="1:1" x14ac:dyDescent="0.45">
      <c r="A5308" s="21">
        <v>4300</v>
      </c>
    </row>
    <row r="5309" spans="1:1" x14ac:dyDescent="0.45">
      <c r="A5309" s="22" t="s">
        <v>2537</v>
      </c>
    </row>
    <row r="5310" spans="1:1" x14ac:dyDescent="0.45">
      <c r="A5310" s="22" t="s">
        <v>2556</v>
      </c>
    </row>
    <row r="5311" spans="1:1" x14ac:dyDescent="0.45">
      <c r="A5311" s="22" t="s">
        <v>2525</v>
      </c>
    </row>
    <row r="5312" spans="1:1" x14ac:dyDescent="0.45">
      <c r="A5312" s="21">
        <v>4100</v>
      </c>
    </row>
    <row r="5313" spans="1:1" x14ac:dyDescent="0.45">
      <c r="A5313" s="22" t="s">
        <v>2681</v>
      </c>
    </row>
    <row r="5314" spans="1:1" x14ac:dyDescent="0.45">
      <c r="A5314" s="21">
        <v>4000</v>
      </c>
    </row>
    <row r="5315" spans="1:1" x14ac:dyDescent="0.45">
      <c r="A5315" s="22" t="s">
        <v>2733</v>
      </c>
    </row>
    <row r="5316" spans="1:1" x14ac:dyDescent="0.45">
      <c r="A5316" s="21">
        <v>3800</v>
      </c>
    </row>
    <row r="5317" spans="1:1" x14ac:dyDescent="0.45">
      <c r="A5317" s="22" t="s">
        <v>2895</v>
      </c>
    </row>
    <row r="5318" spans="1:1" x14ac:dyDescent="0.45">
      <c r="A5318" s="22" t="s">
        <v>2885</v>
      </c>
    </row>
    <row r="5319" spans="1:1" x14ac:dyDescent="0.45">
      <c r="A5319" s="21">
        <v>3600</v>
      </c>
    </row>
    <row r="5320" spans="1:1" x14ac:dyDescent="0.45">
      <c r="A5320" s="22" t="s">
        <v>3027</v>
      </c>
    </row>
    <row r="5321" spans="1:1" x14ac:dyDescent="0.45">
      <c r="A5321" s="22" t="s">
        <v>3081</v>
      </c>
    </row>
    <row r="5322" spans="1:1" x14ac:dyDescent="0.45">
      <c r="A5322" s="21">
        <v>3500</v>
      </c>
    </row>
    <row r="5323" spans="1:1" x14ac:dyDescent="0.45">
      <c r="A5323" s="22" t="s">
        <v>3143</v>
      </c>
    </row>
    <row r="5324" spans="1:1" x14ac:dyDescent="0.45">
      <c r="A5324" s="22" t="s">
        <v>3118</v>
      </c>
    </row>
    <row r="5325" spans="1:1" x14ac:dyDescent="0.45">
      <c r="A5325" s="22" t="s">
        <v>3164</v>
      </c>
    </row>
    <row r="5326" spans="1:1" x14ac:dyDescent="0.45">
      <c r="A5326" s="21">
        <v>3200</v>
      </c>
    </row>
    <row r="5327" spans="1:1" x14ac:dyDescent="0.45">
      <c r="A5327" s="22" t="s">
        <v>3452</v>
      </c>
    </row>
    <row r="5328" spans="1:1" x14ac:dyDescent="0.45">
      <c r="A5328" s="21">
        <v>3000</v>
      </c>
    </row>
    <row r="5329" spans="1:1" x14ac:dyDescent="0.45">
      <c r="A5329" s="22" t="s">
        <v>3632</v>
      </c>
    </row>
    <row r="5330" spans="1:1" x14ac:dyDescent="0.45">
      <c r="A5330" s="21">
        <v>2900</v>
      </c>
    </row>
    <row r="5331" spans="1:1" x14ac:dyDescent="0.45">
      <c r="A5331" s="22" t="s">
        <v>3825</v>
      </c>
    </row>
    <row r="5332" spans="1:1" x14ac:dyDescent="0.45">
      <c r="A5332" s="22" t="s">
        <v>3878</v>
      </c>
    </row>
    <row r="5333" spans="1:1" x14ac:dyDescent="0.45">
      <c r="A5333" s="21">
        <v>2800</v>
      </c>
    </row>
    <row r="5334" spans="1:1" x14ac:dyDescent="0.45">
      <c r="A5334" s="22" t="s">
        <v>3982</v>
      </c>
    </row>
    <row r="5335" spans="1:1" x14ac:dyDescent="0.45">
      <c r="A5335" s="22" t="s">
        <v>3990</v>
      </c>
    </row>
    <row r="5336" spans="1:1" x14ac:dyDescent="0.45">
      <c r="A5336" s="21">
        <v>2700</v>
      </c>
    </row>
    <row r="5337" spans="1:1" x14ac:dyDescent="0.45">
      <c r="A5337" s="22" t="s">
        <v>4037</v>
      </c>
    </row>
    <row r="5338" spans="1:1" x14ac:dyDescent="0.45">
      <c r="A5338" s="22" t="s">
        <v>4175</v>
      </c>
    </row>
    <row r="5339" spans="1:1" x14ac:dyDescent="0.45">
      <c r="A5339" s="22" t="s">
        <v>4098</v>
      </c>
    </row>
    <row r="5340" spans="1:1" x14ac:dyDescent="0.45">
      <c r="A5340" s="21">
        <v>2600</v>
      </c>
    </row>
    <row r="5341" spans="1:1" x14ac:dyDescent="0.45">
      <c r="A5341" s="22" t="s">
        <v>4221</v>
      </c>
    </row>
    <row r="5342" spans="1:1" x14ac:dyDescent="0.45">
      <c r="A5342" s="22" t="s">
        <v>4269</v>
      </c>
    </row>
    <row r="5343" spans="1:1" x14ac:dyDescent="0.45">
      <c r="A5343" s="21">
        <v>2500</v>
      </c>
    </row>
    <row r="5344" spans="1:1" x14ac:dyDescent="0.45">
      <c r="A5344" s="22" t="s">
        <v>4377</v>
      </c>
    </row>
    <row r="5345" spans="1:1" x14ac:dyDescent="0.45">
      <c r="A5345" s="21">
        <v>2400</v>
      </c>
    </row>
    <row r="5346" spans="1:1" x14ac:dyDescent="0.45">
      <c r="A5346" s="22" t="s">
        <v>4564</v>
      </c>
    </row>
    <row r="5347" spans="1:1" x14ac:dyDescent="0.45">
      <c r="A5347" s="22" t="s">
        <v>4528</v>
      </c>
    </row>
    <row r="5348" spans="1:1" x14ac:dyDescent="0.45">
      <c r="A5348" s="22" t="s">
        <v>4566</v>
      </c>
    </row>
    <row r="5349" spans="1:1" x14ac:dyDescent="0.45">
      <c r="A5349" s="22" t="s">
        <v>4585</v>
      </c>
    </row>
    <row r="5350" spans="1:1" x14ac:dyDescent="0.45">
      <c r="A5350" s="21">
        <v>2300</v>
      </c>
    </row>
    <row r="5351" spans="1:1" x14ac:dyDescent="0.45">
      <c r="A5351" s="22" t="s">
        <v>4634</v>
      </c>
    </row>
    <row r="5352" spans="1:1" x14ac:dyDescent="0.45">
      <c r="A5352" s="22" t="s">
        <v>4632</v>
      </c>
    </row>
    <row r="5353" spans="1:1" x14ac:dyDescent="0.45">
      <c r="A5353" s="22" t="s">
        <v>4730</v>
      </c>
    </row>
    <row r="5354" spans="1:1" x14ac:dyDescent="0.45">
      <c r="A5354" s="21">
        <v>2200</v>
      </c>
    </row>
    <row r="5355" spans="1:1" x14ac:dyDescent="0.45">
      <c r="A5355" s="22" t="s">
        <v>4786</v>
      </c>
    </row>
    <row r="5356" spans="1:1" x14ac:dyDescent="0.45">
      <c r="A5356" s="22" t="s">
        <v>4782</v>
      </c>
    </row>
    <row r="5357" spans="1:1" x14ac:dyDescent="0.45">
      <c r="A5357" s="21">
        <v>2000</v>
      </c>
    </row>
    <row r="5358" spans="1:1" x14ac:dyDescent="0.45">
      <c r="A5358" s="22" t="s">
        <v>5243</v>
      </c>
    </row>
    <row r="5359" spans="1:1" x14ac:dyDescent="0.45">
      <c r="A5359" s="21">
        <v>1900</v>
      </c>
    </row>
    <row r="5360" spans="1:1" x14ac:dyDescent="0.45">
      <c r="A5360" s="22" t="s">
        <v>5450</v>
      </c>
    </row>
    <row r="5361" spans="1:1" x14ac:dyDescent="0.45">
      <c r="A5361" s="21">
        <v>1800</v>
      </c>
    </row>
    <row r="5362" spans="1:1" x14ac:dyDescent="0.45">
      <c r="A5362" s="22" t="s">
        <v>5689</v>
      </c>
    </row>
    <row r="5363" spans="1:1" x14ac:dyDescent="0.45">
      <c r="A5363" s="21">
        <v>1700</v>
      </c>
    </row>
    <row r="5364" spans="1:1" x14ac:dyDescent="0.45">
      <c r="A5364" s="22" t="s">
        <v>5789</v>
      </c>
    </row>
    <row r="5365" spans="1:1" x14ac:dyDescent="0.45">
      <c r="A5365" s="21">
        <v>1600</v>
      </c>
    </row>
    <row r="5366" spans="1:1" x14ac:dyDescent="0.45">
      <c r="A5366" s="22" t="s">
        <v>6197</v>
      </c>
    </row>
    <row r="5367" spans="1:1" x14ac:dyDescent="0.45">
      <c r="A5367" s="21">
        <v>1500</v>
      </c>
    </row>
    <row r="5368" spans="1:1" x14ac:dyDescent="0.45">
      <c r="A5368" s="22" t="s">
        <v>6585</v>
      </c>
    </row>
    <row r="5369" spans="1:1" x14ac:dyDescent="0.45">
      <c r="A5369" s="22" t="s">
        <v>6281</v>
      </c>
    </row>
    <row r="5370" spans="1:1" x14ac:dyDescent="0.45">
      <c r="A5370" s="22" t="s">
        <v>6375</v>
      </c>
    </row>
    <row r="5371" spans="1:1" x14ac:dyDescent="0.45">
      <c r="A5371" s="22" t="s">
        <v>6308</v>
      </c>
    </row>
    <row r="5372" spans="1:1" x14ac:dyDescent="0.45">
      <c r="A5372" s="22" t="s">
        <v>6571</v>
      </c>
    </row>
    <row r="5373" spans="1:1" x14ac:dyDescent="0.45">
      <c r="A5373" s="21">
        <v>1400</v>
      </c>
    </row>
    <row r="5374" spans="1:1" x14ac:dyDescent="0.45">
      <c r="A5374" s="22" t="s">
        <v>6815</v>
      </c>
    </row>
    <row r="5375" spans="1:1" x14ac:dyDescent="0.45">
      <c r="A5375" s="22" t="s">
        <v>6810</v>
      </c>
    </row>
    <row r="5376" spans="1:1" x14ac:dyDescent="0.45">
      <c r="A5376" s="21">
        <v>1300</v>
      </c>
    </row>
    <row r="5377" spans="1:1" x14ac:dyDescent="0.45">
      <c r="A5377" s="22" t="s">
        <v>7013</v>
      </c>
    </row>
    <row r="5378" spans="1:1" x14ac:dyDescent="0.45">
      <c r="A5378" s="22" t="s">
        <v>7069</v>
      </c>
    </row>
    <row r="5379" spans="1:1" x14ac:dyDescent="0.45">
      <c r="A5379" s="22" t="s">
        <v>7089</v>
      </c>
    </row>
    <row r="5380" spans="1:1" x14ac:dyDescent="0.45">
      <c r="A5380" s="21">
        <v>1200</v>
      </c>
    </row>
    <row r="5381" spans="1:1" x14ac:dyDescent="0.45">
      <c r="A5381" s="22" t="s">
        <v>7517</v>
      </c>
    </row>
    <row r="5382" spans="1:1" x14ac:dyDescent="0.45">
      <c r="A5382" s="22" t="s">
        <v>7554</v>
      </c>
    </row>
    <row r="5383" spans="1:1" x14ac:dyDescent="0.45">
      <c r="A5383" s="22" t="s">
        <v>7589</v>
      </c>
    </row>
    <row r="5384" spans="1:1" x14ac:dyDescent="0.45">
      <c r="A5384" s="21">
        <v>1100</v>
      </c>
    </row>
    <row r="5385" spans="1:1" x14ac:dyDescent="0.45">
      <c r="A5385" s="22" t="s">
        <v>7664</v>
      </c>
    </row>
    <row r="5386" spans="1:1" x14ac:dyDescent="0.45">
      <c r="A5386" s="22" t="s">
        <v>7631</v>
      </c>
    </row>
    <row r="5387" spans="1:1" x14ac:dyDescent="0.45">
      <c r="A5387" s="22" t="s">
        <v>7738</v>
      </c>
    </row>
    <row r="5388" spans="1:1" x14ac:dyDescent="0.45">
      <c r="A5388" s="22" t="s">
        <v>7649</v>
      </c>
    </row>
    <row r="5389" spans="1:1" x14ac:dyDescent="0.45">
      <c r="A5389" s="22" t="s">
        <v>7793</v>
      </c>
    </row>
    <row r="5390" spans="1:1" x14ac:dyDescent="0.45">
      <c r="A5390" s="22" t="s">
        <v>7877</v>
      </c>
    </row>
    <row r="5391" spans="1:1" x14ac:dyDescent="0.45">
      <c r="A5391" s="22" t="s">
        <v>7678</v>
      </c>
    </row>
    <row r="5392" spans="1:1" x14ac:dyDescent="0.45">
      <c r="A5392" s="22" t="s">
        <v>7933</v>
      </c>
    </row>
    <row r="5393" spans="1:1" x14ac:dyDescent="0.45">
      <c r="A5393" s="19">
        <v>60</v>
      </c>
    </row>
    <row r="5394" spans="1:1" x14ac:dyDescent="0.45">
      <c r="A5394" s="21">
        <v>59000</v>
      </c>
    </row>
    <row r="5395" spans="1:1" x14ac:dyDescent="0.45">
      <c r="A5395" s="22" t="s">
        <v>146</v>
      </c>
    </row>
    <row r="5396" spans="1:1" x14ac:dyDescent="0.45">
      <c r="A5396" s="21">
        <v>47200</v>
      </c>
    </row>
    <row r="5397" spans="1:1" x14ac:dyDescent="0.45">
      <c r="A5397" s="22" t="s">
        <v>175</v>
      </c>
    </row>
    <row r="5398" spans="1:1" x14ac:dyDescent="0.45">
      <c r="A5398" s="21">
        <v>27400</v>
      </c>
    </row>
    <row r="5399" spans="1:1" x14ac:dyDescent="0.45">
      <c r="A5399" s="22" t="s">
        <v>321</v>
      </c>
    </row>
    <row r="5400" spans="1:1" x14ac:dyDescent="0.45">
      <c r="A5400" s="21">
        <v>21100</v>
      </c>
    </row>
    <row r="5401" spans="1:1" x14ac:dyDescent="0.45">
      <c r="A5401" s="22" t="s">
        <v>441</v>
      </c>
    </row>
    <row r="5402" spans="1:1" x14ac:dyDescent="0.45">
      <c r="A5402" s="21">
        <v>14600</v>
      </c>
    </row>
    <row r="5403" spans="1:1" x14ac:dyDescent="0.45">
      <c r="A5403" s="22" t="s">
        <v>644</v>
      </c>
    </row>
    <row r="5404" spans="1:1" x14ac:dyDescent="0.45">
      <c r="A5404" s="21">
        <v>13200</v>
      </c>
    </row>
    <row r="5405" spans="1:1" x14ac:dyDescent="0.45">
      <c r="A5405" s="22" t="s">
        <v>718</v>
      </c>
    </row>
    <row r="5406" spans="1:1" x14ac:dyDescent="0.45">
      <c r="A5406" s="21">
        <v>10200</v>
      </c>
    </row>
    <row r="5407" spans="1:1" x14ac:dyDescent="0.45">
      <c r="A5407" s="22" t="s">
        <v>859</v>
      </c>
    </row>
    <row r="5408" spans="1:1" x14ac:dyDescent="0.45">
      <c r="A5408" s="21">
        <v>8000</v>
      </c>
    </row>
    <row r="5409" spans="1:1" x14ac:dyDescent="0.45">
      <c r="A5409" s="22" t="s">
        <v>1214</v>
      </c>
    </row>
    <row r="5410" spans="1:1" x14ac:dyDescent="0.45">
      <c r="A5410" s="21">
        <v>6700</v>
      </c>
    </row>
    <row r="5411" spans="1:1" x14ac:dyDescent="0.45">
      <c r="A5411" s="22" t="s">
        <v>1601</v>
      </c>
    </row>
    <row r="5412" spans="1:1" x14ac:dyDescent="0.45">
      <c r="A5412" s="21">
        <v>6400</v>
      </c>
    </row>
    <row r="5413" spans="1:1" x14ac:dyDescent="0.45">
      <c r="A5413" s="22" t="s">
        <v>1704</v>
      </c>
    </row>
    <row r="5414" spans="1:1" x14ac:dyDescent="0.45">
      <c r="A5414" s="21">
        <v>6200</v>
      </c>
    </row>
    <row r="5415" spans="1:1" x14ac:dyDescent="0.45">
      <c r="A5415" s="22" t="s">
        <v>1760</v>
      </c>
    </row>
    <row r="5416" spans="1:1" x14ac:dyDescent="0.45">
      <c r="A5416" s="21">
        <v>5900</v>
      </c>
    </row>
    <row r="5417" spans="1:1" x14ac:dyDescent="0.45">
      <c r="A5417" s="22" t="s">
        <v>1828</v>
      </c>
    </row>
    <row r="5418" spans="1:1" x14ac:dyDescent="0.45">
      <c r="A5418" s="21">
        <v>5300</v>
      </c>
    </row>
    <row r="5419" spans="1:1" x14ac:dyDescent="0.45">
      <c r="A5419" s="22" t="s">
        <v>2036</v>
      </c>
    </row>
    <row r="5420" spans="1:1" x14ac:dyDescent="0.45">
      <c r="A5420" s="21">
        <v>4900</v>
      </c>
    </row>
    <row r="5421" spans="1:1" x14ac:dyDescent="0.45">
      <c r="A5421" s="22" t="s">
        <v>2264</v>
      </c>
    </row>
    <row r="5422" spans="1:1" x14ac:dyDescent="0.45">
      <c r="A5422" s="21">
        <v>4500</v>
      </c>
    </row>
    <row r="5423" spans="1:1" x14ac:dyDescent="0.45">
      <c r="A5423" s="22" t="s">
        <v>2446</v>
      </c>
    </row>
    <row r="5424" spans="1:1" x14ac:dyDescent="0.45">
      <c r="A5424" s="21">
        <v>4300</v>
      </c>
    </row>
    <row r="5425" spans="1:1" x14ac:dyDescent="0.45">
      <c r="A5425" s="22" t="s">
        <v>2552</v>
      </c>
    </row>
    <row r="5426" spans="1:1" x14ac:dyDescent="0.45">
      <c r="A5426" s="21">
        <v>4200</v>
      </c>
    </row>
    <row r="5427" spans="1:1" x14ac:dyDescent="0.45">
      <c r="A5427" s="22" t="s">
        <v>2617</v>
      </c>
    </row>
    <row r="5428" spans="1:1" x14ac:dyDescent="0.45">
      <c r="A5428" s="21">
        <v>4100</v>
      </c>
    </row>
    <row r="5429" spans="1:1" x14ac:dyDescent="0.45">
      <c r="A5429" s="22" t="s">
        <v>2703</v>
      </c>
    </row>
    <row r="5430" spans="1:1" x14ac:dyDescent="0.45">
      <c r="A5430" s="21">
        <v>3900</v>
      </c>
    </row>
    <row r="5431" spans="1:1" x14ac:dyDescent="0.45">
      <c r="A5431" s="22" t="s">
        <v>2841</v>
      </c>
    </row>
    <row r="5432" spans="1:1" x14ac:dyDescent="0.45">
      <c r="A5432" s="22" t="s">
        <v>2871</v>
      </c>
    </row>
    <row r="5433" spans="1:1" x14ac:dyDescent="0.45">
      <c r="A5433" s="21">
        <v>3700</v>
      </c>
    </row>
    <row r="5434" spans="1:1" x14ac:dyDescent="0.45">
      <c r="A5434" s="22" t="s">
        <v>2957</v>
      </c>
    </row>
    <row r="5435" spans="1:1" x14ac:dyDescent="0.45">
      <c r="A5435" s="21">
        <v>3600</v>
      </c>
    </row>
    <row r="5436" spans="1:1" x14ac:dyDescent="0.45">
      <c r="A5436" s="22" t="s">
        <v>3021</v>
      </c>
    </row>
    <row r="5437" spans="1:1" x14ac:dyDescent="0.45">
      <c r="A5437" s="22" t="s">
        <v>3078</v>
      </c>
    </row>
    <row r="5438" spans="1:1" x14ac:dyDescent="0.45">
      <c r="A5438" s="21">
        <v>3500</v>
      </c>
    </row>
    <row r="5439" spans="1:1" x14ac:dyDescent="0.45">
      <c r="A5439" s="22" t="s">
        <v>3146</v>
      </c>
    </row>
    <row r="5440" spans="1:1" x14ac:dyDescent="0.45">
      <c r="A5440" s="21">
        <v>3200</v>
      </c>
    </row>
    <row r="5441" spans="1:1" x14ac:dyDescent="0.45">
      <c r="A5441" s="22" t="s">
        <v>3434</v>
      </c>
    </row>
    <row r="5442" spans="1:1" x14ac:dyDescent="0.45">
      <c r="A5442" s="22" t="s">
        <v>3427</v>
      </c>
    </row>
    <row r="5443" spans="1:1" x14ac:dyDescent="0.45">
      <c r="A5443" s="22" t="s">
        <v>3487</v>
      </c>
    </row>
    <row r="5444" spans="1:1" x14ac:dyDescent="0.45">
      <c r="A5444" s="21">
        <v>3000</v>
      </c>
    </row>
    <row r="5445" spans="1:1" x14ac:dyDescent="0.45">
      <c r="A5445" s="22" t="s">
        <v>3741</v>
      </c>
    </row>
    <row r="5446" spans="1:1" x14ac:dyDescent="0.45">
      <c r="A5446" s="22" t="s">
        <v>3652</v>
      </c>
    </row>
    <row r="5447" spans="1:1" x14ac:dyDescent="0.45">
      <c r="A5447" s="22" t="s">
        <v>3753</v>
      </c>
    </row>
    <row r="5448" spans="1:1" x14ac:dyDescent="0.45">
      <c r="A5448" s="21">
        <v>2900</v>
      </c>
    </row>
    <row r="5449" spans="1:1" x14ac:dyDescent="0.45">
      <c r="A5449" s="22" t="s">
        <v>3770</v>
      </c>
    </row>
    <row r="5450" spans="1:1" x14ac:dyDescent="0.45">
      <c r="A5450" s="21">
        <v>2600</v>
      </c>
    </row>
    <row r="5451" spans="1:1" x14ac:dyDescent="0.45">
      <c r="A5451" s="22" t="s">
        <v>4188</v>
      </c>
    </row>
    <row r="5452" spans="1:1" x14ac:dyDescent="0.45">
      <c r="A5452" s="22" t="s">
        <v>4274</v>
      </c>
    </row>
    <row r="5453" spans="1:1" x14ac:dyDescent="0.45">
      <c r="A5453" s="21">
        <v>2500</v>
      </c>
    </row>
    <row r="5454" spans="1:1" x14ac:dyDescent="0.45">
      <c r="A5454" s="22" t="s">
        <v>4450</v>
      </c>
    </row>
    <row r="5455" spans="1:1" x14ac:dyDescent="0.45">
      <c r="A5455" s="21">
        <v>2200</v>
      </c>
    </row>
    <row r="5456" spans="1:1" x14ac:dyDescent="0.45">
      <c r="A5456" s="22" t="s">
        <v>4852</v>
      </c>
    </row>
    <row r="5457" spans="1:1" x14ac:dyDescent="0.45">
      <c r="A5457" s="22" t="s">
        <v>4832</v>
      </c>
    </row>
    <row r="5458" spans="1:1" x14ac:dyDescent="0.45">
      <c r="A5458" s="21">
        <v>2100</v>
      </c>
    </row>
    <row r="5459" spans="1:1" x14ac:dyDescent="0.45">
      <c r="A5459" s="22" t="s">
        <v>5081</v>
      </c>
    </row>
    <row r="5460" spans="1:1" x14ac:dyDescent="0.45">
      <c r="A5460" s="22" t="s">
        <v>5047</v>
      </c>
    </row>
    <row r="5461" spans="1:1" x14ac:dyDescent="0.45">
      <c r="A5461" s="22" t="s">
        <v>4986</v>
      </c>
    </row>
    <row r="5462" spans="1:1" x14ac:dyDescent="0.45">
      <c r="A5462" s="21">
        <v>2000</v>
      </c>
    </row>
    <row r="5463" spans="1:1" x14ac:dyDescent="0.45">
      <c r="A5463" s="22" t="s">
        <v>5222</v>
      </c>
    </row>
    <row r="5464" spans="1:1" x14ac:dyDescent="0.45">
      <c r="A5464" s="21">
        <v>1900</v>
      </c>
    </row>
    <row r="5465" spans="1:1" x14ac:dyDescent="0.45">
      <c r="A5465" s="22" t="s">
        <v>5374</v>
      </c>
    </row>
    <row r="5466" spans="1:1" x14ac:dyDescent="0.45">
      <c r="A5466" s="22" t="s">
        <v>5439</v>
      </c>
    </row>
    <row r="5467" spans="1:1" x14ac:dyDescent="0.45">
      <c r="A5467" s="22" t="s">
        <v>5507</v>
      </c>
    </row>
    <row r="5468" spans="1:1" x14ac:dyDescent="0.45">
      <c r="A5468" s="22" t="s">
        <v>5496</v>
      </c>
    </row>
    <row r="5469" spans="1:1" x14ac:dyDescent="0.45">
      <c r="A5469" s="21">
        <v>1800</v>
      </c>
    </row>
    <row r="5470" spans="1:1" x14ac:dyDescent="0.45">
      <c r="A5470" s="22" t="s">
        <v>5768</v>
      </c>
    </row>
    <row r="5471" spans="1:1" x14ac:dyDescent="0.45">
      <c r="A5471" s="22" t="s">
        <v>5599</v>
      </c>
    </row>
    <row r="5472" spans="1:1" x14ac:dyDescent="0.45">
      <c r="A5472" s="22" t="s">
        <v>5721</v>
      </c>
    </row>
    <row r="5473" spans="1:1" x14ac:dyDescent="0.45">
      <c r="A5473" s="21">
        <v>1700</v>
      </c>
    </row>
    <row r="5474" spans="1:1" x14ac:dyDescent="0.45">
      <c r="A5474" s="22" t="s">
        <v>5911</v>
      </c>
    </row>
    <row r="5475" spans="1:1" x14ac:dyDescent="0.45">
      <c r="A5475" s="22" t="s">
        <v>5930</v>
      </c>
    </row>
    <row r="5476" spans="1:1" x14ac:dyDescent="0.45">
      <c r="A5476" s="22" t="s">
        <v>5995</v>
      </c>
    </row>
    <row r="5477" spans="1:1" x14ac:dyDescent="0.45">
      <c r="A5477" s="21">
        <v>1600</v>
      </c>
    </row>
    <row r="5478" spans="1:1" x14ac:dyDescent="0.45">
      <c r="A5478" s="22" t="s">
        <v>5998</v>
      </c>
    </row>
    <row r="5479" spans="1:1" x14ac:dyDescent="0.45">
      <c r="A5479" s="22" t="s">
        <v>6103</v>
      </c>
    </row>
    <row r="5480" spans="1:1" x14ac:dyDescent="0.45">
      <c r="A5480" s="21">
        <v>1500</v>
      </c>
    </row>
    <row r="5481" spans="1:1" x14ac:dyDescent="0.45">
      <c r="A5481" s="22" t="s">
        <v>6314</v>
      </c>
    </row>
    <row r="5482" spans="1:1" x14ac:dyDescent="0.45">
      <c r="A5482" s="22" t="s">
        <v>6343</v>
      </c>
    </row>
    <row r="5483" spans="1:1" x14ac:dyDescent="0.45">
      <c r="A5483" s="22" t="s">
        <v>6406</v>
      </c>
    </row>
    <row r="5484" spans="1:1" x14ac:dyDescent="0.45">
      <c r="A5484" s="21">
        <v>1400</v>
      </c>
    </row>
    <row r="5485" spans="1:1" x14ac:dyDescent="0.45">
      <c r="A5485" s="22" t="s">
        <v>6835</v>
      </c>
    </row>
    <row r="5486" spans="1:1" x14ac:dyDescent="0.45">
      <c r="A5486" s="22" t="s">
        <v>6711</v>
      </c>
    </row>
    <row r="5487" spans="1:1" x14ac:dyDescent="0.45">
      <c r="A5487" s="22" t="s">
        <v>6735</v>
      </c>
    </row>
    <row r="5488" spans="1:1" x14ac:dyDescent="0.45">
      <c r="A5488" s="22" t="s">
        <v>6783</v>
      </c>
    </row>
    <row r="5489" spans="1:1" x14ac:dyDescent="0.45">
      <c r="A5489" s="22" t="s">
        <v>6879</v>
      </c>
    </row>
    <row r="5490" spans="1:1" x14ac:dyDescent="0.45">
      <c r="A5490" s="22" t="s">
        <v>6870</v>
      </c>
    </row>
    <row r="5491" spans="1:1" x14ac:dyDescent="0.45">
      <c r="A5491" s="21">
        <v>1300</v>
      </c>
    </row>
    <row r="5492" spans="1:1" x14ac:dyDescent="0.45">
      <c r="A5492" s="22" t="s">
        <v>6966</v>
      </c>
    </row>
    <row r="5493" spans="1:1" x14ac:dyDescent="0.45">
      <c r="A5493" s="22" t="s">
        <v>6917</v>
      </c>
    </row>
    <row r="5494" spans="1:1" x14ac:dyDescent="0.45">
      <c r="A5494" s="22" t="s">
        <v>7058</v>
      </c>
    </row>
    <row r="5495" spans="1:1" x14ac:dyDescent="0.45">
      <c r="A5495" s="22" t="s">
        <v>7104</v>
      </c>
    </row>
    <row r="5496" spans="1:1" x14ac:dyDescent="0.45">
      <c r="A5496" s="22" t="s">
        <v>7138</v>
      </c>
    </row>
    <row r="5497" spans="1:1" x14ac:dyDescent="0.45">
      <c r="A5497" s="22" t="s">
        <v>7210</v>
      </c>
    </row>
    <row r="5498" spans="1:1" x14ac:dyDescent="0.45">
      <c r="A5498" s="22" t="s">
        <v>7027</v>
      </c>
    </row>
    <row r="5499" spans="1:1" x14ac:dyDescent="0.45">
      <c r="A5499" s="21">
        <v>1200</v>
      </c>
    </row>
    <row r="5500" spans="1:1" x14ac:dyDescent="0.45">
      <c r="A5500" s="22" t="s">
        <v>7532</v>
      </c>
    </row>
    <row r="5501" spans="1:1" x14ac:dyDescent="0.45">
      <c r="A5501" s="22" t="s">
        <v>7411</v>
      </c>
    </row>
    <row r="5502" spans="1:1" x14ac:dyDescent="0.45">
      <c r="A5502" s="22" t="s">
        <v>7235</v>
      </c>
    </row>
    <row r="5503" spans="1:1" x14ac:dyDescent="0.45">
      <c r="A5503" s="22" t="s">
        <v>7392</v>
      </c>
    </row>
    <row r="5504" spans="1:1" x14ac:dyDescent="0.45">
      <c r="A5504" s="22" t="s">
        <v>7409</v>
      </c>
    </row>
    <row r="5505" spans="1:1" x14ac:dyDescent="0.45">
      <c r="A5505" s="22" t="s">
        <v>7293</v>
      </c>
    </row>
    <row r="5506" spans="1:1" x14ac:dyDescent="0.45">
      <c r="A5506" s="22" t="s">
        <v>7591</v>
      </c>
    </row>
    <row r="5507" spans="1:1" x14ac:dyDescent="0.45">
      <c r="A5507" s="22" t="s">
        <v>7580</v>
      </c>
    </row>
    <row r="5508" spans="1:1" x14ac:dyDescent="0.45">
      <c r="A5508" s="22" t="s">
        <v>7584</v>
      </c>
    </row>
    <row r="5509" spans="1:1" x14ac:dyDescent="0.45">
      <c r="A5509" s="22" t="s">
        <v>7599</v>
      </c>
    </row>
    <row r="5510" spans="1:1" x14ac:dyDescent="0.45">
      <c r="A5510" s="21">
        <v>1100</v>
      </c>
    </row>
    <row r="5511" spans="1:1" x14ac:dyDescent="0.45">
      <c r="A5511" s="22" t="s">
        <v>7655</v>
      </c>
    </row>
    <row r="5512" spans="1:1" x14ac:dyDescent="0.45">
      <c r="A5512" s="22" t="s">
        <v>7717</v>
      </c>
    </row>
    <row r="5513" spans="1:1" x14ac:dyDescent="0.45">
      <c r="A5513" s="22" t="s">
        <v>7768</v>
      </c>
    </row>
    <row r="5514" spans="1:1" x14ac:dyDescent="0.45">
      <c r="A5514" s="22" t="s">
        <v>7806</v>
      </c>
    </row>
    <row r="5515" spans="1:1" x14ac:dyDescent="0.45">
      <c r="A5515" s="22" t="s">
        <v>7841</v>
      </c>
    </row>
    <row r="5516" spans="1:1" x14ac:dyDescent="0.45">
      <c r="A5516" s="21">
        <v>1000</v>
      </c>
    </row>
    <row r="5517" spans="1:1" x14ac:dyDescent="0.45">
      <c r="A5517" s="22" t="s">
        <v>8101</v>
      </c>
    </row>
    <row r="5518" spans="1:1" x14ac:dyDescent="0.45">
      <c r="A5518" s="22" t="s">
        <v>8039</v>
      </c>
    </row>
    <row r="5519" spans="1:1" x14ac:dyDescent="0.45">
      <c r="A5519" s="22" t="s">
        <v>8171</v>
      </c>
    </row>
    <row r="5520" spans="1:1" x14ac:dyDescent="0.45">
      <c r="A5520" s="22" t="s">
        <v>8206</v>
      </c>
    </row>
    <row r="5521" spans="1:1" x14ac:dyDescent="0.45">
      <c r="A5521" s="22" t="s">
        <v>8229</v>
      </c>
    </row>
    <row r="5522" spans="1:1" x14ac:dyDescent="0.45">
      <c r="A5522" s="19">
        <v>59</v>
      </c>
    </row>
    <row r="5523" spans="1:1" x14ac:dyDescent="0.45">
      <c r="A5523" s="21">
        <v>114000</v>
      </c>
    </row>
    <row r="5524" spans="1:1" x14ac:dyDescent="0.45">
      <c r="A5524" s="22" t="s">
        <v>46</v>
      </c>
    </row>
    <row r="5525" spans="1:1" x14ac:dyDescent="0.45">
      <c r="A5525" s="21">
        <v>19000</v>
      </c>
    </row>
    <row r="5526" spans="1:1" x14ac:dyDescent="0.45">
      <c r="A5526" s="22" t="s">
        <v>480</v>
      </c>
    </row>
    <row r="5527" spans="1:1" x14ac:dyDescent="0.45">
      <c r="A5527" s="21">
        <v>14500</v>
      </c>
    </row>
    <row r="5528" spans="1:1" x14ac:dyDescent="0.45">
      <c r="A5528" s="22" t="s">
        <v>648</v>
      </c>
    </row>
    <row r="5529" spans="1:1" x14ac:dyDescent="0.45">
      <c r="A5529" s="21">
        <v>12000</v>
      </c>
    </row>
    <row r="5530" spans="1:1" x14ac:dyDescent="0.45">
      <c r="A5530" s="22" t="s">
        <v>755</v>
      </c>
    </row>
    <row r="5531" spans="1:1" x14ac:dyDescent="0.45">
      <c r="A5531" s="21">
        <v>11400</v>
      </c>
    </row>
    <row r="5532" spans="1:1" x14ac:dyDescent="0.45">
      <c r="A5532" s="22" t="s">
        <v>776</v>
      </c>
    </row>
    <row r="5533" spans="1:1" x14ac:dyDescent="0.45">
      <c r="A5533" s="21">
        <v>10100</v>
      </c>
    </row>
    <row r="5534" spans="1:1" x14ac:dyDescent="0.45">
      <c r="A5534" s="22" t="s">
        <v>893</v>
      </c>
    </row>
    <row r="5535" spans="1:1" x14ac:dyDescent="0.45">
      <c r="A5535" s="21">
        <v>9700</v>
      </c>
    </row>
    <row r="5536" spans="1:1" x14ac:dyDescent="0.45">
      <c r="A5536" s="22" t="s">
        <v>927</v>
      </c>
    </row>
    <row r="5537" spans="1:1" x14ac:dyDescent="0.45">
      <c r="A5537" s="21">
        <v>7600</v>
      </c>
    </row>
    <row r="5538" spans="1:1" x14ac:dyDescent="0.45">
      <c r="A5538" s="22" t="s">
        <v>1322</v>
      </c>
    </row>
    <row r="5539" spans="1:1" x14ac:dyDescent="0.45">
      <c r="A5539" s="21">
        <v>7500</v>
      </c>
    </row>
    <row r="5540" spans="1:1" x14ac:dyDescent="0.45">
      <c r="A5540" s="22" t="s">
        <v>1334</v>
      </c>
    </row>
    <row r="5541" spans="1:1" x14ac:dyDescent="0.45">
      <c r="A5541" s="21">
        <v>7400</v>
      </c>
    </row>
    <row r="5542" spans="1:1" x14ac:dyDescent="0.45">
      <c r="A5542" s="22" t="s">
        <v>1354</v>
      </c>
    </row>
    <row r="5543" spans="1:1" x14ac:dyDescent="0.45">
      <c r="A5543" s="21">
        <v>7300</v>
      </c>
    </row>
    <row r="5544" spans="1:1" x14ac:dyDescent="0.45">
      <c r="A5544" s="22" t="s">
        <v>1380</v>
      </c>
    </row>
    <row r="5545" spans="1:1" x14ac:dyDescent="0.45">
      <c r="A5545" s="21">
        <v>6800</v>
      </c>
    </row>
    <row r="5546" spans="1:1" x14ac:dyDescent="0.45">
      <c r="A5546" s="22" t="s">
        <v>1532</v>
      </c>
    </row>
    <row r="5547" spans="1:1" x14ac:dyDescent="0.45">
      <c r="A5547" s="21">
        <v>6400</v>
      </c>
    </row>
    <row r="5548" spans="1:1" x14ac:dyDescent="0.45">
      <c r="A5548" s="22" t="s">
        <v>1701</v>
      </c>
    </row>
    <row r="5549" spans="1:1" x14ac:dyDescent="0.45">
      <c r="A5549" s="21">
        <v>6300</v>
      </c>
    </row>
    <row r="5550" spans="1:1" x14ac:dyDescent="0.45">
      <c r="A5550" s="22" t="s">
        <v>1732</v>
      </c>
    </row>
    <row r="5551" spans="1:1" x14ac:dyDescent="0.45">
      <c r="A5551" s="21">
        <v>6200</v>
      </c>
    </row>
    <row r="5552" spans="1:1" x14ac:dyDescent="0.45">
      <c r="A5552" s="22" t="s">
        <v>1752</v>
      </c>
    </row>
    <row r="5553" spans="1:1" x14ac:dyDescent="0.45">
      <c r="A5553" s="22" t="s">
        <v>1740</v>
      </c>
    </row>
    <row r="5554" spans="1:1" x14ac:dyDescent="0.45">
      <c r="A5554" s="22" t="s">
        <v>1754</v>
      </c>
    </row>
    <row r="5555" spans="1:1" x14ac:dyDescent="0.45">
      <c r="A5555" s="21">
        <v>5700</v>
      </c>
    </row>
    <row r="5556" spans="1:1" x14ac:dyDescent="0.45">
      <c r="A5556" s="22" t="s">
        <v>1882</v>
      </c>
    </row>
    <row r="5557" spans="1:1" x14ac:dyDescent="0.45">
      <c r="A5557" s="21">
        <v>5600</v>
      </c>
    </row>
    <row r="5558" spans="1:1" x14ac:dyDescent="0.45">
      <c r="A5558" s="22" t="s">
        <v>1923</v>
      </c>
    </row>
    <row r="5559" spans="1:1" x14ac:dyDescent="0.45">
      <c r="A5559" s="21">
        <v>5400</v>
      </c>
    </row>
    <row r="5560" spans="1:1" x14ac:dyDescent="0.45">
      <c r="A5560" s="22" t="s">
        <v>2027</v>
      </c>
    </row>
    <row r="5561" spans="1:1" x14ac:dyDescent="0.45">
      <c r="A5561" s="21">
        <v>5300</v>
      </c>
    </row>
    <row r="5562" spans="1:1" x14ac:dyDescent="0.45">
      <c r="A5562" s="22" t="s">
        <v>2042</v>
      </c>
    </row>
    <row r="5563" spans="1:1" x14ac:dyDescent="0.45">
      <c r="A5563" s="21">
        <v>5200</v>
      </c>
    </row>
    <row r="5564" spans="1:1" x14ac:dyDescent="0.45">
      <c r="A5564" s="22" t="s">
        <v>2084</v>
      </c>
    </row>
    <row r="5565" spans="1:1" x14ac:dyDescent="0.45">
      <c r="A5565" s="21">
        <v>5100</v>
      </c>
    </row>
    <row r="5566" spans="1:1" x14ac:dyDescent="0.45">
      <c r="A5566" s="22" t="s">
        <v>2121</v>
      </c>
    </row>
    <row r="5567" spans="1:1" x14ac:dyDescent="0.45">
      <c r="A5567" s="21">
        <v>5000</v>
      </c>
    </row>
    <row r="5568" spans="1:1" x14ac:dyDescent="0.45">
      <c r="A5568" s="22" t="s">
        <v>2205</v>
      </c>
    </row>
    <row r="5569" spans="1:1" x14ac:dyDescent="0.45">
      <c r="A5569" s="21">
        <v>4500</v>
      </c>
    </row>
    <row r="5570" spans="1:1" x14ac:dyDescent="0.45">
      <c r="A5570" s="22" t="s">
        <v>2453</v>
      </c>
    </row>
    <row r="5571" spans="1:1" x14ac:dyDescent="0.45">
      <c r="A5571" s="21">
        <v>4300</v>
      </c>
    </row>
    <row r="5572" spans="1:1" x14ac:dyDescent="0.45">
      <c r="A5572" s="22" t="s">
        <v>2511</v>
      </c>
    </row>
    <row r="5573" spans="1:1" x14ac:dyDescent="0.45">
      <c r="A5573" s="21">
        <v>4200</v>
      </c>
    </row>
    <row r="5574" spans="1:1" x14ac:dyDescent="0.45">
      <c r="A5574" s="22" t="s">
        <v>2614</v>
      </c>
    </row>
    <row r="5575" spans="1:1" x14ac:dyDescent="0.45">
      <c r="A5575" s="21">
        <v>3700</v>
      </c>
    </row>
    <row r="5576" spans="1:1" x14ac:dyDescent="0.45">
      <c r="A5576" s="22" t="s">
        <v>2948</v>
      </c>
    </row>
    <row r="5577" spans="1:1" x14ac:dyDescent="0.45">
      <c r="A5577" s="21">
        <v>3600</v>
      </c>
    </row>
    <row r="5578" spans="1:1" x14ac:dyDescent="0.45">
      <c r="A5578" s="22" t="s">
        <v>3024</v>
      </c>
    </row>
    <row r="5579" spans="1:1" x14ac:dyDescent="0.45">
      <c r="A5579" s="21">
        <v>3400</v>
      </c>
    </row>
    <row r="5580" spans="1:1" x14ac:dyDescent="0.45">
      <c r="A5580" s="22" t="s">
        <v>3267</v>
      </c>
    </row>
    <row r="5581" spans="1:1" x14ac:dyDescent="0.45">
      <c r="A5581" s="21">
        <v>3300</v>
      </c>
    </row>
    <row r="5582" spans="1:1" x14ac:dyDescent="0.45">
      <c r="A5582" s="22" t="s">
        <v>3323</v>
      </c>
    </row>
    <row r="5583" spans="1:1" x14ac:dyDescent="0.45">
      <c r="A5583" s="22" t="s">
        <v>3365</v>
      </c>
    </row>
    <row r="5584" spans="1:1" x14ac:dyDescent="0.45">
      <c r="A5584" s="21">
        <v>3200</v>
      </c>
    </row>
    <row r="5585" spans="1:1" x14ac:dyDescent="0.45">
      <c r="A5585" s="22" t="s">
        <v>3446</v>
      </c>
    </row>
    <row r="5586" spans="1:1" x14ac:dyDescent="0.45">
      <c r="A5586" s="21">
        <v>3100</v>
      </c>
    </row>
    <row r="5587" spans="1:1" x14ac:dyDescent="0.45">
      <c r="A5587" s="22" t="s">
        <v>3573</v>
      </c>
    </row>
    <row r="5588" spans="1:1" x14ac:dyDescent="0.45">
      <c r="A5588" s="22" t="s">
        <v>3591</v>
      </c>
    </row>
    <row r="5589" spans="1:1" x14ac:dyDescent="0.45">
      <c r="A5589" s="21">
        <v>3000</v>
      </c>
    </row>
    <row r="5590" spans="1:1" x14ac:dyDescent="0.45">
      <c r="A5590" s="22" t="s">
        <v>3713</v>
      </c>
    </row>
    <row r="5591" spans="1:1" x14ac:dyDescent="0.45">
      <c r="A5591" s="21">
        <v>2900</v>
      </c>
    </row>
    <row r="5592" spans="1:1" x14ac:dyDescent="0.45">
      <c r="A5592" s="22" t="s">
        <v>3874</v>
      </c>
    </row>
    <row r="5593" spans="1:1" x14ac:dyDescent="0.45">
      <c r="A5593" s="21">
        <v>2700</v>
      </c>
    </row>
    <row r="5594" spans="1:1" x14ac:dyDescent="0.45">
      <c r="A5594" s="22" t="s">
        <v>4020</v>
      </c>
    </row>
    <row r="5595" spans="1:1" x14ac:dyDescent="0.45">
      <c r="A5595" s="22" t="s">
        <v>4090</v>
      </c>
    </row>
    <row r="5596" spans="1:1" x14ac:dyDescent="0.45">
      <c r="A5596" s="22" t="s">
        <v>4178</v>
      </c>
    </row>
    <row r="5597" spans="1:1" x14ac:dyDescent="0.45">
      <c r="A5597" s="21">
        <v>2600</v>
      </c>
    </row>
    <row r="5598" spans="1:1" x14ac:dyDescent="0.45">
      <c r="A5598" s="22" t="s">
        <v>4250</v>
      </c>
    </row>
    <row r="5599" spans="1:1" x14ac:dyDescent="0.45">
      <c r="A5599" s="21">
        <v>2500</v>
      </c>
    </row>
    <row r="5600" spans="1:1" x14ac:dyDescent="0.45">
      <c r="A5600" s="22" t="s">
        <v>4443</v>
      </c>
    </row>
    <row r="5601" spans="1:1" x14ac:dyDescent="0.45">
      <c r="A5601" s="21">
        <v>2200</v>
      </c>
    </row>
    <row r="5602" spans="1:1" x14ac:dyDescent="0.45">
      <c r="A5602" s="22" t="s">
        <v>4927</v>
      </c>
    </row>
    <row r="5603" spans="1:1" x14ac:dyDescent="0.45">
      <c r="A5603" s="21">
        <v>2100</v>
      </c>
    </row>
    <row r="5604" spans="1:1" x14ac:dyDescent="0.45">
      <c r="A5604" s="22" t="s">
        <v>4967</v>
      </c>
    </row>
    <row r="5605" spans="1:1" x14ac:dyDescent="0.45">
      <c r="A5605" s="22" t="s">
        <v>4988</v>
      </c>
    </row>
    <row r="5606" spans="1:1" x14ac:dyDescent="0.45">
      <c r="A5606" s="21">
        <v>2000</v>
      </c>
    </row>
    <row r="5607" spans="1:1" x14ac:dyDescent="0.45">
      <c r="A5607" s="22" t="s">
        <v>5256</v>
      </c>
    </row>
    <row r="5608" spans="1:1" x14ac:dyDescent="0.45">
      <c r="A5608" s="22" t="s">
        <v>5337</v>
      </c>
    </row>
    <row r="5609" spans="1:1" x14ac:dyDescent="0.45">
      <c r="A5609" s="21">
        <v>1900</v>
      </c>
    </row>
    <row r="5610" spans="1:1" x14ac:dyDescent="0.45">
      <c r="A5610" s="22" t="s">
        <v>5404</v>
      </c>
    </row>
    <row r="5611" spans="1:1" x14ac:dyDescent="0.45">
      <c r="A5611" s="21">
        <v>1800</v>
      </c>
    </row>
    <row r="5612" spans="1:1" x14ac:dyDescent="0.45">
      <c r="A5612" s="22" t="s">
        <v>5601</v>
      </c>
    </row>
    <row r="5613" spans="1:1" x14ac:dyDescent="0.45">
      <c r="A5613" s="22" t="s">
        <v>5569</v>
      </c>
    </row>
    <row r="5614" spans="1:1" x14ac:dyDescent="0.45">
      <c r="A5614" s="21">
        <v>1700</v>
      </c>
    </row>
    <row r="5615" spans="1:1" x14ac:dyDescent="0.45">
      <c r="A5615" s="22" t="s">
        <v>5928</v>
      </c>
    </row>
    <row r="5616" spans="1:1" x14ac:dyDescent="0.45">
      <c r="A5616" s="22" t="s">
        <v>5890</v>
      </c>
    </row>
    <row r="5617" spans="1:1" x14ac:dyDescent="0.45">
      <c r="A5617" s="22" t="s">
        <v>5868</v>
      </c>
    </row>
    <row r="5618" spans="1:1" x14ac:dyDescent="0.45">
      <c r="A5618" s="22" t="s">
        <v>5966</v>
      </c>
    </row>
    <row r="5619" spans="1:1" x14ac:dyDescent="0.45">
      <c r="A5619" s="22" t="s">
        <v>5994</v>
      </c>
    </row>
    <row r="5620" spans="1:1" x14ac:dyDescent="0.45">
      <c r="A5620" s="21">
        <v>1600</v>
      </c>
    </row>
    <row r="5621" spans="1:1" x14ac:dyDescent="0.45">
      <c r="A5621" s="22" t="s">
        <v>6190</v>
      </c>
    </row>
    <row r="5622" spans="1:1" x14ac:dyDescent="0.45">
      <c r="A5622" s="22" t="s">
        <v>6244</v>
      </c>
    </row>
    <row r="5623" spans="1:1" x14ac:dyDescent="0.45">
      <c r="A5623" s="22" t="s">
        <v>6107</v>
      </c>
    </row>
    <row r="5624" spans="1:1" x14ac:dyDescent="0.45">
      <c r="A5624" s="21">
        <v>1500</v>
      </c>
    </row>
    <row r="5625" spans="1:1" x14ac:dyDescent="0.45">
      <c r="A5625" s="22" t="s">
        <v>6413</v>
      </c>
    </row>
    <row r="5626" spans="1:1" x14ac:dyDescent="0.45">
      <c r="A5626" s="22" t="s">
        <v>6429</v>
      </c>
    </row>
    <row r="5627" spans="1:1" x14ac:dyDescent="0.45">
      <c r="A5627" s="21">
        <v>1400</v>
      </c>
    </row>
    <row r="5628" spans="1:1" x14ac:dyDescent="0.45">
      <c r="A5628" s="22" t="s">
        <v>6687</v>
      </c>
    </row>
    <row r="5629" spans="1:1" x14ac:dyDescent="0.45">
      <c r="A5629" s="22" t="s">
        <v>6773</v>
      </c>
    </row>
    <row r="5630" spans="1:1" x14ac:dyDescent="0.45">
      <c r="A5630" s="22" t="s">
        <v>6862</v>
      </c>
    </row>
    <row r="5631" spans="1:1" x14ac:dyDescent="0.45">
      <c r="A5631" s="21">
        <v>1300</v>
      </c>
    </row>
    <row r="5632" spans="1:1" x14ac:dyDescent="0.45">
      <c r="A5632" s="22" t="s">
        <v>6998</v>
      </c>
    </row>
    <row r="5633" spans="1:1" x14ac:dyDescent="0.45">
      <c r="A5633" s="22" t="s">
        <v>7168</v>
      </c>
    </row>
    <row r="5634" spans="1:1" x14ac:dyDescent="0.45">
      <c r="A5634" s="22" t="s">
        <v>7111</v>
      </c>
    </row>
    <row r="5635" spans="1:1" x14ac:dyDescent="0.45">
      <c r="A5635" s="22" t="s">
        <v>6975</v>
      </c>
    </row>
    <row r="5636" spans="1:1" x14ac:dyDescent="0.45">
      <c r="A5636" s="21">
        <v>1200</v>
      </c>
    </row>
    <row r="5637" spans="1:1" x14ac:dyDescent="0.45">
      <c r="A5637" s="22" t="s">
        <v>7462</v>
      </c>
    </row>
    <row r="5638" spans="1:1" x14ac:dyDescent="0.45">
      <c r="A5638" s="22" t="s">
        <v>7255</v>
      </c>
    </row>
    <row r="5639" spans="1:1" x14ac:dyDescent="0.45">
      <c r="A5639" s="22" t="s">
        <v>7467</v>
      </c>
    </row>
    <row r="5640" spans="1:1" x14ac:dyDescent="0.45">
      <c r="A5640" s="22" t="s">
        <v>7390</v>
      </c>
    </row>
    <row r="5641" spans="1:1" x14ac:dyDescent="0.45">
      <c r="A5641" s="22" t="s">
        <v>3824</v>
      </c>
    </row>
    <row r="5642" spans="1:1" x14ac:dyDescent="0.45">
      <c r="A5642" s="22" t="s">
        <v>7524</v>
      </c>
    </row>
    <row r="5643" spans="1:1" x14ac:dyDescent="0.45">
      <c r="A5643" s="22" t="s">
        <v>7388</v>
      </c>
    </row>
    <row r="5644" spans="1:1" x14ac:dyDescent="0.45">
      <c r="A5644" s="21">
        <v>1100</v>
      </c>
    </row>
    <row r="5645" spans="1:1" x14ac:dyDescent="0.45">
      <c r="A5645" s="22" t="s">
        <v>7896</v>
      </c>
    </row>
    <row r="5646" spans="1:1" x14ac:dyDescent="0.45">
      <c r="A5646" s="22" t="s">
        <v>7757</v>
      </c>
    </row>
    <row r="5647" spans="1:1" x14ac:dyDescent="0.45">
      <c r="A5647" s="22" t="s">
        <v>7874</v>
      </c>
    </row>
    <row r="5648" spans="1:1" x14ac:dyDescent="0.45">
      <c r="A5648" s="21">
        <v>1000</v>
      </c>
    </row>
    <row r="5649" spans="1:1" x14ac:dyDescent="0.45">
      <c r="A5649" s="22" t="s">
        <v>7999</v>
      </c>
    </row>
    <row r="5650" spans="1:1" x14ac:dyDescent="0.45">
      <c r="A5650" s="22" t="s">
        <v>8182</v>
      </c>
    </row>
    <row r="5651" spans="1:1" x14ac:dyDescent="0.45">
      <c r="A5651" s="22" t="s">
        <v>8058</v>
      </c>
    </row>
    <row r="5652" spans="1:1" x14ac:dyDescent="0.45">
      <c r="A5652" s="22" t="s">
        <v>8126</v>
      </c>
    </row>
    <row r="5653" spans="1:1" x14ac:dyDescent="0.45">
      <c r="A5653" s="22" t="s">
        <v>8217</v>
      </c>
    </row>
    <row r="5654" spans="1:1" x14ac:dyDescent="0.45">
      <c r="A5654" s="19">
        <v>58</v>
      </c>
    </row>
    <row r="5655" spans="1:1" x14ac:dyDescent="0.45">
      <c r="A5655" s="21">
        <v>50100</v>
      </c>
    </row>
    <row r="5656" spans="1:1" x14ac:dyDescent="0.45">
      <c r="A5656" s="22" t="s">
        <v>171</v>
      </c>
    </row>
    <row r="5657" spans="1:1" x14ac:dyDescent="0.45">
      <c r="A5657" s="21">
        <v>38900</v>
      </c>
    </row>
    <row r="5658" spans="1:1" x14ac:dyDescent="0.45">
      <c r="A5658" s="22" t="s">
        <v>210</v>
      </c>
    </row>
    <row r="5659" spans="1:1" x14ac:dyDescent="0.45">
      <c r="A5659" s="21">
        <v>23500</v>
      </c>
    </row>
    <row r="5660" spans="1:1" x14ac:dyDescent="0.45">
      <c r="A5660" s="22" t="s">
        <v>385</v>
      </c>
    </row>
    <row r="5661" spans="1:1" x14ac:dyDescent="0.45">
      <c r="A5661" s="21">
        <v>12600</v>
      </c>
    </row>
    <row r="5662" spans="1:1" x14ac:dyDescent="0.45">
      <c r="A5662" s="22" t="s">
        <v>735</v>
      </c>
    </row>
    <row r="5663" spans="1:1" x14ac:dyDescent="0.45">
      <c r="A5663" s="21">
        <v>11000</v>
      </c>
    </row>
    <row r="5664" spans="1:1" x14ac:dyDescent="0.45">
      <c r="A5664" s="22" t="s">
        <v>809</v>
      </c>
    </row>
    <row r="5665" spans="1:1" x14ac:dyDescent="0.45">
      <c r="A5665" s="21">
        <v>10200</v>
      </c>
    </row>
    <row r="5666" spans="1:1" x14ac:dyDescent="0.45">
      <c r="A5666" s="22" t="s">
        <v>880</v>
      </c>
    </row>
    <row r="5667" spans="1:1" x14ac:dyDescent="0.45">
      <c r="A5667" s="21">
        <v>9600</v>
      </c>
    </row>
    <row r="5668" spans="1:1" x14ac:dyDescent="0.45">
      <c r="A5668" s="22" t="s">
        <v>963</v>
      </c>
    </row>
    <row r="5669" spans="1:1" x14ac:dyDescent="0.45">
      <c r="A5669" s="21">
        <v>8100</v>
      </c>
    </row>
    <row r="5670" spans="1:1" x14ac:dyDescent="0.45">
      <c r="A5670" s="22" t="s">
        <v>1191</v>
      </c>
    </row>
    <row r="5671" spans="1:1" x14ac:dyDescent="0.45">
      <c r="A5671" s="21">
        <v>8000</v>
      </c>
    </row>
    <row r="5672" spans="1:1" x14ac:dyDescent="0.45">
      <c r="A5672" s="22" t="s">
        <v>1217</v>
      </c>
    </row>
    <row r="5673" spans="1:1" x14ac:dyDescent="0.45">
      <c r="A5673" s="21">
        <v>7800</v>
      </c>
    </row>
    <row r="5674" spans="1:1" x14ac:dyDescent="0.45">
      <c r="A5674" s="22" t="s">
        <v>1267</v>
      </c>
    </row>
    <row r="5675" spans="1:1" x14ac:dyDescent="0.45">
      <c r="A5675" s="21">
        <v>7000</v>
      </c>
    </row>
    <row r="5676" spans="1:1" x14ac:dyDescent="0.45">
      <c r="A5676" s="22" t="s">
        <v>1458</v>
      </c>
    </row>
    <row r="5677" spans="1:1" x14ac:dyDescent="0.45">
      <c r="A5677" s="22" t="s">
        <v>1485</v>
      </c>
    </row>
    <row r="5678" spans="1:1" x14ac:dyDescent="0.45">
      <c r="A5678" s="21">
        <v>6900</v>
      </c>
    </row>
    <row r="5679" spans="1:1" x14ac:dyDescent="0.45">
      <c r="A5679" s="22" t="s">
        <v>1517</v>
      </c>
    </row>
    <row r="5680" spans="1:1" x14ac:dyDescent="0.45">
      <c r="A5680" s="21">
        <v>6800</v>
      </c>
    </row>
    <row r="5681" spans="1:1" x14ac:dyDescent="0.45">
      <c r="A5681" s="22" t="s">
        <v>1548</v>
      </c>
    </row>
    <row r="5682" spans="1:1" x14ac:dyDescent="0.45">
      <c r="A5682" s="22" t="s">
        <v>1572</v>
      </c>
    </row>
    <row r="5683" spans="1:1" x14ac:dyDescent="0.45">
      <c r="A5683" s="21">
        <v>6500</v>
      </c>
    </row>
    <row r="5684" spans="1:1" x14ac:dyDescent="0.45">
      <c r="A5684" s="22" t="s">
        <v>1670</v>
      </c>
    </row>
    <row r="5685" spans="1:1" x14ac:dyDescent="0.45">
      <c r="A5685" s="21">
        <v>6300</v>
      </c>
    </row>
    <row r="5686" spans="1:1" x14ac:dyDescent="0.45">
      <c r="A5686" s="22" t="s">
        <v>1723</v>
      </c>
    </row>
    <row r="5687" spans="1:1" x14ac:dyDescent="0.45">
      <c r="A5687" s="21">
        <v>6100</v>
      </c>
    </row>
    <row r="5688" spans="1:1" x14ac:dyDescent="0.45">
      <c r="A5688" s="22" t="s">
        <v>1768</v>
      </c>
    </row>
    <row r="5689" spans="1:1" x14ac:dyDescent="0.45">
      <c r="A5689" s="21">
        <v>5800</v>
      </c>
    </row>
    <row r="5690" spans="1:1" x14ac:dyDescent="0.45">
      <c r="A5690" s="22" t="s">
        <v>1845</v>
      </c>
    </row>
    <row r="5691" spans="1:1" x14ac:dyDescent="0.45">
      <c r="A5691" s="21">
        <v>5500</v>
      </c>
    </row>
    <row r="5692" spans="1:1" x14ac:dyDescent="0.45">
      <c r="A5692" s="22" t="s">
        <v>1950</v>
      </c>
    </row>
    <row r="5693" spans="1:1" x14ac:dyDescent="0.45">
      <c r="A5693" s="22" t="s">
        <v>1960</v>
      </c>
    </row>
    <row r="5694" spans="1:1" x14ac:dyDescent="0.45">
      <c r="A5694" s="21">
        <v>5400</v>
      </c>
    </row>
    <row r="5695" spans="1:1" x14ac:dyDescent="0.45">
      <c r="A5695" s="22" t="s">
        <v>2024</v>
      </c>
    </row>
    <row r="5696" spans="1:1" x14ac:dyDescent="0.45">
      <c r="A5696" s="22" t="s">
        <v>2005</v>
      </c>
    </row>
    <row r="5697" spans="1:1" x14ac:dyDescent="0.45">
      <c r="A5697" s="21">
        <v>4900</v>
      </c>
    </row>
    <row r="5698" spans="1:1" x14ac:dyDescent="0.45">
      <c r="A5698" s="22" t="s">
        <v>2261</v>
      </c>
    </row>
    <row r="5699" spans="1:1" x14ac:dyDescent="0.45">
      <c r="A5699" s="21">
        <v>4800</v>
      </c>
    </row>
    <row r="5700" spans="1:1" x14ac:dyDescent="0.45">
      <c r="A5700" s="22" t="s">
        <v>2271</v>
      </c>
    </row>
    <row r="5701" spans="1:1" x14ac:dyDescent="0.45">
      <c r="A5701" s="21">
        <v>4400</v>
      </c>
    </row>
    <row r="5702" spans="1:1" x14ac:dyDescent="0.45">
      <c r="A5702" s="22" t="s">
        <v>2488</v>
      </c>
    </row>
    <row r="5703" spans="1:1" x14ac:dyDescent="0.45">
      <c r="A5703" s="21">
        <v>4300</v>
      </c>
    </row>
    <row r="5704" spans="1:1" x14ac:dyDescent="0.45">
      <c r="A5704" s="22" t="s">
        <v>2555</v>
      </c>
    </row>
    <row r="5705" spans="1:1" x14ac:dyDescent="0.45">
      <c r="A5705" s="22" t="s">
        <v>2576</v>
      </c>
    </row>
    <row r="5706" spans="1:1" x14ac:dyDescent="0.45">
      <c r="A5706" s="21">
        <v>4200</v>
      </c>
    </row>
    <row r="5707" spans="1:1" x14ac:dyDescent="0.45">
      <c r="A5707" s="22" t="s">
        <v>2621</v>
      </c>
    </row>
    <row r="5708" spans="1:1" x14ac:dyDescent="0.45">
      <c r="A5708" s="21">
        <v>3800</v>
      </c>
    </row>
    <row r="5709" spans="1:1" x14ac:dyDescent="0.45">
      <c r="A5709" s="22" t="s">
        <v>2916</v>
      </c>
    </row>
    <row r="5710" spans="1:1" x14ac:dyDescent="0.45">
      <c r="A5710" s="21">
        <v>3600</v>
      </c>
    </row>
    <row r="5711" spans="1:1" x14ac:dyDescent="0.45">
      <c r="A5711" s="22" t="s">
        <v>3063</v>
      </c>
    </row>
    <row r="5712" spans="1:1" x14ac:dyDescent="0.45">
      <c r="A5712" s="21">
        <v>3500</v>
      </c>
    </row>
    <row r="5713" spans="1:1" x14ac:dyDescent="0.45">
      <c r="A5713" s="22" t="s">
        <v>3131</v>
      </c>
    </row>
    <row r="5714" spans="1:1" x14ac:dyDescent="0.45">
      <c r="A5714" s="22" t="s">
        <v>3185</v>
      </c>
    </row>
    <row r="5715" spans="1:1" x14ac:dyDescent="0.45">
      <c r="A5715" s="21">
        <v>3400</v>
      </c>
    </row>
    <row r="5716" spans="1:1" x14ac:dyDescent="0.45">
      <c r="A5716" s="22" t="s">
        <v>3247</v>
      </c>
    </row>
    <row r="5717" spans="1:1" x14ac:dyDescent="0.45">
      <c r="A5717" s="21">
        <v>2800</v>
      </c>
    </row>
    <row r="5718" spans="1:1" x14ac:dyDescent="0.45">
      <c r="A5718" s="22" t="s">
        <v>3930</v>
      </c>
    </row>
    <row r="5719" spans="1:1" x14ac:dyDescent="0.45">
      <c r="A5719" s="21">
        <v>2700</v>
      </c>
    </row>
    <row r="5720" spans="1:1" x14ac:dyDescent="0.45">
      <c r="A5720" s="22" t="s">
        <v>4050</v>
      </c>
    </row>
    <row r="5721" spans="1:1" x14ac:dyDescent="0.45">
      <c r="A5721" s="22" t="s">
        <v>4116</v>
      </c>
    </row>
    <row r="5722" spans="1:1" x14ac:dyDescent="0.45">
      <c r="A5722" s="22" t="s">
        <v>4173</v>
      </c>
    </row>
    <row r="5723" spans="1:1" x14ac:dyDescent="0.45">
      <c r="A5723" s="21">
        <v>2600</v>
      </c>
    </row>
    <row r="5724" spans="1:1" x14ac:dyDescent="0.45">
      <c r="A5724" s="22" t="s">
        <v>4281</v>
      </c>
    </row>
    <row r="5725" spans="1:1" x14ac:dyDescent="0.45">
      <c r="A5725" s="22" t="s">
        <v>4203</v>
      </c>
    </row>
    <row r="5726" spans="1:1" x14ac:dyDescent="0.45">
      <c r="A5726" s="22" t="s">
        <v>4223</v>
      </c>
    </row>
    <row r="5727" spans="1:1" x14ac:dyDescent="0.45">
      <c r="A5727" s="22" t="s">
        <v>4228</v>
      </c>
    </row>
    <row r="5728" spans="1:1" x14ac:dyDescent="0.45">
      <c r="A5728" s="21">
        <v>2400</v>
      </c>
    </row>
    <row r="5729" spans="1:1" x14ac:dyDescent="0.45">
      <c r="A5729" s="22" t="s">
        <v>4509</v>
      </c>
    </row>
    <row r="5730" spans="1:1" x14ac:dyDescent="0.45">
      <c r="A5730" s="22" t="s">
        <v>4559</v>
      </c>
    </row>
    <row r="5731" spans="1:1" x14ac:dyDescent="0.45">
      <c r="A5731" s="21">
        <v>2300</v>
      </c>
    </row>
    <row r="5732" spans="1:1" x14ac:dyDescent="0.45">
      <c r="A5732" s="22" t="s">
        <v>4651</v>
      </c>
    </row>
    <row r="5733" spans="1:1" x14ac:dyDescent="0.45">
      <c r="A5733" s="21">
        <v>2200</v>
      </c>
    </row>
    <row r="5734" spans="1:1" x14ac:dyDescent="0.45">
      <c r="A5734" s="22" t="s">
        <v>4933</v>
      </c>
    </row>
    <row r="5735" spans="1:1" x14ac:dyDescent="0.45">
      <c r="A5735" s="21">
        <v>2000</v>
      </c>
    </row>
    <row r="5736" spans="1:1" x14ac:dyDescent="0.45">
      <c r="A5736" s="22" t="s">
        <v>5213</v>
      </c>
    </row>
    <row r="5737" spans="1:1" x14ac:dyDescent="0.45">
      <c r="A5737" s="22" t="s">
        <v>5241</v>
      </c>
    </row>
    <row r="5738" spans="1:1" x14ac:dyDescent="0.45">
      <c r="A5738" s="21">
        <v>1800</v>
      </c>
    </row>
    <row r="5739" spans="1:1" x14ac:dyDescent="0.45">
      <c r="A5739" s="22" t="s">
        <v>5708</v>
      </c>
    </row>
    <row r="5740" spans="1:1" x14ac:dyDescent="0.45">
      <c r="A5740" s="22" t="s">
        <v>5622</v>
      </c>
    </row>
    <row r="5741" spans="1:1" x14ac:dyDescent="0.45">
      <c r="A5741" s="22" t="s">
        <v>5573</v>
      </c>
    </row>
    <row r="5742" spans="1:1" x14ac:dyDescent="0.45">
      <c r="A5742" s="21">
        <v>1700</v>
      </c>
    </row>
    <row r="5743" spans="1:1" x14ac:dyDescent="0.45">
      <c r="A5743" s="22" t="s">
        <v>5946</v>
      </c>
    </row>
    <row r="5744" spans="1:1" x14ac:dyDescent="0.45">
      <c r="A5744" s="22" t="s">
        <v>5982</v>
      </c>
    </row>
    <row r="5745" spans="1:1" x14ac:dyDescent="0.45">
      <c r="A5745" s="21">
        <v>1600</v>
      </c>
    </row>
    <row r="5746" spans="1:1" x14ac:dyDescent="0.45">
      <c r="A5746" s="22" t="s">
        <v>6164</v>
      </c>
    </row>
    <row r="5747" spans="1:1" x14ac:dyDescent="0.45">
      <c r="A5747" s="22" t="s">
        <v>6172</v>
      </c>
    </row>
    <row r="5748" spans="1:1" x14ac:dyDescent="0.45">
      <c r="A5748" s="22" t="s">
        <v>6091</v>
      </c>
    </row>
    <row r="5749" spans="1:1" x14ac:dyDescent="0.45">
      <c r="A5749" s="22" t="s">
        <v>6236</v>
      </c>
    </row>
    <row r="5750" spans="1:1" x14ac:dyDescent="0.45">
      <c r="A5750" s="22" t="s">
        <v>6263</v>
      </c>
    </row>
    <row r="5751" spans="1:1" x14ac:dyDescent="0.45">
      <c r="A5751" s="21">
        <v>1500</v>
      </c>
    </row>
    <row r="5752" spans="1:1" x14ac:dyDescent="0.45">
      <c r="A5752" s="22" t="s">
        <v>6356</v>
      </c>
    </row>
    <row r="5753" spans="1:1" x14ac:dyDescent="0.45">
      <c r="A5753" s="21">
        <v>1400</v>
      </c>
    </row>
    <row r="5754" spans="1:1" x14ac:dyDescent="0.45">
      <c r="A5754" s="22" t="s">
        <v>6676</v>
      </c>
    </row>
    <row r="5755" spans="1:1" x14ac:dyDescent="0.45">
      <c r="A5755" s="22" t="s">
        <v>6781</v>
      </c>
    </row>
    <row r="5756" spans="1:1" x14ac:dyDescent="0.45">
      <c r="A5756" s="22" t="s">
        <v>6820</v>
      </c>
    </row>
    <row r="5757" spans="1:1" x14ac:dyDescent="0.45">
      <c r="A5757" s="22" t="s">
        <v>6838</v>
      </c>
    </row>
    <row r="5758" spans="1:1" x14ac:dyDescent="0.45">
      <c r="A5758" s="22" t="s">
        <v>6864</v>
      </c>
    </row>
    <row r="5759" spans="1:1" x14ac:dyDescent="0.45">
      <c r="A5759" s="21">
        <v>1300</v>
      </c>
    </row>
    <row r="5760" spans="1:1" x14ac:dyDescent="0.45">
      <c r="A5760" s="22" t="s">
        <v>6941</v>
      </c>
    </row>
    <row r="5761" spans="1:1" x14ac:dyDescent="0.45">
      <c r="A5761" s="22" t="s">
        <v>7036</v>
      </c>
    </row>
    <row r="5762" spans="1:1" x14ac:dyDescent="0.45">
      <c r="A5762" s="22" t="s">
        <v>7073</v>
      </c>
    </row>
    <row r="5763" spans="1:1" x14ac:dyDescent="0.45">
      <c r="A5763" s="22" t="s">
        <v>7084</v>
      </c>
    </row>
    <row r="5764" spans="1:1" x14ac:dyDescent="0.45">
      <c r="A5764" s="22" t="s">
        <v>7102</v>
      </c>
    </row>
    <row r="5765" spans="1:1" x14ac:dyDescent="0.45">
      <c r="A5765" s="21">
        <v>1200</v>
      </c>
    </row>
    <row r="5766" spans="1:1" x14ac:dyDescent="0.45">
      <c r="A5766" s="22" t="s">
        <v>7344</v>
      </c>
    </row>
    <row r="5767" spans="1:1" x14ac:dyDescent="0.45">
      <c r="A5767" s="22" t="s">
        <v>7512</v>
      </c>
    </row>
    <row r="5768" spans="1:1" x14ac:dyDescent="0.45">
      <c r="A5768" s="22" t="s">
        <v>7437</v>
      </c>
    </row>
    <row r="5769" spans="1:1" x14ac:dyDescent="0.45">
      <c r="A5769" s="22" t="s">
        <v>7578</v>
      </c>
    </row>
    <row r="5770" spans="1:1" x14ac:dyDescent="0.45">
      <c r="A5770" s="22" t="s">
        <v>7582</v>
      </c>
    </row>
    <row r="5771" spans="1:1" x14ac:dyDescent="0.45">
      <c r="A5771" s="22" t="s">
        <v>7607</v>
      </c>
    </row>
    <row r="5772" spans="1:1" x14ac:dyDescent="0.45">
      <c r="A5772" s="21">
        <v>1100</v>
      </c>
    </row>
    <row r="5773" spans="1:1" x14ac:dyDescent="0.45">
      <c r="A5773" s="22" t="s">
        <v>7770</v>
      </c>
    </row>
    <row r="5774" spans="1:1" x14ac:dyDescent="0.45">
      <c r="A5774" s="22" t="s">
        <v>7674</v>
      </c>
    </row>
    <row r="5775" spans="1:1" x14ac:dyDescent="0.45">
      <c r="A5775" s="22" t="s">
        <v>7856</v>
      </c>
    </row>
    <row r="5776" spans="1:1" x14ac:dyDescent="0.45">
      <c r="A5776" s="22" t="s">
        <v>7956</v>
      </c>
    </row>
    <row r="5777" spans="1:1" x14ac:dyDescent="0.45">
      <c r="A5777" s="22" t="s">
        <v>7639</v>
      </c>
    </row>
    <row r="5778" spans="1:1" x14ac:dyDescent="0.45">
      <c r="A5778" s="22" t="s">
        <v>7844</v>
      </c>
    </row>
    <row r="5779" spans="1:1" x14ac:dyDescent="0.45">
      <c r="A5779" s="22" t="s">
        <v>7894</v>
      </c>
    </row>
    <row r="5780" spans="1:1" x14ac:dyDescent="0.45">
      <c r="A5780" s="21">
        <v>1000</v>
      </c>
    </row>
    <row r="5781" spans="1:1" x14ac:dyDescent="0.45">
      <c r="A5781" s="22" t="s">
        <v>8030</v>
      </c>
    </row>
    <row r="5782" spans="1:1" x14ac:dyDescent="0.45">
      <c r="A5782" s="19">
        <v>57</v>
      </c>
    </row>
    <row r="5783" spans="1:1" x14ac:dyDescent="0.45">
      <c r="A5783" s="21">
        <v>20900</v>
      </c>
    </row>
    <row r="5784" spans="1:1" x14ac:dyDescent="0.45">
      <c r="A5784" s="22" t="s">
        <v>457</v>
      </c>
    </row>
    <row r="5785" spans="1:1" x14ac:dyDescent="0.45">
      <c r="A5785" s="21">
        <v>18900</v>
      </c>
    </row>
    <row r="5786" spans="1:1" x14ac:dyDescent="0.45">
      <c r="A5786" s="22" t="s">
        <v>493</v>
      </c>
    </row>
    <row r="5787" spans="1:1" x14ac:dyDescent="0.45">
      <c r="A5787" s="21">
        <v>18700</v>
      </c>
    </row>
    <row r="5788" spans="1:1" x14ac:dyDescent="0.45">
      <c r="A5788" s="22" t="s">
        <v>498</v>
      </c>
    </row>
    <row r="5789" spans="1:1" x14ac:dyDescent="0.45">
      <c r="A5789" s="21">
        <v>13900</v>
      </c>
    </row>
    <row r="5790" spans="1:1" x14ac:dyDescent="0.45">
      <c r="A5790" s="22" t="s">
        <v>677</v>
      </c>
    </row>
    <row r="5791" spans="1:1" x14ac:dyDescent="0.45">
      <c r="A5791" s="21">
        <v>12300</v>
      </c>
    </row>
    <row r="5792" spans="1:1" x14ac:dyDescent="0.45">
      <c r="A5792" s="22" t="s">
        <v>739</v>
      </c>
    </row>
    <row r="5793" spans="1:1" x14ac:dyDescent="0.45">
      <c r="A5793" s="21">
        <v>11300</v>
      </c>
    </row>
    <row r="5794" spans="1:1" x14ac:dyDescent="0.45">
      <c r="A5794" s="22" t="s">
        <v>798</v>
      </c>
    </row>
    <row r="5795" spans="1:1" x14ac:dyDescent="0.45">
      <c r="A5795" s="21">
        <v>10500</v>
      </c>
    </row>
    <row r="5796" spans="1:1" x14ac:dyDescent="0.45">
      <c r="A5796" s="22" t="s">
        <v>842</v>
      </c>
    </row>
    <row r="5797" spans="1:1" x14ac:dyDescent="0.45">
      <c r="A5797" s="21">
        <v>9400</v>
      </c>
    </row>
    <row r="5798" spans="1:1" x14ac:dyDescent="0.45">
      <c r="A5798" s="22" t="s">
        <v>982</v>
      </c>
    </row>
    <row r="5799" spans="1:1" x14ac:dyDescent="0.45">
      <c r="A5799" s="21">
        <v>9000</v>
      </c>
    </row>
    <row r="5800" spans="1:1" x14ac:dyDescent="0.45">
      <c r="A5800" s="22" t="s">
        <v>1044</v>
      </c>
    </row>
    <row r="5801" spans="1:1" x14ac:dyDescent="0.45">
      <c r="A5801" s="21">
        <v>7900</v>
      </c>
    </row>
    <row r="5802" spans="1:1" x14ac:dyDescent="0.45">
      <c r="A5802" s="22" t="s">
        <v>1243</v>
      </c>
    </row>
    <row r="5803" spans="1:1" x14ac:dyDescent="0.45">
      <c r="A5803" s="21">
        <v>5500</v>
      </c>
    </row>
    <row r="5804" spans="1:1" x14ac:dyDescent="0.45">
      <c r="A5804" s="22" t="s">
        <v>1971</v>
      </c>
    </row>
    <row r="5805" spans="1:1" x14ac:dyDescent="0.45">
      <c r="A5805" s="21">
        <v>5000</v>
      </c>
    </row>
    <row r="5806" spans="1:1" x14ac:dyDescent="0.45">
      <c r="A5806" s="22" t="s">
        <v>2178</v>
      </c>
    </row>
    <row r="5807" spans="1:1" x14ac:dyDescent="0.45">
      <c r="A5807" s="22" t="s">
        <v>2197</v>
      </c>
    </row>
    <row r="5808" spans="1:1" x14ac:dyDescent="0.45">
      <c r="A5808" s="21">
        <v>4200</v>
      </c>
    </row>
    <row r="5809" spans="1:1" x14ac:dyDescent="0.45">
      <c r="A5809" s="22" t="s">
        <v>2591</v>
      </c>
    </row>
    <row r="5810" spans="1:1" x14ac:dyDescent="0.45">
      <c r="A5810" s="21">
        <v>4100</v>
      </c>
    </row>
    <row r="5811" spans="1:1" x14ac:dyDescent="0.45">
      <c r="A5811" s="22" t="s">
        <v>2707</v>
      </c>
    </row>
    <row r="5812" spans="1:1" x14ac:dyDescent="0.45">
      <c r="A5812" s="21">
        <v>3900</v>
      </c>
    </row>
    <row r="5813" spans="1:1" x14ac:dyDescent="0.45">
      <c r="A5813" s="22" t="s">
        <v>2869</v>
      </c>
    </row>
    <row r="5814" spans="1:1" x14ac:dyDescent="0.45">
      <c r="A5814" s="21">
        <v>3600</v>
      </c>
    </row>
    <row r="5815" spans="1:1" x14ac:dyDescent="0.45">
      <c r="A5815" s="22" t="s">
        <v>3084</v>
      </c>
    </row>
    <row r="5816" spans="1:1" x14ac:dyDescent="0.45">
      <c r="A5816" s="21">
        <v>3500</v>
      </c>
    </row>
    <row r="5817" spans="1:1" x14ac:dyDescent="0.45">
      <c r="A5817" s="22" t="s">
        <v>3126</v>
      </c>
    </row>
    <row r="5818" spans="1:1" x14ac:dyDescent="0.45">
      <c r="A5818" s="21">
        <v>3000</v>
      </c>
    </row>
    <row r="5819" spans="1:1" x14ac:dyDescent="0.45">
      <c r="A5819" s="22" t="s">
        <v>3671</v>
      </c>
    </row>
    <row r="5820" spans="1:1" x14ac:dyDescent="0.45">
      <c r="A5820" s="21">
        <v>2900</v>
      </c>
    </row>
    <row r="5821" spans="1:1" x14ac:dyDescent="0.45">
      <c r="A5821" s="22" t="s">
        <v>3824</v>
      </c>
    </row>
    <row r="5822" spans="1:1" x14ac:dyDescent="0.45">
      <c r="A5822" s="21">
        <v>2700</v>
      </c>
    </row>
    <row r="5823" spans="1:1" x14ac:dyDescent="0.45">
      <c r="A5823" s="22" t="s">
        <v>4041</v>
      </c>
    </row>
    <row r="5824" spans="1:1" x14ac:dyDescent="0.45">
      <c r="A5824" s="22" t="s">
        <v>4023</v>
      </c>
    </row>
    <row r="5825" spans="1:1" x14ac:dyDescent="0.45">
      <c r="A5825" s="22" t="s">
        <v>4065</v>
      </c>
    </row>
    <row r="5826" spans="1:1" x14ac:dyDescent="0.45">
      <c r="A5826" s="22" t="s">
        <v>4055</v>
      </c>
    </row>
    <row r="5827" spans="1:1" x14ac:dyDescent="0.45">
      <c r="A5827" s="22" t="s">
        <v>4062</v>
      </c>
    </row>
    <row r="5828" spans="1:1" x14ac:dyDescent="0.45">
      <c r="A5828" s="21">
        <v>2600</v>
      </c>
    </row>
    <row r="5829" spans="1:1" x14ac:dyDescent="0.45">
      <c r="A5829" s="22" t="s">
        <v>4313</v>
      </c>
    </row>
    <row r="5830" spans="1:1" x14ac:dyDescent="0.45">
      <c r="A5830" s="22" t="s">
        <v>4287</v>
      </c>
    </row>
    <row r="5831" spans="1:1" x14ac:dyDescent="0.45">
      <c r="A5831" s="22" t="s">
        <v>4318</v>
      </c>
    </row>
    <row r="5832" spans="1:1" x14ac:dyDescent="0.45">
      <c r="A5832" s="21">
        <v>2500</v>
      </c>
    </row>
    <row r="5833" spans="1:1" x14ac:dyDescent="0.45">
      <c r="A5833" s="22" t="s">
        <v>4371</v>
      </c>
    </row>
    <row r="5834" spans="1:1" x14ac:dyDescent="0.45">
      <c r="A5834" s="21">
        <v>2400</v>
      </c>
    </row>
    <row r="5835" spans="1:1" x14ac:dyDescent="0.45">
      <c r="A5835" s="22" t="s">
        <v>4545</v>
      </c>
    </row>
    <row r="5836" spans="1:1" x14ac:dyDescent="0.45">
      <c r="A5836" s="21">
        <v>2300</v>
      </c>
    </row>
    <row r="5837" spans="1:1" x14ac:dyDescent="0.45">
      <c r="A5837" s="22" t="s">
        <v>4738</v>
      </c>
    </row>
    <row r="5838" spans="1:1" x14ac:dyDescent="0.45">
      <c r="A5838" s="21">
        <v>2200</v>
      </c>
    </row>
    <row r="5839" spans="1:1" x14ac:dyDescent="0.45">
      <c r="A5839" s="22" t="s">
        <v>4762</v>
      </c>
    </row>
    <row r="5840" spans="1:1" x14ac:dyDescent="0.45">
      <c r="A5840" s="22" t="s">
        <v>4930</v>
      </c>
    </row>
    <row r="5841" spans="1:1" x14ac:dyDescent="0.45">
      <c r="A5841" s="22" t="s">
        <v>4937</v>
      </c>
    </row>
    <row r="5842" spans="1:1" x14ac:dyDescent="0.45">
      <c r="A5842" s="21">
        <v>2100</v>
      </c>
    </row>
    <row r="5843" spans="1:1" x14ac:dyDescent="0.45">
      <c r="A5843" s="22" t="s">
        <v>5024</v>
      </c>
    </row>
    <row r="5844" spans="1:1" x14ac:dyDescent="0.45">
      <c r="A5844" s="22" t="s">
        <v>5162</v>
      </c>
    </row>
    <row r="5845" spans="1:1" x14ac:dyDescent="0.45">
      <c r="A5845" s="22" t="s">
        <v>5169</v>
      </c>
    </row>
    <row r="5846" spans="1:1" x14ac:dyDescent="0.45">
      <c r="A5846" s="21">
        <v>2000</v>
      </c>
    </row>
    <row r="5847" spans="1:1" x14ac:dyDescent="0.45">
      <c r="A5847" s="22" t="s">
        <v>5237</v>
      </c>
    </row>
    <row r="5848" spans="1:1" x14ac:dyDescent="0.45">
      <c r="A5848" s="22" t="s">
        <v>5328</v>
      </c>
    </row>
    <row r="5849" spans="1:1" x14ac:dyDescent="0.45">
      <c r="A5849" s="22" t="s">
        <v>5228</v>
      </c>
    </row>
    <row r="5850" spans="1:1" x14ac:dyDescent="0.45">
      <c r="A5850" s="22" t="s">
        <v>5326</v>
      </c>
    </row>
    <row r="5851" spans="1:1" x14ac:dyDescent="0.45">
      <c r="A5851" s="21">
        <v>1900</v>
      </c>
    </row>
    <row r="5852" spans="1:1" x14ac:dyDescent="0.45">
      <c r="A5852" s="22" t="s">
        <v>5365</v>
      </c>
    </row>
    <row r="5853" spans="1:1" x14ac:dyDescent="0.45">
      <c r="A5853" s="22" t="s">
        <v>5522</v>
      </c>
    </row>
    <row r="5854" spans="1:1" x14ac:dyDescent="0.45">
      <c r="A5854" s="22" t="s">
        <v>5377</v>
      </c>
    </row>
    <row r="5855" spans="1:1" x14ac:dyDescent="0.45">
      <c r="A5855" s="21">
        <v>1800</v>
      </c>
    </row>
    <row r="5856" spans="1:1" x14ac:dyDescent="0.45">
      <c r="A5856" s="22" t="s">
        <v>5712</v>
      </c>
    </row>
    <row r="5857" spans="1:1" x14ac:dyDescent="0.45">
      <c r="A5857" s="22" t="s">
        <v>5628</v>
      </c>
    </row>
    <row r="5858" spans="1:1" x14ac:dyDescent="0.45">
      <c r="A5858" s="22" t="s">
        <v>5563</v>
      </c>
    </row>
    <row r="5859" spans="1:1" x14ac:dyDescent="0.45">
      <c r="A5859" s="21">
        <v>1700</v>
      </c>
    </row>
    <row r="5860" spans="1:1" x14ac:dyDescent="0.45">
      <c r="A5860" s="22" t="s">
        <v>5780</v>
      </c>
    </row>
    <row r="5861" spans="1:1" x14ac:dyDescent="0.45">
      <c r="A5861" s="21">
        <v>1600</v>
      </c>
    </row>
    <row r="5862" spans="1:1" x14ac:dyDescent="0.45">
      <c r="A5862" s="22" t="s">
        <v>6234</v>
      </c>
    </row>
    <row r="5863" spans="1:1" x14ac:dyDescent="0.45">
      <c r="A5863" s="22" t="s">
        <v>6149</v>
      </c>
    </row>
    <row r="5864" spans="1:1" x14ac:dyDescent="0.45">
      <c r="A5864" s="22" t="s">
        <v>6137</v>
      </c>
    </row>
    <row r="5865" spans="1:1" x14ac:dyDescent="0.45">
      <c r="A5865" s="22" t="s">
        <v>6205</v>
      </c>
    </row>
    <row r="5866" spans="1:1" x14ac:dyDescent="0.45">
      <c r="A5866" s="22" t="s">
        <v>6219</v>
      </c>
    </row>
    <row r="5867" spans="1:1" x14ac:dyDescent="0.45">
      <c r="A5867" s="21">
        <v>1500</v>
      </c>
    </row>
    <row r="5868" spans="1:1" x14ac:dyDescent="0.45">
      <c r="A5868" s="22" t="s">
        <v>6382</v>
      </c>
    </row>
    <row r="5869" spans="1:1" x14ac:dyDescent="0.45">
      <c r="A5869" s="21">
        <v>1400</v>
      </c>
    </row>
    <row r="5870" spans="1:1" x14ac:dyDescent="0.45">
      <c r="A5870" s="22" t="s">
        <v>6832</v>
      </c>
    </row>
    <row r="5871" spans="1:1" x14ac:dyDescent="0.45">
      <c r="A5871" s="22" t="s">
        <v>6779</v>
      </c>
    </row>
    <row r="5872" spans="1:1" x14ac:dyDescent="0.45">
      <c r="A5872" s="22" t="s">
        <v>6765</v>
      </c>
    </row>
    <row r="5873" spans="1:1" x14ac:dyDescent="0.45">
      <c r="A5873" s="22" t="s">
        <v>6791</v>
      </c>
    </row>
    <row r="5874" spans="1:1" x14ac:dyDescent="0.45">
      <c r="A5874" s="22" t="s">
        <v>6875</v>
      </c>
    </row>
    <row r="5875" spans="1:1" x14ac:dyDescent="0.45">
      <c r="A5875" s="22" t="s">
        <v>6885</v>
      </c>
    </row>
    <row r="5876" spans="1:1" x14ac:dyDescent="0.45">
      <c r="A5876" s="21">
        <v>1300</v>
      </c>
    </row>
    <row r="5877" spans="1:1" x14ac:dyDescent="0.45">
      <c r="A5877" s="22" t="s">
        <v>7006</v>
      </c>
    </row>
    <row r="5878" spans="1:1" x14ac:dyDescent="0.45">
      <c r="A5878" s="22" t="s">
        <v>7025</v>
      </c>
    </row>
    <row r="5879" spans="1:1" x14ac:dyDescent="0.45">
      <c r="A5879" s="22" t="s">
        <v>7208</v>
      </c>
    </row>
    <row r="5880" spans="1:1" x14ac:dyDescent="0.45">
      <c r="A5880" s="22" t="s">
        <v>7094</v>
      </c>
    </row>
    <row r="5881" spans="1:1" x14ac:dyDescent="0.45">
      <c r="A5881" s="21">
        <v>1200</v>
      </c>
    </row>
    <row r="5882" spans="1:1" x14ac:dyDescent="0.45">
      <c r="A5882" s="22" t="s">
        <v>7361</v>
      </c>
    </row>
    <row r="5883" spans="1:1" x14ac:dyDescent="0.45">
      <c r="A5883" s="22" t="s">
        <v>7413</v>
      </c>
    </row>
    <row r="5884" spans="1:1" x14ac:dyDescent="0.45">
      <c r="A5884" s="22" t="s">
        <v>7447</v>
      </c>
    </row>
    <row r="5885" spans="1:1" x14ac:dyDescent="0.45">
      <c r="A5885" s="22" t="s">
        <v>7251</v>
      </c>
    </row>
    <row r="5886" spans="1:1" x14ac:dyDescent="0.45">
      <c r="A5886" s="22" t="s">
        <v>7456</v>
      </c>
    </row>
    <row r="5887" spans="1:1" x14ac:dyDescent="0.45">
      <c r="A5887" s="22" t="s">
        <v>7549</v>
      </c>
    </row>
    <row r="5888" spans="1:1" x14ac:dyDescent="0.45">
      <c r="A5888" s="21">
        <v>1100</v>
      </c>
    </row>
    <row r="5889" spans="1:1" x14ac:dyDescent="0.45">
      <c r="A5889" s="22" t="s">
        <v>7730</v>
      </c>
    </row>
    <row r="5890" spans="1:1" x14ac:dyDescent="0.45">
      <c r="A5890" s="22" t="s">
        <v>7752</v>
      </c>
    </row>
    <row r="5891" spans="1:1" x14ac:dyDescent="0.45">
      <c r="A5891" s="22" t="s">
        <v>7965</v>
      </c>
    </row>
    <row r="5892" spans="1:1" x14ac:dyDescent="0.45">
      <c r="A5892" s="21">
        <v>1000</v>
      </c>
    </row>
    <row r="5893" spans="1:1" x14ac:dyDescent="0.45">
      <c r="A5893" s="22" t="s">
        <v>8013</v>
      </c>
    </row>
    <row r="5894" spans="1:1" x14ac:dyDescent="0.45">
      <c r="A5894" s="22" t="s">
        <v>8112</v>
      </c>
    </row>
    <row r="5895" spans="1:1" x14ac:dyDescent="0.45">
      <c r="A5895" s="19">
        <v>56</v>
      </c>
    </row>
    <row r="5896" spans="1:1" x14ac:dyDescent="0.45">
      <c r="A5896" s="21">
        <v>24600</v>
      </c>
    </row>
    <row r="5897" spans="1:1" x14ac:dyDescent="0.45">
      <c r="A5897" s="22" t="s">
        <v>366</v>
      </c>
    </row>
    <row r="5898" spans="1:1" x14ac:dyDescent="0.45">
      <c r="A5898" s="21">
        <v>15200</v>
      </c>
    </row>
    <row r="5899" spans="1:1" x14ac:dyDescent="0.45">
      <c r="A5899" s="22" t="s">
        <v>625</v>
      </c>
    </row>
    <row r="5900" spans="1:1" x14ac:dyDescent="0.45">
      <c r="A5900" s="21">
        <v>9200</v>
      </c>
    </row>
    <row r="5901" spans="1:1" x14ac:dyDescent="0.45">
      <c r="A5901" s="22" t="s">
        <v>1001</v>
      </c>
    </row>
    <row r="5902" spans="1:1" x14ac:dyDescent="0.45">
      <c r="A5902" s="21">
        <v>6700</v>
      </c>
    </row>
    <row r="5903" spans="1:1" x14ac:dyDescent="0.45">
      <c r="A5903" s="22" t="s">
        <v>1582</v>
      </c>
    </row>
    <row r="5904" spans="1:1" x14ac:dyDescent="0.45">
      <c r="A5904" s="21">
        <v>6400</v>
      </c>
    </row>
    <row r="5905" spans="1:1" x14ac:dyDescent="0.45">
      <c r="A5905" s="22" t="s">
        <v>1707</v>
      </c>
    </row>
    <row r="5906" spans="1:1" x14ac:dyDescent="0.45">
      <c r="A5906" s="21">
        <v>5700</v>
      </c>
    </row>
    <row r="5907" spans="1:1" x14ac:dyDescent="0.45">
      <c r="A5907" s="22" t="s">
        <v>1854</v>
      </c>
    </row>
    <row r="5908" spans="1:1" x14ac:dyDescent="0.45">
      <c r="A5908" s="22" t="s">
        <v>1885</v>
      </c>
    </row>
    <row r="5909" spans="1:1" x14ac:dyDescent="0.45">
      <c r="A5909" s="21">
        <v>5600</v>
      </c>
    </row>
    <row r="5910" spans="1:1" x14ac:dyDescent="0.45">
      <c r="A5910" s="22" t="s">
        <v>1904</v>
      </c>
    </row>
    <row r="5911" spans="1:1" x14ac:dyDescent="0.45">
      <c r="A5911" s="21">
        <v>5500</v>
      </c>
    </row>
    <row r="5912" spans="1:1" x14ac:dyDescent="0.45">
      <c r="A5912" s="22" t="s">
        <v>1989</v>
      </c>
    </row>
    <row r="5913" spans="1:1" x14ac:dyDescent="0.45">
      <c r="A5913" s="21">
        <v>5200</v>
      </c>
    </row>
    <row r="5914" spans="1:1" x14ac:dyDescent="0.45">
      <c r="A5914" s="22" t="s">
        <v>2078</v>
      </c>
    </row>
    <row r="5915" spans="1:1" x14ac:dyDescent="0.45">
      <c r="A5915" s="21">
        <v>5000</v>
      </c>
    </row>
    <row r="5916" spans="1:1" x14ac:dyDescent="0.45">
      <c r="A5916" s="22" t="s">
        <v>2174</v>
      </c>
    </row>
    <row r="5917" spans="1:1" x14ac:dyDescent="0.45">
      <c r="A5917" s="21">
        <v>4600</v>
      </c>
    </row>
    <row r="5918" spans="1:1" x14ac:dyDescent="0.45">
      <c r="A5918" s="22" t="s">
        <v>2373</v>
      </c>
    </row>
    <row r="5919" spans="1:1" x14ac:dyDescent="0.45">
      <c r="A5919" s="22" t="s">
        <v>2389</v>
      </c>
    </row>
    <row r="5920" spans="1:1" x14ac:dyDescent="0.45">
      <c r="A5920" s="21">
        <v>4500</v>
      </c>
    </row>
    <row r="5921" spans="1:1" x14ac:dyDescent="0.45">
      <c r="A5921" s="22" t="s">
        <v>2430</v>
      </c>
    </row>
    <row r="5922" spans="1:1" x14ac:dyDescent="0.45">
      <c r="A5922" s="21">
        <v>4300</v>
      </c>
    </row>
    <row r="5923" spans="1:1" x14ac:dyDescent="0.45">
      <c r="A5923" s="22" t="s">
        <v>2546</v>
      </c>
    </row>
    <row r="5924" spans="1:1" x14ac:dyDescent="0.45">
      <c r="A5924" s="21">
        <v>4100</v>
      </c>
    </row>
    <row r="5925" spans="1:1" x14ac:dyDescent="0.45">
      <c r="A5925" s="22" t="s">
        <v>2674</v>
      </c>
    </row>
    <row r="5926" spans="1:1" x14ac:dyDescent="0.45">
      <c r="A5926" s="21">
        <v>4000</v>
      </c>
    </row>
    <row r="5927" spans="1:1" x14ac:dyDescent="0.45">
      <c r="A5927" s="22" t="s">
        <v>2719</v>
      </c>
    </row>
    <row r="5928" spans="1:1" x14ac:dyDescent="0.45">
      <c r="A5928" s="21">
        <v>3900</v>
      </c>
    </row>
    <row r="5929" spans="1:1" x14ac:dyDescent="0.45">
      <c r="A5929" s="22" t="s">
        <v>2847</v>
      </c>
    </row>
    <row r="5930" spans="1:1" x14ac:dyDescent="0.45">
      <c r="A5930" s="21">
        <v>3700</v>
      </c>
    </row>
    <row r="5931" spans="1:1" x14ac:dyDescent="0.45">
      <c r="A5931" s="22" t="s">
        <v>2952</v>
      </c>
    </row>
    <row r="5932" spans="1:1" x14ac:dyDescent="0.45">
      <c r="A5932" s="22" t="s">
        <v>2992</v>
      </c>
    </row>
    <row r="5933" spans="1:1" x14ac:dyDescent="0.45">
      <c r="A5933" s="22" t="s">
        <v>2945</v>
      </c>
    </row>
    <row r="5934" spans="1:1" x14ac:dyDescent="0.45">
      <c r="A5934" s="21">
        <v>3600</v>
      </c>
    </row>
    <row r="5935" spans="1:1" x14ac:dyDescent="0.45">
      <c r="A5935" s="22" t="s">
        <v>2995</v>
      </c>
    </row>
    <row r="5936" spans="1:1" x14ac:dyDescent="0.45">
      <c r="A5936" s="21">
        <v>3500</v>
      </c>
    </row>
    <row r="5937" spans="1:1" x14ac:dyDescent="0.45">
      <c r="A5937" s="22" t="s">
        <v>3195</v>
      </c>
    </row>
    <row r="5938" spans="1:1" x14ac:dyDescent="0.45">
      <c r="A5938" s="21">
        <v>3400</v>
      </c>
    </row>
    <row r="5939" spans="1:1" x14ac:dyDescent="0.45">
      <c r="A5939" s="22" t="s">
        <v>3198</v>
      </c>
    </row>
    <row r="5940" spans="1:1" x14ac:dyDescent="0.45">
      <c r="A5940" s="21">
        <v>3300</v>
      </c>
    </row>
    <row r="5941" spans="1:1" x14ac:dyDescent="0.45">
      <c r="A5941" s="22" t="s">
        <v>3295</v>
      </c>
    </row>
    <row r="5942" spans="1:1" x14ac:dyDescent="0.45">
      <c r="A5942" s="21">
        <v>3200</v>
      </c>
    </row>
    <row r="5943" spans="1:1" x14ac:dyDescent="0.45">
      <c r="A5943" s="22" t="s">
        <v>3411</v>
      </c>
    </row>
    <row r="5944" spans="1:1" x14ac:dyDescent="0.45">
      <c r="A5944" s="21">
        <v>2900</v>
      </c>
    </row>
    <row r="5945" spans="1:1" x14ac:dyDescent="0.45">
      <c r="A5945" s="22" t="s">
        <v>3813</v>
      </c>
    </row>
    <row r="5946" spans="1:1" x14ac:dyDescent="0.45">
      <c r="A5946" s="21">
        <v>2800</v>
      </c>
    </row>
    <row r="5947" spans="1:1" x14ac:dyDescent="0.45">
      <c r="A5947" s="22" t="s">
        <v>3927</v>
      </c>
    </row>
    <row r="5948" spans="1:1" x14ac:dyDescent="0.45">
      <c r="A5948" s="22" t="s">
        <v>3996</v>
      </c>
    </row>
    <row r="5949" spans="1:1" x14ac:dyDescent="0.45">
      <c r="A5949" s="21">
        <v>2700</v>
      </c>
    </row>
    <row r="5950" spans="1:1" x14ac:dyDescent="0.45">
      <c r="A5950" s="22" t="s">
        <v>4025</v>
      </c>
    </row>
    <row r="5951" spans="1:1" x14ac:dyDescent="0.45">
      <c r="A5951" s="21">
        <v>2600</v>
      </c>
    </row>
    <row r="5952" spans="1:1" x14ac:dyDescent="0.45">
      <c r="A5952" s="22" t="s">
        <v>4186</v>
      </c>
    </row>
    <row r="5953" spans="1:1" x14ac:dyDescent="0.45">
      <c r="A5953" s="21">
        <v>2500</v>
      </c>
    </row>
    <row r="5954" spans="1:1" x14ac:dyDescent="0.45">
      <c r="A5954" s="22" t="s">
        <v>4342</v>
      </c>
    </row>
    <row r="5955" spans="1:1" x14ac:dyDescent="0.45">
      <c r="A5955" s="21">
        <v>2300</v>
      </c>
    </row>
    <row r="5956" spans="1:1" x14ac:dyDescent="0.45">
      <c r="A5956" s="22" t="s">
        <v>4696</v>
      </c>
    </row>
    <row r="5957" spans="1:1" x14ac:dyDescent="0.45">
      <c r="A5957" s="22" t="s">
        <v>4722</v>
      </c>
    </row>
    <row r="5958" spans="1:1" x14ac:dyDescent="0.45">
      <c r="A5958" s="22" t="s">
        <v>4735</v>
      </c>
    </row>
    <row r="5959" spans="1:1" x14ac:dyDescent="0.45">
      <c r="A5959" s="21">
        <v>2100</v>
      </c>
    </row>
    <row r="5960" spans="1:1" x14ac:dyDescent="0.45">
      <c r="A5960" s="22" t="s">
        <v>5010</v>
      </c>
    </row>
    <row r="5961" spans="1:1" x14ac:dyDescent="0.45">
      <c r="A5961" s="22" t="s">
        <v>5131</v>
      </c>
    </row>
    <row r="5962" spans="1:1" x14ac:dyDescent="0.45">
      <c r="A5962" s="21">
        <v>1900</v>
      </c>
    </row>
    <row r="5963" spans="1:1" x14ac:dyDescent="0.45">
      <c r="A5963" s="22" t="s">
        <v>5358</v>
      </c>
    </row>
    <row r="5964" spans="1:1" x14ac:dyDescent="0.45">
      <c r="A5964" s="22" t="s">
        <v>5453</v>
      </c>
    </row>
    <row r="5965" spans="1:1" x14ac:dyDescent="0.45">
      <c r="A5965" s="22" t="s">
        <v>5342</v>
      </c>
    </row>
    <row r="5966" spans="1:1" x14ac:dyDescent="0.45">
      <c r="A5966" s="21">
        <v>1800</v>
      </c>
    </row>
    <row r="5967" spans="1:1" x14ac:dyDescent="0.45">
      <c r="A5967" s="22" t="s">
        <v>5759</v>
      </c>
    </row>
    <row r="5968" spans="1:1" x14ac:dyDescent="0.45">
      <c r="A5968" s="21">
        <v>1700</v>
      </c>
    </row>
    <row r="5969" spans="1:1" x14ac:dyDescent="0.45">
      <c r="A5969" s="22" t="s">
        <v>5923</v>
      </c>
    </row>
    <row r="5970" spans="1:1" x14ac:dyDescent="0.45">
      <c r="A5970" s="21">
        <v>1600</v>
      </c>
    </row>
    <row r="5971" spans="1:1" x14ac:dyDescent="0.45">
      <c r="A5971" s="22" t="s">
        <v>6010</v>
      </c>
    </row>
    <row r="5972" spans="1:1" x14ac:dyDescent="0.45">
      <c r="A5972" s="21">
        <v>1500</v>
      </c>
    </row>
    <row r="5973" spans="1:1" x14ac:dyDescent="0.45">
      <c r="A5973" s="22" t="s">
        <v>6493</v>
      </c>
    </row>
    <row r="5974" spans="1:1" x14ac:dyDescent="0.45">
      <c r="A5974" s="22" t="s">
        <v>6402</v>
      </c>
    </row>
    <row r="5975" spans="1:1" x14ac:dyDescent="0.45">
      <c r="A5975" s="22" t="s">
        <v>6527</v>
      </c>
    </row>
    <row r="5976" spans="1:1" x14ac:dyDescent="0.45">
      <c r="A5976" s="21">
        <v>1400</v>
      </c>
    </row>
    <row r="5977" spans="1:1" x14ac:dyDescent="0.45">
      <c r="A5977" s="22" t="s">
        <v>6785</v>
      </c>
    </row>
    <row r="5978" spans="1:1" x14ac:dyDescent="0.45">
      <c r="A5978" s="22" t="s">
        <v>6684</v>
      </c>
    </row>
    <row r="5979" spans="1:1" x14ac:dyDescent="0.45">
      <c r="A5979" s="21">
        <v>1300</v>
      </c>
    </row>
    <row r="5980" spans="1:1" x14ac:dyDescent="0.45">
      <c r="A5980" s="22" t="s">
        <v>7164</v>
      </c>
    </row>
    <row r="5981" spans="1:1" x14ac:dyDescent="0.45">
      <c r="A5981" s="22" t="s">
        <v>7019</v>
      </c>
    </row>
    <row r="5982" spans="1:1" x14ac:dyDescent="0.45">
      <c r="A5982" s="22" t="s">
        <v>7218</v>
      </c>
    </row>
    <row r="5983" spans="1:1" x14ac:dyDescent="0.45">
      <c r="A5983" s="21">
        <v>1200</v>
      </c>
    </row>
    <row r="5984" spans="1:1" x14ac:dyDescent="0.45">
      <c r="A5984" s="22" t="s">
        <v>7433</v>
      </c>
    </row>
    <row r="5985" spans="1:1" x14ac:dyDescent="0.45">
      <c r="A5985" s="22" t="s">
        <v>7322</v>
      </c>
    </row>
    <row r="5986" spans="1:1" x14ac:dyDescent="0.45">
      <c r="A5986" s="22" t="s">
        <v>7304</v>
      </c>
    </row>
    <row r="5987" spans="1:1" x14ac:dyDescent="0.45">
      <c r="A5987" s="22" t="s">
        <v>7363</v>
      </c>
    </row>
    <row r="5988" spans="1:1" x14ac:dyDescent="0.45">
      <c r="A5988" s="22" t="s">
        <v>7606</v>
      </c>
    </row>
    <row r="5989" spans="1:1" x14ac:dyDescent="0.45">
      <c r="A5989" s="21">
        <v>1100</v>
      </c>
    </row>
    <row r="5990" spans="1:1" x14ac:dyDescent="0.45">
      <c r="A5990" s="22" t="s">
        <v>7821</v>
      </c>
    </row>
    <row r="5991" spans="1:1" x14ac:dyDescent="0.45">
      <c r="A5991" s="22" t="s">
        <v>7698</v>
      </c>
    </row>
    <row r="5992" spans="1:1" x14ac:dyDescent="0.45">
      <c r="A5992" s="22" t="s">
        <v>7635</v>
      </c>
    </row>
    <row r="5993" spans="1:1" x14ac:dyDescent="0.45">
      <c r="A5993" s="21">
        <v>1000</v>
      </c>
    </row>
    <row r="5994" spans="1:1" x14ac:dyDescent="0.45">
      <c r="A5994" s="22" t="s">
        <v>8021</v>
      </c>
    </row>
    <row r="5995" spans="1:1" x14ac:dyDescent="0.45">
      <c r="A5995" s="22" t="s">
        <v>8037</v>
      </c>
    </row>
    <row r="5996" spans="1:1" x14ac:dyDescent="0.45">
      <c r="A5996" s="22" t="s">
        <v>8076</v>
      </c>
    </row>
    <row r="5997" spans="1:1" x14ac:dyDescent="0.45">
      <c r="A5997" s="22" t="s">
        <v>8046</v>
      </c>
    </row>
    <row r="5998" spans="1:1" x14ac:dyDescent="0.45">
      <c r="A5998" s="22" t="s">
        <v>8138</v>
      </c>
    </row>
    <row r="5999" spans="1:1" x14ac:dyDescent="0.45">
      <c r="A5999" s="19">
        <v>55</v>
      </c>
    </row>
    <row r="6000" spans="1:1" x14ac:dyDescent="0.45">
      <c r="A6000" s="21">
        <v>19000</v>
      </c>
    </row>
    <row r="6001" spans="1:1" x14ac:dyDescent="0.45">
      <c r="A6001" s="22" t="s">
        <v>483</v>
      </c>
    </row>
    <row r="6002" spans="1:1" x14ac:dyDescent="0.45">
      <c r="A6002" s="21">
        <v>16500</v>
      </c>
    </row>
    <row r="6003" spans="1:1" x14ac:dyDescent="0.45">
      <c r="A6003" s="22" t="s">
        <v>566</v>
      </c>
    </row>
    <row r="6004" spans="1:1" x14ac:dyDescent="0.45">
      <c r="A6004" s="21">
        <v>16000</v>
      </c>
    </row>
    <row r="6005" spans="1:1" x14ac:dyDescent="0.45">
      <c r="A6005" s="22" t="s">
        <v>585</v>
      </c>
    </row>
    <row r="6006" spans="1:1" x14ac:dyDescent="0.45">
      <c r="A6006" s="21">
        <v>14200</v>
      </c>
    </row>
    <row r="6007" spans="1:1" x14ac:dyDescent="0.45">
      <c r="A6007" s="22" t="s">
        <v>662</v>
      </c>
    </row>
    <row r="6008" spans="1:1" x14ac:dyDescent="0.45">
      <c r="A6008" s="21">
        <v>9800</v>
      </c>
    </row>
    <row r="6009" spans="1:1" x14ac:dyDescent="0.45">
      <c r="A6009" s="22" t="s">
        <v>917</v>
      </c>
    </row>
    <row r="6010" spans="1:1" x14ac:dyDescent="0.45">
      <c r="A6010" s="21">
        <v>9000</v>
      </c>
    </row>
    <row r="6011" spans="1:1" x14ac:dyDescent="0.45">
      <c r="A6011" s="22" t="s">
        <v>1037</v>
      </c>
    </row>
    <row r="6012" spans="1:1" x14ac:dyDescent="0.45">
      <c r="A6012" s="21">
        <v>8800</v>
      </c>
    </row>
    <row r="6013" spans="1:1" x14ac:dyDescent="0.45">
      <c r="A6013" s="22" t="s">
        <v>1073</v>
      </c>
    </row>
    <row r="6014" spans="1:1" x14ac:dyDescent="0.45">
      <c r="A6014" s="21">
        <v>8500</v>
      </c>
    </row>
    <row r="6015" spans="1:1" x14ac:dyDescent="0.45">
      <c r="A6015" s="22" t="s">
        <v>1125</v>
      </c>
    </row>
    <row r="6016" spans="1:1" x14ac:dyDescent="0.45">
      <c r="A6016" s="21">
        <v>7700</v>
      </c>
    </row>
    <row r="6017" spans="1:1" x14ac:dyDescent="0.45">
      <c r="A6017" s="22" t="s">
        <v>1275</v>
      </c>
    </row>
    <row r="6018" spans="1:1" x14ac:dyDescent="0.45">
      <c r="A6018" s="21">
        <v>7300</v>
      </c>
    </row>
    <row r="6019" spans="1:1" x14ac:dyDescent="0.45">
      <c r="A6019" s="22" t="s">
        <v>1393</v>
      </c>
    </row>
    <row r="6020" spans="1:1" x14ac:dyDescent="0.45">
      <c r="A6020" s="21">
        <v>7000</v>
      </c>
    </row>
    <row r="6021" spans="1:1" x14ac:dyDescent="0.45">
      <c r="A6021" s="22" t="s">
        <v>1482</v>
      </c>
    </row>
    <row r="6022" spans="1:1" x14ac:dyDescent="0.45">
      <c r="A6022" s="21">
        <v>6900</v>
      </c>
    </row>
    <row r="6023" spans="1:1" x14ac:dyDescent="0.45">
      <c r="A6023" s="22" t="s">
        <v>1512</v>
      </c>
    </row>
    <row r="6024" spans="1:1" x14ac:dyDescent="0.45">
      <c r="A6024" s="21">
        <v>6800</v>
      </c>
    </row>
    <row r="6025" spans="1:1" x14ac:dyDescent="0.45">
      <c r="A6025" s="22" t="s">
        <v>1538</v>
      </c>
    </row>
    <row r="6026" spans="1:1" x14ac:dyDescent="0.45">
      <c r="A6026" s="21">
        <v>6700</v>
      </c>
    </row>
    <row r="6027" spans="1:1" x14ac:dyDescent="0.45">
      <c r="A6027" s="22" t="s">
        <v>1599</v>
      </c>
    </row>
    <row r="6028" spans="1:1" x14ac:dyDescent="0.45">
      <c r="A6028" s="22" t="s">
        <v>1607</v>
      </c>
    </row>
    <row r="6029" spans="1:1" x14ac:dyDescent="0.45">
      <c r="A6029" s="21">
        <v>5000</v>
      </c>
    </row>
    <row r="6030" spans="1:1" x14ac:dyDescent="0.45">
      <c r="A6030" s="22" t="s">
        <v>2164</v>
      </c>
    </row>
    <row r="6031" spans="1:1" x14ac:dyDescent="0.45">
      <c r="A6031" s="21">
        <v>4600</v>
      </c>
    </row>
    <row r="6032" spans="1:1" x14ac:dyDescent="0.45">
      <c r="A6032" s="22" t="s">
        <v>2379</v>
      </c>
    </row>
    <row r="6033" spans="1:1" x14ac:dyDescent="0.45">
      <c r="A6033" s="21">
        <v>4500</v>
      </c>
    </row>
    <row r="6034" spans="1:1" x14ac:dyDescent="0.45">
      <c r="A6034" s="22" t="s">
        <v>2422</v>
      </c>
    </row>
    <row r="6035" spans="1:1" x14ac:dyDescent="0.45">
      <c r="A6035" s="21">
        <v>4300</v>
      </c>
    </row>
    <row r="6036" spans="1:1" x14ac:dyDescent="0.45">
      <c r="A6036" s="22" t="s">
        <v>2549</v>
      </c>
    </row>
    <row r="6037" spans="1:1" x14ac:dyDescent="0.45">
      <c r="A6037" s="21">
        <v>4200</v>
      </c>
    </row>
    <row r="6038" spans="1:1" x14ac:dyDescent="0.45">
      <c r="A6038" s="22" t="s">
        <v>2613</v>
      </c>
    </row>
    <row r="6039" spans="1:1" x14ac:dyDescent="0.45">
      <c r="A6039" s="22" t="s">
        <v>2633</v>
      </c>
    </row>
    <row r="6040" spans="1:1" x14ac:dyDescent="0.45">
      <c r="A6040" s="21">
        <v>4100</v>
      </c>
    </row>
    <row r="6041" spans="1:1" x14ac:dyDescent="0.45">
      <c r="A6041" s="22" t="s">
        <v>2665</v>
      </c>
    </row>
    <row r="6042" spans="1:1" x14ac:dyDescent="0.45">
      <c r="A6042" s="21">
        <v>3400</v>
      </c>
    </row>
    <row r="6043" spans="1:1" x14ac:dyDescent="0.45">
      <c r="A6043" s="22" t="s">
        <v>3202</v>
      </c>
    </row>
    <row r="6044" spans="1:1" x14ac:dyDescent="0.45">
      <c r="A6044" s="21">
        <v>3300</v>
      </c>
    </row>
    <row r="6045" spans="1:1" x14ac:dyDescent="0.45">
      <c r="A6045" s="22" t="s">
        <v>3307</v>
      </c>
    </row>
    <row r="6046" spans="1:1" x14ac:dyDescent="0.45">
      <c r="A6046" s="22" t="s">
        <v>3348</v>
      </c>
    </row>
    <row r="6047" spans="1:1" x14ac:dyDescent="0.45">
      <c r="A6047" s="21">
        <v>3200</v>
      </c>
    </row>
    <row r="6048" spans="1:1" x14ac:dyDescent="0.45">
      <c r="A6048" s="22" t="s">
        <v>3440</v>
      </c>
    </row>
    <row r="6049" spans="1:1" x14ac:dyDescent="0.45">
      <c r="A6049" s="22" t="s">
        <v>3420</v>
      </c>
    </row>
    <row r="6050" spans="1:1" x14ac:dyDescent="0.45">
      <c r="A6050" s="21">
        <v>3100</v>
      </c>
    </row>
    <row r="6051" spans="1:1" x14ac:dyDescent="0.45">
      <c r="A6051" s="22" t="s">
        <v>3525</v>
      </c>
    </row>
    <row r="6052" spans="1:1" x14ac:dyDescent="0.45">
      <c r="A6052" s="21">
        <v>3000</v>
      </c>
    </row>
    <row r="6053" spans="1:1" x14ac:dyDescent="0.45">
      <c r="A6053" s="22" t="s">
        <v>3732</v>
      </c>
    </row>
    <row r="6054" spans="1:1" x14ac:dyDescent="0.45">
      <c r="A6054" s="21">
        <v>2900</v>
      </c>
    </row>
    <row r="6055" spans="1:1" x14ac:dyDescent="0.45">
      <c r="A6055" s="22" t="s">
        <v>3827</v>
      </c>
    </row>
    <row r="6056" spans="1:1" x14ac:dyDescent="0.45">
      <c r="A6056" s="21">
        <v>2700</v>
      </c>
    </row>
    <row r="6057" spans="1:1" x14ac:dyDescent="0.45">
      <c r="A6057" s="22" t="s">
        <v>4146</v>
      </c>
    </row>
    <row r="6058" spans="1:1" x14ac:dyDescent="0.45">
      <c r="A6058" s="22" t="s">
        <v>4128</v>
      </c>
    </row>
    <row r="6059" spans="1:1" x14ac:dyDescent="0.45">
      <c r="A6059" s="21">
        <v>2600</v>
      </c>
    </row>
    <row r="6060" spans="1:1" x14ac:dyDescent="0.45">
      <c r="A6060" s="22" t="s">
        <v>4279</v>
      </c>
    </row>
    <row r="6061" spans="1:1" x14ac:dyDescent="0.45">
      <c r="A6061" s="21">
        <v>2500</v>
      </c>
    </row>
    <row r="6062" spans="1:1" x14ac:dyDescent="0.45">
      <c r="A6062" s="22" t="s">
        <v>4367</v>
      </c>
    </row>
    <row r="6063" spans="1:1" x14ac:dyDescent="0.45">
      <c r="A6063" s="21">
        <v>2400</v>
      </c>
    </row>
    <row r="6064" spans="1:1" x14ac:dyDescent="0.45">
      <c r="A6064" s="22" t="s">
        <v>4523</v>
      </c>
    </row>
    <row r="6065" spans="1:1" x14ac:dyDescent="0.45">
      <c r="A6065" s="22" t="s">
        <v>4571</v>
      </c>
    </row>
    <row r="6066" spans="1:1" x14ac:dyDescent="0.45">
      <c r="A6066" s="21">
        <v>2300</v>
      </c>
    </row>
    <row r="6067" spans="1:1" x14ac:dyDescent="0.45">
      <c r="A6067" s="22" t="s">
        <v>4635</v>
      </c>
    </row>
    <row r="6068" spans="1:1" x14ac:dyDescent="0.45">
      <c r="A6068" s="22" t="s">
        <v>4675</v>
      </c>
    </row>
    <row r="6069" spans="1:1" x14ac:dyDescent="0.45">
      <c r="A6069" s="21">
        <v>2200</v>
      </c>
    </row>
    <row r="6070" spans="1:1" x14ac:dyDescent="0.45">
      <c r="A6070" s="22" t="s">
        <v>4773</v>
      </c>
    </row>
    <row r="6071" spans="1:1" x14ac:dyDescent="0.45">
      <c r="A6071" s="22" t="s">
        <v>4886</v>
      </c>
    </row>
    <row r="6072" spans="1:1" x14ac:dyDescent="0.45">
      <c r="A6072" s="22" t="s">
        <v>4923</v>
      </c>
    </row>
    <row r="6073" spans="1:1" x14ac:dyDescent="0.45">
      <c r="A6073" s="22" t="s">
        <v>4905</v>
      </c>
    </row>
    <row r="6074" spans="1:1" x14ac:dyDescent="0.45">
      <c r="A6074" s="22" t="s">
        <v>4925</v>
      </c>
    </row>
    <row r="6075" spans="1:1" x14ac:dyDescent="0.45">
      <c r="A6075" s="21">
        <v>2100</v>
      </c>
    </row>
    <row r="6076" spans="1:1" x14ac:dyDescent="0.45">
      <c r="A6076" s="22" t="s">
        <v>4939</v>
      </c>
    </row>
    <row r="6077" spans="1:1" x14ac:dyDescent="0.45">
      <c r="A6077" s="22" t="s">
        <v>5129</v>
      </c>
    </row>
    <row r="6078" spans="1:1" x14ac:dyDescent="0.45">
      <c r="A6078" s="21">
        <v>2000</v>
      </c>
    </row>
    <row r="6079" spans="1:1" x14ac:dyDescent="0.45">
      <c r="A6079" s="22" t="s">
        <v>5221</v>
      </c>
    </row>
    <row r="6080" spans="1:1" x14ac:dyDescent="0.45">
      <c r="A6080" s="21">
        <v>1900</v>
      </c>
    </row>
    <row r="6081" spans="1:1" x14ac:dyDescent="0.45">
      <c r="A6081" s="22" t="s">
        <v>5349</v>
      </c>
    </row>
    <row r="6082" spans="1:1" x14ac:dyDescent="0.45">
      <c r="A6082" s="22" t="s">
        <v>5416</v>
      </c>
    </row>
    <row r="6083" spans="1:1" x14ac:dyDescent="0.45">
      <c r="A6083" s="22" t="s">
        <v>5463</v>
      </c>
    </row>
    <row r="6084" spans="1:1" x14ac:dyDescent="0.45">
      <c r="A6084" s="21">
        <v>1600</v>
      </c>
    </row>
    <row r="6085" spans="1:1" x14ac:dyDescent="0.45">
      <c r="A6085" s="22" t="s">
        <v>6042</v>
      </c>
    </row>
    <row r="6086" spans="1:1" x14ac:dyDescent="0.45">
      <c r="A6086" s="22" t="s">
        <v>6255</v>
      </c>
    </row>
    <row r="6087" spans="1:1" x14ac:dyDescent="0.45">
      <c r="A6087" s="22" t="s">
        <v>6187</v>
      </c>
    </row>
    <row r="6088" spans="1:1" x14ac:dyDescent="0.45">
      <c r="A6088" s="21">
        <v>1500</v>
      </c>
    </row>
    <row r="6089" spans="1:1" x14ac:dyDescent="0.45">
      <c r="A6089" s="22" t="s">
        <v>6324</v>
      </c>
    </row>
    <row r="6090" spans="1:1" x14ac:dyDescent="0.45">
      <c r="A6090" s="22" t="s">
        <v>6476</v>
      </c>
    </row>
    <row r="6091" spans="1:1" x14ac:dyDescent="0.45">
      <c r="A6091" s="21">
        <v>1400</v>
      </c>
    </row>
    <row r="6092" spans="1:1" x14ac:dyDescent="0.45">
      <c r="A6092" s="22" t="s">
        <v>6623</v>
      </c>
    </row>
    <row r="6093" spans="1:1" x14ac:dyDescent="0.45">
      <c r="A6093" s="22" t="s">
        <v>6647</v>
      </c>
    </row>
    <row r="6094" spans="1:1" x14ac:dyDescent="0.45">
      <c r="A6094" s="22" t="s">
        <v>6760</v>
      </c>
    </row>
    <row r="6095" spans="1:1" x14ac:dyDescent="0.45">
      <c r="A6095" s="21">
        <v>1300</v>
      </c>
    </row>
    <row r="6096" spans="1:1" x14ac:dyDescent="0.45">
      <c r="A6096" s="22" t="s">
        <v>7032</v>
      </c>
    </row>
    <row r="6097" spans="1:1" x14ac:dyDescent="0.45">
      <c r="A6097" s="22" t="s">
        <v>7116</v>
      </c>
    </row>
    <row r="6098" spans="1:1" x14ac:dyDescent="0.45">
      <c r="A6098" s="22" t="s">
        <v>7059</v>
      </c>
    </row>
    <row r="6099" spans="1:1" x14ac:dyDescent="0.45">
      <c r="A6099" s="22" t="s">
        <v>6974</v>
      </c>
    </row>
    <row r="6100" spans="1:1" x14ac:dyDescent="0.45">
      <c r="A6100" s="22" t="s">
        <v>6905</v>
      </c>
    </row>
    <row r="6101" spans="1:1" x14ac:dyDescent="0.45">
      <c r="A6101" s="22" t="s">
        <v>7134</v>
      </c>
    </row>
    <row r="6102" spans="1:1" x14ac:dyDescent="0.45">
      <c r="A6102" s="22" t="s">
        <v>7194</v>
      </c>
    </row>
    <row r="6103" spans="1:1" x14ac:dyDescent="0.45">
      <c r="A6103" s="21">
        <v>1200</v>
      </c>
    </row>
    <row r="6104" spans="1:1" x14ac:dyDescent="0.45">
      <c r="A6104" s="22" t="s">
        <v>7365</v>
      </c>
    </row>
    <row r="6105" spans="1:1" x14ac:dyDescent="0.45">
      <c r="A6105" s="22" t="s">
        <v>7248</v>
      </c>
    </row>
    <row r="6106" spans="1:1" x14ac:dyDescent="0.45">
      <c r="A6106" s="22" t="s">
        <v>7354</v>
      </c>
    </row>
    <row r="6107" spans="1:1" x14ac:dyDescent="0.45">
      <c r="A6107" s="21">
        <v>1100</v>
      </c>
    </row>
    <row r="6108" spans="1:1" x14ac:dyDescent="0.45">
      <c r="A6108" s="22" t="s">
        <v>7672</v>
      </c>
    </row>
    <row r="6109" spans="1:1" x14ac:dyDescent="0.45">
      <c r="A6109" s="22" t="s">
        <v>7667</v>
      </c>
    </row>
    <row r="6110" spans="1:1" x14ac:dyDescent="0.45">
      <c r="A6110" s="21">
        <v>1000</v>
      </c>
    </row>
    <row r="6111" spans="1:1" x14ac:dyDescent="0.45">
      <c r="A6111" s="22" t="s">
        <v>8048</v>
      </c>
    </row>
    <row r="6112" spans="1:1" x14ac:dyDescent="0.45">
      <c r="A6112" s="22" t="s">
        <v>8104</v>
      </c>
    </row>
    <row r="6113" spans="1:1" x14ac:dyDescent="0.45">
      <c r="A6113" s="22" t="s">
        <v>8004</v>
      </c>
    </row>
    <row r="6114" spans="1:1" x14ac:dyDescent="0.45">
      <c r="A6114" s="19">
        <v>54</v>
      </c>
    </row>
    <row r="6115" spans="1:1" x14ac:dyDescent="0.45">
      <c r="A6115" s="21">
        <v>35000</v>
      </c>
    </row>
    <row r="6116" spans="1:1" x14ac:dyDescent="0.45">
      <c r="A6116" s="22" t="s">
        <v>246</v>
      </c>
    </row>
    <row r="6117" spans="1:1" x14ac:dyDescent="0.45">
      <c r="A6117" s="21">
        <v>33400</v>
      </c>
    </row>
    <row r="6118" spans="1:1" x14ac:dyDescent="0.45">
      <c r="A6118" s="22" t="s">
        <v>260</v>
      </c>
    </row>
    <row r="6119" spans="1:1" x14ac:dyDescent="0.45">
      <c r="A6119" s="21">
        <v>8100</v>
      </c>
    </row>
    <row r="6120" spans="1:1" x14ac:dyDescent="0.45">
      <c r="A6120" s="22" t="s">
        <v>1194</v>
      </c>
    </row>
    <row r="6121" spans="1:1" x14ac:dyDescent="0.45">
      <c r="A6121" s="21">
        <v>7900</v>
      </c>
    </row>
    <row r="6122" spans="1:1" x14ac:dyDescent="0.45">
      <c r="A6122" s="22" t="s">
        <v>1234</v>
      </c>
    </row>
    <row r="6123" spans="1:1" x14ac:dyDescent="0.45">
      <c r="A6123" s="22" t="s">
        <v>1237</v>
      </c>
    </row>
    <row r="6124" spans="1:1" x14ac:dyDescent="0.45">
      <c r="A6124" s="21">
        <v>7700</v>
      </c>
    </row>
    <row r="6125" spans="1:1" x14ac:dyDescent="0.45">
      <c r="A6125" s="22" t="s">
        <v>1284</v>
      </c>
    </row>
    <row r="6126" spans="1:1" x14ac:dyDescent="0.45">
      <c r="A6126" s="21">
        <v>7600</v>
      </c>
    </row>
    <row r="6127" spans="1:1" x14ac:dyDescent="0.45">
      <c r="A6127" s="22" t="s">
        <v>1301</v>
      </c>
    </row>
    <row r="6128" spans="1:1" x14ac:dyDescent="0.45">
      <c r="A6128" s="21">
        <v>6900</v>
      </c>
    </row>
    <row r="6129" spans="1:1" x14ac:dyDescent="0.45">
      <c r="A6129" s="22" t="s">
        <v>1524</v>
      </c>
    </row>
    <row r="6130" spans="1:1" x14ac:dyDescent="0.45">
      <c r="A6130" s="21">
        <v>6700</v>
      </c>
    </row>
    <row r="6131" spans="1:1" x14ac:dyDescent="0.45">
      <c r="A6131" s="22" t="s">
        <v>1603</v>
      </c>
    </row>
    <row r="6132" spans="1:1" x14ac:dyDescent="0.45">
      <c r="A6132" s="21">
        <v>4700</v>
      </c>
    </row>
    <row r="6133" spans="1:1" x14ac:dyDescent="0.45">
      <c r="A6133" s="22" t="s">
        <v>2331</v>
      </c>
    </row>
    <row r="6134" spans="1:1" x14ac:dyDescent="0.45">
      <c r="A6134" s="21">
        <v>4600</v>
      </c>
    </row>
    <row r="6135" spans="1:1" x14ac:dyDescent="0.45">
      <c r="A6135" s="22" t="s">
        <v>2383</v>
      </c>
    </row>
    <row r="6136" spans="1:1" x14ac:dyDescent="0.45">
      <c r="A6136" s="21">
        <v>4500</v>
      </c>
    </row>
    <row r="6137" spans="1:1" x14ac:dyDescent="0.45">
      <c r="A6137" s="22" t="s">
        <v>2434</v>
      </c>
    </row>
    <row r="6138" spans="1:1" x14ac:dyDescent="0.45">
      <c r="A6138" s="21">
        <v>4400</v>
      </c>
    </row>
    <row r="6139" spans="1:1" x14ac:dyDescent="0.45">
      <c r="A6139" s="22" t="s">
        <v>2508</v>
      </c>
    </row>
    <row r="6140" spans="1:1" x14ac:dyDescent="0.45">
      <c r="A6140" s="21">
        <v>4300</v>
      </c>
    </row>
    <row r="6141" spans="1:1" x14ac:dyDescent="0.45">
      <c r="A6141" s="22" t="s">
        <v>2561</v>
      </c>
    </row>
    <row r="6142" spans="1:1" x14ac:dyDescent="0.45">
      <c r="A6142" s="21">
        <v>4100</v>
      </c>
    </row>
    <row r="6143" spans="1:1" x14ac:dyDescent="0.45">
      <c r="A6143" s="22" t="s">
        <v>2655</v>
      </c>
    </row>
    <row r="6144" spans="1:1" x14ac:dyDescent="0.45">
      <c r="A6144" s="21">
        <v>3800</v>
      </c>
    </row>
    <row r="6145" spans="1:1" x14ac:dyDescent="0.45">
      <c r="A6145" s="22" t="s">
        <v>2920</v>
      </c>
    </row>
    <row r="6146" spans="1:1" x14ac:dyDescent="0.45">
      <c r="A6146" s="21">
        <v>3600</v>
      </c>
    </row>
    <row r="6147" spans="1:1" x14ac:dyDescent="0.45">
      <c r="A6147" s="22" t="s">
        <v>3087</v>
      </c>
    </row>
    <row r="6148" spans="1:1" x14ac:dyDescent="0.45">
      <c r="A6148" s="21">
        <v>3500</v>
      </c>
    </row>
    <row r="6149" spans="1:1" x14ac:dyDescent="0.45">
      <c r="A6149" s="22" t="s">
        <v>3139</v>
      </c>
    </row>
    <row r="6150" spans="1:1" x14ac:dyDescent="0.45">
      <c r="A6150" s="22" t="s">
        <v>3188</v>
      </c>
    </row>
    <row r="6151" spans="1:1" x14ac:dyDescent="0.45">
      <c r="A6151" s="21">
        <v>3400</v>
      </c>
    </row>
    <row r="6152" spans="1:1" x14ac:dyDescent="0.45">
      <c r="A6152" s="22" t="s">
        <v>3275</v>
      </c>
    </row>
    <row r="6153" spans="1:1" x14ac:dyDescent="0.45">
      <c r="A6153" s="21">
        <v>3300</v>
      </c>
    </row>
    <row r="6154" spans="1:1" x14ac:dyDescent="0.45">
      <c r="A6154" s="22" t="s">
        <v>3351</v>
      </c>
    </row>
    <row r="6155" spans="1:1" x14ac:dyDescent="0.45">
      <c r="A6155" s="21">
        <v>3200</v>
      </c>
    </row>
    <row r="6156" spans="1:1" x14ac:dyDescent="0.45">
      <c r="A6156" s="22" t="s">
        <v>3444</v>
      </c>
    </row>
    <row r="6157" spans="1:1" x14ac:dyDescent="0.45">
      <c r="A6157" s="21">
        <v>3000</v>
      </c>
    </row>
    <row r="6158" spans="1:1" x14ac:dyDescent="0.45">
      <c r="A6158" s="22" t="s">
        <v>3736</v>
      </c>
    </row>
    <row r="6159" spans="1:1" x14ac:dyDescent="0.45">
      <c r="A6159" s="21">
        <v>2900</v>
      </c>
    </row>
    <row r="6160" spans="1:1" x14ac:dyDescent="0.45">
      <c r="A6160" s="22" t="s">
        <v>3829</v>
      </c>
    </row>
    <row r="6161" spans="1:1" x14ac:dyDescent="0.45">
      <c r="A6161" s="21">
        <v>2800</v>
      </c>
    </row>
    <row r="6162" spans="1:1" x14ac:dyDescent="0.45">
      <c r="A6162" s="22" t="s">
        <v>3933</v>
      </c>
    </row>
    <row r="6163" spans="1:1" x14ac:dyDescent="0.45">
      <c r="A6163" s="22" t="s">
        <v>3916</v>
      </c>
    </row>
    <row r="6164" spans="1:1" x14ac:dyDescent="0.45">
      <c r="A6164" s="21">
        <v>2700</v>
      </c>
    </row>
    <row r="6165" spans="1:1" x14ac:dyDescent="0.45">
      <c r="A6165" s="22" t="s">
        <v>4092</v>
      </c>
    </row>
    <row r="6166" spans="1:1" x14ac:dyDescent="0.45">
      <c r="A6166" s="21">
        <v>2600</v>
      </c>
    </row>
    <row r="6167" spans="1:1" x14ac:dyDescent="0.45">
      <c r="A6167" s="22" t="s">
        <v>4217</v>
      </c>
    </row>
    <row r="6168" spans="1:1" x14ac:dyDescent="0.45">
      <c r="A6168" s="22" t="s">
        <v>4234</v>
      </c>
    </row>
    <row r="6169" spans="1:1" x14ac:dyDescent="0.45">
      <c r="A6169" s="22" t="s">
        <v>4222</v>
      </c>
    </row>
    <row r="6170" spans="1:1" x14ac:dyDescent="0.45">
      <c r="A6170" s="22" t="s">
        <v>4183</v>
      </c>
    </row>
    <row r="6171" spans="1:1" x14ac:dyDescent="0.45">
      <c r="A6171" s="21">
        <v>2400</v>
      </c>
    </row>
    <row r="6172" spans="1:1" x14ac:dyDescent="0.45">
      <c r="A6172" s="22" t="s">
        <v>4588</v>
      </c>
    </row>
    <row r="6173" spans="1:1" x14ac:dyDescent="0.45">
      <c r="A6173" s="22" t="s">
        <v>4592</v>
      </c>
    </row>
    <row r="6174" spans="1:1" x14ac:dyDescent="0.45">
      <c r="A6174" s="21">
        <v>2200</v>
      </c>
    </row>
    <row r="6175" spans="1:1" x14ac:dyDescent="0.45">
      <c r="A6175" s="22" t="s">
        <v>4936</v>
      </c>
    </row>
    <row r="6176" spans="1:1" x14ac:dyDescent="0.45">
      <c r="A6176" s="22" t="s">
        <v>4825</v>
      </c>
    </row>
    <row r="6177" spans="1:1" x14ac:dyDescent="0.45">
      <c r="A6177" s="21">
        <v>2100</v>
      </c>
    </row>
    <row r="6178" spans="1:1" x14ac:dyDescent="0.45">
      <c r="A6178" s="22" t="s">
        <v>5053</v>
      </c>
    </row>
    <row r="6179" spans="1:1" x14ac:dyDescent="0.45">
      <c r="A6179" s="22" t="s">
        <v>5143</v>
      </c>
    </row>
    <row r="6180" spans="1:1" x14ac:dyDescent="0.45">
      <c r="A6180" s="21">
        <v>1700</v>
      </c>
    </row>
    <row r="6181" spans="1:1" x14ac:dyDescent="0.45">
      <c r="A6181" s="22" t="s">
        <v>5895</v>
      </c>
    </row>
    <row r="6182" spans="1:1" x14ac:dyDescent="0.45">
      <c r="A6182" s="22" t="s">
        <v>5888</v>
      </c>
    </row>
    <row r="6183" spans="1:1" x14ac:dyDescent="0.45">
      <c r="A6183" s="21">
        <v>1600</v>
      </c>
    </row>
    <row r="6184" spans="1:1" x14ac:dyDescent="0.45">
      <c r="A6184" s="22" t="s">
        <v>6022</v>
      </c>
    </row>
    <row r="6185" spans="1:1" x14ac:dyDescent="0.45">
      <c r="A6185" s="22" t="s">
        <v>6076</v>
      </c>
    </row>
    <row r="6186" spans="1:1" x14ac:dyDescent="0.45">
      <c r="A6186" s="22" t="s">
        <v>6176</v>
      </c>
    </row>
    <row r="6187" spans="1:1" x14ac:dyDescent="0.45">
      <c r="A6187" s="21">
        <v>1500</v>
      </c>
    </row>
    <row r="6188" spans="1:1" x14ac:dyDescent="0.45">
      <c r="A6188" s="22" t="s">
        <v>6360</v>
      </c>
    </row>
    <row r="6189" spans="1:1" x14ac:dyDescent="0.45">
      <c r="A6189" s="22" t="s">
        <v>6569</v>
      </c>
    </row>
    <row r="6190" spans="1:1" x14ac:dyDescent="0.45">
      <c r="A6190" s="21">
        <v>1300</v>
      </c>
    </row>
    <row r="6191" spans="1:1" x14ac:dyDescent="0.45">
      <c r="A6191" s="22" t="s">
        <v>7166</v>
      </c>
    </row>
    <row r="6192" spans="1:1" x14ac:dyDescent="0.45">
      <c r="A6192" s="22" t="s">
        <v>7192</v>
      </c>
    </row>
    <row r="6193" spans="1:1" x14ac:dyDescent="0.45">
      <c r="A6193" s="22" t="s">
        <v>6963</v>
      </c>
    </row>
    <row r="6194" spans="1:1" x14ac:dyDescent="0.45">
      <c r="A6194" s="22" t="s">
        <v>7213</v>
      </c>
    </row>
    <row r="6195" spans="1:1" x14ac:dyDescent="0.45">
      <c r="A6195" s="21">
        <v>1200</v>
      </c>
    </row>
    <row r="6196" spans="1:1" x14ac:dyDescent="0.45">
      <c r="A6196" s="22" t="s">
        <v>7271</v>
      </c>
    </row>
    <row r="6197" spans="1:1" x14ac:dyDescent="0.45">
      <c r="A6197" s="22" t="s">
        <v>7273</v>
      </c>
    </row>
    <row r="6198" spans="1:1" x14ac:dyDescent="0.45">
      <c r="A6198" s="22" t="s">
        <v>7538</v>
      </c>
    </row>
    <row r="6199" spans="1:1" x14ac:dyDescent="0.45">
      <c r="A6199" s="22" t="s">
        <v>7557</v>
      </c>
    </row>
    <row r="6200" spans="1:1" x14ac:dyDescent="0.45">
      <c r="A6200" s="21">
        <v>1100</v>
      </c>
    </row>
    <row r="6201" spans="1:1" x14ac:dyDescent="0.45">
      <c r="A6201" s="22" t="s">
        <v>7829</v>
      </c>
    </row>
    <row r="6202" spans="1:1" x14ac:dyDescent="0.45">
      <c r="A6202" s="22" t="s">
        <v>7928</v>
      </c>
    </row>
    <row r="6203" spans="1:1" x14ac:dyDescent="0.45">
      <c r="A6203" s="21">
        <v>1000</v>
      </c>
    </row>
    <row r="6204" spans="1:1" x14ac:dyDescent="0.45">
      <c r="A6204" s="22" t="s">
        <v>8197</v>
      </c>
    </row>
    <row r="6205" spans="1:1" x14ac:dyDescent="0.45">
      <c r="A6205" s="22" t="s">
        <v>8215</v>
      </c>
    </row>
    <row r="6206" spans="1:1" x14ac:dyDescent="0.45">
      <c r="A6206" s="19">
        <v>53</v>
      </c>
    </row>
    <row r="6207" spans="1:1" x14ac:dyDescent="0.45">
      <c r="A6207" s="21">
        <v>9800</v>
      </c>
    </row>
    <row r="6208" spans="1:1" x14ac:dyDescent="0.45">
      <c r="A6208" s="22" t="s">
        <v>914</v>
      </c>
    </row>
    <row r="6209" spans="1:1" x14ac:dyDescent="0.45">
      <c r="A6209" s="21">
        <v>9700</v>
      </c>
    </row>
    <row r="6210" spans="1:1" x14ac:dyDescent="0.45">
      <c r="A6210" s="22" t="s">
        <v>933</v>
      </c>
    </row>
    <row r="6211" spans="1:1" x14ac:dyDescent="0.45">
      <c r="A6211" s="21">
        <v>7800</v>
      </c>
    </row>
    <row r="6212" spans="1:1" x14ac:dyDescent="0.45">
      <c r="A6212" s="22" t="s">
        <v>1263</v>
      </c>
    </row>
    <row r="6213" spans="1:1" x14ac:dyDescent="0.45">
      <c r="A6213" s="21">
        <v>6800</v>
      </c>
    </row>
    <row r="6214" spans="1:1" x14ac:dyDescent="0.45">
      <c r="A6214" s="22" t="s">
        <v>1562</v>
      </c>
    </row>
    <row r="6215" spans="1:1" x14ac:dyDescent="0.45">
      <c r="A6215" s="22" t="s">
        <v>1545</v>
      </c>
    </row>
    <row r="6216" spans="1:1" x14ac:dyDescent="0.45">
      <c r="A6216" s="21">
        <v>6100</v>
      </c>
    </row>
    <row r="6217" spans="1:1" x14ac:dyDescent="0.45">
      <c r="A6217" s="22" t="s">
        <v>1781</v>
      </c>
    </row>
    <row r="6218" spans="1:1" x14ac:dyDescent="0.45">
      <c r="A6218" s="21">
        <v>5200</v>
      </c>
    </row>
    <row r="6219" spans="1:1" x14ac:dyDescent="0.45">
      <c r="A6219" s="22" t="s">
        <v>2081</v>
      </c>
    </row>
    <row r="6220" spans="1:1" x14ac:dyDescent="0.45">
      <c r="A6220" s="21">
        <v>4900</v>
      </c>
    </row>
    <row r="6221" spans="1:1" x14ac:dyDescent="0.45">
      <c r="A6221" s="22" t="s">
        <v>2238</v>
      </c>
    </row>
    <row r="6222" spans="1:1" x14ac:dyDescent="0.45">
      <c r="A6222" s="21">
        <v>4200</v>
      </c>
    </row>
    <row r="6223" spans="1:1" x14ac:dyDescent="0.45">
      <c r="A6223" s="22" t="s">
        <v>2608</v>
      </c>
    </row>
    <row r="6224" spans="1:1" x14ac:dyDescent="0.45">
      <c r="A6224" s="21">
        <v>3600</v>
      </c>
    </row>
    <row r="6225" spans="1:1" x14ac:dyDescent="0.45">
      <c r="A6225" s="22" t="s">
        <v>2998</v>
      </c>
    </row>
    <row r="6226" spans="1:1" x14ac:dyDescent="0.45">
      <c r="A6226" s="22" t="s">
        <v>3032</v>
      </c>
    </row>
    <row r="6227" spans="1:1" x14ac:dyDescent="0.45">
      <c r="A6227" s="21">
        <v>3400</v>
      </c>
    </row>
    <row r="6228" spans="1:1" x14ac:dyDescent="0.45">
      <c r="A6228" s="22" t="s">
        <v>3278</v>
      </c>
    </row>
    <row r="6229" spans="1:1" x14ac:dyDescent="0.45">
      <c r="A6229" s="21">
        <v>3300</v>
      </c>
    </row>
    <row r="6230" spans="1:1" x14ac:dyDescent="0.45">
      <c r="A6230" s="22" t="s">
        <v>3367</v>
      </c>
    </row>
    <row r="6231" spans="1:1" x14ac:dyDescent="0.45">
      <c r="A6231" s="21">
        <v>3200</v>
      </c>
    </row>
    <row r="6232" spans="1:1" x14ac:dyDescent="0.45">
      <c r="A6232" s="22" t="s">
        <v>3403</v>
      </c>
    </row>
    <row r="6233" spans="1:1" x14ac:dyDescent="0.45">
      <c r="A6233" s="22" t="s">
        <v>3371</v>
      </c>
    </row>
    <row r="6234" spans="1:1" x14ac:dyDescent="0.45">
      <c r="A6234" s="22" t="s">
        <v>3501</v>
      </c>
    </row>
    <row r="6235" spans="1:1" x14ac:dyDescent="0.45">
      <c r="A6235" s="21">
        <v>3100</v>
      </c>
    </row>
    <row r="6236" spans="1:1" x14ac:dyDescent="0.45">
      <c r="A6236" s="22" t="s">
        <v>3522</v>
      </c>
    </row>
    <row r="6237" spans="1:1" x14ac:dyDescent="0.45">
      <c r="A6237" s="22" t="s">
        <v>3621</v>
      </c>
    </row>
    <row r="6238" spans="1:1" x14ac:dyDescent="0.45">
      <c r="A6238" s="21">
        <v>2800</v>
      </c>
    </row>
    <row r="6239" spans="1:1" x14ac:dyDescent="0.45">
      <c r="A6239" s="22" t="s">
        <v>3913</v>
      </c>
    </row>
    <row r="6240" spans="1:1" x14ac:dyDescent="0.45">
      <c r="A6240" s="21">
        <v>2600</v>
      </c>
    </row>
    <row r="6241" spans="1:1" x14ac:dyDescent="0.45">
      <c r="A6241" s="22" t="s">
        <v>4181</v>
      </c>
    </row>
    <row r="6242" spans="1:1" x14ac:dyDescent="0.45">
      <c r="A6242" s="21">
        <v>2500</v>
      </c>
    </row>
    <row r="6243" spans="1:1" x14ac:dyDescent="0.45">
      <c r="A6243" s="22" t="s">
        <v>4459</v>
      </c>
    </row>
    <row r="6244" spans="1:1" x14ac:dyDescent="0.45">
      <c r="A6244" s="22" t="s">
        <v>4397</v>
      </c>
    </row>
    <row r="6245" spans="1:1" x14ac:dyDescent="0.45">
      <c r="A6245" s="21">
        <v>2400</v>
      </c>
    </row>
    <row r="6246" spans="1:1" x14ac:dyDescent="0.45">
      <c r="A6246" s="22" t="s">
        <v>4589</v>
      </c>
    </row>
    <row r="6247" spans="1:1" x14ac:dyDescent="0.45">
      <c r="A6247" s="21">
        <v>2300</v>
      </c>
    </row>
    <row r="6248" spans="1:1" x14ac:dyDescent="0.45">
      <c r="A6248" s="22" t="s">
        <v>4619</v>
      </c>
    </row>
    <row r="6249" spans="1:1" x14ac:dyDescent="0.45">
      <c r="A6249" s="21">
        <v>2100</v>
      </c>
    </row>
    <row r="6250" spans="1:1" x14ac:dyDescent="0.45">
      <c r="A6250" s="22" t="s">
        <v>4976</v>
      </c>
    </row>
    <row r="6251" spans="1:1" x14ac:dyDescent="0.45">
      <c r="A6251" s="22" t="s">
        <v>5113</v>
      </c>
    </row>
    <row r="6252" spans="1:1" x14ac:dyDescent="0.45">
      <c r="A6252" s="22" t="s">
        <v>5158</v>
      </c>
    </row>
    <row r="6253" spans="1:1" x14ac:dyDescent="0.45">
      <c r="A6253" s="21">
        <v>2000</v>
      </c>
    </row>
    <row r="6254" spans="1:1" x14ac:dyDescent="0.45">
      <c r="A6254" s="22" t="s">
        <v>5274</v>
      </c>
    </row>
    <row r="6255" spans="1:1" x14ac:dyDescent="0.45">
      <c r="A6255" s="21">
        <v>1900</v>
      </c>
    </row>
    <row r="6256" spans="1:1" x14ac:dyDescent="0.45">
      <c r="A6256" s="22" t="s">
        <v>5345</v>
      </c>
    </row>
    <row r="6257" spans="1:1" x14ac:dyDescent="0.45">
      <c r="A6257" s="22" t="s">
        <v>5387</v>
      </c>
    </row>
    <row r="6258" spans="1:1" x14ac:dyDescent="0.45">
      <c r="A6258" s="22" t="s">
        <v>5482</v>
      </c>
    </row>
    <row r="6259" spans="1:1" x14ac:dyDescent="0.45">
      <c r="A6259" s="21">
        <v>1800</v>
      </c>
    </row>
    <row r="6260" spans="1:1" x14ac:dyDescent="0.45">
      <c r="A6260" s="22" t="s">
        <v>5687</v>
      </c>
    </row>
    <row r="6261" spans="1:1" x14ac:dyDescent="0.45">
      <c r="A6261" s="22" t="s">
        <v>5743</v>
      </c>
    </row>
    <row r="6262" spans="1:1" x14ac:dyDescent="0.45">
      <c r="A6262" s="21">
        <v>1700</v>
      </c>
    </row>
    <row r="6263" spans="1:1" x14ac:dyDescent="0.45">
      <c r="A6263" s="22" t="s">
        <v>5805</v>
      </c>
    </row>
    <row r="6264" spans="1:1" x14ac:dyDescent="0.45">
      <c r="A6264" s="22" t="s">
        <v>5873</v>
      </c>
    </row>
    <row r="6265" spans="1:1" x14ac:dyDescent="0.45">
      <c r="A6265" s="22" t="s">
        <v>5802</v>
      </c>
    </row>
    <row r="6266" spans="1:1" x14ac:dyDescent="0.45">
      <c r="A6266" s="22" t="s">
        <v>5952</v>
      </c>
    </row>
    <row r="6267" spans="1:1" x14ac:dyDescent="0.45">
      <c r="A6267" s="22" t="s">
        <v>5992</v>
      </c>
    </row>
    <row r="6268" spans="1:1" x14ac:dyDescent="0.45">
      <c r="A6268" s="21">
        <v>1600</v>
      </c>
    </row>
    <row r="6269" spans="1:1" x14ac:dyDescent="0.45">
      <c r="A6269" s="22" t="s">
        <v>6065</v>
      </c>
    </row>
    <row r="6270" spans="1:1" x14ac:dyDescent="0.45">
      <c r="A6270" s="22" t="s">
        <v>6017</v>
      </c>
    </row>
    <row r="6271" spans="1:1" x14ac:dyDescent="0.45">
      <c r="A6271" s="22" t="s">
        <v>6239</v>
      </c>
    </row>
    <row r="6272" spans="1:1" x14ac:dyDescent="0.45">
      <c r="A6272" s="21">
        <v>1500</v>
      </c>
    </row>
    <row r="6273" spans="1:1" x14ac:dyDescent="0.45">
      <c r="A6273" s="22" t="s">
        <v>6294</v>
      </c>
    </row>
    <row r="6274" spans="1:1" x14ac:dyDescent="0.45">
      <c r="A6274" s="22" t="s">
        <v>6362</v>
      </c>
    </row>
    <row r="6275" spans="1:1" x14ac:dyDescent="0.45">
      <c r="A6275" s="22" t="s">
        <v>6496</v>
      </c>
    </row>
    <row r="6276" spans="1:1" x14ac:dyDescent="0.45">
      <c r="A6276" s="21">
        <v>1400</v>
      </c>
    </row>
    <row r="6277" spans="1:1" x14ac:dyDescent="0.45">
      <c r="A6277" s="22" t="s">
        <v>6614</v>
      </c>
    </row>
    <row r="6278" spans="1:1" x14ac:dyDescent="0.45">
      <c r="A6278" s="22" t="s">
        <v>6650</v>
      </c>
    </row>
    <row r="6279" spans="1:1" x14ac:dyDescent="0.45">
      <c r="A6279" s="22" t="s">
        <v>6731</v>
      </c>
    </row>
    <row r="6280" spans="1:1" x14ac:dyDescent="0.45">
      <c r="A6280" s="22" t="s">
        <v>6856</v>
      </c>
    </row>
    <row r="6281" spans="1:1" x14ac:dyDescent="0.45">
      <c r="A6281" s="21">
        <v>1300</v>
      </c>
    </row>
    <row r="6282" spans="1:1" x14ac:dyDescent="0.45">
      <c r="A6282" s="22" t="s">
        <v>6889</v>
      </c>
    </row>
    <row r="6283" spans="1:1" x14ac:dyDescent="0.45">
      <c r="A6283" s="22" t="s">
        <v>7212</v>
      </c>
    </row>
    <row r="6284" spans="1:1" x14ac:dyDescent="0.45">
      <c r="A6284" s="21">
        <v>1200</v>
      </c>
    </row>
    <row r="6285" spans="1:1" x14ac:dyDescent="0.45">
      <c r="A6285" s="22" t="s">
        <v>7382</v>
      </c>
    </row>
    <row r="6286" spans="1:1" x14ac:dyDescent="0.45">
      <c r="A6286" s="21">
        <v>1100</v>
      </c>
    </row>
    <row r="6287" spans="1:1" x14ac:dyDescent="0.45">
      <c r="A6287" s="22" t="s">
        <v>7756</v>
      </c>
    </row>
    <row r="6288" spans="1:1" x14ac:dyDescent="0.45">
      <c r="A6288" s="22" t="s">
        <v>7853</v>
      </c>
    </row>
    <row r="6289" spans="1:1" x14ac:dyDescent="0.45">
      <c r="A6289" s="22" t="s">
        <v>7697</v>
      </c>
    </row>
    <row r="6290" spans="1:1" x14ac:dyDescent="0.45">
      <c r="A6290" s="22" t="s">
        <v>7923</v>
      </c>
    </row>
    <row r="6291" spans="1:1" x14ac:dyDescent="0.45">
      <c r="A6291" s="22" t="s">
        <v>7944</v>
      </c>
    </row>
    <row r="6292" spans="1:1" x14ac:dyDescent="0.45">
      <c r="A6292" s="21">
        <v>1000</v>
      </c>
    </row>
    <row r="6293" spans="1:1" x14ac:dyDescent="0.45">
      <c r="A6293" s="22" t="s">
        <v>8093</v>
      </c>
    </row>
    <row r="6294" spans="1:1" x14ac:dyDescent="0.45">
      <c r="A6294" s="22" t="s">
        <v>8174</v>
      </c>
    </row>
    <row r="6295" spans="1:1" x14ac:dyDescent="0.45">
      <c r="A6295" s="22" t="s">
        <v>8087</v>
      </c>
    </row>
    <row r="6296" spans="1:1" x14ac:dyDescent="0.45">
      <c r="A6296" s="22" t="s">
        <v>8150</v>
      </c>
    </row>
    <row r="6297" spans="1:1" x14ac:dyDescent="0.45">
      <c r="A6297" s="22" t="s">
        <v>8198</v>
      </c>
    </row>
    <row r="6298" spans="1:1" x14ac:dyDescent="0.45">
      <c r="A6298" s="22" t="s">
        <v>8218</v>
      </c>
    </row>
    <row r="6299" spans="1:1" x14ac:dyDescent="0.45">
      <c r="A6299" s="19">
        <v>52</v>
      </c>
    </row>
    <row r="6300" spans="1:1" x14ac:dyDescent="0.45">
      <c r="A6300" s="21">
        <v>24400</v>
      </c>
    </row>
    <row r="6301" spans="1:1" x14ac:dyDescent="0.45">
      <c r="A6301" s="22" t="s">
        <v>371</v>
      </c>
    </row>
    <row r="6302" spans="1:1" x14ac:dyDescent="0.45">
      <c r="A6302" s="21">
        <v>22000</v>
      </c>
    </row>
    <row r="6303" spans="1:1" x14ac:dyDescent="0.45">
      <c r="A6303" s="22" t="s">
        <v>416</v>
      </c>
    </row>
    <row r="6304" spans="1:1" x14ac:dyDescent="0.45">
      <c r="A6304" s="21">
        <v>21200</v>
      </c>
    </row>
    <row r="6305" spans="1:1" x14ac:dyDescent="0.45">
      <c r="A6305" s="22" t="s">
        <v>437</v>
      </c>
    </row>
    <row r="6306" spans="1:1" x14ac:dyDescent="0.45">
      <c r="A6306" s="21">
        <v>8700</v>
      </c>
    </row>
    <row r="6307" spans="1:1" x14ac:dyDescent="0.45">
      <c r="A6307" s="22" t="s">
        <v>1085</v>
      </c>
    </row>
    <row r="6308" spans="1:1" x14ac:dyDescent="0.45">
      <c r="A6308" s="21">
        <v>7900</v>
      </c>
    </row>
    <row r="6309" spans="1:1" x14ac:dyDescent="0.45">
      <c r="A6309" s="22" t="s">
        <v>1226</v>
      </c>
    </row>
    <row r="6310" spans="1:1" x14ac:dyDescent="0.45">
      <c r="A6310" s="22" t="s">
        <v>1222</v>
      </c>
    </row>
    <row r="6311" spans="1:1" x14ac:dyDescent="0.45">
      <c r="A6311" s="21">
        <v>7500</v>
      </c>
    </row>
    <row r="6312" spans="1:1" x14ac:dyDescent="0.45">
      <c r="A6312" s="22" t="s">
        <v>1343</v>
      </c>
    </row>
    <row r="6313" spans="1:1" x14ac:dyDescent="0.45">
      <c r="A6313" s="21">
        <v>5600</v>
      </c>
    </row>
    <row r="6314" spans="1:1" x14ac:dyDescent="0.45">
      <c r="A6314" s="22" t="s">
        <v>1894</v>
      </c>
    </row>
    <row r="6315" spans="1:1" x14ac:dyDescent="0.45">
      <c r="A6315" s="21">
        <v>4700</v>
      </c>
    </row>
    <row r="6316" spans="1:1" x14ac:dyDescent="0.45">
      <c r="A6316" s="22" t="s">
        <v>2353</v>
      </c>
    </row>
    <row r="6317" spans="1:1" x14ac:dyDescent="0.45">
      <c r="A6317" s="21">
        <v>4600</v>
      </c>
    </row>
    <row r="6318" spans="1:1" x14ac:dyDescent="0.45">
      <c r="A6318" s="22" t="s">
        <v>2414</v>
      </c>
    </row>
    <row r="6319" spans="1:1" x14ac:dyDescent="0.45">
      <c r="A6319" s="21">
        <v>3400</v>
      </c>
    </row>
    <row r="6320" spans="1:1" x14ac:dyDescent="0.45">
      <c r="A6320" s="22" t="s">
        <v>3205</v>
      </c>
    </row>
    <row r="6321" spans="1:1" x14ac:dyDescent="0.45">
      <c r="A6321" s="22" t="s">
        <v>3215</v>
      </c>
    </row>
    <row r="6322" spans="1:1" x14ac:dyDescent="0.45">
      <c r="A6322" s="22" t="s">
        <v>3277</v>
      </c>
    </row>
    <row r="6323" spans="1:1" x14ac:dyDescent="0.45">
      <c r="A6323" s="21">
        <v>3200</v>
      </c>
    </row>
    <row r="6324" spans="1:1" x14ac:dyDescent="0.45">
      <c r="A6324" s="22" t="s">
        <v>3438</v>
      </c>
    </row>
    <row r="6325" spans="1:1" x14ac:dyDescent="0.45">
      <c r="A6325" s="22" t="s">
        <v>3495</v>
      </c>
    </row>
    <row r="6326" spans="1:1" x14ac:dyDescent="0.45">
      <c r="A6326" s="21">
        <v>3100</v>
      </c>
    </row>
    <row r="6327" spans="1:1" x14ac:dyDescent="0.45">
      <c r="A6327" s="22" t="s">
        <v>3561</v>
      </c>
    </row>
    <row r="6328" spans="1:1" x14ac:dyDescent="0.45">
      <c r="A6328" s="21">
        <v>2900</v>
      </c>
    </row>
    <row r="6329" spans="1:1" x14ac:dyDescent="0.45">
      <c r="A6329" s="22" t="s">
        <v>3841</v>
      </c>
    </row>
    <row r="6330" spans="1:1" x14ac:dyDescent="0.45">
      <c r="A6330" s="21">
        <v>2800</v>
      </c>
    </row>
    <row r="6331" spans="1:1" x14ac:dyDescent="0.45">
      <c r="A6331" s="22" t="s">
        <v>3903</v>
      </c>
    </row>
    <row r="6332" spans="1:1" x14ac:dyDescent="0.45">
      <c r="A6332" s="21">
        <v>2700</v>
      </c>
    </row>
    <row r="6333" spans="1:1" x14ac:dyDescent="0.45">
      <c r="A6333" s="22" t="s">
        <v>4159</v>
      </c>
    </row>
    <row r="6334" spans="1:1" x14ac:dyDescent="0.45">
      <c r="A6334" s="21">
        <v>2600</v>
      </c>
    </row>
    <row r="6335" spans="1:1" x14ac:dyDescent="0.45">
      <c r="A6335" s="22" t="s">
        <v>4320</v>
      </c>
    </row>
    <row r="6336" spans="1:1" x14ac:dyDescent="0.45">
      <c r="A6336" s="22" t="s">
        <v>4256</v>
      </c>
    </row>
    <row r="6337" spans="1:1" x14ac:dyDescent="0.45">
      <c r="A6337" s="22" t="s">
        <v>4317</v>
      </c>
    </row>
    <row r="6338" spans="1:1" x14ac:dyDescent="0.45">
      <c r="A6338" s="21">
        <v>2200</v>
      </c>
    </row>
    <row r="6339" spans="1:1" x14ac:dyDescent="0.45">
      <c r="A6339" s="22" t="s">
        <v>4755</v>
      </c>
    </row>
    <row r="6340" spans="1:1" x14ac:dyDescent="0.45">
      <c r="A6340" s="22" t="s">
        <v>4867</v>
      </c>
    </row>
    <row r="6341" spans="1:1" x14ac:dyDescent="0.45">
      <c r="A6341" s="22" t="s">
        <v>4781</v>
      </c>
    </row>
    <row r="6342" spans="1:1" x14ac:dyDescent="0.45">
      <c r="A6342" s="22" t="s">
        <v>4855</v>
      </c>
    </row>
    <row r="6343" spans="1:1" x14ac:dyDescent="0.45">
      <c r="A6343" s="22" t="s">
        <v>4842</v>
      </c>
    </row>
    <row r="6344" spans="1:1" x14ac:dyDescent="0.45">
      <c r="A6344" s="21">
        <v>2100</v>
      </c>
    </row>
    <row r="6345" spans="1:1" x14ac:dyDescent="0.45">
      <c r="A6345" s="22" t="s">
        <v>4956</v>
      </c>
    </row>
    <row r="6346" spans="1:1" x14ac:dyDescent="0.45">
      <c r="A6346" s="22" t="s">
        <v>4941</v>
      </c>
    </row>
    <row r="6347" spans="1:1" x14ac:dyDescent="0.45">
      <c r="A6347" s="21">
        <v>2000</v>
      </c>
    </row>
    <row r="6348" spans="1:1" x14ac:dyDescent="0.45">
      <c r="A6348" s="22" t="s">
        <v>5189</v>
      </c>
    </row>
    <row r="6349" spans="1:1" x14ac:dyDescent="0.45">
      <c r="A6349" s="21">
        <v>1900</v>
      </c>
    </row>
    <row r="6350" spans="1:1" x14ac:dyDescent="0.45">
      <c r="A6350" s="22" t="s">
        <v>5361</v>
      </c>
    </row>
    <row r="6351" spans="1:1" x14ac:dyDescent="0.45">
      <c r="A6351" s="21">
        <v>1800</v>
      </c>
    </row>
    <row r="6352" spans="1:1" x14ac:dyDescent="0.45">
      <c r="A6352" s="22" t="s">
        <v>5761</v>
      </c>
    </row>
    <row r="6353" spans="1:1" x14ac:dyDescent="0.45">
      <c r="A6353" s="22" t="s">
        <v>5638</v>
      </c>
    </row>
    <row r="6354" spans="1:1" x14ac:dyDescent="0.45">
      <c r="A6354" s="21">
        <v>1700</v>
      </c>
    </row>
    <row r="6355" spans="1:1" x14ac:dyDescent="0.45">
      <c r="A6355" s="22" t="s">
        <v>5856</v>
      </c>
    </row>
    <row r="6356" spans="1:1" x14ac:dyDescent="0.45">
      <c r="A6356" s="21">
        <v>1600</v>
      </c>
    </row>
    <row r="6357" spans="1:1" x14ac:dyDescent="0.45">
      <c r="A6357" s="22" t="s">
        <v>6266</v>
      </c>
    </row>
    <row r="6358" spans="1:1" x14ac:dyDescent="0.45">
      <c r="A6358" s="22" t="s">
        <v>6252</v>
      </c>
    </row>
    <row r="6359" spans="1:1" x14ac:dyDescent="0.45">
      <c r="A6359" s="21">
        <v>1500</v>
      </c>
    </row>
    <row r="6360" spans="1:1" x14ac:dyDescent="0.45">
      <c r="A6360" s="22" t="s">
        <v>6489</v>
      </c>
    </row>
    <row r="6361" spans="1:1" x14ac:dyDescent="0.45">
      <c r="A6361" s="22" t="s">
        <v>6369</v>
      </c>
    </row>
    <row r="6362" spans="1:1" x14ac:dyDescent="0.45">
      <c r="A6362" s="22" t="s">
        <v>6566</v>
      </c>
    </row>
    <row r="6363" spans="1:1" x14ac:dyDescent="0.45">
      <c r="A6363" s="21">
        <v>1400</v>
      </c>
    </row>
    <row r="6364" spans="1:1" x14ac:dyDescent="0.45">
      <c r="A6364" s="22" t="s">
        <v>6830</v>
      </c>
    </row>
    <row r="6365" spans="1:1" x14ac:dyDescent="0.45">
      <c r="A6365" s="22" t="s">
        <v>6616</v>
      </c>
    </row>
    <row r="6366" spans="1:1" x14ac:dyDescent="0.45">
      <c r="A6366" s="22" t="s">
        <v>6726</v>
      </c>
    </row>
    <row r="6367" spans="1:1" x14ac:dyDescent="0.45">
      <c r="A6367" s="22" t="s">
        <v>6598</v>
      </c>
    </row>
    <row r="6368" spans="1:1" x14ac:dyDescent="0.45">
      <c r="A6368" s="22" t="s">
        <v>6869</v>
      </c>
    </row>
    <row r="6369" spans="1:1" x14ac:dyDescent="0.45">
      <c r="A6369" s="21">
        <v>1300</v>
      </c>
    </row>
    <row r="6370" spans="1:1" x14ac:dyDescent="0.45">
      <c r="A6370" s="22" t="s">
        <v>6971</v>
      </c>
    </row>
    <row r="6371" spans="1:1" x14ac:dyDescent="0.45">
      <c r="A6371" s="22" t="s">
        <v>7215</v>
      </c>
    </row>
    <row r="6372" spans="1:1" x14ac:dyDescent="0.45">
      <c r="A6372" s="22" t="s">
        <v>6955</v>
      </c>
    </row>
    <row r="6373" spans="1:1" x14ac:dyDescent="0.45">
      <c r="A6373" s="21">
        <v>1200</v>
      </c>
    </row>
    <row r="6374" spans="1:1" x14ac:dyDescent="0.45">
      <c r="A6374" s="22" t="s">
        <v>7469</v>
      </c>
    </row>
    <row r="6375" spans="1:1" x14ac:dyDescent="0.45">
      <c r="A6375" s="22" t="s">
        <v>7287</v>
      </c>
    </row>
    <row r="6376" spans="1:1" x14ac:dyDescent="0.45">
      <c r="A6376" s="22" t="s">
        <v>7485</v>
      </c>
    </row>
    <row r="6377" spans="1:1" x14ac:dyDescent="0.45">
      <c r="A6377" s="22" t="s">
        <v>7500</v>
      </c>
    </row>
    <row r="6378" spans="1:1" x14ac:dyDescent="0.45">
      <c r="A6378" s="22" t="s">
        <v>7227</v>
      </c>
    </row>
    <row r="6379" spans="1:1" x14ac:dyDescent="0.45">
      <c r="A6379" s="22" t="s">
        <v>7576</v>
      </c>
    </row>
    <row r="6380" spans="1:1" x14ac:dyDescent="0.45">
      <c r="A6380" s="21">
        <v>1100</v>
      </c>
    </row>
    <row r="6381" spans="1:1" x14ac:dyDescent="0.45">
      <c r="A6381" s="22" t="s">
        <v>7736</v>
      </c>
    </row>
    <row r="6382" spans="1:1" x14ac:dyDescent="0.45">
      <c r="A6382" s="22" t="s">
        <v>7803</v>
      </c>
    </row>
    <row r="6383" spans="1:1" x14ac:dyDescent="0.45">
      <c r="A6383" s="22" t="s">
        <v>7623</v>
      </c>
    </row>
    <row r="6384" spans="1:1" x14ac:dyDescent="0.45">
      <c r="A6384" s="22" t="s">
        <v>7883</v>
      </c>
    </row>
    <row r="6385" spans="1:1" x14ac:dyDescent="0.45">
      <c r="A6385" s="21">
        <v>1000</v>
      </c>
    </row>
    <row r="6386" spans="1:1" x14ac:dyDescent="0.45">
      <c r="A6386" s="22" t="s">
        <v>8044</v>
      </c>
    </row>
    <row r="6387" spans="1:1" x14ac:dyDescent="0.45">
      <c r="A6387" s="22" t="s">
        <v>8127</v>
      </c>
    </row>
    <row r="6388" spans="1:1" x14ac:dyDescent="0.45">
      <c r="A6388" s="19">
        <v>51</v>
      </c>
    </row>
    <row r="6389" spans="1:1" x14ac:dyDescent="0.45">
      <c r="A6389" s="21">
        <v>180000</v>
      </c>
    </row>
    <row r="6390" spans="1:1" x14ac:dyDescent="0.45">
      <c r="A6390" s="22" t="s">
        <v>34</v>
      </c>
    </row>
    <row r="6391" spans="1:1" x14ac:dyDescent="0.45">
      <c r="A6391" s="21">
        <v>35300</v>
      </c>
    </row>
    <row r="6392" spans="1:1" x14ac:dyDescent="0.45">
      <c r="A6392" s="22" t="s">
        <v>233</v>
      </c>
    </row>
    <row r="6393" spans="1:1" x14ac:dyDescent="0.45">
      <c r="A6393" s="21">
        <v>26700</v>
      </c>
    </row>
    <row r="6394" spans="1:1" x14ac:dyDescent="0.45">
      <c r="A6394" s="22" t="s">
        <v>335</v>
      </c>
    </row>
    <row r="6395" spans="1:1" x14ac:dyDescent="0.45">
      <c r="A6395" s="21">
        <v>25200</v>
      </c>
    </row>
    <row r="6396" spans="1:1" x14ac:dyDescent="0.45">
      <c r="A6396" s="22" t="s">
        <v>359</v>
      </c>
    </row>
    <row r="6397" spans="1:1" x14ac:dyDescent="0.45">
      <c r="A6397" s="21">
        <v>11000</v>
      </c>
    </row>
    <row r="6398" spans="1:1" x14ac:dyDescent="0.45">
      <c r="A6398" s="22" t="s">
        <v>813</v>
      </c>
    </row>
    <row r="6399" spans="1:1" x14ac:dyDescent="0.45">
      <c r="A6399" s="21">
        <v>9800</v>
      </c>
    </row>
    <row r="6400" spans="1:1" x14ac:dyDescent="0.45">
      <c r="A6400" s="22" t="s">
        <v>910</v>
      </c>
    </row>
    <row r="6401" spans="1:1" x14ac:dyDescent="0.45">
      <c r="A6401" s="21">
        <v>6500</v>
      </c>
    </row>
    <row r="6402" spans="1:1" x14ac:dyDescent="0.45">
      <c r="A6402" s="22" t="s">
        <v>1687</v>
      </c>
    </row>
    <row r="6403" spans="1:1" x14ac:dyDescent="0.45">
      <c r="A6403" s="21">
        <v>6200</v>
      </c>
    </row>
    <row r="6404" spans="1:1" x14ac:dyDescent="0.45">
      <c r="A6404" s="22" t="s">
        <v>1757</v>
      </c>
    </row>
    <row r="6405" spans="1:1" x14ac:dyDescent="0.45">
      <c r="A6405" s="21">
        <v>5700</v>
      </c>
    </row>
    <row r="6406" spans="1:1" x14ac:dyDescent="0.45">
      <c r="A6406" s="22" t="s">
        <v>1880</v>
      </c>
    </row>
    <row r="6407" spans="1:1" x14ac:dyDescent="0.45">
      <c r="A6407" s="21">
        <v>5600</v>
      </c>
    </row>
    <row r="6408" spans="1:1" x14ac:dyDescent="0.45">
      <c r="A6408" s="22" t="s">
        <v>1914</v>
      </c>
    </row>
    <row r="6409" spans="1:1" x14ac:dyDescent="0.45">
      <c r="A6409" s="21">
        <v>4000</v>
      </c>
    </row>
    <row r="6410" spans="1:1" x14ac:dyDescent="0.45">
      <c r="A6410" s="22" t="s">
        <v>2738</v>
      </c>
    </row>
    <row r="6411" spans="1:1" x14ac:dyDescent="0.45">
      <c r="A6411" s="21">
        <v>3700</v>
      </c>
    </row>
    <row r="6412" spans="1:1" x14ac:dyDescent="0.45">
      <c r="A6412" s="22" t="s">
        <v>2937</v>
      </c>
    </row>
    <row r="6413" spans="1:1" x14ac:dyDescent="0.45">
      <c r="A6413" s="21">
        <v>3100</v>
      </c>
    </row>
    <row r="6414" spans="1:1" x14ac:dyDescent="0.45">
      <c r="A6414" s="22" t="s">
        <v>3594</v>
      </c>
    </row>
    <row r="6415" spans="1:1" x14ac:dyDescent="0.45">
      <c r="A6415" s="21">
        <v>3000</v>
      </c>
    </row>
    <row r="6416" spans="1:1" x14ac:dyDescent="0.45">
      <c r="A6416" s="22" t="s">
        <v>3702</v>
      </c>
    </row>
    <row r="6417" spans="1:1" x14ac:dyDescent="0.45">
      <c r="A6417" s="21">
        <v>2600</v>
      </c>
    </row>
    <row r="6418" spans="1:1" x14ac:dyDescent="0.45">
      <c r="A6418" s="22" t="s">
        <v>4190</v>
      </c>
    </row>
    <row r="6419" spans="1:1" x14ac:dyDescent="0.45">
      <c r="A6419" s="22" t="s">
        <v>4303</v>
      </c>
    </row>
    <row r="6420" spans="1:1" x14ac:dyDescent="0.45">
      <c r="A6420" s="21">
        <v>2400</v>
      </c>
    </row>
    <row r="6421" spans="1:1" x14ac:dyDescent="0.45">
      <c r="A6421" s="22" t="s">
        <v>4487</v>
      </c>
    </row>
    <row r="6422" spans="1:1" x14ac:dyDescent="0.45">
      <c r="A6422" s="21">
        <v>2000</v>
      </c>
    </row>
    <row r="6423" spans="1:1" x14ac:dyDescent="0.45">
      <c r="A6423" s="22" t="s">
        <v>5204</v>
      </c>
    </row>
    <row r="6424" spans="1:1" x14ac:dyDescent="0.45">
      <c r="A6424" s="21">
        <v>1800</v>
      </c>
    </row>
    <row r="6425" spans="1:1" x14ac:dyDescent="0.45">
      <c r="A6425" s="22" t="s">
        <v>5665</v>
      </c>
    </row>
    <row r="6426" spans="1:1" x14ac:dyDescent="0.45">
      <c r="A6426" s="22" t="s">
        <v>5754</v>
      </c>
    </row>
    <row r="6427" spans="1:1" x14ac:dyDescent="0.45">
      <c r="A6427" s="22" t="s">
        <v>5551</v>
      </c>
    </row>
    <row r="6428" spans="1:1" x14ac:dyDescent="0.45">
      <c r="A6428" s="21">
        <v>1700</v>
      </c>
    </row>
    <row r="6429" spans="1:1" x14ac:dyDescent="0.45">
      <c r="A6429" s="22" t="s">
        <v>5773</v>
      </c>
    </row>
    <row r="6430" spans="1:1" x14ac:dyDescent="0.45">
      <c r="A6430" s="21">
        <v>1600</v>
      </c>
    </row>
    <row r="6431" spans="1:1" x14ac:dyDescent="0.45">
      <c r="A6431" s="22" t="s">
        <v>6063</v>
      </c>
    </row>
    <row r="6432" spans="1:1" x14ac:dyDescent="0.45">
      <c r="A6432" s="22" t="s">
        <v>6141</v>
      </c>
    </row>
    <row r="6433" spans="1:1" x14ac:dyDescent="0.45">
      <c r="A6433" s="22" t="s">
        <v>6215</v>
      </c>
    </row>
    <row r="6434" spans="1:1" x14ac:dyDescent="0.45">
      <c r="A6434" s="21">
        <v>1400</v>
      </c>
    </row>
    <row r="6435" spans="1:1" x14ac:dyDescent="0.45">
      <c r="A6435" s="22" t="s">
        <v>6690</v>
      </c>
    </row>
    <row r="6436" spans="1:1" x14ac:dyDescent="0.45">
      <c r="A6436" s="21">
        <v>1200</v>
      </c>
    </row>
    <row r="6437" spans="1:1" x14ac:dyDescent="0.45">
      <c r="A6437" s="22" t="s">
        <v>7504</v>
      </c>
    </row>
    <row r="6438" spans="1:1" x14ac:dyDescent="0.45">
      <c r="A6438" s="22" t="s">
        <v>7507</v>
      </c>
    </row>
    <row r="6439" spans="1:1" x14ac:dyDescent="0.45">
      <c r="A6439" s="22" t="s">
        <v>7310</v>
      </c>
    </row>
    <row r="6440" spans="1:1" x14ac:dyDescent="0.45">
      <c r="A6440" s="21">
        <v>1100</v>
      </c>
    </row>
    <row r="6441" spans="1:1" x14ac:dyDescent="0.45">
      <c r="A6441" s="22" t="s">
        <v>7619</v>
      </c>
    </row>
    <row r="6442" spans="1:1" x14ac:dyDescent="0.45">
      <c r="A6442" s="22" t="s">
        <v>7763</v>
      </c>
    </row>
    <row r="6443" spans="1:1" x14ac:dyDescent="0.45">
      <c r="A6443" s="22" t="s">
        <v>7888</v>
      </c>
    </row>
    <row r="6444" spans="1:1" x14ac:dyDescent="0.45">
      <c r="A6444" s="22" t="s">
        <v>7949</v>
      </c>
    </row>
    <row r="6445" spans="1:1" x14ac:dyDescent="0.45">
      <c r="A6445" s="22" t="s">
        <v>7958</v>
      </c>
    </row>
    <row r="6446" spans="1:1" x14ac:dyDescent="0.45">
      <c r="A6446" s="21">
        <v>1000</v>
      </c>
    </row>
    <row r="6447" spans="1:1" x14ac:dyDescent="0.45">
      <c r="A6447" s="22" t="s">
        <v>8140</v>
      </c>
    </row>
    <row r="6448" spans="1:1" x14ac:dyDescent="0.45">
      <c r="A6448" s="22" t="s">
        <v>8177</v>
      </c>
    </row>
    <row r="6449" spans="1:1" x14ac:dyDescent="0.45">
      <c r="A6449" s="22" t="s">
        <v>8209</v>
      </c>
    </row>
    <row r="6450" spans="1:1" x14ac:dyDescent="0.45">
      <c r="A6450" s="22" t="s">
        <v>8223</v>
      </c>
    </row>
    <row r="6451" spans="1:1" x14ac:dyDescent="0.45">
      <c r="A6451" s="19">
        <v>50</v>
      </c>
    </row>
    <row r="6452" spans="1:1" x14ac:dyDescent="0.45">
      <c r="A6452" s="21">
        <v>79200</v>
      </c>
    </row>
    <row r="6453" spans="1:1" x14ac:dyDescent="0.45">
      <c r="A6453" s="22" t="s">
        <v>109</v>
      </c>
    </row>
    <row r="6454" spans="1:1" x14ac:dyDescent="0.45">
      <c r="A6454" s="21">
        <v>12200</v>
      </c>
    </row>
    <row r="6455" spans="1:1" x14ac:dyDescent="0.45">
      <c r="A6455" s="22" t="s">
        <v>742</v>
      </c>
    </row>
    <row r="6456" spans="1:1" x14ac:dyDescent="0.45">
      <c r="A6456" s="21">
        <v>11400</v>
      </c>
    </row>
    <row r="6457" spans="1:1" x14ac:dyDescent="0.45">
      <c r="A6457" s="22" t="s">
        <v>781</v>
      </c>
    </row>
    <row r="6458" spans="1:1" x14ac:dyDescent="0.45">
      <c r="A6458" s="21">
        <v>7900</v>
      </c>
    </row>
    <row r="6459" spans="1:1" x14ac:dyDescent="0.45">
      <c r="A6459" s="22" t="s">
        <v>1246</v>
      </c>
    </row>
    <row r="6460" spans="1:1" x14ac:dyDescent="0.45">
      <c r="A6460" s="21">
        <v>7300</v>
      </c>
    </row>
    <row r="6461" spans="1:1" x14ac:dyDescent="0.45">
      <c r="A6461" s="22" t="s">
        <v>1384</v>
      </c>
    </row>
    <row r="6462" spans="1:1" x14ac:dyDescent="0.45">
      <c r="A6462" s="21">
        <v>5000</v>
      </c>
    </row>
    <row r="6463" spans="1:1" x14ac:dyDescent="0.45">
      <c r="A6463" s="22" t="s">
        <v>2181</v>
      </c>
    </row>
    <row r="6464" spans="1:1" x14ac:dyDescent="0.45">
      <c r="A6464" s="22" t="s">
        <v>2176</v>
      </c>
    </row>
    <row r="6465" spans="1:1" x14ac:dyDescent="0.45">
      <c r="A6465" s="21">
        <v>4900</v>
      </c>
    </row>
    <row r="6466" spans="1:1" x14ac:dyDescent="0.45">
      <c r="A6466" s="22" t="s">
        <v>2269</v>
      </c>
    </row>
    <row r="6467" spans="1:1" x14ac:dyDescent="0.45">
      <c r="A6467" s="21">
        <v>4800</v>
      </c>
    </row>
    <row r="6468" spans="1:1" x14ac:dyDescent="0.45">
      <c r="A6468" s="22" t="s">
        <v>2275</v>
      </c>
    </row>
    <row r="6469" spans="1:1" x14ac:dyDescent="0.45">
      <c r="A6469" s="21">
        <v>4700</v>
      </c>
    </row>
    <row r="6470" spans="1:1" x14ac:dyDescent="0.45">
      <c r="A6470" s="22" t="s">
        <v>2342</v>
      </c>
    </row>
    <row r="6471" spans="1:1" x14ac:dyDescent="0.45">
      <c r="A6471" s="21">
        <v>4400</v>
      </c>
    </row>
    <row r="6472" spans="1:1" x14ac:dyDescent="0.45">
      <c r="A6472" s="22" t="s">
        <v>2463</v>
      </c>
    </row>
    <row r="6473" spans="1:1" x14ac:dyDescent="0.45">
      <c r="A6473" s="21">
        <v>3900</v>
      </c>
    </row>
    <row r="6474" spans="1:1" x14ac:dyDescent="0.45">
      <c r="A6474" s="22" t="s">
        <v>2851</v>
      </c>
    </row>
    <row r="6475" spans="1:1" x14ac:dyDescent="0.45">
      <c r="A6475" s="21">
        <v>3700</v>
      </c>
    </row>
    <row r="6476" spans="1:1" x14ac:dyDescent="0.45">
      <c r="A6476" s="22" t="s">
        <v>2955</v>
      </c>
    </row>
    <row r="6477" spans="1:1" x14ac:dyDescent="0.45">
      <c r="A6477" s="21">
        <v>3400</v>
      </c>
    </row>
    <row r="6478" spans="1:1" x14ac:dyDescent="0.45">
      <c r="A6478" s="22" t="s">
        <v>3211</v>
      </c>
    </row>
    <row r="6479" spans="1:1" x14ac:dyDescent="0.45">
      <c r="A6479" s="21">
        <v>3100</v>
      </c>
    </row>
    <row r="6480" spans="1:1" x14ac:dyDescent="0.45">
      <c r="A6480" s="22" t="s">
        <v>3538</v>
      </c>
    </row>
    <row r="6481" spans="1:1" x14ac:dyDescent="0.45">
      <c r="A6481" s="21">
        <v>3000</v>
      </c>
    </row>
    <row r="6482" spans="1:1" x14ac:dyDescent="0.45">
      <c r="A6482" s="22" t="s">
        <v>3754</v>
      </c>
    </row>
    <row r="6483" spans="1:1" x14ac:dyDescent="0.45">
      <c r="A6483" s="21">
        <v>2900</v>
      </c>
    </row>
    <row r="6484" spans="1:1" x14ac:dyDescent="0.45">
      <c r="A6484" s="22" t="s">
        <v>3838</v>
      </c>
    </row>
    <row r="6485" spans="1:1" x14ac:dyDescent="0.45">
      <c r="A6485" s="21">
        <v>2800</v>
      </c>
    </row>
    <row r="6486" spans="1:1" x14ac:dyDescent="0.45">
      <c r="A6486" s="22" t="s">
        <v>3963</v>
      </c>
    </row>
    <row r="6487" spans="1:1" x14ac:dyDescent="0.45">
      <c r="A6487" s="21">
        <v>2600</v>
      </c>
    </row>
    <row r="6488" spans="1:1" x14ac:dyDescent="0.45">
      <c r="A6488" s="22" t="s">
        <v>4194</v>
      </c>
    </row>
    <row r="6489" spans="1:1" x14ac:dyDescent="0.45">
      <c r="A6489" s="21">
        <v>2200</v>
      </c>
    </row>
    <row r="6490" spans="1:1" x14ac:dyDescent="0.45">
      <c r="A6490" s="22" t="s">
        <v>4913</v>
      </c>
    </row>
    <row r="6491" spans="1:1" x14ac:dyDescent="0.45">
      <c r="A6491" s="21">
        <v>2100</v>
      </c>
    </row>
    <row r="6492" spans="1:1" x14ac:dyDescent="0.45">
      <c r="A6492" s="22" t="s">
        <v>4971</v>
      </c>
    </row>
    <row r="6493" spans="1:1" x14ac:dyDescent="0.45">
      <c r="A6493" s="22" t="s">
        <v>5137</v>
      </c>
    </row>
    <row r="6494" spans="1:1" x14ac:dyDescent="0.45">
      <c r="A6494" s="21">
        <v>2000</v>
      </c>
    </row>
    <row r="6495" spans="1:1" x14ac:dyDescent="0.45">
      <c r="A6495" s="22" t="s">
        <v>5236</v>
      </c>
    </row>
    <row r="6496" spans="1:1" x14ac:dyDescent="0.45">
      <c r="A6496" s="21">
        <v>1800</v>
      </c>
    </row>
    <row r="6497" spans="1:1" x14ac:dyDescent="0.45">
      <c r="A6497" s="22" t="s">
        <v>5762</v>
      </c>
    </row>
    <row r="6498" spans="1:1" x14ac:dyDescent="0.45">
      <c r="A6498" s="21">
        <v>1700</v>
      </c>
    </row>
    <row r="6499" spans="1:1" x14ac:dyDescent="0.45">
      <c r="A6499" s="22" t="s">
        <v>5783</v>
      </c>
    </row>
    <row r="6500" spans="1:1" x14ac:dyDescent="0.45">
      <c r="A6500" s="21">
        <v>1600</v>
      </c>
    </row>
    <row r="6501" spans="1:1" x14ac:dyDescent="0.45">
      <c r="A6501" s="22" t="s">
        <v>6024</v>
      </c>
    </row>
    <row r="6502" spans="1:1" x14ac:dyDescent="0.45">
      <c r="A6502" s="21">
        <v>1500</v>
      </c>
    </row>
    <row r="6503" spans="1:1" x14ac:dyDescent="0.45">
      <c r="A6503" s="22" t="s">
        <v>6546</v>
      </c>
    </row>
    <row r="6504" spans="1:1" x14ac:dyDescent="0.45">
      <c r="A6504" s="22" t="s">
        <v>6410</v>
      </c>
    </row>
    <row r="6505" spans="1:1" x14ac:dyDescent="0.45">
      <c r="A6505" s="22" t="s">
        <v>6580</v>
      </c>
    </row>
    <row r="6506" spans="1:1" x14ac:dyDescent="0.45">
      <c r="A6506" s="21">
        <v>1400</v>
      </c>
    </row>
    <row r="6507" spans="1:1" x14ac:dyDescent="0.45">
      <c r="A6507" s="22" t="s">
        <v>6808</v>
      </c>
    </row>
    <row r="6508" spans="1:1" x14ac:dyDescent="0.45">
      <c r="A6508" s="22" t="s">
        <v>6789</v>
      </c>
    </row>
    <row r="6509" spans="1:1" x14ac:dyDescent="0.45">
      <c r="A6509" s="21">
        <v>1300</v>
      </c>
    </row>
    <row r="6510" spans="1:1" x14ac:dyDescent="0.45">
      <c r="A6510" s="22" t="s">
        <v>6950</v>
      </c>
    </row>
    <row r="6511" spans="1:1" x14ac:dyDescent="0.45">
      <c r="A6511" s="22" t="s">
        <v>7161</v>
      </c>
    </row>
    <row r="6512" spans="1:1" x14ac:dyDescent="0.45">
      <c r="A6512" s="22" t="s">
        <v>6931</v>
      </c>
    </row>
    <row r="6513" spans="1:1" x14ac:dyDescent="0.45">
      <c r="A6513" s="22" t="s">
        <v>7203</v>
      </c>
    </row>
    <row r="6514" spans="1:1" x14ac:dyDescent="0.45">
      <c r="A6514" s="21">
        <v>1200</v>
      </c>
    </row>
    <row r="6515" spans="1:1" x14ac:dyDescent="0.45">
      <c r="A6515" s="22" t="s">
        <v>7238</v>
      </c>
    </row>
    <row r="6516" spans="1:1" x14ac:dyDescent="0.45">
      <c r="A6516" s="22" t="s">
        <v>7429</v>
      </c>
    </row>
    <row r="6517" spans="1:1" x14ac:dyDescent="0.45">
      <c r="A6517" s="21">
        <v>1100</v>
      </c>
    </row>
    <row r="6518" spans="1:1" x14ac:dyDescent="0.45">
      <c r="A6518" s="22" t="s">
        <v>7834</v>
      </c>
    </row>
    <row r="6519" spans="1:1" x14ac:dyDescent="0.45">
      <c r="A6519" s="22" t="s">
        <v>7849</v>
      </c>
    </row>
    <row r="6520" spans="1:1" x14ac:dyDescent="0.45">
      <c r="A6520" s="22" t="s">
        <v>7962</v>
      </c>
    </row>
    <row r="6521" spans="1:1" x14ac:dyDescent="0.45">
      <c r="A6521" s="21">
        <v>1000</v>
      </c>
    </row>
    <row r="6522" spans="1:1" x14ac:dyDescent="0.45">
      <c r="A6522" s="22" t="s">
        <v>8028</v>
      </c>
    </row>
    <row r="6523" spans="1:1" x14ac:dyDescent="0.45">
      <c r="A6523" s="19">
        <v>49</v>
      </c>
    </row>
    <row r="6524" spans="1:1" x14ac:dyDescent="0.45">
      <c r="A6524" s="21">
        <v>76000</v>
      </c>
    </row>
    <row r="6525" spans="1:1" x14ac:dyDescent="0.45">
      <c r="A6525" s="22" t="s">
        <v>122</v>
      </c>
    </row>
    <row r="6526" spans="1:1" x14ac:dyDescent="0.45">
      <c r="A6526" s="21">
        <v>8800</v>
      </c>
    </row>
    <row r="6527" spans="1:1" x14ac:dyDescent="0.45">
      <c r="A6527" s="22" t="s">
        <v>1067</v>
      </c>
    </row>
    <row r="6528" spans="1:1" x14ac:dyDescent="0.45">
      <c r="A6528" s="21">
        <v>5300</v>
      </c>
    </row>
    <row r="6529" spans="1:1" x14ac:dyDescent="0.45">
      <c r="A6529" s="22" t="s">
        <v>2031</v>
      </c>
    </row>
    <row r="6530" spans="1:1" x14ac:dyDescent="0.45">
      <c r="A6530" s="21">
        <v>5200</v>
      </c>
    </row>
    <row r="6531" spans="1:1" x14ac:dyDescent="0.45">
      <c r="A6531" s="22" t="s">
        <v>2105</v>
      </c>
    </row>
    <row r="6532" spans="1:1" x14ac:dyDescent="0.45">
      <c r="A6532" s="21">
        <v>5100</v>
      </c>
    </row>
    <row r="6533" spans="1:1" x14ac:dyDescent="0.45">
      <c r="A6533" s="22" t="s">
        <v>2119</v>
      </c>
    </row>
    <row r="6534" spans="1:1" x14ac:dyDescent="0.45">
      <c r="A6534" s="22" t="s">
        <v>2129</v>
      </c>
    </row>
    <row r="6535" spans="1:1" x14ac:dyDescent="0.45">
      <c r="A6535" s="21">
        <v>4300</v>
      </c>
    </row>
    <row r="6536" spans="1:1" x14ac:dyDescent="0.45">
      <c r="A6536" s="22" t="s">
        <v>2522</v>
      </c>
    </row>
    <row r="6537" spans="1:1" x14ac:dyDescent="0.45">
      <c r="A6537" s="21">
        <v>3300</v>
      </c>
    </row>
    <row r="6538" spans="1:1" x14ac:dyDescent="0.45">
      <c r="A6538" s="22" t="s">
        <v>3289</v>
      </c>
    </row>
    <row r="6539" spans="1:1" x14ac:dyDescent="0.45">
      <c r="A6539" s="21">
        <v>2900</v>
      </c>
    </row>
    <row r="6540" spans="1:1" x14ac:dyDescent="0.45">
      <c r="A6540" s="22" t="s">
        <v>3819</v>
      </c>
    </row>
    <row r="6541" spans="1:1" x14ac:dyDescent="0.45">
      <c r="A6541" s="21">
        <v>2500</v>
      </c>
    </row>
    <row r="6542" spans="1:1" x14ac:dyDescent="0.45">
      <c r="A6542" s="22" t="s">
        <v>4431</v>
      </c>
    </row>
    <row r="6543" spans="1:1" x14ac:dyDescent="0.45">
      <c r="A6543" s="21">
        <v>2300</v>
      </c>
    </row>
    <row r="6544" spans="1:1" x14ac:dyDescent="0.45">
      <c r="A6544" s="22" t="s">
        <v>4641</v>
      </c>
    </row>
    <row r="6545" spans="1:1" x14ac:dyDescent="0.45">
      <c r="A6545" s="21">
        <v>2100</v>
      </c>
    </row>
    <row r="6546" spans="1:1" x14ac:dyDescent="0.45">
      <c r="A6546" s="22" t="s">
        <v>5018</v>
      </c>
    </row>
    <row r="6547" spans="1:1" x14ac:dyDescent="0.45">
      <c r="A6547" s="22" t="s">
        <v>5050</v>
      </c>
    </row>
    <row r="6548" spans="1:1" x14ac:dyDescent="0.45">
      <c r="A6548" s="22" t="s">
        <v>5107</v>
      </c>
    </row>
    <row r="6549" spans="1:1" x14ac:dyDescent="0.45">
      <c r="A6549" s="22" t="s">
        <v>5167</v>
      </c>
    </row>
    <row r="6550" spans="1:1" x14ac:dyDescent="0.45">
      <c r="A6550" s="21">
        <v>2000</v>
      </c>
    </row>
    <row r="6551" spans="1:1" x14ac:dyDescent="0.45">
      <c r="A6551" s="22" t="s">
        <v>5175</v>
      </c>
    </row>
    <row r="6552" spans="1:1" x14ac:dyDescent="0.45">
      <c r="A6552" s="21">
        <v>1800</v>
      </c>
    </row>
    <row r="6553" spans="1:1" x14ac:dyDescent="0.45">
      <c r="A6553" s="22" t="s">
        <v>5567</v>
      </c>
    </row>
    <row r="6554" spans="1:1" x14ac:dyDescent="0.45">
      <c r="A6554" s="21">
        <v>1700</v>
      </c>
    </row>
    <row r="6555" spans="1:1" x14ac:dyDescent="0.45">
      <c r="A6555" s="22" t="s">
        <v>5988</v>
      </c>
    </row>
    <row r="6556" spans="1:1" x14ac:dyDescent="0.45">
      <c r="A6556" s="22" t="s">
        <v>5834</v>
      </c>
    </row>
    <row r="6557" spans="1:1" x14ac:dyDescent="0.45">
      <c r="A6557" s="22" t="s">
        <v>5977</v>
      </c>
    </row>
    <row r="6558" spans="1:1" x14ac:dyDescent="0.45">
      <c r="A6558" s="22" t="s">
        <v>5979</v>
      </c>
    </row>
    <row r="6559" spans="1:1" x14ac:dyDescent="0.45">
      <c r="A6559" s="21">
        <v>1600</v>
      </c>
    </row>
    <row r="6560" spans="1:1" x14ac:dyDescent="0.45">
      <c r="A6560" s="22" t="s">
        <v>6068</v>
      </c>
    </row>
    <row r="6561" spans="1:1" x14ac:dyDescent="0.45">
      <c r="A6561" s="22" t="s">
        <v>6184</v>
      </c>
    </row>
    <row r="6562" spans="1:1" x14ac:dyDescent="0.45">
      <c r="A6562" s="22" t="s">
        <v>6241</v>
      </c>
    </row>
    <row r="6563" spans="1:1" x14ac:dyDescent="0.45">
      <c r="A6563" s="21">
        <v>1500</v>
      </c>
    </row>
    <row r="6564" spans="1:1" x14ac:dyDescent="0.45">
      <c r="A6564" s="22" t="s">
        <v>6321</v>
      </c>
    </row>
    <row r="6565" spans="1:1" x14ac:dyDescent="0.45">
      <c r="A6565" s="22" t="s">
        <v>6471</v>
      </c>
    </row>
    <row r="6566" spans="1:1" x14ac:dyDescent="0.45">
      <c r="A6566" s="22" t="s">
        <v>6340</v>
      </c>
    </row>
    <row r="6567" spans="1:1" x14ac:dyDescent="0.45">
      <c r="A6567" s="21">
        <v>1400</v>
      </c>
    </row>
    <row r="6568" spans="1:1" x14ac:dyDescent="0.45">
      <c r="A6568" s="22" t="s">
        <v>6775</v>
      </c>
    </row>
    <row r="6569" spans="1:1" x14ac:dyDescent="0.45">
      <c r="A6569" s="21">
        <v>1300</v>
      </c>
    </row>
    <row r="6570" spans="1:1" x14ac:dyDescent="0.45">
      <c r="A6570" s="22" t="s">
        <v>7137</v>
      </c>
    </row>
    <row r="6571" spans="1:1" x14ac:dyDescent="0.45">
      <c r="A6571" s="22" t="s">
        <v>7220</v>
      </c>
    </row>
    <row r="6572" spans="1:1" x14ac:dyDescent="0.45">
      <c r="A6572" s="21">
        <v>1200</v>
      </c>
    </row>
    <row r="6573" spans="1:1" x14ac:dyDescent="0.45">
      <c r="A6573" s="22" t="s">
        <v>7498</v>
      </c>
    </row>
    <row r="6574" spans="1:1" x14ac:dyDescent="0.45">
      <c r="A6574" s="22" t="s">
        <v>7319</v>
      </c>
    </row>
    <row r="6575" spans="1:1" x14ac:dyDescent="0.45">
      <c r="A6575" s="21">
        <v>1100</v>
      </c>
    </row>
    <row r="6576" spans="1:1" x14ac:dyDescent="0.45">
      <c r="A6576" s="22" t="s">
        <v>7797</v>
      </c>
    </row>
    <row r="6577" spans="1:1" x14ac:dyDescent="0.45">
      <c r="A6577" s="22" t="s">
        <v>7872</v>
      </c>
    </row>
    <row r="6578" spans="1:1" x14ac:dyDescent="0.45">
      <c r="A6578" s="22" t="s">
        <v>7963</v>
      </c>
    </row>
    <row r="6579" spans="1:1" x14ac:dyDescent="0.45">
      <c r="A6579" s="21">
        <v>1000</v>
      </c>
    </row>
    <row r="6580" spans="1:1" x14ac:dyDescent="0.45">
      <c r="A6580" s="22" t="s">
        <v>8002</v>
      </c>
    </row>
    <row r="6581" spans="1:1" x14ac:dyDescent="0.45">
      <c r="A6581" s="19">
        <v>48</v>
      </c>
    </row>
    <row r="6582" spans="1:1" x14ac:dyDescent="0.45">
      <c r="A6582" s="21">
        <v>4000</v>
      </c>
    </row>
    <row r="6583" spans="1:1" x14ac:dyDescent="0.45">
      <c r="A6583" s="22" t="s">
        <v>2711</v>
      </c>
    </row>
    <row r="6584" spans="1:1" x14ac:dyDescent="0.45">
      <c r="A6584" s="21">
        <v>3300</v>
      </c>
    </row>
    <row r="6585" spans="1:1" x14ac:dyDescent="0.45">
      <c r="A6585" s="22" t="s">
        <v>3359</v>
      </c>
    </row>
    <row r="6586" spans="1:1" x14ac:dyDescent="0.45">
      <c r="A6586" s="21">
        <v>3200</v>
      </c>
    </row>
    <row r="6587" spans="1:1" x14ac:dyDescent="0.45">
      <c r="A6587" s="22" t="s">
        <v>3498</v>
      </c>
    </row>
    <row r="6588" spans="1:1" x14ac:dyDescent="0.45">
      <c r="A6588" s="21">
        <v>2900</v>
      </c>
    </row>
    <row r="6589" spans="1:1" x14ac:dyDescent="0.45">
      <c r="A6589" s="22" t="s">
        <v>3865</v>
      </c>
    </row>
    <row r="6590" spans="1:1" x14ac:dyDescent="0.45">
      <c r="A6590" s="21">
        <v>2600</v>
      </c>
    </row>
    <row r="6591" spans="1:1" x14ac:dyDescent="0.45">
      <c r="A6591" s="22" t="s">
        <v>4200</v>
      </c>
    </row>
    <row r="6592" spans="1:1" x14ac:dyDescent="0.45">
      <c r="A6592" s="21">
        <v>2400</v>
      </c>
    </row>
    <row r="6593" spans="1:1" x14ac:dyDescent="0.45">
      <c r="A6593" s="22" t="s">
        <v>4549</v>
      </c>
    </row>
    <row r="6594" spans="1:1" x14ac:dyDescent="0.45">
      <c r="A6594" s="21">
        <v>2200</v>
      </c>
    </row>
    <row r="6595" spans="1:1" x14ac:dyDescent="0.45">
      <c r="A6595" s="22" t="s">
        <v>4817</v>
      </c>
    </row>
    <row r="6596" spans="1:1" x14ac:dyDescent="0.45">
      <c r="A6596" s="21">
        <v>2100</v>
      </c>
    </row>
    <row r="6597" spans="1:1" x14ac:dyDescent="0.45">
      <c r="A6597" s="22" t="s">
        <v>5027</v>
      </c>
    </row>
    <row r="6598" spans="1:1" x14ac:dyDescent="0.45">
      <c r="A6598" s="21">
        <v>2000</v>
      </c>
    </row>
    <row r="6599" spans="1:1" x14ac:dyDescent="0.45">
      <c r="A6599" s="22" t="s">
        <v>5333</v>
      </c>
    </row>
    <row r="6600" spans="1:1" x14ac:dyDescent="0.45">
      <c r="A6600" s="22" t="s">
        <v>5268</v>
      </c>
    </row>
    <row r="6601" spans="1:1" x14ac:dyDescent="0.45">
      <c r="A6601" s="21">
        <v>1700</v>
      </c>
    </row>
    <row r="6602" spans="1:1" x14ac:dyDescent="0.45">
      <c r="A6602" s="22" t="s">
        <v>5879</v>
      </c>
    </row>
    <row r="6603" spans="1:1" x14ac:dyDescent="0.45">
      <c r="A6603" s="21">
        <v>1600</v>
      </c>
    </row>
    <row r="6604" spans="1:1" x14ac:dyDescent="0.45">
      <c r="A6604" s="22" t="s">
        <v>6258</v>
      </c>
    </row>
    <row r="6605" spans="1:1" x14ac:dyDescent="0.45">
      <c r="A6605" s="21">
        <v>1500</v>
      </c>
    </row>
    <row r="6606" spans="1:1" x14ac:dyDescent="0.45">
      <c r="A6606" s="22" t="s">
        <v>6441</v>
      </c>
    </row>
    <row r="6607" spans="1:1" x14ac:dyDescent="0.45">
      <c r="A6607" s="22" t="s">
        <v>6474</v>
      </c>
    </row>
    <row r="6608" spans="1:1" x14ac:dyDescent="0.45">
      <c r="A6608" s="21">
        <v>1400</v>
      </c>
    </row>
    <row r="6609" spans="1:1" x14ac:dyDescent="0.45">
      <c r="A6609" s="22" t="s">
        <v>6826</v>
      </c>
    </row>
    <row r="6610" spans="1:1" x14ac:dyDescent="0.45">
      <c r="A6610" s="22" t="s">
        <v>6725</v>
      </c>
    </row>
    <row r="6611" spans="1:1" x14ac:dyDescent="0.45">
      <c r="A6611" s="21">
        <v>1300</v>
      </c>
    </row>
    <row r="6612" spans="1:1" x14ac:dyDescent="0.45">
      <c r="A6612" s="22" t="s">
        <v>7152</v>
      </c>
    </row>
    <row r="6613" spans="1:1" x14ac:dyDescent="0.45">
      <c r="A6613" s="21">
        <v>1200</v>
      </c>
    </row>
    <row r="6614" spans="1:1" x14ac:dyDescent="0.45">
      <c r="A6614" s="22" t="s">
        <v>7434</v>
      </c>
    </row>
    <row r="6615" spans="1:1" x14ac:dyDescent="0.45">
      <c r="A6615" s="21">
        <v>1100</v>
      </c>
    </row>
    <row r="6616" spans="1:1" x14ac:dyDescent="0.45">
      <c r="A6616" s="22" t="s">
        <v>7960</v>
      </c>
    </row>
    <row r="6617" spans="1:1" x14ac:dyDescent="0.45">
      <c r="A6617" s="21">
        <v>1000</v>
      </c>
    </row>
    <row r="6618" spans="1:1" x14ac:dyDescent="0.45">
      <c r="A6618" s="22" t="s">
        <v>8099</v>
      </c>
    </row>
    <row r="6619" spans="1:1" x14ac:dyDescent="0.45">
      <c r="A6619" s="19">
        <v>47</v>
      </c>
    </row>
    <row r="6620" spans="1:1" x14ac:dyDescent="0.45">
      <c r="A6620" s="21">
        <v>13700</v>
      </c>
    </row>
    <row r="6621" spans="1:1" x14ac:dyDescent="0.45">
      <c r="A6621" s="22" t="s">
        <v>696</v>
      </c>
    </row>
    <row r="6622" spans="1:1" x14ac:dyDescent="0.45">
      <c r="A6622" s="21">
        <v>9200</v>
      </c>
    </row>
    <row r="6623" spans="1:1" x14ac:dyDescent="0.45">
      <c r="A6623" s="22" t="s">
        <v>1007</v>
      </c>
    </row>
    <row r="6624" spans="1:1" x14ac:dyDescent="0.45">
      <c r="A6624" s="21">
        <v>8800</v>
      </c>
    </row>
    <row r="6625" spans="1:1" x14ac:dyDescent="0.45">
      <c r="A6625" s="22" t="s">
        <v>1058</v>
      </c>
    </row>
    <row r="6626" spans="1:1" x14ac:dyDescent="0.45">
      <c r="A6626" s="21">
        <v>8500</v>
      </c>
    </row>
    <row r="6627" spans="1:1" x14ac:dyDescent="0.45">
      <c r="A6627" s="22" t="s">
        <v>1119</v>
      </c>
    </row>
    <row r="6628" spans="1:1" x14ac:dyDescent="0.45">
      <c r="A6628" s="21">
        <v>6700</v>
      </c>
    </row>
    <row r="6629" spans="1:1" x14ac:dyDescent="0.45">
      <c r="A6629" s="22" t="s">
        <v>1591</v>
      </c>
    </row>
    <row r="6630" spans="1:1" x14ac:dyDescent="0.45">
      <c r="A6630" s="21">
        <v>6600</v>
      </c>
    </row>
    <row r="6631" spans="1:1" x14ac:dyDescent="0.45">
      <c r="A6631" s="22" t="s">
        <v>1664</v>
      </c>
    </row>
    <row r="6632" spans="1:1" x14ac:dyDescent="0.45">
      <c r="A6632" s="22" t="s">
        <v>1643</v>
      </c>
    </row>
    <row r="6633" spans="1:1" x14ac:dyDescent="0.45">
      <c r="A6633" s="21">
        <v>3700</v>
      </c>
    </row>
    <row r="6634" spans="1:1" x14ac:dyDescent="0.45">
      <c r="A6634" s="22" t="s">
        <v>2961</v>
      </c>
    </row>
    <row r="6635" spans="1:1" x14ac:dyDescent="0.45">
      <c r="A6635" s="21">
        <v>3600</v>
      </c>
    </row>
    <row r="6636" spans="1:1" x14ac:dyDescent="0.45">
      <c r="A6636" s="22" t="s">
        <v>3005</v>
      </c>
    </row>
    <row r="6637" spans="1:1" x14ac:dyDescent="0.45">
      <c r="A6637" s="21">
        <v>2600</v>
      </c>
    </row>
    <row r="6638" spans="1:1" x14ac:dyDescent="0.45">
      <c r="A6638" s="22" t="s">
        <v>4208</v>
      </c>
    </row>
    <row r="6639" spans="1:1" x14ac:dyDescent="0.45">
      <c r="A6639" s="22" t="s">
        <v>4253</v>
      </c>
    </row>
    <row r="6640" spans="1:1" x14ac:dyDescent="0.45">
      <c r="A6640" s="21">
        <v>2300</v>
      </c>
    </row>
    <row r="6641" spans="1:1" x14ac:dyDescent="0.45">
      <c r="A6641" s="22" t="s">
        <v>4704</v>
      </c>
    </row>
    <row r="6642" spans="1:1" x14ac:dyDescent="0.45">
      <c r="A6642" s="21">
        <v>2100</v>
      </c>
    </row>
    <row r="6643" spans="1:1" x14ac:dyDescent="0.45">
      <c r="A6643" s="22" t="s">
        <v>5031</v>
      </c>
    </row>
    <row r="6644" spans="1:1" x14ac:dyDescent="0.45">
      <c r="A6644" s="21">
        <v>2000</v>
      </c>
    </row>
    <row r="6645" spans="1:1" x14ac:dyDescent="0.45">
      <c r="A6645" s="22" t="s">
        <v>5211</v>
      </c>
    </row>
    <row r="6646" spans="1:1" x14ac:dyDescent="0.45">
      <c r="A6646" s="22" t="s">
        <v>5260</v>
      </c>
    </row>
    <row r="6647" spans="1:1" x14ac:dyDescent="0.45">
      <c r="A6647" s="21">
        <v>1800</v>
      </c>
    </row>
    <row r="6648" spans="1:1" x14ac:dyDescent="0.45">
      <c r="A6648" s="22" t="s">
        <v>5649</v>
      </c>
    </row>
    <row r="6649" spans="1:1" x14ac:dyDescent="0.45">
      <c r="A6649" s="21">
        <v>1700</v>
      </c>
    </row>
    <row r="6650" spans="1:1" x14ac:dyDescent="0.45">
      <c r="A6650" s="22" t="s">
        <v>5809</v>
      </c>
    </row>
    <row r="6651" spans="1:1" x14ac:dyDescent="0.45">
      <c r="A6651" s="22" t="s">
        <v>5907</v>
      </c>
    </row>
    <row r="6652" spans="1:1" x14ac:dyDescent="0.45">
      <c r="A6652" s="21">
        <v>1600</v>
      </c>
    </row>
    <row r="6653" spans="1:1" x14ac:dyDescent="0.45">
      <c r="A6653" s="22" t="s">
        <v>6030</v>
      </c>
    </row>
    <row r="6654" spans="1:1" x14ac:dyDescent="0.45">
      <c r="A6654" s="21">
        <v>1500</v>
      </c>
    </row>
    <row r="6655" spans="1:1" x14ac:dyDescent="0.45">
      <c r="A6655" s="22" t="s">
        <v>6335</v>
      </c>
    </row>
    <row r="6656" spans="1:1" x14ac:dyDescent="0.45">
      <c r="A6656" s="22" t="s">
        <v>6577</v>
      </c>
    </row>
    <row r="6657" spans="1:1" x14ac:dyDescent="0.45">
      <c r="A6657" s="21">
        <v>1300</v>
      </c>
    </row>
    <row r="6658" spans="1:1" x14ac:dyDescent="0.45">
      <c r="A6658" s="22" t="s">
        <v>7196</v>
      </c>
    </row>
    <row r="6659" spans="1:1" x14ac:dyDescent="0.45">
      <c r="A6659" s="21">
        <v>1200</v>
      </c>
    </row>
    <row r="6660" spans="1:1" x14ac:dyDescent="0.45">
      <c r="A6660" s="22" t="s">
        <v>7602</v>
      </c>
    </row>
    <row r="6661" spans="1:1" x14ac:dyDescent="0.45">
      <c r="A6661" s="21">
        <v>1100</v>
      </c>
    </row>
    <row r="6662" spans="1:1" x14ac:dyDescent="0.45">
      <c r="A6662" s="22" t="s">
        <v>7795</v>
      </c>
    </row>
    <row r="6663" spans="1:1" x14ac:dyDescent="0.45">
      <c r="A6663" s="22" t="s">
        <v>7669</v>
      </c>
    </row>
    <row r="6664" spans="1:1" x14ac:dyDescent="0.45">
      <c r="A6664" s="22" t="s">
        <v>7718</v>
      </c>
    </row>
    <row r="6665" spans="1:1" x14ac:dyDescent="0.45">
      <c r="A6665" s="22" t="s">
        <v>7914</v>
      </c>
    </row>
    <row r="6666" spans="1:1" x14ac:dyDescent="0.45">
      <c r="A6666" s="19">
        <v>46</v>
      </c>
    </row>
    <row r="6667" spans="1:1" x14ac:dyDescent="0.45">
      <c r="A6667" s="21">
        <v>6000</v>
      </c>
    </row>
    <row r="6668" spans="1:1" x14ac:dyDescent="0.45">
      <c r="A6668" s="22" t="s">
        <v>1789</v>
      </c>
    </row>
    <row r="6669" spans="1:1" x14ac:dyDescent="0.45">
      <c r="A6669" s="21">
        <v>4600</v>
      </c>
    </row>
    <row r="6670" spans="1:1" x14ac:dyDescent="0.45">
      <c r="A6670" s="22" t="s">
        <v>2369</v>
      </c>
    </row>
    <row r="6671" spans="1:1" x14ac:dyDescent="0.45">
      <c r="A6671" s="21">
        <v>4300</v>
      </c>
    </row>
    <row r="6672" spans="1:1" x14ac:dyDescent="0.45">
      <c r="A6672" s="22" t="s">
        <v>2514</v>
      </c>
    </row>
    <row r="6673" spans="1:1" x14ac:dyDescent="0.45">
      <c r="A6673" s="21">
        <v>4000</v>
      </c>
    </row>
    <row r="6674" spans="1:1" x14ac:dyDescent="0.45">
      <c r="A6674" s="22" t="s">
        <v>2728</v>
      </c>
    </row>
    <row r="6675" spans="1:1" x14ac:dyDescent="0.45">
      <c r="A6675" s="21">
        <v>3100</v>
      </c>
    </row>
    <row r="6676" spans="1:1" x14ac:dyDescent="0.45">
      <c r="A6676" s="22" t="s">
        <v>3540</v>
      </c>
    </row>
    <row r="6677" spans="1:1" x14ac:dyDescent="0.45">
      <c r="A6677" s="22" t="s">
        <v>3576</v>
      </c>
    </row>
    <row r="6678" spans="1:1" x14ac:dyDescent="0.45">
      <c r="A6678" s="21">
        <v>2900</v>
      </c>
    </row>
    <row r="6679" spans="1:1" x14ac:dyDescent="0.45">
      <c r="A6679" s="22" t="s">
        <v>3872</v>
      </c>
    </row>
    <row r="6680" spans="1:1" x14ac:dyDescent="0.45">
      <c r="A6680" s="21">
        <v>2600</v>
      </c>
    </row>
    <row r="6681" spans="1:1" x14ac:dyDescent="0.45">
      <c r="A6681" s="22" t="s">
        <v>4285</v>
      </c>
    </row>
    <row r="6682" spans="1:1" x14ac:dyDescent="0.45">
      <c r="A6682" s="22" t="s">
        <v>4196</v>
      </c>
    </row>
    <row r="6683" spans="1:1" x14ac:dyDescent="0.45">
      <c r="A6683" s="21">
        <v>2200</v>
      </c>
    </row>
    <row r="6684" spans="1:1" x14ac:dyDescent="0.45">
      <c r="A6684" s="22" t="s">
        <v>4910</v>
      </c>
    </row>
    <row r="6685" spans="1:1" x14ac:dyDescent="0.45">
      <c r="A6685" s="21">
        <v>2000</v>
      </c>
    </row>
    <row r="6686" spans="1:1" x14ac:dyDescent="0.45">
      <c r="A6686" s="22" t="s">
        <v>5323</v>
      </c>
    </row>
    <row r="6687" spans="1:1" x14ac:dyDescent="0.45">
      <c r="A6687" s="22" t="s">
        <v>5276</v>
      </c>
    </row>
    <row r="6688" spans="1:1" x14ac:dyDescent="0.45">
      <c r="A6688" s="22" t="s">
        <v>5335</v>
      </c>
    </row>
    <row r="6689" spans="1:1" x14ac:dyDescent="0.45">
      <c r="A6689" s="21">
        <v>1800</v>
      </c>
    </row>
    <row r="6690" spans="1:1" x14ac:dyDescent="0.45">
      <c r="A6690" s="22" t="s">
        <v>5695</v>
      </c>
    </row>
    <row r="6691" spans="1:1" x14ac:dyDescent="0.45">
      <c r="A6691" s="22" t="s">
        <v>5740</v>
      </c>
    </row>
    <row r="6692" spans="1:1" x14ac:dyDescent="0.45">
      <c r="A6692" s="22" t="s">
        <v>5631</v>
      </c>
    </row>
    <row r="6693" spans="1:1" x14ac:dyDescent="0.45">
      <c r="A6693" s="21">
        <v>1600</v>
      </c>
    </row>
    <row r="6694" spans="1:1" x14ac:dyDescent="0.45">
      <c r="A6694" s="22" t="s">
        <v>6139</v>
      </c>
    </row>
    <row r="6695" spans="1:1" x14ac:dyDescent="0.45">
      <c r="A6695" s="21">
        <v>1500</v>
      </c>
    </row>
    <row r="6696" spans="1:1" x14ac:dyDescent="0.45">
      <c r="A6696" s="22" t="s">
        <v>6302</v>
      </c>
    </row>
    <row r="6697" spans="1:1" x14ac:dyDescent="0.45">
      <c r="A6697" s="21">
        <v>1400</v>
      </c>
    </row>
    <row r="6698" spans="1:1" x14ac:dyDescent="0.45">
      <c r="A6698" s="22" t="s">
        <v>6827</v>
      </c>
    </row>
    <row r="6699" spans="1:1" x14ac:dyDescent="0.45">
      <c r="A6699" s="21">
        <v>1300</v>
      </c>
    </row>
    <row r="6700" spans="1:1" x14ac:dyDescent="0.45">
      <c r="A6700" s="22" t="s">
        <v>7076</v>
      </c>
    </row>
    <row r="6701" spans="1:1" x14ac:dyDescent="0.45">
      <c r="A6701" s="21">
        <v>1200</v>
      </c>
    </row>
    <row r="6702" spans="1:1" x14ac:dyDescent="0.45">
      <c r="A6702" s="22" t="s">
        <v>7260</v>
      </c>
    </row>
    <row r="6703" spans="1:1" x14ac:dyDescent="0.45">
      <c r="A6703" s="22" t="s">
        <v>7343</v>
      </c>
    </row>
    <row r="6704" spans="1:1" x14ac:dyDescent="0.45">
      <c r="A6704" s="22" t="s">
        <v>7594</v>
      </c>
    </row>
    <row r="6705" spans="1:1" x14ac:dyDescent="0.45">
      <c r="A6705" s="21">
        <v>1100</v>
      </c>
    </row>
    <row r="6706" spans="1:1" x14ac:dyDescent="0.45">
      <c r="A6706" s="22" t="s">
        <v>7908</v>
      </c>
    </row>
    <row r="6707" spans="1:1" x14ac:dyDescent="0.45">
      <c r="A6707" s="22" t="s">
        <v>7809</v>
      </c>
    </row>
    <row r="6708" spans="1:1" x14ac:dyDescent="0.45">
      <c r="A6708" s="21">
        <v>1000</v>
      </c>
    </row>
    <row r="6709" spans="1:1" x14ac:dyDescent="0.45">
      <c r="A6709" s="22" t="s">
        <v>8054</v>
      </c>
    </row>
    <row r="6710" spans="1:1" x14ac:dyDescent="0.45">
      <c r="A6710" s="19">
        <v>45</v>
      </c>
    </row>
    <row r="6711" spans="1:1" x14ac:dyDescent="0.45">
      <c r="A6711" s="21">
        <v>15500</v>
      </c>
    </row>
    <row r="6712" spans="1:1" x14ac:dyDescent="0.45">
      <c r="A6712" s="22" t="s">
        <v>614</v>
      </c>
    </row>
    <row r="6713" spans="1:1" x14ac:dyDescent="0.45">
      <c r="A6713" s="21">
        <v>10500</v>
      </c>
    </row>
    <row r="6714" spans="1:1" x14ac:dyDescent="0.45">
      <c r="A6714" s="22" t="s">
        <v>848</v>
      </c>
    </row>
    <row r="6715" spans="1:1" x14ac:dyDescent="0.45">
      <c r="A6715" s="21">
        <v>4600</v>
      </c>
    </row>
    <row r="6716" spans="1:1" x14ac:dyDescent="0.45">
      <c r="A6716" s="22" t="s">
        <v>2387</v>
      </c>
    </row>
    <row r="6717" spans="1:1" x14ac:dyDescent="0.45">
      <c r="A6717" s="21">
        <v>3500</v>
      </c>
    </row>
    <row r="6718" spans="1:1" x14ac:dyDescent="0.45">
      <c r="A6718" s="22" t="s">
        <v>3177</v>
      </c>
    </row>
    <row r="6719" spans="1:1" x14ac:dyDescent="0.45">
      <c r="A6719" s="21">
        <v>2500</v>
      </c>
    </row>
    <row r="6720" spans="1:1" x14ac:dyDescent="0.45">
      <c r="A6720" s="22" t="s">
        <v>4485</v>
      </c>
    </row>
    <row r="6721" spans="1:1" x14ac:dyDescent="0.45">
      <c r="A6721" s="21">
        <v>2400</v>
      </c>
    </row>
    <row r="6722" spans="1:1" x14ac:dyDescent="0.45">
      <c r="A6722" s="22" t="s">
        <v>4498</v>
      </c>
    </row>
    <row r="6723" spans="1:1" x14ac:dyDescent="0.45">
      <c r="A6723" s="21">
        <v>2300</v>
      </c>
    </row>
    <row r="6724" spans="1:1" x14ac:dyDescent="0.45">
      <c r="A6724" s="22" t="s">
        <v>4662</v>
      </c>
    </row>
    <row r="6725" spans="1:1" x14ac:dyDescent="0.45">
      <c r="A6725" s="22" t="s">
        <v>4639</v>
      </c>
    </row>
    <row r="6726" spans="1:1" x14ac:dyDescent="0.45">
      <c r="A6726" s="21">
        <v>1900</v>
      </c>
    </row>
    <row r="6727" spans="1:1" x14ac:dyDescent="0.45">
      <c r="A6727" s="22" t="s">
        <v>5436</v>
      </c>
    </row>
    <row r="6728" spans="1:1" x14ac:dyDescent="0.45">
      <c r="A6728" s="21">
        <v>1800</v>
      </c>
    </row>
    <row r="6729" spans="1:1" x14ac:dyDescent="0.45">
      <c r="A6729" s="22" t="s">
        <v>5635</v>
      </c>
    </row>
    <row r="6730" spans="1:1" x14ac:dyDescent="0.45">
      <c r="A6730" s="21">
        <v>1600</v>
      </c>
    </row>
    <row r="6731" spans="1:1" x14ac:dyDescent="0.45">
      <c r="A6731" s="22" t="s">
        <v>6077</v>
      </c>
    </row>
    <row r="6732" spans="1:1" x14ac:dyDescent="0.45">
      <c r="A6732" s="22" t="s">
        <v>6133</v>
      </c>
    </row>
    <row r="6733" spans="1:1" x14ac:dyDescent="0.45">
      <c r="A6733" s="21">
        <v>1400</v>
      </c>
    </row>
    <row r="6734" spans="1:1" x14ac:dyDescent="0.45">
      <c r="A6734" s="22" t="s">
        <v>6665</v>
      </c>
    </row>
    <row r="6735" spans="1:1" x14ac:dyDescent="0.45">
      <c r="A6735" s="21">
        <v>1300</v>
      </c>
    </row>
    <row r="6736" spans="1:1" x14ac:dyDescent="0.45">
      <c r="A6736" s="22" t="s">
        <v>7082</v>
      </c>
    </row>
    <row r="6737" spans="1:1" x14ac:dyDescent="0.45">
      <c r="A6737" s="22" t="s">
        <v>6985</v>
      </c>
    </row>
    <row r="6738" spans="1:1" x14ac:dyDescent="0.45">
      <c r="A6738" s="22" t="s">
        <v>6991</v>
      </c>
    </row>
    <row r="6739" spans="1:1" x14ac:dyDescent="0.45">
      <c r="A6739" s="21">
        <v>1200</v>
      </c>
    </row>
    <row r="6740" spans="1:1" x14ac:dyDescent="0.45">
      <c r="A6740" s="22" t="s">
        <v>7379</v>
      </c>
    </row>
    <row r="6741" spans="1:1" x14ac:dyDescent="0.45">
      <c r="A6741" s="21">
        <v>1100</v>
      </c>
    </row>
    <row r="6742" spans="1:1" x14ac:dyDescent="0.45">
      <c r="A6742" s="22" t="s">
        <v>7661</v>
      </c>
    </row>
    <row r="6743" spans="1:1" x14ac:dyDescent="0.45">
      <c r="A6743" s="22" t="s">
        <v>7880</v>
      </c>
    </row>
    <row r="6744" spans="1:1" x14ac:dyDescent="0.45">
      <c r="A6744" s="21">
        <v>1000</v>
      </c>
    </row>
    <row r="6745" spans="1:1" x14ac:dyDescent="0.45">
      <c r="A6745" s="22" t="s">
        <v>8061</v>
      </c>
    </row>
    <row r="6746" spans="1:1" x14ac:dyDescent="0.45">
      <c r="A6746" s="22" t="s">
        <v>8119</v>
      </c>
    </row>
    <row r="6747" spans="1:1" x14ac:dyDescent="0.45">
      <c r="A6747" s="22" t="s">
        <v>7997</v>
      </c>
    </row>
    <row r="6748" spans="1:1" x14ac:dyDescent="0.45">
      <c r="A6748" s="19">
        <v>44</v>
      </c>
    </row>
    <row r="6749" spans="1:1" x14ac:dyDescent="0.45">
      <c r="A6749" s="21">
        <v>9400</v>
      </c>
    </row>
    <row r="6750" spans="1:1" x14ac:dyDescent="0.45">
      <c r="A6750" s="22" t="s">
        <v>987</v>
      </c>
    </row>
    <row r="6751" spans="1:1" x14ac:dyDescent="0.45">
      <c r="A6751" s="21">
        <v>6700</v>
      </c>
    </row>
    <row r="6752" spans="1:1" x14ac:dyDescent="0.45">
      <c r="A6752" s="22" t="s">
        <v>1593</v>
      </c>
    </row>
    <row r="6753" spans="1:1" x14ac:dyDescent="0.45">
      <c r="A6753" s="21">
        <v>3900</v>
      </c>
    </row>
    <row r="6754" spans="1:1" x14ac:dyDescent="0.45">
      <c r="A6754" s="22" t="s">
        <v>2853</v>
      </c>
    </row>
    <row r="6755" spans="1:1" x14ac:dyDescent="0.45">
      <c r="A6755" s="21">
        <v>2800</v>
      </c>
    </row>
    <row r="6756" spans="1:1" x14ac:dyDescent="0.45">
      <c r="A6756" s="22" t="s">
        <v>3891</v>
      </c>
    </row>
    <row r="6757" spans="1:1" x14ac:dyDescent="0.45">
      <c r="A6757" s="21">
        <v>2300</v>
      </c>
    </row>
    <row r="6758" spans="1:1" x14ac:dyDescent="0.45">
      <c r="A6758" s="22" t="s">
        <v>4646</v>
      </c>
    </row>
    <row r="6759" spans="1:1" x14ac:dyDescent="0.45">
      <c r="A6759" s="21">
        <v>2200</v>
      </c>
    </row>
    <row r="6760" spans="1:1" x14ac:dyDescent="0.45">
      <c r="A6760" s="22" t="s">
        <v>4839</v>
      </c>
    </row>
    <row r="6761" spans="1:1" x14ac:dyDescent="0.45">
      <c r="A6761" s="21">
        <v>2000</v>
      </c>
    </row>
    <row r="6762" spans="1:1" x14ac:dyDescent="0.45">
      <c r="A6762" s="22" t="s">
        <v>5187</v>
      </c>
    </row>
    <row r="6763" spans="1:1" x14ac:dyDescent="0.45">
      <c r="A6763" s="21">
        <v>1600</v>
      </c>
    </row>
    <row r="6764" spans="1:1" x14ac:dyDescent="0.45">
      <c r="A6764" s="22" t="s">
        <v>6178</v>
      </c>
    </row>
    <row r="6765" spans="1:1" x14ac:dyDescent="0.45">
      <c r="A6765" s="22" t="s">
        <v>6193</v>
      </c>
    </row>
    <row r="6766" spans="1:1" x14ac:dyDescent="0.45">
      <c r="A6766" s="21">
        <v>1400</v>
      </c>
    </row>
    <row r="6767" spans="1:1" x14ac:dyDescent="0.45">
      <c r="A6767" s="22" t="s">
        <v>6644</v>
      </c>
    </row>
    <row r="6768" spans="1:1" x14ac:dyDescent="0.45">
      <c r="A6768" s="22" t="s">
        <v>6661</v>
      </c>
    </row>
    <row r="6769" spans="1:1" x14ac:dyDescent="0.45">
      <c r="A6769" s="21">
        <v>1300</v>
      </c>
    </row>
    <row r="6770" spans="1:1" x14ac:dyDescent="0.45">
      <c r="A6770" s="22" t="s">
        <v>7184</v>
      </c>
    </row>
    <row r="6771" spans="1:1" x14ac:dyDescent="0.45">
      <c r="A6771" s="21">
        <v>1000</v>
      </c>
    </row>
    <row r="6772" spans="1:1" x14ac:dyDescent="0.45">
      <c r="A6772" s="22" t="s">
        <v>7973</v>
      </c>
    </row>
    <row r="6773" spans="1:1" x14ac:dyDescent="0.45">
      <c r="A6773" s="22" t="s">
        <v>7969</v>
      </c>
    </row>
    <row r="6774" spans="1:1" x14ac:dyDescent="0.45">
      <c r="A6774" s="19">
        <v>43</v>
      </c>
    </row>
    <row r="6775" spans="1:1" x14ac:dyDescent="0.45">
      <c r="A6775" s="21">
        <v>30200</v>
      </c>
    </row>
    <row r="6776" spans="1:1" x14ac:dyDescent="0.45">
      <c r="A6776" s="22" t="s">
        <v>291</v>
      </c>
    </row>
    <row r="6777" spans="1:1" x14ac:dyDescent="0.45">
      <c r="A6777" s="21">
        <v>10200</v>
      </c>
    </row>
    <row r="6778" spans="1:1" x14ac:dyDescent="0.45">
      <c r="A6778" s="22" t="s">
        <v>855</v>
      </c>
    </row>
    <row r="6779" spans="1:1" x14ac:dyDescent="0.45">
      <c r="A6779" s="21">
        <v>10100</v>
      </c>
    </row>
    <row r="6780" spans="1:1" x14ac:dyDescent="0.45">
      <c r="A6780" s="22" t="s">
        <v>886</v>
      </c>
    </row>
    <row r="6781" spans="1:1" x14ac:dyDescent="0.45">
      <c r="A6781" s="21">
        <v>5400</v>
      </c>
    </row>
    <row r="6782" spans="1:1" x14ac:dyDescent="0.45">
      <c r="A6782" s="22" t="s">
        <v>1997</v>
      </c>
    </row>
    <row r="6783" spans="1:1" x14ac:dyDescent="0.45">
      <c r="A6783" s="21">
        <v>5000</v>
      </c>
    </row>
    <row r="6784" spans="1:1" x14ac:dyDescent="0.45">
      <c r="A6784" s="22" t="s">
        <v>2167</v>
      </c>
    </row>
    <row r="6785" spans="1:1" x14ac:dyDescent="0.45">
      <c r="A6785" s="21">
        <v>2900</v>
      </c>
    </row>
    <row r="6786" spans="1:1" x14ac:dyDescent="0.45">
      <c r="A6786" s="22" t="s">
        <v>3854</v>
      </c>
    </row>
    <row r="6787" spans="1:1" x14ac:dyDescent="0.45">
      <c r="A6787" s="21">
        <v>2800</v>
      </c>
    </row>
    <row r="6788" spans="1:1" x14ac:dyDescent="0.45">
      <c r="A6788" s="22" t="s">
        <v>3970</v>
      </c>
    </row>
    <row r="6789" spans="1:1" x14ac:dyDescent="0.45">
      <c r="A6789" s="21">
        <v>2700</v>
      </c>
    </row>
    <row r="6790" spans="1:1" x14ac:dyDescent="0.45">
      <c r="A6790" s="22" t="s">
        <v>4059</v>
      </c>
    </row>
    <row r="6791" spans="1:1" x14ac:dyDescent="0.45">
      <c r="A6791" s="21">
        <v>2300</v>
      </c>
    </row>
    <row r="6792" spans="1:1" x14ac:dyDescent="0.45">
      <c r="A6792" s="22" t="s">
        <v>4603</v>
      </c>
    </row>
    <row r="6793" spans="1:1" x14ac:dyDescent="0.45">
      <c r="A6793" s="21">
        <v>2200</v>
      </c>
    </row>
    <row r="6794" spans="1:1" x14ac:dyDescent="0.45">
      <c r="A6794" s="22" t="s">
        <v>4877</v>
      </c>
    </row>
    <row r="6795" spans="1:1" x14ac:dyDescent="0.45">
      <c r="A6795" s="22" t="s">
        <v>4829</v>
      </c>
    </row>
    <row r="6796" spans="1:1" x14ac:dyDescent="0.45">
      <c r="A6796" s="21">
        <v>2100</v>
      </c>
    </row>
    <row r="6797" spans="1:1" x14ac:dyDescent="0.45">
      <c r="A6797" s="22" t="s">
        <v>5075</v>
      </c>
    </row>
    <row r="6798" spans="1:1" x14ac:dyDescent="0.45">
      <c r="A6798" s="21">
        <v>1800</v>
      </c>
    </row>
    <row r="6799" spans="1:1" x14ac:dyDescent="0.45">
      <c r="A6799" s="22" t="s">
        <v>5548</v>
      </c>
    </row>
    <row r="6800" spans="1:1" x14ac:dyDescent="0.45">
      <c r="A6800" s="22" t="s">
        <v>5646</v>
      </c>
    </row>
    <row r="6801" spans="1:1" x14ac:dyDescent="0.45">
      <c r="A6801" s="21">
        <v>1500</v>
      </c>
    </row>
    <row r="6802" spans="1:1" x14ac:dyDescent="0.45">
      <c r="A6802" s="22" t="s">
        <v>6588</v>
      </c>
    </row>
    <row r="6803" spans="1:1" x14ac:dyDescent="0.45">
      <c r="A6803" s="21">
        <v>1400</v>
      </c>
    </row>
    <row r="6804" spans="1:1" x14ac:dyDescent="0.45">
      <c r="A6804" s="22" t="s">
        <v>6859</v>
      </c>
    </row>
    <row r="6805" spans="1:1" x14ac:dyDescent="0.45">
      <c r="A6805" s="21">
        <v>1200</v>
      </c>
    </row>
    <row r="6806" spans="1:1" x14ac:dyDescent="0.45">
      <c r="A6806" s="22" t="s">
        <v>7491</v>
      </c>
    </row>
    <row r="6807" spans="1:1" x14ac:dyDescent="0.45">
      <c r="A6807" s="22" t="s">
        <v>7385</v>
      </c>
    </row>
    <row r="6808" spans="1:1" x14ac:dyDescent="0.45">
      <c r="A6808" s="22" t="s">
        <v>7445</v>
      </c>
    </row>
    <row r="6809" spans="1:1" x14ac:dyDescent="0.45">
      <c r="A6809" s="22" t="s">
        <v>7339</v>
      </c>
    </row>
    <row r="6810" spans="1:1" x14ac:dyDescent="0.45">
      <c r="A6810" s="22" t="s">
        <v>7488</v>
      </c>
    </row>
    <row r="6811" spans="1:1" x14ac:dyDescent="0.45">
      <c r="A6811" s="21">
        <v>1000</v>
      </c>
    </row>
    <row r="6812" spans="1:1" x14ac:dyDescent="0.45">
      <c r="A6812" s="22" t="s">
        <v>7975</v>
      </c>
    </row>
    <row r="6813" spans="1:1" x14ac:dyDescent="0.45">
      <c r="A6813" s="19">
        <v>42</v>
      </c>
    </row>
    <row r="6814" spans="1:1" x14ac:dyDescent="0.45">
      <c r="A6814" s="21">
        <v>7700</v>
      </c>
    </row>
    <row r="6815" spans="1:1" x14ac:dyDescent="0.45">
      <c r="A6815" s="22" t="s">
        <v>1277</v>
      </c>
    </row>
    <row r="6816" spans="1:1" x14ac:dyDescent="0.45">
      <c r="A6816" s="21">
        <v>4300</v>
      </c>
    </row>
    <row r="6817" spans="1:1" x14ac:dyDescent="0.45">
      <c r="A6817" s="22" t="s">
        <v>2570</v>
      </c>
    </row>
    <row r="6818" spans="1:1" x14ac:dyDescent="0.45">
      <c r="A6818" s="21">
        <v>4000</v>
      </c>
    </row>
    <row r="6819" spans="1:1" x14ac:dyDescent="0.45">
      <c r="A6819" s="22" t="s">
        <v>2743</v>
      </c>
    </row>
    <row r="6820" spans="1:1" x14ac:dyDescent="0.45">
      <c r="A6820" s="21">
        <v>3000</v>
      </c>
    </row>
    <row r="6821" spans="1:1" x14ac:dyDescent="0.45">
      <c r="A6821" s="22" t="s">
        <v>3750</v>
      </c>
    </row>
    <row r="6822" spans="1:1" x14ac:dyDescent="0.45">
      <c r="A6822" s="21">
        <v>1800</v>
      </c>
    </row>
    <row r="6823" spans="1:1" x14ac:dyDescent="0.45">
      <c r="A6823" s="22" t="s">
        <v>5588</v>
      </c>
    </row>
    <row r="6824" spans="1:1" x14ac:dyDescent="0.45">
      <c r="A6824" s="21">
        <v>1700</v>
      </c>
    </row>
    <row r="6825" spans="1:1" x14ac:dyDescent="0.45">
      <c r="A6825" s="22" t="s">
        <v>5872</v>
      </c>
    </row>
    <row r="6826" spans="1:1" x14ac:dyDescent="0.45">
      <c r="A6826" s="21">
        <v>1400</v>
      </c>
    </row>
    <row r="6827" spans="1:1" x14ac:dyDescent="0.45">
      <c r="A6827" s="22" t="s">
        <v>6695</v>
      </c>
    </row>
    <row r="6828" spans="1:1" x14ac:dyDescent="0.45">
      <c r="A6828" s="21">
        <v>1300</v>
      </c>
    </row>
    <row r="6829" spans="1:1" x14ac:dyDescent="0.45">
      <c r="A6829" s="22" t="s">
        <v>7052</v>
      </c>
    </row>
    <row r="6830" spans="1:1" x14ac:dyDescent="0.45">
      <c r="A6830" s="21">
        <v>1200</v>
      </c>
    </row>
    <row r="6831" spans="1:1" x14ac:dyDescent="0.45">
      <c r="A6831" s="22" t="s">
        <v>7331</v>
      </c>
    </row>
    <row r="6832" spans="1:1" x14ac:dyDescent="0.45">
      <c r="A6832" s="22" t="s">
        <v>7356</v>
      </c>
    </row>
    <row r="6833" spans="1:1" x14ac:dyDescent="0.45">
      <c r="A6833" s="21">
        <v>1100</v>
      </c>
    </row>
    <row r="6834" spans="1:1" x14ac:dyDescent="0.45">
      <c r="A6834" s="22" t="s">
        <v>7621</v>
      </c>
    </row>
    <row r="6835" spans="1:1" x14ac:dyDescent="0.45">
      <c r="A6835" s="22" t="s">
        <v>7851</v>
      </c>
    </row>
    <row r="6836" spans="1:1" x14ac:dyDescent="0.45">
      <c r="A6836" s="19">
        <v>41</v>
      </c>
    </row>
    <row r="6837" spans="1:1" x14ac:dyDescent="0.45">
      <c r="A6837" s="21">
        <v>10200</v>
      </c>
    </row>
    <row r="6838" spans="1:1" x14ac:dyDescent="0.45">
      <c r="A6838" s="22" t="s">
        <v>877</v>
      </c>
    </row>
    <row r="6839" spans="1:1" x14ac:dyDescent="0.45">
      <c r="A6839" s="21">
        <v>9300</v>
      </c>
    </row>
    <row r="6840" spans="1:1" x14ac:dyDescent="0.45">
      <c r="A6840" s="22" t="s">
        <v>990</v>
      </c>
    </row>
    <row r="6841" spans="1:1" x14ac:dyDescent="0.45">
      <c r="A6841" s="21">
        <v>8200</v>
      </c>
    </row>
    <row r="6842" spans="1:1" x14ac:dyDescent="0.45">
      <c r="A6842" s="22" t="s">
        <v>1178</v>
      </c>
    </row>
    <row r="6843" spans="1:1" x14ac:dyDescent="0.45">
      <c r="A6843" s="21">
        <v>7600</v>
      </c>
    </row>
    <row r="6844" spans="1:1" x14ac:dyDescent="0.45">
      <c r="A6844" s="22" t="s">
        <v>1311</v>
      </c>
    </row>
    <row r="6845" spans="1:1" x14ac:dyDescent="0.45">
      <c r="A6845" s="21">
        <v>7200</v>
      </c>
    </row>
    <row r="6846" spans="1:1" x14ac:dyDescent="0.45">
      <c r="A6846" s="22" t="s">
        <v>1417</v>
      </c>
    </row>
    <row r="6847" spans="1:1" x14ac:dyDescent="0.45">
      <c r="A6847" s="21">
        <v>7000</v>
      </c>
    </row>
    <row r="6848" spans="1:1" x14ac:dyDescent="0.45">
      <c r="A6848" s="22" t="s">
        <v>1465</v>
      </c>
    </row>
    <row r="6849" spans="1:1" x14ac:dyDescent="0.45">
      <c r="A6849" s="21">
        <v>5600</v>
      </c>
    </row>
    <row r="6850" spans="1:1" x14ac:dyDescent="0.45">
      <c r="A6850" s="22" t="s">
        <v>1886</v>
      </c>
    </row>
    <row r="6851" spans="1:1" x14ac:dyDescent="0.45">
      <c r="A6851" s="21">
        <v>4500</v>
      </c>
    </row>
    <row r="6852" spans="1:1" x14ac:dyDescent="0.45">
      <c r="A6852" s="22" t="s">
        <v>2451</v>
      </c>
    </row>
    <row r="6853" spans="1:1" x14ac:dyDescent="0.45">
      <c r="A6853" s="21">
        <v>3800</v>
      </c>
    </row>
    <row r="6854" spans="1:1" x14ac:dyDescent="0.45">
      <c r="A6854" s="22" t="s">
        <v>2904</v>
      </c>
    </row>
    <row r="6855" spans="1:1" x14ac:dyDescent="0.45">
      <c r="A6855" s="21">
        <v>2800</v>
      </c>
    </row>
    <row r="6856" spans="1:1" x14ac:dyDescent="0.45">
      <c r="A6856" s="22" t="s">
        <v>3976</v>
      </c>
    </row>
    <row r="6857" spans="1:1" x14ac:dyDescent="0.45">
      <c r="A6857" s="21">
        <v>2300</v>
      </c>
    </row>
    <row r="6858" spans="1:1" x14ac:dyDescent="0.45">
      <c r="A6858" s="22" t="s">
        <v>4606</v>
      </c>
    </row>
    <row r="6859" spans="1:1" x14ac:dyDescent="0.45">
      <c r="A6859" s="21">
        <v>2100</v>
      </c>
    </row>
    <row r="6860" spans="1:1" x14ac:dyDescent="0.45">
      <c r="A6860" s="22" t="s">
        <v>5064</v>
      </c>
    </row>
    <row r="6861" spans="1:1" x14ac:dyDescent="0.45">
      <c r="A6861" s="22" t="s">
        <v>5097</v>
      </c>
    </row>
    <row r="6862" spans="1:1" x14ac:dyDescent="0.45">
      <c r="A6862" s="22" t="s">
        <v>5104</v>
      </c>
    </row>
    <row r="6863" spans="1:1" x14ac:dyDescent="0.45">
      <c r="A6863" s="21">
        <v>1300</v>
      </c>
    </row>
    <row r="6864" spans="1:1" x14ac:dyDescent="0.45">
      <c r="A6864" s="22" t="s">
        <v>6912</v>
      </c>
    </row>
    <row r="6865" spans="1:1" x14ac:dyDescent="0.45">
      <c r="A6865" s="21">
        <v>1200</v>
      </c>
    </row>
    <row r="6866" spans="1:1" x14ac:dyDescent="0.45">
      <c r="A6866" s="22" t="s">
        <v>7568</v>
      </c>
    </row>
    <row r="6867" spans="1:1" x14ac:dyDescent="0.45">
      <c r="A6867" s="22" t="s">
        <v>7241</v>
      </c>
    </row>
    <row r="6868" spans="1:1" x14ac:dyDescent="0.45">
      <c r="A6868" s="22" t="s">
        <v>7570</v>
      </c>
    </row>
    <row r="6869" spans="1:1" x14ac:dyDescent="0.45">
      <c r="A6869" s="21">
        <v>1100</v>
      </c>
    </row>
    <row r="6870" spans="1:1" x14ac:dyDescent="0.45">
      <c r="A6870" s="22" t="s">
        <v>7867</v>
      </c>
    </row>
    <row r="6871" spans="1:1" x14ac:dyDescent="0.45">
      <c r="A6871" s="19">
        <v>40</v>
      </c>
    </row>
    <row r="6872" spans="1:1" x14ac:dyDescent="0.45">
      <c r="A6872" s="21">
        <v>6800</v>
      </c>
    </row>
    <row r="6873" spans="1:1" x14ac:dyDescent="0.45">
      <c r="A6873" s="22" t="s">
        <v>1543</v>
      </c>
    </row>
    <row r="6874" spans="1:1" x14ac:dyDescent="0.45">
      <c r="A6874" s="21">
        <v>4200</v>
      </c>
    </row>
    <row r="6875" spans="1:1" x14ac:dyDescent="0.45">
      <c r="A6875" s="22" t="s">
        <v>2624</v>
      </c>
    </row>
    <row r="6876" spans="1:1" x14ac:dyDescent="0.45">
      <c r="A6876" s="21">
        <v>2600</v>
      </c>
    </row>
    <row r="6877" spans="1:1" x14ac:dyDescent="0.45">
      <c r="A6877" s="22" t="s">
        <v>4240</v>
      </c>
    </row>
    <row r="6878" spans="1:1" x14ac:dyDescent="0.45">
      <c r="A6878" s="21">
        <v>2300</v>
      </c>
    </row>
    <row r="6879" spans="1:1" x14ac:dyDescent="0.45">
      <c r="A6879" s="22" t="s">
        <v>4630</v>
      </c>
    </row>
    <row r="6880" spans="1:1" x14ac:dyDescent="0.45">
      <c r="A6880" s="21">
        <v>2200</v>
      </c>
    </row>
    <row r="6881" spans="1:1" x14ac:dyDescent="0.45">
      <c r="A6881" s="22" t="s">
        <v>4753</v>
      </c>
    </row>
    <row r="6882" spans="1:1" x14ac:dyDescent="0.45">
      <c r="A6882" s="21">
        <v>2100</v>
      </c>
    </row>
    <row r="6883" spans="1:1" x14ac:dyDescent="0.45">
      <c r="A6883" s="22" t="s">
        <v>5019</v>
      </c>
    </row>
    <row r="6884" spans="1:1" x14ac:dyDescent="0.45">
      <c r="A6884" s="22" t="s">
        <v>5095</v>
      </c>
    </row>
    <row r="6885" spans="1:1" x14ac:dyDescent="0.45">
      <c r="A6885" s="21">
        <v>2000</v>
      </c>
    </row>
    <row r="6886" spans="1:1" x14ac:dyDescent="0.45">
      <c r="A6886" s="22" t="s">
        <v>5239</v>
      </c>
    </row>
    <row r="6887" spans="1:1" x14ac:dyDescent="0.45">
      <c r="A6887" s="21">
        <v>1600</v>
      </c>
    </row>
    <row r="6888" spans="1:1" x14ac:dyDescent="0.45">
      <c r="A6888" s="22" t="s">
        <v>6250</v>
      </c>
    </row>
    <row r="6889" spans="1:1" x14ac:dyDescent="0.45">
      <c r="A6889" s="21">
        <v>1500</v>
      </c>
    </row>
    <row r="6890" spans="1:1" x14ac:dyDescent="0.45">
      <c r="A6890" s="22" t="s">
        <v>6504</v>
      </c>
    </row>
    <row r="6891" spans="1:1" x14ac:dyDescent="0.45">
      <c r="A6891" s="22" t="s">
        <v>6539</v>
      </c>
    </row>
    <row r="6892" spans="1:1" x14ac:dyDescent="0.45">
      <c r="A6892" s="21">
        <v>1400</v>
      </c>
    </row>
    <row r="6893" spans="1:1" x14ac:dyDescent="0.45">
      <c r="A6893" s="22" t="s">
        <v>6600</v>
      </c>
    </row>
    <row r="6894" spans="1:1" x14ac:dyDescent="0.45">
      <c r="A6894" s="22" t="s">
        <v>6672</v>
      </c>
    </row>
    <row r="6895" spans="1:1" x14ac:dyDescent="0.45">
      <c r="A6895" s="21">
        <v>1300</v>
      </c>
    </row>
    <row r="6896" spans="1:1" x14ac:dyDescent="0.45">
      <c r="A6896" s="22" t="s">
        <v>6938</v>
      </c>
    </row>
    <row r="6897" spans="1:1" x14ac:dyDescent="0.45">
      <c r="A6897" s="21">
        <v>1200</v>
      </c>
    </row>
    <row r="6898" spans="1:1" x14ac:dyDescent="0.45">
      <c r="A6898" s="22" t="s">
        <v>7494</v>
      </c>
    </row>
    <row r="6899" spans="1:1" x14ac:dyDescent="0.45">
      <c r="A6899" s="21">
        <v>1100</v>
      </c>
    </row>
    <row r="6900" spans="1:1" x14ac:dyDescent="0.45">
      <c r="A6900" s="22" t="s">
        <v>7662</v>
      </c>
    </row>
    <row r="6901" spans="1:1" x14ac:dyDescent="0.45">
      <c r="A6901" s="22" t="s">
        <v>7952</v>
      </c>
    </row>
    <row r="6902" spans="1:1" x14ac:dyDescent="0.45">
      <c r="A6902" s="21">
        <v>1000</v>
      </c>
    </row>
    <row r="6903" spans="1:1" x14ac:dyDescent="0.45">
      <c r="A6903" s="22" t="s">
        <v>7977</v>
      </c>
    </row>
    <row r="6904" spans="1:1" x14ac:dyDescent="0.45">
      <c r="A6904" s="19">
        <v>39</v>
      </c>
    </row>
    <row r="6905" spans="1:1" x14ac:dyDescent="0.45">
      <c r="A6905" s="21">
        <v>45000</v>
      </c>
    </row>
    <row r="6906" spans="1:1" x14ac:dyDescent="0.45">
      <c r="A6906" s="22" t="s">
        <v>186</v>
      </c>
    </row>
    <row r="6907" spans="1:1" x14ac:dyDescent="0.45">
      <c r="A6907" s="21">
        <v>10500</v>
      </c>
    </row>
    <row r="6908" spans="1:1" x14ac:dyDescent="0.45">
      <c r="A6908" s="22" t="s">
        <v>846</v>
      </c>
    </row>
    <row r="6909" spans="1:1" x14ac:dyDescent="0.45">
      <c r="A6909" s="21">
        <v>8000</v>
      </c>
    </row>
    <row r="6910" spans="1:1" x14ac:dyDescent="0.45">
      <c r="A6910" s="22" t="s">
        <v>1199</v>
      </c>
    </row>
    <row r="6911" spans="1:1" x14ac:dyDescent="0.45">
      <c r="A6911" s="21">
        <v>6700</v>
      </c>
    </row>
    <row r="6912" spans="1:1" x14ac:dyDescent="0.45">
      <c r="A6912" s="22" t="s">
        <v>1633</v>
      </c>
    </row>
    <row r="6913" spans="1:1" x14ac:dyDescent="0.45">
      <c r="A6913" s="21">
        <v>2500</v>
      </c>
    </row>
    <row r="6914" spans="1:1" x14ac:dyDescent="0.45">
      <c r="A6914" s="22" t="s">
        <v>4352</v>
      </c>
    </row>
    <row r="6915" spans="1:1" x14ac:dyDescent="0.45">
      <c r="A6915" s="21">
        <v>1900</v>
      </c>
    </row>
    <row r="6916" spans="1:1" x14ac:dyDescent="0.45">
      <c r="A6916" s="22" t="s">
        <v>5409</v>
      </c>
    </row>
    <row r="6917" spans="1:1" x14ac:dyDescent="0.45">
      <c r="A6917" s="21">
        <v>1800</v>
      </c>
    </row>
    <row r="6918" spans="1:1" x14ac:dyDescent="0.45">
      <c r="A6918" s="22" t="s">
        <v>5667</v>
      </c>
    </row>
    <row r="6919" spans="1:1" x14ac:dyDescent="0.45">
      <c r="A6919" s="21">
        <v>1500</v>
      </c>
    </row>
    <row r="6920" spans="1:1" x14ac:dyDescent="0.45">
      <c r="A6920" s="22" t="s">
        <v>6533</v>
      </c>
    </row>
    <row r="6921" spans="1:1" x14ac:dyDescent="0.45">
      <c r="A6921" s="22" t="s">
        <v>6483</v>
      </c>
    </row>
    <row r="6922" spans="1:1" x14ac:dyDescent="0.45">
      <c r="A6922" s="21">
        <v>1200</v>
      </c>
    </row>
    <row r="6923" spans="1:1" x14ac:dyDescent="0.45">
      <c r="A6923" s="22" t="s">
        <v>7264</v>
      </c>
    </row>
    <row r="6924" spans="1:1" x14ac:dyDescent="0.45">
      <c r="A6924" s="19">
        <v>38</v>
      </c>
    </row>
    <row r="6925" spans="1:1" x14ac:dyDescent="0.45">
      <c r="A6925" s="21">
        <v>64400</v>
      </c>
    </row>
    <row r="6926" spans="1:1" x14ac:dyDescent="0.45">
      <c r="A6926" s="22" t="s">
        <v>133</v>
      </c>
    </row>
    <row r="6927" spans="1:1" x14ac:dyDescent="0.45">
      <c r="A6927" s="21">
        <v>11500</v>
      </c>
    </row>
    <row r="6928" spans="1:1" x14ac:dyDescent="0.45">
      <c r="A6928" s="22" t="s">
        <v>766</v>
      </c>
    </row>
    <row r="6929" spans="1:1" x14ac:dyDescent="0.45">
      <c r="A6929" s="21">
        <v>8800</v>
      </c>
    </row>
    <row r="6930" spans="1:1" x14ac:dyDescent="0.45">
      <c r="A6930" s="22" t="s">
        <v>1069</v>
      </c>
    </row>
    <row r="6931" spans="1:1" x14ac:dyDescent="0.45">
      <c r="A6931" s="21">
        <v>3300</v>
      </c>
    </row>
    <row r="6932" spans="1:1" x14ac:dyDescent="0.45">
      <c r="A6932" s="22" t="s">
        <v>3356</v>
      </c>
    </row>
    <row r="6933" spans="1:1" x14ac:dyDescent="0.45">
      <c r="A6933" s="21">
        <v>2900</v>
      </c>
    </row>
    <row r="6934" spans="1:1" x14ac:dyDescent="0.45">
      <c r="A6934" s="22" t="s">
        <v>3816</v>
      </c>
    </row>
    <row r="6935" spans="1:1" x14ac:dyDescent="0.45">
      <c r="A6935" s="21">
        <v>1600</v>
      </c>
    </row>
    <row r="6936" spans="1:1" x14ac:dyDescent="0.45">
      <c r="A6936" s="22" t="s">
        <v>6033</v>
      </c>
    </row>
    <row r="6937" spans="1:1" x14ac:dyDescent="0.45">
      <c r="A6937" s="21">
        <v>1400</v>
      </c>
    </row>
    <row r="6938" spans="1:1" x14ac:dyDescent="0.45">
      <c r="A6938" s="22" t="s">
        <v>6788</v>
      </c>
    </row>
    <row r="6939" spans="1:1" x14ac:dyDescent="0.45">
      <c r="A6939" s="21">
        <v>1300</v>
      </c>
    </row>
    <row r="6940" spans="1:1" x14ac:dyDescent="0.45">
      <c r="A6940" s="22" t="s">
        <v>7123</v>
      </c>
    </row>
    <row r="6941" spans="1:1" x14ac:dyDescent="0.45">
      <c r="A6941" s="21">
        <v>1000</v>
      </c>
    </row>
    <row r="6942" spans="1:1" x14ac:dyDescent="0.45">
      <c r="A6942" s="22" t="s">
        <v>8072</v>
      </c>
    </row>
    <row r="6943" spans="1:1" x14ac:dyDescent="0.45">
      <c r="A6943" s="19">
        <v>37</v>
      </c>
    </row>
    <row r="6944" spans="1:1" x14ac:dyDescent="0.45">
      <c r="A6944" s="21">
        <v>7000</v>
      </c>
    </row>
    <row r="6945" spans="1:1" x14ac:dyDescent="0.45">
      <c r="A6945" s="22" t="s">
        <v>1462</v>
      </c>
    </row>
    <row r="6946" spans="1:1" x14ac:dyDescent="0.45">
      <c r="A6946" s="21">
        <v>3600</v>
      </c>
    </row>
    <row r="6947" spans="1:1" x14ac:dyDescent="0.45">
      <c r="A6947" s="22" t="s">
        <v>3055</v>
      </c>
    </row>
    <row r="6948" spans="1:1" x14ac:dyDescent="0.45">
      <c r="A6948" s="22" t="s">
        <v>3034</v>
      </c>
    </row>
    <row r="6949" spans="1:1" x14ac:dyDescent="0.45">
      <c r="A6949" s="21">
        <v>3100</v>
      </c>
    </row>
    <row r="6950" spans="1:1" x14ac:dyDescent="0.45">
      <c r="A6950" s="22" t="s">
        <v>3524</v>
      </c>
    </row>
    <row r="6951" spans="1:1" x14ac:dyDescent="0.45">
      <c r="A6951" s="21">
        <v>2700</v>
      </c>
    </row>
    <row r="6952" spans="1:1" x14ac:dyDescent="0.45">
      <c r="A6952" s="22" t="s">
        <v>4074</v>
      </c>
    </row>
    <row r="6953" spans="1:1" x14ac:dyDescent="0.45">
      <c r="A6953" s="21">
        <v>2000</v>
      </c>
    </row>
    <row r="6954" spans="1:1" x14ac:dyDescent="0.45">
      <c r="A6954" s="22" t="s">
        <v>5316</v>
      </c>
    </row>
    <row r="6955" spans="1:1" x14ac:dyDescent="0.45">
      <c r="A6955" s="21">
        <v>1700</v>
      </c>
    </row>
    <row r="6956" spans="1:1" x14ac:dyDescent="0.45">
      <c r="A6956" s="22" t="s">
        <v>5871</v>
      </c>
    </row>
    <row r="6957" spans="1:1" x14ac:dyDescent="0.45">
      <c r="A6957" s="21">
        <v>1400</v>
      </c>
    </row>
    <row r="6958" spans="1:1" x14ac:dyDescent="0.45">
      <c r="A6958" s="22" t="s">
        <v>6848</v>
      </c>
    </row>
    <row r="6959" spans="1:1" x14ac:dyDescent="0.45">
      <c r="A6959" s="21">
        <v>1200</v>
      </c>
    </row>
    <row r="6960" spans="1:1" x14ac:dyDescent="0.45">
      <c r="A6960" s="22" t="s">
        <v>7596</v>
      </c>
    </row>
    <row r="6961" spans="1:1" x14ac:dyDescent="0.45">
      <c r="A6961" s="19">
        <v>36</v>
      </c>
    </row>
    <row r="6962" spans="1:1" x14ac:dyDescent="0.45">
      <c r="A6962" s="21">
        <v>21200</v>
      </c>
    </row>
    <row r="6963" spans="1:1" x14ac:dyDescent="0.45">
      <c r="A6963" s="22" t="s">
        <v>432</v>
      </c>
    </row>
    <row r="6964" spans="1:1" x14ac:dyDescent="0.45">
      <c r="A6964" s="21">
        <v>2500</v>
      </c>
    </row>
    <row r="6965" spans="1:1" x14ac:dyDescent="0.45">
      <c r="A6965" s="22" t="s">
        <v>4416</v>
      </c>
    </row>
    <row r="6966" spans="1:1" x14ac:dyDescent="0.45">
      <c r="A6966" s="21">
        <v>2000</v>
      </c>
    </row>
    <row r="6967" spans="1:1" x14ac:dyDescent="0.45">
      <c r="A6967" s="22" t="s">
        <v>5278</v>
      </c>
    </row>
    <row r="6968" spans="1:1" x14ac:dyDescent="0.45">
      <c r="A6968" s="21">
        <v>1600</v>
      </c>
    </row>
    <row r="6969" spans="1:1" x14ac:dyDescent="0.45">
      <c r="A6969" s="22" t="s">
        <v>6222</v>
      </c>
    </row>
    <row r="6970" spans="1:1" x14ac:dyDescent="0.45">
      <c r="A6970" s="21">
        <v>1300</v>
      </c>
    </row>
    <row r="6971" spans="1:1" x14ac:dyDescent="0.45">
      <c r="A6971" s="22" t="s">
        <v>6999</v>
      </c>
    </row>
    <row r="6972" spans="1:1" x14ac:dyDescent="0.45">
      <c r="A6972" s="21">
        <v>1200</v>
      </c>
    </row>
    <row r="6973" spans="1:1" x14ac:dyDescent="0.45">
      <c r="A6973" s="22" t="s">
        <v>7263</v>
      </c>
    </row>
    <row r="6974" spans="1:1" x14ac:dyDescent="0.45">
      <c r="A6974" s="21">
        <v>1100</v>
      </c>
    </row>
    <row r="6975" spans="1:1" x14ac:dyDescent="0.45">
      <c r="A6975" s="22" t="s">
        <v>7750</v>
      </c>
    </row>
    <row r="6976" spans="1:1" x14ac:dyDescent="0.45">
      <c r="A6976" s="21">
        <v>1000</v>
      </c>
    </row>
    <row r="6977" spans="1:1" x14ac:dyDescent="0.45">
      <c r="A6977" s="22" t="s">
        <v>8130</v>
      </c>
    </row>
    <row r="6978" spans="1:1" x14ac:dyDescent="0.45">
      <c r="A6978" s="19">
        <v>35</v>
      </c>
    </row>
    <row r="6979" spans="1:1" x14ac:dyDescent="0.45">
      <c r="A6979" s="21">
        <v>3600</v>
      </c>
    </row>
    <row r="6980" spans="1:1" x14ac:dyDescent="0.45">
      <c r="A6980" s="22" t="s">
        <v>3058</v>
      </c>
    </row>
    <row r="6981" spans="1:1" x14ac:dyDescent="0.45">
      <c r="A6981" s="21">
        <v>3100</v>
      </c>
    </row>
    <row r="6982" spans="1:1" x14ac:dyDescent="0.45">
      <c r="A6982" s="22" t="s">
        <v>3613</v>
      </c>
    </row>
    <row r="6983" spans="1:1" x14ac:dyDescent="0.45">
      <c r="A6983" s="21">
        <v>1800</v>
      </c>
    </row>
    <row r="6984" spans="1:1" x14ac:dyDescent="0.45">
      <c r="A6984" s="22" t="s">
        <v>5748</v>
      </c>
    </row>
    <row r="6985" spans="1:1" x14ac:dyDescent="0.45">
      <c r="A6985" s="21">
        <v>1400</v>
      </c>
    </row>
    <row r="6986" spans="1:1" x14ac:dyDescent="0.45">
      <c r="A6986" s="22" t="s">
        <v>6798</v>
      </c>
    </row>
    <row r="6987" spans="1:1" x14ac:dyDescent="0.45">
      <c r="A6987" s="21">
        <v>1100</v>
      </c>
    </row>
    <row r="6988" spans="1:1" x14ac:dyDescent="0.45">
      <c r="A6988" s="22" t="s">
        <v>7906</v>
      </c>
    </row>
    <row r="6989" spans="1:1" x14ac:dyDescent="0.45">
      <c r="A6989" s="21">
        <v>1000</v>
      </c>
    </row>
    <row r="6990" spans="1:1" x14ac:dyDescent="0.45">
      <c r="A6990" s="22" t="s">
        <v>8212</v>
      </c>
    </row>
    <row r="6991" spans="1:1" x14ac:dyDescent="0.45">
      <c r="A6991" s="19">
        <v>34</v>
      </c>
    </row>
    <row r="6992" spans="1:1" x14ac:dyDescent="0.45">
      <c r="A6992" s="21">
        <v>5500</v>
      </c>
    </row>
    <row r="6993" spans="1:1" x14ac:dyDescent="0.45">
      <c r="A6993" s="22" t="s">
        <v>1939</v>
      </c>
    </row>
    <row r="6994" spans="1:1" x14ac:dyDescent="0.45">
      <c r="A6994" s="21">
        <v>4600</v>
      </c>
    </row>
    <row r="6995" spans="1:1" x14ac:dyDescent="0.45">
      <c r="A6995" s="22" t="s">
        <v>2409</v>
      </c>
    </row>
    <row r="6996" spans="1:1" x14ac:dyDescent="0.45">
      <c r="A6996" s="21">
        <v>2500</v>
      </c>
    </row>
    <row r="6997" spans="1:1" x14ac:dyDescent="0.45">
      <c r="A6997" s="22" t="s">
        <v>4428</v>
      </c>
    </row>
    <row r="6998" spans="1:1" x14ac:dyDescent="0.45">
      <c r="A6998" s="21">
        <v>1100</v>
      </c>
    </row>
    <row r="6999" spans="1:1" x14ac:dyDescent="0.45">
      <c r="A6999" s="22" t="s">
        <v>7724</v>
      </c>
    </row>
    <row r="7000" spans="1:1" x14ac:dyDescent="0.45">
      <c r="A7000" s="19">
        <v>33</v>
      </c>
    </row>
    <row r="7001" spans="1:1" x14ac:dyDescent="0.45">
      <c r="A7001" s="21">
        <v>3500</v>
      </c>
    </row>
    <row r="7002" spans="1:1" x14ac:dyDescent="0.45">
      <c r="A7002" s="22" t="s">
        <v>3090</v>
      </c>
    </row>
    <row r="7003" spans="1:1" x14ac:dyDescent="0.45">
      <c r="A7003" s="21">
        <v>1800</v>
      </c>
    </row>
    <row r="7004" spans="1:1" x14ac:dyDescent="0.45">
      <c r="A7004" s="22" t="s">
        <v>5643</v>
      </c>
    </row>
    <row r="7005" spans="1:1" x14ac:dyDescent="0.45">
      <c r="A7005" s="21">
        <v>1000</v>
      </c>
    </row>
    <row r="7006" spans="1:1" x14ac:dyDescent="0.45">
      <c r="A7006" s="22" t="s">
        <v>7979</v>
      </c>
    </row>
    <row r="7007" spans="1:1" x14ac:dyDescent="0.45">
      <c r="A7007" s="19">
        <v>32</v>
      </c>
    </row>
    <row r="7008" spans="1:1" x14ac:dyDescent="0.45">
      <c r="A7008" s="21">
        <v>5500</v>
      </c>
    </row>
    <row r="7009" spans="1:1" x14ac:dyDescent="0.45">
      <c r="A7009" s="22" t="s">
        <v>1935</v>
      </c>
    </row>
    <row r="7010" spans="1:1" x14ac:dyDescent="0.45">
      <c r="A7010" s="21">
        <v>2700</v>
      </c>
    </row>
    <row r="7011" spans="1:1" x14ac:dyDescent="0.45">
      <c r="A7011" s="22" t="s">
        <v>4149</v>
      </c>
    </row>
    <row r="7012" spans="1:1" x14ac:dyDescent="0.45">
      <c r="A7012" s="19">
        <v>31</v>
      </c>
    </row>
    <row r="7013" spans="1:1" x14ac:dyDescent="0.45">
      <c r="A7013" s="21">
        <v>2700</v>
      </c>
    </row>
    <row r="7014" spans="1:1" x14ac:dyDescent="0.45">
      <c r="A7014" s="22" t="s">
        <v>4076</v>
      </c>
    </row>
    <row r="7015" spans="1:1" x14ac:dyDescent="0.45">
      <c r="A7015" s="19">
        <v>30</v>
      </c>
    </row>
    <row r="7016" spans="1:1" x14ac:dyDescent="0.45">
      <c r="A7016" s="21">
        <v>34700</v>
      </c>
    </row>
    <row r="7017" spans="1:1" x14ac:dyDescent="0.45">
      <c r="A7017" s="22" t="s">
        <v>254</v>
      </c>
    </row>
    <row r="7018" spans="1:1" x14ac:dyDescent="0.45">
      <c r="A7018" s="21">
        <v>2000</v>
      </c>
    </row>
    <row r="7019" spans="1:1" x14ac:dyDescent="0.45">
      <c r="A7019" s="22" t="s">
        <v>5294</v>
      </c>
    </row>
    <row r="7020" spans="1:1" x14ac:dyDescent="0.45">
      <c r="A7020" s="21">
        <v>1700</v>
      </c>
    </row>
    <row r="7021" spans="1:1" x14ac:dyDescent="0.45">
      <c r="A7021" s="22" t="s">
        <v>5901</v>
      </c>
    </row>
    <row r="7022" spans="1:1" x14ac:dyDescent="0.45">
      <c r="A7022" s="21">
        <v>1200</v>
      </c>
    </row>
    <row r="7023" spans="1:1" x14ac:dyDescent="0.45">
      <c r="A7023" s="22" t="s">
        <v>7313</v>
      </c>
    </row>
    <row r="7024" spans="1:1" x14ac:dyDescent="0.45">
      <c r="A7024" s="19">
        <v>29</v>
      </c>
    </row>
    <row r="7025" spans="1:1" x14ac:dyDescent="0.45">
      <c r="A7025" s="21">
        <v>2700</v>
      </c>
    </row>
    <row r="7026" spans="1:1" x14ac:dyDescent="0.45">
      <c r="A7026" s="22" t="s">
        <v>4168</v>
      </c>
    </row>
    <row r="7027" spans="1:1" x14ac:dyDescent="0.45">
      <c r="A7027" s="19">
        <v>28</v>
      </c>
    </row>
    <row r="7028" spans="1:1" x14ac:dyDescent="0.45">
      <c r="A7028" s="21">
        <v>1100</v>
      </c>
    </row>
    <row r="7029" spans="1:1" x14ac:dyDescent="0.45">
      <c r="A7029" s="22" t="s">
        <v>7642</v>
      </c>
    </row>
    <row r="7030" spans="1:1" x14ac:dyDescent="0.45">
      <c r="A7030" s="19">
        <v>27</v>
      </c>
    </row>
    <row r="7031" spans="1:1" x14ac:dyDescent="0.45">
      <c r="A7031" s="21">
        <v>3500</v>
      </c>
    </row>
    <row r="7032" spans="1:1" x14ac:dyDescent="0.45">
      <c r="A7032" s="22" t="s">
        <v>3113</v>
      </c>
    </row>
    <row r="7033" spans="1:1" x14ac:dyDescent="0.45">
      <c r="A7033" s="21">
        <v>1500</v>
      </c>
    </row>
    <row r="7034" spans="1:1" x14ac:dyDescent="0.45">
      <c r="A7034" s="22" t="s">
        <v>6288</v>
      </c>
    </row>
    <row r="7035" spans="1:1" x14ac:dyDescent="0.45">
      <c r="A7035" s="19">
        <v>26</v>
      </c>
    </row>
    <row r="7036" spans="1:1" x14ac:dyDescent="0.45">
      <c r="A7036" s="21">
        <v>1500</v>
      </c>
    </row>
    <row r="7037" spans="1:1" x14ac:dyDescent="0.45">
      <c r="A7037" s="22" t="s">
        <v>6286</v>
      </c>
    </row>
    <row r="7038" spans="1:1" x14ac:dyDescent="0.45">
      <c r="A7038" s="21">
        <v>1400</v>
      </c>
    </row>
    <row r="7039" spans="1:1" x14ac:dyDescent="0.45">
      <c r="A7039" s="22" t="s">
        <v>6843</v>
      </c>
    </row>
    <row r="7040" spans="1:1" x14ac:dyDescent="0.45">
      <c r="A7040" s="19">
        <v>21</v>
      </c>
    </row>
    <row r="7041" spans="1:1" x14ac:dyDescent="0.45">
      <c r="A7041" s="21">
        <v>3500</v>
      </c>
    </row>
    <row r="7042" spans="1:1" x14ac:dyDescent="0.45">
      <c r="A7042" s="22" t="s">
        <v>3115</v>
      </c>
    </row>
    <row r="7043" spans="1:1" x14ac:dyDescent="0.45">
      <c r="A7043" s="21">
        <v>1700</v>
      </c>
    </row>
    <row r="7044" spans="1:1" x14ac:dyDescent="0.45">
      <c r="A7044" s="22" t="s">
        <v>5863</v>
      </c>
    </row>
    <row r="7045" spans="1:1" x14ac:dyDescent="0.45">
      <c r="A7045" s="19">
        <v>20</v>
      </c>
    </row>
    <row r="7046" spans="1:1" x14ac:dyDescent="0.45">
      <c r="A7046" s="21">
        <v>2300</v>
      </c>
    </row>
    <row r="7047" spans="1:1" x14ac:dyDescent="0.45">
      <c r="A7047" s="22" t="s">
        <v>4657</v>
      </c>
    </row>
    <row r="7048" spans="1:1" x14ac:dyDescent="0.45">
      <c r="A7048" s="19">
        <v>19</v>
      </c>
    </row>
    <row r="7049" spans="1:1" x14ac:dyDescent="0.45">
      <c r="A7049" s="21">
        <v>1700</v>
      </c>
    </row>
    <row r="7050" spans="1:1" x14ac:dyDescent="0.45">
      <c r="A7050" s="22" t="s">
        <v>5866</v>
      </c>
    </row>
    <row r="7051" spans="1:1" x14ac:dyDescent="0.45">
      <c r="A7051" s="19">
        <v>18</v>
      </c>
    </row>
    <row r="7052" spans="1:1" x14ac:dyDescent="0.45">
      <c r="A7052" s="21">
        <v>3500</v>
      </c>
    </row>
    <row r="7053" spans="1:1" x14ac:dyDescent="0.45">
      <c r="A7053" s="22" t="s">
        <v>3110</v>
      </c>
    </row>
    <row r="7054" spans="1:1" x14ac:dyDescent="0.45">
      <c r="A7054" s="17" t="s">
        <v>8255</v>
      </c>
    </row>
  </sheetData>
  <pageMargins left="0.7" right="0.7" top="0.75" bottom="0.75" header="0.3" footer="0.3"/>
  <pageSetup paperSize="9" orientation="portrait" r:id="rId14"/>
  <headerFooter>
    <oddHeader>&amp;L&amp;"-,Bold"PPIVOT TABLE FOR RANKING OF SUM OF NET WORTH</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6C44-7403-445B-BE10-8970027EAFE2}">
  <dimension ref="A1"/>
  <sheetViews>
    <sheetView showGridLines="0" zoomScale="70" zoomScaleNormal="70" workbookViewId="0">
      <selection activeCell="H17" sqref="H17"/>
    </sheetView>
  </sheetViews>
  <sheetFormatPr defaultRowHeight="14.25" x14ac:dyDescent="0.45"/>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F651-32E9-4301-9891-85CF1B1A9009}">
  <dimension ref="A1"/>
  <sheetViews>
    <sheetView showGridLines="0" tabSelected="1" topLeftCell="A13" zoomScale="70" zoomScaleNormal="70" workbookViewId="0">
      <selection activeCell="E25" sqref="E25"/>
    </sheetView>
  </sheetViews>
  <sheetFormatPr defaultRowHeight="14.25" x14ac:dyDescent="0.45"/>
  <cols>
    <col min="1" max="16384" width="9.0664062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Billionaires Statistics Dataset</vt:lpstr>
      <vt:lpstr>Pivot Table</vt:lpstr>
      <vt:lpstr>Graph</vt:lpstr>
      <vt:lpstr>Dashboard</vt:lpstr>
      <vt:lp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feyikemi Akande</cp:lastModifiedBy>
  <dcterms:created xsi:type="dcterms:W3CDTF">2025-05-13T01:05:37Z</dcterms:created>
  <dcterms:modified xsi:type="dcterms:W3CDTF">2026-01-19T21:57:10Z</dcterms:modified>
</cp:coreProperties>
</file>